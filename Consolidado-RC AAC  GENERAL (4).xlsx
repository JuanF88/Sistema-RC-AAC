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tables/table1.xml" ContentType="application/vnd.openxmlformats-officedocument.spreadsheetml.table+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comments8.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iper\Desktop\Sistema-RC-AAC\"/>
    </mc:Choice>
  </mc:AlternateContent>
  <xr:revisionPtr revIDLastSave="0" documentId="13_ncr:1_{84FA1652-B49F-4745-905B-BD600D79431F}" xr6:coauthVersionLast="47" xr6:coauthVersionMax="47" xr10:uidLastSave="{00000000-0000-0000-0000-000000000000}"/>
  <bookViews>
    <workbookView xWindow="-120" yWindow="-120" windowWidth="29040" windowHeight="15720" activeTab="1" xr2:uid="{00000000-000D-0000-FFFF-FFFF00000000}"/>
  </bookViews>
  <sheets>
    <sheet name="Menú" sheetId="1" r:id="rId1"/>
    <sheet name="Consolidado" sheetId="2" r:id="rId2"/>
    <sheet name="Alerta de vencimiento" sheetId="3" r:id="rId3"/>
    <sheet name="Alerta de vencimiento acreditad" sheetId="4" r:id="rId4"/>
    <sheet name="ProgramasRC" sheetId="5" r:id="rId5"/>
    <sheet name="Sintesis-Programas" sheetId="6" r:id="rId6"/>
    <sheet name="Acreditados" sheetId="7" r:id="rId7"/>
    <sheet name="Visitas de Pares" sheetId="8" r:id="rId8"/>
    <sheet name="Periodo de transición RC" sheetId="9" r:id="rId9"/>
    <sheet name="Ajuste Plan Mejora" sheetId="10" state="hidden" r:id="rId10"/>
    <sheet name="Acreditables a 2023" sheetId="11" r:id="rId11"/>
    <sheet name="Acreditables a 2026" sheetId="12" r:id="rId12"/>
    <sheet name="Rutas AAC" sheetId="13" state="hidden" r:id="rId13"/>
    <sheet name="Facultad-Ruta-AAC" sheetId="14" state="hidden" r:id="rId14"/>
    <sheet name="En proceso " sheetId="15" r:id="rId15"/>
    <sheet name="Autoevaluación" sheetId="16" r:id="rId16"/>
    <sheet name="Regionalización" sheetId="17" r:id="rId17"/>
    <sheet name="Histórico Programas" sheetId="18" state="hidden" r:id="rId18"/>
    <sheet name="Proceso Interno" sheetId="19" r:id="rId19"/>
    <sheet name="Listas" sheetId="20" state="hidden" r:id="rId20"/>
    <sheet name="Listas (2)" sheetId="21" state="hidden" r:id="rId21"/>
  </sheets>
  <externalReferences>
    <externalReference r:id="rId22"/>
    <externalReference r:id="rId23"/>
    <externalReference r:id="rId24"/>
    <externalReference r:id="rId25"/>
    <externalReference r:id="rId26"/>
    <externalReference r:id="rId27"/>
  </externalReferences>
  <definedNames>
    <definedName name="_xlnm._FilterDatabase" localSheetId="10" hidden="1">'Acreditables a 2023'!$A$6:$G$74</definedName>
    <definedName name="_xlnm._FilterDatabase" localSheetId="6" hidden="1">Acreditados!$A$9:$I$45</definedName>
    <definedName name="_xlnm._FilterDatabase" localSheetId="9" hidden="1">'Ajuste Plan Mejora'!$A$5:$I$37</definedName>
    <definedName name="_xlnm._FilterDatabase" localSheetId="2" hidden="1">'Alerta de vencimiento'!$A$1:$I$116</definedName>
    <definedName name="_xlnm._FilterDatabase" localSheetId="3" hidden="1">'Alerta de vencimiento acreditad'!$A$1:$I$36</definedName>
    <definedName name="_xlnm._FilterDatabase" localSheetId="1" hidden="1">Consolidado!$A$6:$BG$124</definedName>
    <definedName name="_xlnm._FilterDatabase" localSheetId="14" hidden="1">'En proceso '!$A$7:$G$32</definedName>
    <definedName name="_GoBack" localSheetId="1">Consolidado!$AQ$65</definedName>
    <definedName name="Con_R.C." localSheetId="20">'Listas (2)'!$B$26:$B$27</definedName>
    <definedName name="Con_R.C.">Listas!$B$26:$B$27</definedName>
    <definedName name="Excel_BuiltIn__FilterDatabase_7" localSheetId="14">#REF!</definedName>
    <definedName name="Excel_BuiltIn__FilterDatabase_7" localSheetId="20">#REF!</definedName>
    <definedName name="Excel_BuiltIn__FilterDatabase_7" localSheetId="4">#REF!</definedName>
    <definedName name="Excel_BuiltIn__FilterDatabase_7" localSheetId="16">#REF!</definedName>
    <definedName name="Excel_BuiltIn__FilterDatabase_7">#REF!</definedName>
    <definedName name="Excel_BuiltIn__FilterDatabase_8" localSheetId="14">#REF!</definedName>
    <definedName name="Excel_BuiltIn__FilterDatabase_8" localSheetId="20">#REF!</definedName>
    <definedName name="Excel_BuiltIn__FilterDatabase_8" localSheetId="4">#REF!</definedName>
    <definedName name="Excel_BuiltIn__FilterDatabase_8" localSheetId="16">#REF!</definedName>
    <definedName name="Excel_BuiltIn__FilterDatabase_8">#REF!</definedName>
    <definedName name="Excel_BuiltIn_Print_Area_10" localSheetId="14">#REF!</definedName>
    <definedName name="Excel_BuiltIn_Print_Area_10" localSheetId="20">#REF!</definedName>
    <definedName name="Excel_BuiltIn_Print_Area_10" localSheetId="4">#REF!</definedName>
    <definedName name="Excel_BuiltIn_Print_Area_10" localSheetId="16">#REF!</definedName>
    <definedName name="Excel_BuiltIn_Print_Area_10">#REF!</definedName>
    <definedName name="Google_Sheet_Link_1044711242" hidden="1">SiNo</definedName>
    <definedName name="Google_Sheet_Link_1102425532_532239129" hidden="1">Modelo</definedName>
    <definedName name="Google_Sheet_Link_1162646474" hidden="1">Con_R.C.</definedName>
    <definedName name="Google_Sheet_Link_1219876071" hidden="1">Modelo</definedName>
    <definedName name="Google_Sheet_Link_1410921401_532239129" hidden="1">NivelPrePos</definedName>
    <definedName name="Google_Sheet_Link_1412593603_532239129" hidden="1">NivelU</definedName>
    <definedName name="Google_Sheet_Link_1448266535" hidden="1">NivelPrePos</definedName>
    <definedName name="Google_Sheet_Link_1669635398" hidden="1">NivelU</definedName>
    <definedName name="Google_Sheet_Link_1678713026_532239129" hidden="1">SiNo</definedName>
    <definedName name="Google_Sheet_Link_1701449013_76801130" hidden="1">_GoBack</definedName>
    <definedName name="Google_Sheet_Link_1845914611" hidden="1">Salas</definedName>
    <definedName name="Google_Sheet_Link_1957106706_1572554447" hidden="1">Regionalizacion</definedName>
    <definedName name="Google_Sheet_Link_2055006317_532239129" hidden="1">Salas</definedName>
    <definedName name="Google_Sheet_Link_2094000312_532239129" hidden="1">Con_R.C.</definedName>
    <definedName name="Google_Sheet_Link_2144229078_1867397793" hidden="1">SiNo</definedName>
    <definedName name="Google_Sheet_Link_375205127_1572554447" hidden="1">NivelPrePos</definedName>
    <definedName name="Google_Sheet_Link_589796294_1867397793" hidden="1">Regionalizacion</definedName>
    <definedName name="Google_Sheet_Link_692858173" hidden="1">Regionalizacion</definedName>
    <definedName name="Google_Sheet_Link_774103784_1572554447" hidden="1">SiNo</definedName>
    <definedName name="Google_Sheet_Link_886434002_532239129" hidden="1">Regionalizacion</definedName>
    <definedName name="Modelo" localSheetId="20">'Listas (2)'!$B$30:$B$31</definedName>
    <definedName name="Modelo">Listas!$B$30:$B$31</definedName>
    <definedName name="Nivel" localSheetId="13">[1]Consolidado!#REF!</definedName>
    <definedName name="Nivel" localSheetId="19">[1]Consolidado!#REF!</definedName>
    <definedName name="Nivel" localSheetId="16">#REF!</definedName>
    <definedName name="Nivel">Consolidado!#REF!</definedName>
    <definedName name="NivelPrePos" localSheetId="14">Listas!$B$10:$B$11</definedName>
    <definedName name="NivelPrePos" localSheetId="20">'Listas (2)'!$B$10:$B$11</definedName>
    <definedName name="NivelPrePos">Listas!$B$10:$B$11</definedName>
    <definedName name="NivelU" localSheetId="20">'Listas (2)'!$B$10:$B$11</definedName>
    <definedName name="NivelU">Listas!$B$10:$B$11</definedName>
    <definedName name="Por_extensión" localSheetId="13">[1]Consolidado!#REF!</definedName>
    <definedName name="Por_extensión" localSheetId="19">[1]Consolidado!#REF!</definedName>
    <definedName name="Por_extensión" localSheetId="16">#REF!</definedName>
    <definedName name="Por_extensión">Consolidado!#REF!</definedName>
    <definedName name="Regionalizacion" localSheetId="14">Listas!$B$4:$B$7</definedName>
    <definedName name="Regionalizacion" localSheetId="20">'Listas (2)'!$B$4:$B$7</definedName>
    <definedName name="Regionalizacion" localSheetId="16">Listas!$B$4:$B$7</definedName>
    <definedName name="Regionalizacion">Listas!$B$4:$B$7</definedName>
    <definedName name="Salas" localSheetId="20">'Listas (2)'!$B$14:$B$22</definedName>
    <definedName name="Salas">Listas!$B$14:$B$22</definedName>
    <definedName name="Si" localSheetId="13">[1]Consolidado!#REF!</definedName>
    <definedName name="Si" localSheetId="19">[1]Consolidado!#REF!</definedName>
    <definedName name="Si" localSheetId="16">#REF!</definedName>
    <definedName name="Si">Consolidado!#REF!</definedName>
    <definedName name="SiNo" localSheetId="14">Listas!$B$26:$B$27</definedName>
    <definedName name="SiNo" localSheetId="20">'Listas (2)'!$B$26:$B$27</definedName>
    <definedName name="SiNo" localSheetId="16">Listas!$B$26:$B$27</definedName>
    <definedName name="SiNo">Listas!$B$26:$B$27</definedName>
    <definedName name="w" localSheetId="14">#REF!</definedName>
    <definedName name="w" localSheetId="20">#REF!</definedName>
    <definedName nam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2" roundtripDataChecksum="WDP/IE4Tt5APQd9tnivHAeTifLq20aFQMCp8l2G8jWY="/>
    </ext>
  </extLst>
</workbook>
</file>

<file path=xl/calcChain.xml><?xml version="1.0" encoding="utf-8"?>
<calcChain xmlns="http://schemas.openxmlformats.org/spreadsheetml/2006/main">
  <c r="L13" i="18" l="1"/>
  <c r="K13" i="18"/>
  <c r="J13" i="18"/>
  <c r="B13" i="18"/>
  <c r="C12" i="18"/>
  <c r="D12" i="18" s="1"/>
  <c r="E12" i="18" s="1"/>
  <c r="F12" i="18" s="1"/>
  <c r="G12" i="18" s="1"/>
  <c r="H12" i="18" s="1"/>
  <c r="I12" i="18" s="1"/>
  <c r="E11" i="18"/>
  <c r="D11" i="18"/>
  <c r="D13" i="18" s="1"/>
  <c r="C11" i="18"/>
  <c r="K8" i="18"/>
  <c r="J8" i="18"/>
  <c r="I8" i="18"/>
  <c r="H8" i="18"/>
  <c r="G8" i="18"/>
  <c r="F8" i="18"/>
  <c r="E8" i="18"/>
  <c r="D8" i="18"/>
  <c r="C8" i="18"/>
  <c r="B8" i="18"/>
  <c r="H58" i="15"/>
  <c r="G58" i="15"/>
  <c r="H57" i="15"/>
  <c r="G57" i="15"/>
  <c r="H56" i="15"/>
  <c r="G56" i="15"/>
  <c r="H55" i="15"/>
  <c r="G55" i="15"/>
  <c r="H54" i="15"/>
  <c r="G54" i="15"/>
  <c r="H53" i="15"/>
  <c r="G53" i="15"/>
  <c r="H52" i="15"/>
  <c r="G52" i="15"/>
  <c r="G51" i="15"/>
  <c r="G50" i="15"/>
  <c r="G39" i="15"/>
  <c r="C33" i="15" a="1"/>
  <c r="C33" i="15" s="1"/>
  <c r="C32" i="15" a="1"/>
  <c r="C32" i="15" s="1"/>
  <c r="C31" i="15" a="1"/>
  <c r="C31" i="15" s="1"/>
  <c r="C30" i="15" a="1"/>
  <c r="C30" i="15" s="1"/>
  <c r="C29" i="15" a="1"/>
  <c r="C29" i="15" s="1"/>
  <c r="C28" i="15" a="1"/>
  <c r="C28" i="15" s="1"/>
  <c r="C27" i="15" a="1"/>
  <c r="C27" i="15" s="1"/>
  <c r="C26" i="15" a="1"/>
  <c r="C26" i="15" s="1"/>
  <c r="C25" i="15" a="1"/>
  <c r="C25" i="15" s="1"/>
  <c r="C24" i="15" a="1"/>
  <c r="C24" i="15" s="1"/>
  <c r="C23" i="15" a="1"/>
  <c r="C23" i="15" s="1"/>
  <c r="C22" i="15" a="1"/>
  <c r="C22" i="15" s="1"/>
  <c r="C21" i="15" a="1"/>
  <c r="C21" i="15" s="1"/>
  <c r="C20" i="15" a="1"/>
  <c r="C20" i="15" s="1"/>
  <c r="C19" i="15" a="1"/>
  <c r="C19" i="15" s="1"/>
  <c r="C18" i="15" a="1"/>
  <c r="C18" i="15" s="1"/>
  <c r="C17" i="15" a="1"/>
  <c r="C17" i="15" s="1"/>
  <c r="C16" i="15" a="1"/>
  <c r="C16" i="15" s="1"/>
  <c r="C15" i="15" a="1"/>
  <c r="C15" i="15" s="1"/>
  <c r="C14" i="15" a="1"/>
  <c r="C14" i="15" s="1"/>
  <c r="C13" i="15" a="1"/>
  <c r="C13" i="15" s="1"/>
  <c r="C12" i="15" a="1"/>
  <c r="C12" i="15" s="1"/>
  <c r="C11" i="15" a="1"/>
  <c r="C11" i="15" s="1"/>
  <c r="C10" i="15" a="1"/>
  <c r="C10" i="15" s="1"/>
  <c r="C9" i="15" a="1"/>
  <c r="C9" i="15" s="1"/>
  <c r="C8" i="15" a="1"/>
  <c r="C8" i="15" s="1"/>
  <c r="J3" i="15"/>
  <c r="I3" i="15"/>
  <c r="H3" i="15"/>
  <c r="I2" i="15"/>
  <c r="H2" i="15"/>
  <c r="J2" i="15" s="1"/>
  <c r="L16" i="14"/>
  <c r="L18" i="14" s="1"/>
  <c r="U15" i="14"/>
  <c r="T15" i="14"/>
  <c r="S15" i="14"/>
  <c r="R15" i="14"/>
  <c r="Q15" i="14"/>
  <c r="P15" i="14"/>
  <c r="O15" i="14"/>
  <c r="N15" i="14"/>
  <c r="M15" i="14"/>
  <c r="L15" i="14"/>
  <c r="K15" i="14"/>
  <c r="J15" i="14"/>
  <c r="I15" i="14"/>
  <c r="H15" i="14"/>
  <c r="G15" i="14"/>
  <c r="F15" i="14"/>
  <c r="E15" i="14"/>
  <c r="D15" i="14"/>
  <c r="C15" i="14"/>
  <c r="U14" i="14"/>
  <c r="T14" i="14"/>
  <c r="S14" i="14"/>
  <c r="R14" i="14"/>
  <c r="Q14" i="14"/>
  <c r="P14" i="14"/>
  <c r="O14" i="14"/>
  <c r="N14" i="14"/>
  <c r="M14" i="14"/>
  <c r="L14" i="14"/>
  <c r="K14" i="14"/>
  <c r="J14" i="14"/>
  <c r="I14" i="14"/>
  <c r="H14" i="14"/>
  <c r="G14" i="14"/>
  <c r="F14" i="14"/>
  <c r="E14" i="14"/>
  <c r="D14" i="14"/>
  <c r="C14" i="14"/>
  <c r="U13" i="14"/>
  <c r="T13" i="14"/>
  <c r="S13" i="14"/>
  <c r="R13" i="14"/>
  <c r="Q13" i="14"/>
  <c r="P13" i="14"/>
  <c r="O13" i="14"/>
  <c r="N13" i="14"/>
  <c r="M13" i="14"/>
  <c r="L13" i="14"/>
  <c r="K13" i="14"/>
  <c r="J13" i="14"/>
  <c r="I13" i="14"/>
  <c r="H13" i="14"/>
  <c r="G13" i="14"/>
  <c r="F13" i="14"/>
  <c r="E13" i="14"/>
  <c r="D13" i="14"/>
  <c r="C13" i="14"/>
  <c r="U12" i="14"/>
  <c r="T12" i="14"/>
  <c r="S12" i="14"/>
  <c r="R12" i="14"/>
  <c r="Q12" i="14"/>
  <c r="P12" i="14"/>
  <c r="O12" i="14"/>
  <c r="N12" i="14"/>
  <c r="M12" i="14"/>
  <c r="L12" i="14"/>
  <c r="K12" i="14"/>
  <c r="J12" i="14"/>
  <c r="I12" i="14"/>
  <c r="H12" i="14"/>
  <c r="G12" i="14"/>
  <c r="F12" i="14"/>
  <c r="E12" i="14"/>
  <c r="D12" i="14"/>
  <c r="C12" i="14"/>
  <c r="U11" i="14"/>
  <c r="T11" i="14"/>
  <c r="S11" i="14"/>
  <c r="R11" i="14"/>
  <c r="Q11" i="14"/>
  <c r="P11" i="14"/>
  <c r="O11" i="14"/>
  <c r="N11" i="14"/>
  <c r="M11" i="14"/>
  <c r="L11" i="14"/>
  <c r="K11" i="14"/>
  <c r="J11" i="14"/>
  <c r="I11" i="14"/>
  <c r="H11" i="14"/>
  <c r="G11" i="14"/>
  <c r="F11" i="14"/>
  <c r="E11" i="14"/>
  <c r="D11" i="14"/>
  <c r="C11" i="14"/>
  <c r="U10" i="14"/>
  <c r="T10" i="14"/>
  <c r="S10" i="14"/>
  <c r="R10" i="14"/>
  <c r="Q10" i="14"/>
  <c r="P10" i="14"/>
  <c r="O10" i="14"/>
  <c r="N10" i="14"/>
  <c r="M10" i="14"/>
  <c r="L10" i="14"/>
  <c r="K10" i="14"/>
  <c r="J10" i="14"/>
  <c r="I10" i="14"/>
  <c r="H10" i="14"/>
  <c r="G10" i="14"/>
  <c r="F10" i="14"/>
  <c r="E10" i="14"/>
  <c r="D10" i="14"/>
  <c r="C10" i="14"/>
  <c r="U9" i="14"/>
  <c r="T9" i="14"/>
  <c r="S9" i="14"/>
  <c r="R9" i="14"/>
  <c r="Q9" i="14"/>
  <c r="P9" i="14"/>
  <c r="O9" i="14"/>
  <c r="N9" i="14"/>
  <c r="M9" i="14"/>
  <c r="L9" i="14"/>
  <c r="K9" i="14"/>
  <c r="J9" i="14"/>
  <c r="I9" i="14"/>
  <c r="H9" i="14"/>
  <c r="G9" i="14"/>
  <c r="F9" i="14"/>
  <c r="E9" i="14"/>
  <c r="D9" i="14"/>
  <c r="C9" i="14"/>
  <c r="U8" i="14"/>
  <c r="T8" i="14"/>
  <c r="S8" i="14"/>
  <c r="R8" i="14"/>
  <c r="Q8" i="14"/>
  <c r="P8" i="14"/>
  <c r="O8" i="14"/>
  <c r="N8" i="14"/>
  <c r="M8" i="14"/>
  <c r="L8" i="14"/>
  <c r="K8" i="14"/>
  <c r="J8" i="14"/>
  <c r="I8" i="14"/>
  <c r="H8" i="14"/>
  <c r="G8" i="14"/>
  <c r="F8" i="14"/>
  <c r="E8" i="14"/>
  <c r="D8" i="14"/>
  <c r="C8" i="14"/>
  <c r="U7" i="14"/>
  <c r="U16" i="14" s="1"/>
  <c r="U18" i="14" s="1"/>
  <c r="T7" i="14"/>
  <c r="T16" i="14" s="1"/>
  <c r="T18" i="14" s="1"/>
  <c r="S7" i="14"/>
  <c r="S16" i="14" s="1"/>
  <c r="S18" i="14" s="1"/>
  <c r="R7" i="14"/>
  <c r="R16" i="14" s="1"/>
  <c r="R18" i="14" s="1"/>
  <c r="Q7" i="14"/>
  <c r="Q16" i="14" s="1"/>
  <c r="Q18" i="14" s="1"/>
  <c r="P7" i="14"/>
  <c r="O7" i="14"/>
  <c r="N7" i="14"/>
  <c r="N16" i="14" s="1"/>
  <c r="N18" i="14" s="1"/>
  <c r="M7" i="14"/>
  <c r="M16" i="14" s="1"/>
  <c r="M18" i="14" s="1"/>
  <c r="L7" i="14"/>
  <c r="K7" i="14"/>
  <c r="J7" i="14"/>
  <c r="J16" i="14" s="1"/>
  <c r="J18" i="14" s="1"/>
  <c r="I7" i="14"/>
  <c r="I16" i="14" s="1"/>
  <c r="I18" i="14" s="1"/>
  <c r="H7" i="14"/>
  <c r="H16" i="14" s="1"/>
  <c r="H18" i="14" s="1"/>
  <c r="G7" i="14"/>
  <c r="G16" i="14" s="1"/>
  <c r="G18" i="14" s="1"/>
  <c r="F7" i="14"/>
  <c r="F16" i="14" s="1"/>
  <c r="F18" i="14" s="1"/>
  <c r="E7" i="14"/>
  <c r="E16" i="14" s="1"/>
  <c r="E18" i="14" s="1"/>
  <c r="D7" i="14"/>
  <c r="C7" i="14"/>
  <c r="AE175" i="13"/>
  <c r="AD175" i="13"/>
  <c r="J175" i="13"/>
  <c r="I175" i="13"/>
  <c r="G175" i="13"/>
  <c r="H175" i="13" s="1"/>
  <c r="F175" i="13"/>
  <c r="E175" i="13"/>
  <c r="AE174" i="13"/>
  <c r="G174" i="13"/>
  <c r="F174" i="13"/>
  <c r="E174" i="13"/>
  <c r="AE173" i="13"/>
  <c r="I173" i="13"/>
  <c r="G173" i="13"/>
  <c r="F173" i="13"/>
  <c r="E173" i="13"/>
  <c r="AE172" i="13"/>
  <c r="J172" i="13"/>
  <c r="AD172" i="13" s="1"/>
  <c r="I172" i="13"/>
  <c r="G172" i="13"/>
  <c r="H172" i="13" s="1"/>
  <c r="F172" i="13"/>
  <c r="E172" i="13"/>
  <c r="AE171" i="13"/>
  <c r="G171" i="13"/>
  <c r="F171" i="13"/>
  <c r="E171" i="13"/>
  <c r="AE170" i="13"/>
  <c r="G170" i="13"/>
  <c r="F170" i="13"/>
  <c r="E170" i="13"/>
  <c r="AE169" i="13"/>
  <c r="J169" i="13"/>
  <c r="AD169" i="13" s="1"/>
  <c r="I169" i="13"/>
  <c r="G169" i="13"/>
  <c r="H169" i="13" s="1"/>
  <c r="F169" i="13"/>
  <c r="E169" i="13"/>
  <c r="AE168" i="13"/>
  <c r="G168" i="13"/>
  <c r="F168" i="13"/>
  <c r="E168" i="13"/>
  <c r="AE167" i="13"/>
  <c r="G167" i="13"/>
  <c r="F167" i="13"/>
  <c r="E167" i="13"/>
  <c r="AE166" i="13"/>
  <c r="AD166" i="13"/>
  <c r="J166" i="13"/>
  <c r="I166" i="13"/>
  <c r="G166" i="13"/>
  <c r="H166" i="13" s="1"/>
  <c r="F166" i="13"/>
  <c r="E166" i="13"/>
  <c r="AE165" i="13"/>
  <c r="G165" i="13"/>
  <c r="F165" i="13"/>
  <c r="E165" i="13"/>
  <c r="AE164" i="13"/>
  <c r="I164" i="13"/>
  <c r="G164" i="13"/>
  <c r="F164" i="13"/>
  <c r="E164" i="13"/>
  <c r="AE163" i="13"/>
  <c r="J163" i="13"/>
  <c r="AD163" i="13" s="1"/>
  <c r="I163" i="13"/>
  <c r="G163" i="13"/>
  <c r="H163" i="13" s="1"/>
  <c r="F163" i="13"/>
  <c r="E163" i="13"/>
  <c r="AE162" i="13"/>
  <c r="G162" i="13"/>
  <c r="F162" i="13"/>
  <c r="E162" i="13"/>
  <c r="AE161" i="13"/>
  <c r="G161" i="13"/>
  <c r="F161" i="13"/>
  <c r="E161" i="13"/>
  <c r="AE160" i="13"/>
  <c r="J160" i="13"/>
  <c r="AD160" i="13" s="1"/>
  <c r="I160" i="13"/>
  <c r="G160" i="13"/>
  <c r="H160" i="13" s="1"/>
  <c r="F160" i="13"/>
  <c r="E160" i="13"/>
  <c r="AE159" i="13"/>
  <c r="G159" i="13"/>
  <c r="F159" i="13"/>
  <c r="E159" i="13"/>
  <c r="AE158" i="13"/>
  <c r="G158" i="13"/>
  <c r="F158" i="13"/>
  <c r="E158" i="13"/>
  <c r="I157" i="13"/>
  <c r="H157" i="13"/>
  <c r="G157" i="13"/>
  <c r="J157" i="13" s="1"/>
  <c r="F157" i="13"/>
  <c r="E157" i="13"/>
  <c r="G156" i="13"/>
  <c r="F156" i="13"/>
  <c r="E156" i="13"/>
  <c r="AE155" i="13"/>
  <c r="AD155" i="13"/>
  <c r="J155" i="13"/>
  <c r="I155" i="13"/>
  <c r="G155" i="13"/>
  <c r="H155" i="13" s="1"/>
  <c r="F155" i="13"/>
  <c r="E155" i="13"/>
  <c r="AE154" i="13"/>
  <c r="G154" i="13"/>
  <c r="F154" i="13"/>
  <c r="E154" i="13"/>
  <c r="AE153" i="13"/>
  <c r="G153" i="13"/>
  <c r="F153" i="13"/>
  <c r="E153" i="13"/>
  <c r="AE152" i="13"/>
  <c r="AD152" i="13"/>
  <c r="J152" i="13"/>
  <c r="I152" i="13"/>
  <c r="G152" i="13"/>
  <c r="H152" i="13" s="1"/>
  <c r="F152" i="13"/>
  <c r="E152" i="13"/>
  <c r="AE151" i="13"/>
  <c r="G151" i="13"/>
  <c r="F151" i="13"/>
  <c r="E151" i="13"/>
  <c r="AE150" i="13"/>
  <c r="G150" i="13"/>
  <c r="F150" i="13"/>
  <c r="E150" i="13"/>
  <c r="AE149" i="13"/>
  <c r="AD149" i="13"/>
  <c r="J149" i="13"/>
  <c r="I149" i="13"/>
  <c r="G149" i="13"/>
  <c r="H149" i="13" s="1"/>
  <c r="F149" i="13"/>
  <c r="E149" i="13"/>
  <c r="AE148" i="13"/>
  <c r="G148" i="13"/>
  <c r="F148" i="13"/>
  <c r="E148" i="13"/>
  <c r="AE147" i="13"/>
  <c r="G147" i="13"/>
  <c r="F147" i="13"/>
  <c r="E147" i="13"/>
  <c r="AE146" i="13"/>
  <c r="AD146" i="13"/>
  <c r="J146" i="13"/>
  <c r="I146" i="13"/>
  <c r="G146" i="13"/>
  <c r="H146" i="13" s="1"/>
  <c r="F146" i="13"/>
  <c r="E146" i="13"/>
  <c r="AE145" i="13"/>
  <c r="G145" i="13"/>
  <c r="F145" i="13"/>
  <c r="E145" i="13"/>
  <c r="AE144" i="13"/>
  <c r="G144" i="13"/>
  <c r="F144" i="13"/>
  <c r="E144" i="13"/>
  <c r="AE143" i="13"/>
  <c r="AD143" i="13"/>
  <c r="J143" i="13"/>
  <c r="I143" i="13"/>
  <c r="G143" i="13"/>
  <c r="H143" i="13" s="1"/>
  <c r="F143" i="13"/>
  <c r="E143" i="13"/>
  <c r="AE142" i="13"/>
  <c r="G142" i="13"/>
  <c r="F142" i="13"/>
  <c r="E142" i="13"/>
  <c r="AE141" i="13"/>
  <c r="G141" i="13"/>
  <c r="F141" i="13"/>
  <c r="E141" i="13"/>
  <c r="AE140" i="13"/>
  <c r="AD140" i="13"/>
  <c r="J140" i="13"/>
  <c r="I140" i="13"/>
  <c r="G140" i="13"/>
  <c r="H140" i="13" s="1"/>
  <c r="F140" i="13"/>
  <c r="E140" i="13"/>
  <c r="AE139" i="13"/>
  <c r="I139" i="13"/>
  <c r="G139" i="13"/>
  <c r="F139" i="13"/>
  <c r="E139" i="13"/>
  <c r="AE138" i="13"/>
  <c r="G138" i="13"/>
  <c r="F138" i="13"/>
  <c r="E138" i="13"/>
  <c r="AE137" i="13"/>
  <c r="AD137" i="13"/>
  <c r="J137" i="13"/>
  <c r="I137" i="13"/>
  <c r="G137" i="13"/>
  <c r="H137" i="13" s="1"/>
  <c r="F137" i="13"/>
  <c r="E137" i="13"/>
  <c r="AE136" i="13"/>
  <c r="I136" i="13"/>
  <c r="G136" i="13"/>
  <c r="F136" i="13"/>
  <c r="E136" i="13"/>
  <c r="AE135" i="13"/>
  <c r="G135" i="13"/>
  <c r="F135" i="13"/>
  <c r="E135" i="13"/>
  <c r="AE134" i="13"/>
  <c r="AD134" i="13"/>
  <c r="J134" i="13"/>
  <c r="I134" i="13"/>
  <c r="G134" i="13"/>
  <c r="H134" i="13" s="1"/>
  <c r="F134" i="13"/>
  <c r="E134" i="13"/>
  <c r="AE133" i="13"/>
  <c r="I133" i="13"/>
  <c r="G133" i="13"/>
  <c r="F133" i="13"/>
  <c r="E133" i="13"/>
  <c r="AE132" i="13"/>
  <c r="G132" i="13"/>
  <c r="F132" i="13"/>
  <c r="E132" i="13"/>
  <c r="AE131" i="13"/>
  <c r="AD131" i="13"/>
  <c r="J131" i="13"/>
  <c r="I131" i="13"/>
  <c r="G131" i="13"/>
  <c r="H131" i="13" s="1"/>
  <c r="F131" i="13"/>
  <c r="E131" i="13"/>
  <c r="AE130" i="13"/>
  <c r="I130" i="13"/>
  <c r="G130" i="13"/>
  <c r="F130" i="13"/>
  <c r="E130" i="13"/>
  <c r="AE129" i="13"/>
  <c r="G129" i="13"/>
  <c r="F129" i="13"/>
  <c r="E129" i="13"/>
  <c r="AE128" i="13"/>
  <c r="AD128" i="13"/>
  <c r="J128" i="13"/>
  <c r="I128" i="13"/>
  <c r="G128" i="13"/>
  <c r="H128" i="13" s="1"/>
  <c r="F128" i="13"/>
  <c r="E128" i="13"/>
  <c r="AE127" i="13"/>
  <c r="G127" i="13"/>
  <c r="F127" i="13"/>
  <c r="E127" i="13"/>
  <c r="AE126" i="13"/>
  <c r="G126" i="13"/>
  <c r="F126" i="13"/>
  <c r="E126" i="13"/>
  <c r="AE125" i="13"/>
  <c r="AD125" i="13"/>
  <c r="J125" i="13"/>
  <c r="I125" i="13"/>
  <c r="G125" i="13"/>
  <c r="H125" i="13" s="1"/>
  <c r="F125" i="13"/>
  <c r="E125" i="13"/>
  <c r="AE124" i="13"/>
  <c r="I124" i="13"/>
  <c r="G124" i="13"/>
  <c r="F124" i="13"/>
  <c r="E124" i="13"/>
  <c r="AE123" i="13"/>
  <c r="G123" i="13"/>
  <c r="F123" i="13"/>
  <c r="E123" i="13"/>
  <c r="AE122" i="13"/>
  <c r="AD122" i="13"/>
  <c r="J122" i="13"/>
  <c r="I122" i="13"/>
  <c r="G122" i="13"/>
  <c r="H122" i="13" s="1"/>
  <c r="F122" i="13"/>
  <c r="E122" i="13"/>
  <c r="AE121" i="13"/>
  <c r="I121" i="13"/>
  <c r="G121" i="13"/>
  <c r="F121" i="13"/>
  <c r="E121" i="13"/>
  <c r="AE120" i="13"/>
  <c r="G120" i="13"/>
  <c r="F120" i="13"/>
  <c r="E120" i="13"/>
  <c r="AE119" i="13"/>
  <c r="AD119" i="13"/>
  <c r="J119" i="13"/>
  <c r="I119" i="13"/>
  <c r="G119" i="13"/>
  <c r="H119" i="13" s="1"/>
  <c r="F119" i="13"/>
  <c r="E119" i="13"/>
  <c r="AE118" i="13"/>
  <c r="I118" i="13"/>
  <c r="G118" i="13"/>
  <c r="F118" i="13"/>
  <c r="E118" i="13"/>
  <c r="AE117" i="13"/>
  <c r="G117" i="13"/>
  <c r="F117" i="13"/>
  <c r="E117" i="13"/>
  <c r="AE116" i="13"/>
  <c r="AD116" i="13"/>
  <c r="J116" i="13"/>
  <c r="I116" i="13"/>
  <c r="G116" i="13"/>
  <c r="H116" i="13" s="1"/>
  <c r="F116" i="13"/>
  <c r="E116" i="13"/>
  <c r="AE115" i="13"/>
  <c r="I115" i="13"/>
  <c r="G115" i="13"/>
  <c r="F115" i="13"/>
  <c r="E115" i="13"/>
  <c r="AE114" i="13"/>
  <c r="G114" i="13"/>
  <c r="F114" i="13"/>
  <c r="E114" i="13"/>
  <c r="AE113" i="13"/>
  <c r="AD113" i="13"/>
  <c r="J113" i="13"/>
  <c r="I113" i="13"/>
  <c r="G113" i="13"/>
  <c r="H113" i="13" s="1"/>
  <c r="F113" i="13"/>
  <c r="E113" i="13"/>
  <c r="AE112" i="13"/>
  <c r="I112" i="13"/>
  <c r="G112" i="13"/>
  <c r="F112" i="13"/>
  <c r="E112" i="13"/>
  <c r="AE111" i="13"/>
  <c r="G111" i="13"/>
  <c r="F111" i="13"/>
  <c r="E111" i="13"/>
  <c r="AE110" i="13"/>
  <c r="AD110" i="13"/>
  <c r="J110" i="13"/>
  <c r="I110" i="13"/>
  <c r="G110" i="13"/>
  <c r="H110" i="13" s="1"/>
  <c r="F110" i="13"/>
  <c r="E110" i="13"/>
  <c r="AE109" i="13"/>
  <c r="G109" i="13"/>
  <c r="F109" i="13"/>
  <c r="E109" i="13"/>
  <c r="AE108" i="13"/>
  <c r="G108" i="13"/>
  <c r="F108" i="13"/>
  <c r="E108" i="13"/>
  <c r="AE107" i="13"/>
  <c r="AD107" i="13"/>
  <c r="J107" i="13"/>
  <c r="I107" i="13"/>
  <c r="G107" i="13"/>
  <c r="H107" i="13" s="1"/>
  <c r="F107" i="13"/>
  <c r="E107" i="13"/>
  <c r="AE106" i="13"/>
  <c r="I106" i="13"/>
  <c r="G106" i="13"/>
  <c r="F106" i="13"/>
  <c r="E106" i="13"/>
  <c r="AE105" i="13"/>
  <c r="G105" i="13"/>
  <c r="F105" i="13"/>
  <c r="E105" i="13"/>
  <c r="AE104" i="13"/>
  <c r="AD104" i="13"/>
  <c r="J104" i="13"/>
  <c r="I104" i="13"/>
  <c r="G104" i="13"/>
  <c r="H104" i="13" s="1"/>
  <c r="F104" i="13"/>
  <c r="E104" i="13"/>
  <c r="AE103" i="13"/>
  <c r="I103" i="13"/>
  <c r="G103" i="13"/>
  <c r="F103" i="13"/>
  <c r="E103" i="13"/>
  <c r="AE102" i="13"/>
  <c r="G102" i="13"/>
  <c r="F102" i="13"/>
  <c r="E102" i="13"/>
  <c r="AE101" i="13"/>
  <c r="AD101" i="13"/>
  <c r="J101" i="13"/>
  <c r="I101" i="13"/>
  <c r="G101" i="13"/>
  <c r="H101" i="13" s="1"/>
  <c r="F101" i="13"/>
  <c r="E101" i="13"/>
  <c r="AE100" i="13"/>
  <c r="I100" i="13"/>
  <c r="G100" i="13"/>
  <c r="F100" i="13"/>
  <c r="E100" i="13"/>
  <c r="AE99" i="13"/>
  <c r="G99" i="13"/>
  <c r="F99" i="13"/>
  <c r="E99" i="13"/>
  <c r="AE98" i="13"/>
  <c r="AD98" i="13"/>
  <c r="J98" i="13"/>
  <c r="I98" i="13"/>
  <c r="G98" i="13"/>
  <c r="H98" i="13" s="1"/>
  <c r="F98" i="13"/>
  <c r="E98" i="13"/>
  <c r="AE97" i="13"/>
  <c r="I97" i="13"/>
  <c r="G97" i="13"/>
  <c r="F97" i="13"/>
  <c r="E97" i="13"/>
  <c r="AE96" i="13"/>
  <c r="G96" i="13"/>
  <c r="F96" i="13"/>
  <c r="E96" i="13"/>
  <c r="AE95" i="13"/>
  <c r="AD95" i="13"/>
  <c r="J95" i="13"/>
  <c r="I95" i="13"/>
  <c r="G95" i="13"/>
  <c r="H95" i="13" s="1"/>
  <c r="F95" i="13"/>
  <c r="E95" i="13"/>
  <c r="AE94" i="13"/>
  <c r="I94" i="13"/>
  <c r="G94" i="13"/>
  <c r="F94" i="13"/>
  <c r="E94" i="13"/>
  <c r="AE93" i="13"/>
  <c r="G93" i="13"/>
  <c r="F93" i="13"/>
  <c r="E93" i="13"/>
  <c r="AE92" i="13"/>
  <c r="AD92" i="13"/>
  <c r="J92" i="13"/>
  <c r="I92" i="13"/>
  <c r="G92" i="13"/>
  <c r="H92" i="13" s="1"/>
  <c r="F92" i="13"/>
  <c r="E92" i="13"/>
  <c r="AE91" i="13"/>
  <c r="G91" i="13"/>
  <c r="F91" i="13"/>
  <c r="E91" i="13"/>
  <c r="AE90" i="13"/>
  <c r="G90" i="13"/>
  <c r="F90" i="13"/>
  <c r="E90" i="13"/>
  <c r="AE89" i="13"/>
  <c r="AD89" i="13"/>
  <c r="J89" i="13"/>
  <c r="I89" i="13"/>
  <c r="G89" i="13"/>
  <c r="H89" i="13" s="1"/>
  <c r="F89" i="13"/>
  <c r="E89" i="13"/>
  <c r="AE88" i="13"/>
  <c r="I88" i="13"/>
  <c r="G88" i="13"/>
  <c r="F88" i="13"/>
  <c r="E88" i="13"/>
  <c r="AE87" i="13"/>
  <c r="G87" i="13"/>
  <c r="F87" i="13"/>
  <c r="E87" i="13"/>
  <c r="AE86" i="13"/>
  <c r="AD86" i="13"/>
  <c r="J86" i="13"/>
  <c r="I86" i="13"/>
  <c r="G86" i="13"/>
  <c r="H86" i="13" s="1"/>
  <c r="F86" i="13"/>
  <c r="E86" i="13"/>
  <c r="AE85" i="13"/>
  <c r="I85" i="13"/>
  <c r="G85" i="13"/>
  <c r="F85" i="13"/>
  <c r="E85" i="13"/>
  <c r="AE84" i="13"/>
  <c r="G84" i="13"/>
  <c r="F84" i="13"/>
  <c r="E84" i="13"/>
  <c r="AE83" i="13"/>
  <c r="AD83" i="13"/>
  <c r="J83" i="13"/>
  <c r="I83" i="13"/>
  <c r="G83" i="13"/>
  <c r="H83" i="13" s="1"/>
  <c r="F83" i="13"/>
  <c r="E83" i="13"/>
  <c r="AE82" i="13"/>
  <c r="I82" i="13"/>
  <c r="G82" i="13"/>
  <c r="F82" i="13"/>
  <c r="E82" i="13"/>
  <c r="AE81" i="13"/>
  <c r="G81" i="13"/>
  <c r="F81" i="13"/>
  <c r="E81" i="13"/>
  <c r="AE80" i="13"/>
  <c r="AD80" i="13"/>
  <c r="J80" i="13"/>
  <c r="I80" i="13"/>
  <c r="G80" i="13"/>
  <c r="H80" i="13" s="1"/>
  <c r="F80" i="13"/>
  <c r="E80" i="13"/>
  <c r="AE79" i="13"/>
  <c r="I79" i="13"/>
  <c r="G79" i="13"/>
  <c r="F79" i="13"/>
  <c r="E79" i="13"/>
  <c r="AE78" i="13"/>
  <c r="G78" i="13"/>
  <c r="F78" i="13"/>
  <c r="E78" i="13"/>
  <c r="AE77" i="13"/>
  <c r="AD77" i="13"/>
  <c r="J77" i="13"/>
  <c r="I77" i="13"/>
  <c r="G77" i="13"/>
  <c r="H77" i="13" s="1"/>
  <c r="F77" i="13"/>
  <c r="E77" i="13"/>
  <c r="AE76" i="13"/>
  <c r="I76" i="13"/>
  <c r="G76" i="13"/>
  <c r="F76" i="13"/>
  <c r="E76" i="13"/>
  <c r="AE75" i="13"/>
  <c r="G75" i="13"/>
  <c r="F75" i="13"/>
  <c r="E75" i="13"/>
  <c r="AE74" i="13"/>
  <c r="AD74" i="13"/>
  <c r="J74" i="13"/>
  <c r="I74" i="13"/>
  <c r="G74" i="13"/>
  <c r="H74" i="13" s="1"/>
  <c r="F74" i="13"/>
  <c r="E74" i="13"/>
  <c r="AE73" i="13"/>
  <c r="G73" i="13"/>
  <c r="F73" i="13"/>
  <c r="E73" i="13"/>
  <c r="AE72" i="13"/>
  <c r="G72" i="13"/>
  <c r="F72" i="13"/>
  <c r="E72" i="13"/>
  <c r="AE71" i="13"/>
  <c r="AD71" i="13"/>
  <c r="J71" i="13"/>
  <c r="I71" i="13"/>
  <c r="G71" i="13"/>
  <c r="H71" i="13" s="1"/>
  <c r="F71" i="13"/>
  <c r="E71" i="13"/>
  <c r="AE70" i="13"/>
  <c r="I70" i="13"/>
  <c r="G70" i="13"/>
  <c r="F70" i="13"/>
  <c r="E70" i="13"/>
  <c r="AE69" i="13"/>
  <c r="G69" i="13"/>
  <c r="F69" i="13"/>
  <c r="E69" i="13"/>
  <c r="AE68" i="13"/>
  <c r="AD68" i="13"/>
  <c r="J68" i="13"/>
  <c r="I68" i="13"/>
  <c r="G68" i="13"/>
  <c r="H68" i="13" s="1"/>
  <c r="F68" i="13"/>
  <c r="E68" i="13"/>
  <c r="AE67" i="13"/>
  <c r="I67" i="13"/>
  <c r="G67" i="13"/>
  <c r="F67" i="13"/>
  <c r="E67" i="13"/>
  <c r="AE66" i="13"/>
  <c r="G66" i="13"/>
  <c r="F66" i="13"/>
  <c r="E66" i="13"/>
  <c r="AE65" i="13"/>
  <c r="AD65" i="13"/>
  <c r="J65" i="13"/>
  <c r="I65" i="13"/>
  <c r="G65" i="13"/>
  <c r="H65" i="13" s="1"/>
  <c r="F65" i="13"/>
  <c r="E65" i="13"/>
  <c r="AE64" i="13"/>
  <c r="I64" i="13"/>
  <c r="G64" i="13"/>
  <c r="F64" i="13"/>
  <c r="E64" i="13"/>
  <c r="AE63" i="13"/>
  <c r="G63" i="13"/>
  <c r="F63" i="13"/>
  <c r="E63" i="13"/>
  <c r="AE62" i="13"/>
  <c r="AD62" i="13"/>
  <c r="J62" i="13"/>
  <c r="I62" i="13"/>
  <c r="G62" i="13"/>
  <c r="H62" i="13" s="1"/>
  <c r="F62" i="13"/>
  <c r="E62" i="13"/>
  <c r="AE61" i="13"/>
  <c r="I61" i="13"/>
  <c r="G61" i="13"/>
  <c r="F61" i="13"/>
  <c r="E61" i="13"/>
  <c r="AE60" i="13"/>
  <c r="G60" i="13"/>
  <c r="F60" i="13"/>
  <c r="E60" i="13"/>
  <c r="AE59" i="13"/>
  <c r="AD59" i="13"/>
  <c r="J59" i="13"/>
  <c r="I59" i="13"/>
  <c r="G59" i="13"/>
  <c r="H59" i="13" s="1"/>
  <c r="F59" i="13"/>
  <c r="E59" i="13"/>
  <c r="AE58" i="13"/>
  <c r="I58" i="13"/>
  <c r="G58" i="13"/>
  <c r="F58" i="13"/>
  <c r="E58" i="13"/>
  <c r="AE57" i="13"/>
  <c r="G57" i="13"/>
  <c r="F57" i="13"/>
  <c r="E57" i="13"/>
  <c r="AE56" i="13"/>
  <c r="AD56" i="13"/>
  <c r="J56" i="13"/>
  <c r="I56" i="13"/>
  <c r="G56" i="13"/>
  <c r="H56" i="13" s="1"/>
  <c r="F56" i="13"/>
  <c r="E56" i="13"/>
  <c r="AE55" i="13"/>
  <c r="I55" i="13"/>
  <c r="G55" i="13"/>
  <c r="F55" i="13"/>
  <c r="E55" i="13"/>
  <c r="AE54" i="13"/>
  <c r="G54" i="13"/>
  <c r="F54" i="13"/>
  <c r="E54" i="13"/>
  <c r="AE53" i="13"/>
  <c r="AD53" i="13"/>
  <c r="J53" i="13"/>
  <c r="I53" i="13"/>
  <c r="G53" i="13"/>
  <c r="H53" i="13" s="1"/>
  <c r="F53" i="13"/>
  <c r="E53" i="13"/>
  <c r="AE52" i="13"/>
  <c r="I52" i="13"/>
  <c r="G52" i="13"/>
  <c r="F52" i="13"/>
  <c r="E52" i="13"/>
  <c r="AE51" i="13"/>
  <c r="G51" i="13"/>
  <c r="F51" i="13"/>
  <c r="E51" i="13"/>
  <c r="AE50" i="13"/>
  <c r="AD50" i="13"/>
  <c r="J50" i="13"/>
  <c r="I50" i="13"/>
  <c r="G50" i="13"/>
  <c r="H50" i="13" s="1"/>
  <c r="F50" i="13"/>
  <c r="E50" i="13"/>
  <c r="AE49" i="13"/>
  <c r="J49" i="13"/>
  <c r="AD49" i="13" s="1"/>
  <c r="I49" i="13"/>
  <c r="G49" i="13"/>
  <c r="H49" i="13" s="1"/>
  <c r="F49" i="13"/>
  <c r="E49" i="13"/>
  <c r="AE48" i="13"/>
  <c r="I48" i="13"/>
  <c r="G48" i="13"/>
  <c r="F48" i="13"/>
  <c r="E48" i="13"/>
  <c r="AE47" i="13"/>
  <c r="J47" i="13"/>
  <c r="AD47" i="13" s="1"/>
  <c r="I47" i="13"/>
  <c r="H47" i="13"/>
  <c r="AE46" i="13"/>
  <c r="J46" i="13"/>
  <c r="AD46" i="13" s="1"/>
  <c r="I46" i="13"/>
  <c r="H46" i="13"/>
  <c r="AE45" i="13"/>
  <c r="H45" i="13"/>
  <c r="G45" i="13"/>
  <c r="J45" i="13" s="1"/>
  <c r="AD45" i="13" s="1"/>
  <c r="F45" i="13"/>
  <c r="E45" i="13"/>
  <c r="AE44" i="13"/>
  <c r="G44" i="13"/>
  <c r="J44" i="13" s="1"/>
  <c r="AD44" i="13" s="1"/>
  <c r="F44" i="13"/>
  <c r="E44" i="13"/>
  <c r="AE43" i="13"/>
  <c r="G43" i="13"/>
  <c r="F43" i="13"/>
  <c r="E43" i="13"/>
  <c r="AE42" i="13"/>
  <c r="G42" i="13"/>
  <c r="J42" i="13" s="1"/>
  <c r="AD42" i="13" s="1"/>
  <c r="F42" i="13"/>
  <c r="E42" i="13"/>
  <c r="AE41" i="13"/>
  <c r="H41" i="13"/>
  <c r="G41" i="13"/>
  <c r="F41" i="13"/>
  <c r="E41" i="13"/>
  <c r="AE40" i="13"/>
  <c r="G40" i="13"/>
  <c r="F40" i="13"/>
  <c r="E40" i="13"/>
  <c r="AE39" i="13"/>
  <c r="G39" i="13"/>
  <c r="F39" i="13"/>
  <c r="E39" i="13"/>
  <c r="AE38" i="13"/>
  <c r="I38" i="13"/>
  <c r="H38" i="13"/>
  <c r="G38" i="13"/>
  <c r="J38" i="13" s="1"/>
  <c r="AD38" i="13" s="1"/>
  <c r="F38" i="13"/>
  <c r="E38" i="13"/>
  <c r="AE37" i="13"/>
  <c r="G37" i="13"/>
  <c r="F37" i="13"/>
  <c r="E37" i="13"/>
  <c r="AE36" i="13"/>
  <c r="I36" i="13"/>
  <c r="H36" i="13"/>
  <c r="G36" i="13"/>
  <c r="J36" i="13" s="1"/>
  <c r="AD36" i="13" s="1"/>
  <c r="F36" i="13"/>
  <c r="E36" i="13"/>
  <c r="AE35" i="13"/>
  <c r="AD35" i="13"/>
  <c r="I35" i="13"/>
  <c r="H35" i="13"/>
  <c r="G35" i="13"/>
  <c r="J35" i="13" s="1"/>
  <c r="F35" i="13"/>
  <c r="E35" i="13"/>
  <c r="AE34" i="13"/>
  <c r="G34" i="13"/>
  <c r="F34" i="13"/>
  <c r="E34" i="13"/>
  <c r="AE33" i="13"/>
  <c r="AD33" i="13"/>
  <c r="I33" i="13"/>
  <c r="H33" i="13"/>
  <c r="G33" i="13"/>
  <c r="J33" i="13" s="1"/>
  <c r="F33" i="13"/>
  <c r="E33" i="13"/>
  <c r="AE32" i="13"/>
  <c r="G32" i="13"/>
  <c r="J32" i="13" s="1"/>
  <c r="AD32" i="13" s="1"/>
  <c r="F32" i="13"/>
  <c r="E32" i="13"/>
  <c r="AE31" i="13"/>
  <c r="G31" i="13"/>
  <c r="F31" i="13"/>
  <c r="E31" i="13"/>
  <c r="AE30" i="13"/>
  <c r="G30" i="13"/>
  <c r="J30" i="13" s="1"/>
  <c r="AD30" i="13" s="1"/>
  <c r="F30" i="13"/>
  <c r="E30" i="13"/>
  <c r="AE29" i="13"/>
  <c r="AD29" i="13"/>
  <c r="I29" i="13"/>
  <c r="H29" i="13"/>
  <c r="G29" i="13"/>
  <c r="J29" i="13" s="1"/>
  <c r="F29" i="13"/>
  <c r="E29" i="13"/>
  <c r="AE28" i="13"/>
  <c r="G28" i="13"/>
  <c r="F28" i="13"/>
  <c r="E28" i="13"/>
  <c r="AE27" i="13"/>
  <c r="AD27" i="13"/>
  <c r="I27" i="13"/>
  <c r="H27" i="13"/>
  <c r="G27" i="13"/>
  <c r="J27" i="13" s="1"/>
  <c r="F27" i="13"/>
  <c r="E27" i="13"/>
  <c r="AE26" i="13"/>
  <c r="G26" i="13"/>
  <c r="F26" i="13"/>
  <c r="E26" i="13"/>
  <c r="AE25" i="13"/>
  <c r="G25" i="13"/>
  <c r="F25" i="13"/>
  <c r="E25" i="13"/>
  <c r="AE24" i="13"/>
  <c r="G24" i="13"/>
  <c r="F24" i="13"/>
  <c r="E24" i="13"/>
  <c r="AE23" i="13"/>
  <c r="H23" i="13"/>
  <c r="G23" i="13"/>
  <c r="J23" i="13" s="1"/>
  <c r="AD23" i="13" s="1"/>
  <c r="F23" i="13"/>
  <c r="E23" i="13"/>
  <c r="AE22" i="13"/>
  <c r="G22" i="13"/>
  <c r="F22" i="13"/>
  <c r="E22" i="13"/>
  <c r="AE21" i="13"/>
  <c r="I21" i="13"/>
  <c r="H21" i="13"/>
  <c r="G21" i="13"/>
  <c r="J21" i="13" s="1"/>
  <c r="AD21" i="13" s="1"/>
  <c r="F21" i="13"/>
  <c r="E21" i="13"/>
  <c r="AE20" i="13"/>
  <c r="I20" i="13"/>
  <c r="H20" i="13"/>
  <c r="G20" i="13"/>
  <c r="F20" i="13"/>
  <c r="E20" i="13"/>
  <c r="AE19" i="13"/>
  <c r="G19" i="13"/>
  <c r="F19" i="13"/>
  <c r="E19" i="13"/>
  <c r="AE18" i="13"/>
  <c r="J18" i="13"/>
  <c r="AD18" i="13" s="1"/>
  <c r="I18" i="13"/>
  <c r="G18" i="13"/>
  <c r="H18" i="13" s="1"/>
  <c r="F18" i="13"/>
  <c r="E18" i="13"/>
  <c r="AE17" i="13"/>
  <c r="G17" i="13"/>
  <c r="F17" i="13"/>
  <c r="H17" i="13" s="1"/>
  <c r="E17" i="13"/>
  <c r="AE16" i="13"/>
  <c r="G16" i="13"/>
  <c r="F16" i="13"/>
  <c r="E16" i="13"/>
  <c r="AE15" i="13"/>
  <c r="G15" i="13"/>
  <c r="F15" i="13"/>
  <c r="E15" i="13"/>
  <c r="AE14" i="13"/>
  <c r="H14" i="13"/>
  <c r="G14" i="13"/>
  <c r="J14" i="13" s="1"/>
  <c r="AD14" i="13" s="1"/>
  <c r="F14" i="13"/>
  <c r="E14" i="13"/>
  <c r="AE13" i="13"/>
  <c r="G13" i="13"/>
  <c r="F13" i="13"/>
  <c r="E13" i="13"/>
  <c r="AE12" i="13"/>
  <c r="I12" i="13"/>
  <c r="H12" i="13"/>
  <c r="G12" i="13"/>
  <c r="J12" i="13" s="1"/>
  <c r="AD12" i="13" s="1"/>
  <c r="F12" i="13"/>
  <c r="E12" i="13"/>
  <c r="AE11" i="13"/>
  <c r="I11" i="13"/>
  <c r="H11" i="13"/>
  <c r="G11" i="13"/>
  <c r="F11" i="13"/>
  <c r="E11" i="13"/>
  <c r="AE10" i="13"/>
  <c r="G10" i="13"/>
  <c r="F10" i="13"/>
  <c r="E10" i="13"/>
  <c r="AE9" i="13"/>
  <c r="J9" i="13"/>
  <c r="AD9" i="13" s="1"/>
  <c r="I9" i="13"/>
  <c r="G9" i="13"/>
  <c r="H9" i="13" s="1"/>
  <c r="F9" i="13"/>
  <c r="E9" i="13"/>
  <c r="AE8" i="13"/>
  <c r="G8" i="13"/>
  <c r="F8" i="13"/>
  <c r="H8" i="13" s="1"/>
  <c r="E8" i="13"/>
  <c r="AE7" i="13"/>
  <c r="G7" i="13"/>
  <c r="F7" i="13"/>
  <c r="E7" i="13"/>
  <c r="H90" i="12" a="1"/>
  <c r="H90" i="12" s="1"/>
  <c r="G90" i="12" a="1"/>
  <c r="G90" i="12"/>
  <c r="H89" i="12" a="1"/>
  <c r="H89" i="12"/>
  <c r="G89" i="12" a="1"/>
  <c r="G89" i="12" s="1"/>
  <c r="H88" i="12" a="1"/>
  <c r="H88" i="12"/>
  <c r="G88" i="12" a="1"/>
  <c r="G88" i="12"/>
  <c r="H87" i="12" a="1"/>
  <c r="H87" i="12" s="1"/>
  <c r="G87" i="12" a="1"/>
  <c r="G87" i="12" s="1"/>
  <c r="H86" i="12" a="1"/>
  <c r="H86" i="12"/>
  <c r="G86" i="12" a="1"/>
  <c r="G86" i="12" s="1"/>
  <c r="H85" i="12" a="1"/>
  <c r="H85" i="12"/>
  <c r="G85" i="12" a="1"/>
  <c r="G85" i="12"/>
  <c r="H84" i="12" a="1"/>
  <c r="H84" i="12"/>
  <c r="G84" i="12" a="1"/>
  <c r="G84" i="12" s="1"/>
  <c r="H83" i="12" a="1"/>
  <c r="H83" i="12"/>
  <c r="G83" i="12" a="1"/>
  <c r="G83" i="12" s="1"/>
  <c r="H82" i="12" a="1"/>
  <c r="H82" i="12"/>
  <c r="G82" i="12" a="1"/>
  <c r="G82" i="12" s="1"/>
  <c r="H81" i="12" a="1"/>
  <c r="H81" i="12" s="1"/>
  <c r="G81" i="12" a="1"/>
  <c r="G81" i="12" s="1"/>
  <c r="H80" i="12" a="1"/>
  <c r="H80" i="12" s="1"/>
  <c r="G80" i="12" a="1"/>
  <c r="G80" i="12" s="1"/>
  <c r="H79" i="12" a="1"/>
  <c r="H79" i="12"/>
  <c r="G79" i="12" a="1"/>
  <c r="G79" i="12" s="1"/>
  <c r="H78" i="12" a="1"/>
  <c r="H78" i="12"/>
  <c r="G78" i="12" a="1"/>
  <c r="G78" i="12"/>
  <c r="H77" i="12" a="1"/>
  <c r="H77" i="12" s="1"/>
  <c r="G77" i="12" a="1"/>
  <c r="G77" i="12" s="1"/>
  <c r="H76" i="12" a="1"/>
  <c r="H76" i="12"/>
  <c r="G76" i="12" a="1"/>
  <c r="G76" i="12" s="1"/>
  <c r="H75" i="12" a="1"/>
  <c r="H75" i="12" s="1"/>
  <c r="G75" i="12" a="1"/>
  <c r="G75" i="12" s="1"/>
  <c r="H74" i="12" a="1"/>
  <c r="H74" i="12" s="1"/>
  <c r="G74" i="12" a="1"/>
  <c r="G74" i="12" s="1"/>
  <c r="H73" i="12" a="1"/>
  <c r="H73" i="12"/>
  <c r="G73" i="12" a="1"/>
  <c r="G73" i="12"/>
  <c r="H72" i="12" a="1"/>
  <c r="H72" i="12" s="1"/>
  <c r="G72" i="12" a="1"/>
  <c r="G72" i="12"/>
  <c r="H71" i="12" a="1"/>
  <c r="H71" i="12"/>
  <c r="G71" i="12" a="1"/>
  <c r="G71" i="12" s="1"/>
  <c r="H70" i="12" a="1"/>
  <c r="H70" i="12"/>
  <c r="G70" i="12" a="1"/>
  <c r="G70" i="12"/>
  <c r="H69" i="12" a="1"/>
  <c r="H69" i="12" s="1"/>
  <c r="G69" i="12" a="1"/>
  <c r="G69" i="12" s="1"/>
  <c r="H68" i="12" a="1"/>
  <c r="H68" i="12" s="1"/>
  <c r="G68" i="12" a="1"/>
  <c r="G68" i="12" s="1"/>
  <c r="H67" i="12" a="1"/>
  <c r="H67" i="12"/>
  <c r="G67" i="12" a="1"/>
  <c r="G67" i="12"/>
  <c r="H66" i="12" a="1"/>
  <c r="H66" i="12"/>
  <c r="G66" i="12" a="1"/>
  <c r="G66" i="12" s="1"/>
  <c r="H65" i="12" a="1"/>
  <c r="H65" i="12"/>
  <c r="G65" i="12" a="1"/>
  <c r="G65" i="12" s="1"/>
  <c r="H64" i="12" a="1"/>
  <c r="H64" i="12"/>
  <c r="G64" i="12" a="1"/>
  <c r="G64" i="12" s="1"/>
  <c r="H63" i="12" a="1"/>
  <c r="H63" i="12"/>
  <c r="G63" i="12" a="1"/>
  <c r="G63" i="12" s="1"/>
  <c r="H62" i="12" a="1"/>
  <c r="H62" i="12" s="1"/>
  <c r="G62" i="12" a="1"/>
  <c r="G62" i="12" s="1"/>
  <c r="H61" i="12" a="1"/>
  <c r="H61" i="12"/>
  <c r="G61" i="12" a="1"/>
  <c r="G61" i="12" s="1"/>
  <c r="H60" i="12" a="1"/>
  <c r="H60" i="12"/>
  <c r="G60" i="12" a="1"/>
  <c r="G60" i="12"/>
  <c r="H59" i="12" a="1"/>
  <c r="H59" i="12" s="1"/>
  <c r="G59" i="12" a="1"/>
  <c r="G59" i="12" s="1"/>
  <c r="H58" i="12" a="1"/>
  <c r="H58" i="12"/>
  <c r="G58" i="12" a="1"/>
  <c r="G58" i="12" s="1"/>
  <c r="H57" i="12" a="1"/>
  <c r="H57" i="12" s="1"/>
  <c r="G57" i="12" a="1"/>
  <c r="G57" i="12"/>
  <c r="H56" i="12" a="1"/>
  <c r="H56" i="12"/>
  <c r="G56" i="12" a="1"/>
  <c r="G56" i="12" s="1"/>
  <c r="H55" i="12" a="1"/>
  <c r="H55" i="12"/>
  <c r="G55" i="12" a="1"/>
  <c r="G55" i="12"/>
  <c r="H54" i="12" a="1"/>
  <c r="H54" i="12" s="1"/>
  <c r="G54" i="12" a="1"/>
  <c r="G54" i="12"/>
  <c r="H53" i="12" a="1"/>
  <c r="H53" i="12"/>
  <c r="G53" i="12" a="1"/>
  <c r="G53" i="12" s="1"/>
  <c r="H52" i="12" a="1"/>
  <c r="H52" i="12"/>
  <c r="G52" i="12" a="1"/>
  <c r="G52" i="12" s="1"/>
  <c r="H51" i="12" a="1"/>
  <c r="H51" i="12" s="1"/>
  <c r="G51" i="12" a="1"/>
  <c r="G51" i="12" s="1"/>
  <c r="H50" i="12" a="1"/>
  <c r="H50" i="12"/>
  <c r="G50" i="12" a="1"/>
  <c r="G50" i="12" s="1"/>
  <c r="H49" i="12" a="1"/>
  <c r="H49" i="12"/>
  <c r="G49" i="12" a="1"/>
  <c r="G49" i="12"/>
  <c r="H48" i="12" a="1"/>
  <c r="H48" i="12"/>
  <c r="G48" i="12" a="1"/>
  <c r="G48" i="12" s="1"/>
  <c r="H47" i="12" a="1"/>
  <c r="H47" i="12"/>
  <c r="G47" i="12" a="1"/>
  <c r="G47" i="12" s="1"/>
  <c r="H46" i="12" a="1"/>
  <c r="H46" i="12"/>
  <c r="G46" i="12" a="1"/>
  <c r="G46" i="12" s="1"/>
  <c r="H45" i="12" a="1"/>
  <c r="H45" i="12" s="1"/>
  <c r="G45" i="12" a="1"/>
  <c r="G45" i="12" s="1"/>
  <c r="H44" i="12" a="1"/>
  <c r="H44" i="12" s="1"/>
  <c r="G44" i="12" a="1"/>
  <c r="G44" i="12" s="1"/>
  <c r="H43" i="12" a="1"/>
  <c r="H43" i="12"/>
  <c r="G43" i="12" a="1"/>
  <c r="G43" i="12" s="1"/>
  <c r="H42" i="12" a="1"/>
  <c r="H42" i="12"/>
  <c r="G42" i="12" a="1"/>
  <c r="G42" i="12"/>
  <c r="H41" i="12" a="1"/>
  <c r="H41" i="12" s="1"/>
  <c r="G41" i="12" a="1"/>
  <c r="G41" i="12" s="1"/>
  <c r="H40" i="12" a="1"/>
  <c r="H40" i="12"/>
  <c r="G40" i="12" a="1"/>
  <c r="G40" i="12" s="1"/>
  <c r="H39" i="12" a="1"/>
  <c r="H39" i="12" s="1"/>
  <c r="G39" i="12" a="1"/>
  <c r="G39" i="12" s="1"/>
  <c r="H38" i="12" a="1"/>
  <c r="H38" i="12" s="1"/>
  <c r="G38" i="12" a="1"/>
  <c r="G38" i="12" s="1"/>
  <c r="H37" i="12" a="1"/>
  <c r="H37" i="12"/>
  <c r="G37" i="12" a="1"/>
  <c r="G37" i="12"/>
  <c r="H36" i="12" a="1"/>
  <c r="H36" i="12" s="1"/>
  <c r="G36" i="12" a="1"/>
  <c r="G36" i="12"/>
  <c r="H35" i="12" a="1"/>
  <c r="H35" i="12"/>
  <c r="G35" i="12" a="1"/>
  <c r="G35" i="12" s="1"/>
  <c r="H34" i="12" a="1"/>
  <c r="H34" i="12" s="1"/>
  <c r="G34" i="12" a="1"/>
  <c r="G34" i="12"/>
  <c r="H33" i="12" a="1"/>
  <c r="H33" i="12" s="1"/>
  <c r="G33" i="12" a="1"/>
  <c r="G33" i="12" s="1"/>
  <c r="H32" i="12" a="1"/>
  <c r="H32" i="12" s="1"/>
  <c r="G32" i="12" a="1"/>
  <c r="G32" i="12" s="1"/>
  <c r="H31" i="12" a="1"/>
  <c r="H31" i="12" s="1"/>
  <c r="G31" i="12" a="1"/>
  <c r="G31" i="12"/>
  <c r="H30" i="12" a="1"/>
  <c r="H30" i="12"/>
  <c r="G30" i="12" a="1"/>
  <c r="G30" i="12" s="1"/>
  <c r="H29" i="12" a="1"/>
  <c r="H29" i="12"/>
  <c r="G29" i="12" a="1"/>
  <c r="G29" i="12" s="1"/>
  <c r="H28" i="12" a="1"/>
  <c r="H28" i="12" s="1"/>
  <c r="G28" i="12" a="1"/>
  <c r="G28" i="12" s="1"/>
  <c r="H27" i="12" a="1"/>
  <c r="H27" i="12"/>
  <c r="G27" i="12" a="1"/>
  <c r="G27" i="12" s="1"/>
  <c r="H26" i="12" a="1"/>
  <c r="H26" i="12" s="1"/>
  <c r="G26" i="12" a="1"/>
  <c r="G26" i="12" s="1"/>
  <c r="H25" i="12" a="1"/>
  <c r="H25" i="12"/>
  <c r="G25" i="12" a="1"/>
  <c r="G25" i="12" s="1"/>
  <c r="H24" i="12" a="1"/>
  <c r="H24" i="12"/>
  <c r="G24" i="12" a="1"/>
  <c r="G24" i="12"/>
  <c r="H23" i="12" a="1"/>
  <c r="H23" i="12" s="1"/>
  <c r="G23" i="12" a="1"/>
  <c r="G23" i="12" s="1"/>
  <c r="H22" i="12" a="1"/>
  <c r="H22" i="12" s="1"/>
  <c r="G22" i="12" a="1"/>
  <c r="G22" i="12" s="1"/>
  <c r="H21" i="12" a="1"/>
  <c r="H21" i="12" s="1"/>
  <c r="G21" i="12" a="1"/>
  <c r="G21" i="12"/>
  <c r="H20" i="12" a="1"/>
  <c r="H20" i="12" s="1"/>
  <c r="G20" i="12" a="1"/>
  <c r="G20" i="12" s="1"/>
  <c r="H19" i="12" a="1"/>
  <c r="H19" i="12"/>
  <c r="G19" i="12" a="1"/>
  <c r="G19" i="12"/>
  <c r="H18" i="12" a="1"/>
  <c r="H18" i="12" s="1"/>
  <c r="G18" i="12" a="1"/>
  <c r="G18" i="12"/>
  <c r="H17" i="12" a="1"/>
  <c r="H17" i="12"/>
  <c r="G17" i="12" a="1"/>
  <c r="G17" i="12" s="1"/>
  <c r="H16" i="12" a="1"/>
  <c r="H16" i="12" s="1"/>
  <c r="G16" i="12" a="1"/>
  <c r="G16" i="12" s="1"/>
  <c r="H15" i="12" a="1"/>
  <c r="H15" i="12" s="1"/>
  <c r="G15" i="12" a="1"/>
  <c r="G15" i="12" s="1"/>
  <c r="H14" i="12" a="1"/>
  <c r="H14" i="12"/>
  <c r="G14" i="12" a="1"/>
  <c r="G14" i="12" s="1"/>
  <c r="H13" i="12" a="1"/>
  <c r="H13" i="12" s="1"/>
  <c r="G13" i="12" a="1"/>
  <c r="G13" i="12"/>
  <c r="H12" i="12" a="1"/>
  <c r="H12" i="12"/>
  <c r="G12" i="12" a="1"/>
  <c r="G12" i="12" s="1"/>
  <c r="H11" i="12" a="1"/>
  <c r="H11" i="12"/>
  <c r="G11" i="12" a="1"/>
  <c r="G11" i="12"/>
  <c r="H10" i="12" a="1"/>
  <c r="H10" i="12" s="1"/>
  <c r="G10" i="12" a="1"/>
  <c r="G10" i="12"/>
  <c r="H9" i="12" a="1"/>
  <c r="H9" i="12"/>
  <c r="G9" i="12" a="1"/>
  <c r="G9" i="12" s="1"/>
  <c r="H8" i="12" a="1"/>
  <c r="H8" i="12"/>
  <c r="G8" i="12" a="1"/>
  <c r="G8" i="12"/>
  <c r="L5" i="12"/>
  <c r="N15" i="11"/>
  <c r="M15" i="11"/>
  <c r="L15" i="11"/>
  <c r="M14" i="11"/>
  <c r="L14" i="11"/>
  <c r="N13" i="11"/>
  <c r="M13" i="11"/>
  <c r="L13" i="11"/>
  <c r="M12" i="11"/>
  <c r="L12" i="11"/>
  <c r="M11" i="11"/>
  <c r="L11" i="11"/>
  <c r="L16" i="11" s="1"/>
  <c r="M10" i="11"/>
  <c r="L10" i="11"/>
  <c r="N9" i="11"/>
  <c r="N16" i="11" s="1"/>
  <c r="M9" i="11"/>
  <c r="L9" i="11"/>
  <c r="N8" i="11"/>
  <c r="M8" i="11"/>
  <c r="L8" i="11"/>
  <c r="M7" i="11"/>
  <c r="M16" i="11" s="1"/>
  <c r="F3" i="11" s="1"/>
  <c r="L7" i="11"/>
  <c r="H38" i="10"/>
  <c r="H37" i="10"/>
  <c r="H36" i="10"/>
  <c r="H35" i="10"/>
  <c r="H34" i="10"/>
  <c r="H33" i="10"/>
  <c r="H32" i="10"/>
  <c r="H31" i="10"/>
  <c r="H30" i="10"/>
  <c r="H29" i="10"/>
  <c r="H28" i="10"/>
  <c r="H27" i="10"/>
  <c r="H26" i="10"/>
  <c r="H25" i="10"/>
  <c r="H24" i="10"/>
  <c r="H23" i="10"/>
  <c r="H22" i="10"/>
  <c r="H21" i="10"/>
  <c r="H19" i="10"/>
  <c r="H17" i="10"/>
  <c r="H14" i="10"/>
  <c r="H13" i="10"/>
  <c r="H12" i="10"/>
  <c r="H11" i="10"/>
  <c r="H10" i="10"/>
  <c r="H9" i="10"/>
  <c r="H8" i="10"/>
  <c r="H7" i="10"/>
  <c r="H6" i="10"/>
  <c r="N41" i="9"/>
  <c r="M41" i="9"/>
  <c r="K41" i="9"/>
  <c r="L41" i="9" s="1"/>
  <c r="J41" i="9"/>
  <c r="I41" i="9"/>
  <c r="N40" i="9"/>
  <c r="M40" i="9"/>
  <c r="L40" i="9"/>
  <c r="K40" i="9"/>
  <c r="J40" i="9"/>
  <c r="I40" i="9"/>
  <c r="N39" i="9"/>
  <c r="M39" i="9"/>
  <c r="K39" i="9"/>
  <c r="L39" i="9" s="1"/>
  <c r="J39" i="9"/>
  <c r="I39" i="9"/>
  <c r="N38" i="9"/>
  <c r="M38" i="9"/>
  <c r="L38" i="9"/>
  <c r="K38" i="9"/>
  <c r="J38" i="9"/>
  <c r="I38" i="9"/>
  <c r="N37" i="9"/>
  <c r="M37" i="9"/>
  <c r="K37" i="9"/>
  <c r="L37" i="9" s="1"/>
  <c r="J37" i="9"/>
  <c r="I37" i="9"/>
  <c r="N36" i="9"/>
  <c r="M36" i="9"/>
  <c r="L36" i="9"/>
  <c r="K36" i="9"/>
  <c r="J36" i="9"/>
  <c r="I36" i="9"/>
  <c r="N35" i="9"/>
  <c r="M35" i="9"/>
  <c r="K35" i="9"/>
  <c r="L35" i="9" s="1"/>
  <c r="J35" i="9"/>
  <c r="I35" i="9"/>
  <c r="N34" i="9"/>
  <c r="M34" i="9"/>
  <c r="L34" i="9"/>
  <c r="K34" i="9"/>
  <c r="J34" i="9"/>
  <c r="I34" i="9"/>
  <c r="N33" i="9"/>
  <c r="M33" i="9"/>
  <c r="K33" i="9"/>
  <c r="L33" i="9" s="1"/>
  <c r="J33" i="9"/>
  <c r="I33" i="9"/>
  <c r="N32" i="9"/>
  <c r="M32" i="9"/>
  <c r="L32" i="9"/>
  <c r="K32" i="9"/>
  <c r="J32" i="9"/>
  <c r="I32" i="9"/>
  <c r="N27" i="9"/>
  <c r="M27" i="9"/>
  <c r="K27" i="9"/>
  <c r="L27" i="9" s="1"/>
  <c r="J27" i="9"/>
  <c r="I27" i="9"/>
  <c r="N26" i="9"/>
  <c r="M26" i="9"/>
  <c r="L26" i="9"/>
  <c r="K26" i="9"/>
  <c r="J26" i="9"/>
  <c r="I26" i="9"/>
  <c r="N25" i="9"/>
  <c r="M25" i="9"/>
  <c r="K25" i="9"/>
  <c r="L25" i="9" s="1"/>
  <c r="J25" i="9"/>
  <c r="I25" i="9"/>
  <c r="N24" i="9"/>
  <c r="M24" i="9"/>
  <c r="L24" i="9"/>
  <c r="K24" i="9"/>
  <c r="J24" i="9"/>
  <c r="I24" i="9"/>
  <c r="N23" i="9"/>
  <c r="M23" i="9"/>
  <c r="K23" i="9"/>
  <c r="L23" i="9" s="1"/>
  <c r="J23" i="9"/>
  <c r="I23" i="9"/>
  <c r="N22" i="9"/>
  <c r="M22" i="9"/>
  <c r="L22" i="9"/>
  <c r="K22" i="9"/>
  <c r="J22" i="9"/>
  <c r="I22" i="9"/>
  <c r="N21" i="9"/>
  <c r="M21" i="9"/>
  <c r="K21" i="9"/>
  <c r="L21" i="9" s="1"/>
  <c r="J21" i="9"/>
  <c r="I21" i="9"/>
  <c r="N20" i="9"/>
  <c r="M20" i="9"/>
  <c r="L20" i="9"/>
  <c r="K20" i="9"/>
  <c r="J20" i="9"/>
  <c r="I20" i="9"/>
  <c r="N19" i="9"/>
  <c r="M19" i="9"/>
  <c r="K19" i="9"/>
  <c r="L19" i="9" s="1"/>
  <c r="J19" i="9"/>
  <c r="I19" i="9"/>
  <c r="N18" i="9"/>
  <c r="M18" i="9"/>
  <c r="L18" i="9"/>
  <c r="K18" i="9"/>
  <c r="J18" i="9"/>
  <c r="I18" i="9"/>
  <c r="N17" i="9"/>
  <c r="M17" i="9"/>
  <c r="K17" i="9"/>
  <c r="L17" i="9" s="1"/>
  <c r="J17" i="9"/>
  <c r="I17" i="9"/>
  <c r="N16" i="9"/>
  <c r="M16" i="9"/>
  <c r="L16" i="9"/>
  <c r="K16" i="9"/>
  <c r="J16" i="9"/>
  <c r="I16" i="9"/>
  <c r="N15" i="9"/>
  <c r="M15" i="9"/>
  <c r="K15" i="9"/>
  <c r="L15" i="9" s="1"/>
  <c r="J15" i="9"/>
  <c r="I15" i="9"/>
  <c r="N10" i="9"/>
  <c r="M10" i="9"/>
  <c r="L10" i="9"/>
  <c r="K10" i="9"/>
  <c r="J10" i="9"/>
  <c r="I10" i="9"/>
  <c r="N9" i="9"/>
  <c r="M9" i="9"/>
  <c r="K9" i="9"/>
  <c r="L9" i="9" s="1"/>
  <c r="J9" i="9"/>
  <c r="I9" i="9"/>
  <c r="C45" i="7"/>
  <c r="M5" i="7" s="1"/>
  <c r="R5" i="7" s="1"/>
  <c r="I44" i="7"/>
  <c r="H44" i="7"/>
  <c r="F16" i="4" s="1"/>
  <c r="I43" i="7"/>
  <c r="H43" i="7"/>
  <c r="F31" i="4" s="1"/>
  <c r="I42" i="7"/>
  <c r="H42" i="7"/>
  <c r="I41" i="7"/>
  <c r="H41" i="7"/>
  <c r="I40" i="7"/>
  <c r="H40" i="7"/>
  <c r="F30" i="4" s="1"/>
  <c r="I39" i="7"/>
  <c r="C13" i="4" s="1"/>
  <c r="E13" i="4" s="1"/>
  <c r="H39" i="7"/>
  <c r="I38" i="7"/>
  <c r="H38" i="7"/>
  <c r="F6" i="4" s="1"/>
  <c r="H6" i="4" s="1"/>
  <c r="I37" i="7"/>
  <c r="H37" i="7"/>
  <c r="F5" i="4" s="1"/>
  <c r="H5" i="4" s="1"/>
  <c r="I36" i="7"/>
  <c r="C25" i="4" s="1"/>
  <c r="E25" i="4" s="1"/>
  <c r="H36" i="7"/>
  <c r="I35" i="7"/>
  <c r="H35" i="7"/>
  <c r="I34" i="7"/>
  <c r="H34" i="7"/>
  <c r="I33" i="7"/>
  <c r="H33" i="7"/>
  <c r="F29" i="4" s="1"/>
  <c r="I32" i="7"/>
  <c r="H32" i="7"/>
  <c r="F32" i="4" s="1"/>
  <c r="I31" i="7"/>
  <c r="H31" i="7"/>
  <c r="I30" i="7"/>
  <c r="H30" i="7"/>
  <c r="I29" i="7"/>
  <c r="H29" i="7"/>
  <c r="I28" i="7"/>
  <c r="H28" i="7"/>
  <c r="I27" i="7"/>
  <c r="H27" i="7"/>
  <c r="F10" i="4" s="1"/>
  <c r="I26" i="7"/>
  <c r="H26" i="7"/>
  <c r="F3" i="4" s="1"/>
  <c r="I25" i="7"/>
  <c r="H25" i="7"/>
  <c r="I24" i="7"/>
  <c r="H24" i="7"/>
  <c r="I23" i="7"/>
  <c r="H23" i="7"/>
  <c r="I22" i="7"/>
  <c r="H22" i="7"/>
  <c r="I21" i="7"/>
  <c r="H21" i="7"/>
  <c r="F8" i="4" s="1"/>
  <c r="G8" i="4" s="1"/>
  <c r="I20" i="7"/>
  <c r="C28" i="4" s="1"/>
  <c r="E28" i="4" s="1"/>
  <c r="H20" i="7"/>
  <c r="R19" i="7"/>
  <c r="Q19" i="7"/>
  <c r="P19" i="7"/>
  <c r="O19" i="7"/>
  <c r="N19" i="7"/>
  <c r="M19" i="7"/>
  <c r="M20" i="7" s="1"/>
  <c r="I19" i="7"/>
  <c r="C27" i="4" s="1"/>
  <c r="H19" i="7"/>
  <c r="I18" i="7"/>
  <c r="H18" i="7"/>
  <c r="I17" i="7"/>
  <c r="C12" i="4" s="1"/>
  <c r="E12" i="4" s="1"/>
  <c r="H17" i="7"/>
  <c r="I16" i="7"/>
  <c r="H16" i="7"/>
  <c r="I15" i="7"/>
  <c r="H15" i="7"/>
  <c r="I14" i="7"/>
  <c r="H14" i="7"/>
  <c r="I13" i="7"/>
  <c r="H13" i="7"/>
  <c r="F24" i="4" s="1"/>
  <c r="G24" i="4" s="1"/>
  <c r="I12" i="7"/>
  <c r="C21" i="4" s="1"/>
  <c r="D21" i="4" s="1"/>
  <c r="H12" i="7"/>
  <c r="I11" i="7"/>
  <c r="C20" i="4" s="1"/>
  <c r="H11" i="7"/>
  <c r="I10" i="7"/>
  <c r="H10" i="7"/>
  <c r="F7" i="4" s="1"/>
  <c r="R6" i="7"/>
  <c r="Q6" i="7"/>
  <c r="R7" i="7" s="1"/>
  <c r="P6" i="7"/>
  <c r="O6" i="7"/>
  <c r="Q5" i="7"/>
  <c r="P5" i="7"/>
  <c r="O5" i="7"/>
  <c r="R4" i="7"/>
  <c r="Q4" i="7"/>
  <c r="P4" i="7"/>
  <c r="O4" i="7"/>
  <c r="R2" i="7"/>
  <c r="Q2" i="7"/>
  <c r="P2" i="7"/>
  <c r="O2" i="7"/>
  <c r="I15" i="6"/>
  <c r="G15" i="6"/>
  <c r="E15" i="6"/>
  <c r="J15" i="6" s="1"/>
  <c r="D15" i="6"/>
  <c r="F14" i="6"/>
  <c r="F13" i="6"/>
  <c r="E13" i="6"/>
  <c r="J13" i="6" s="1"/>
  <c r="D13" i="6"/>
  <c r="C13" i="6"/>
  <c r="I13" i="6" s="1"/>
  <c r="K13" i="6" s="1"/>
  <c r="G12" i="6"/>
  <c r="G11" i="6"/>
  <c r="D11" i="6"/>
  <c r="H10" i="6"/>
  <c r="G10" i="6"/>
  <c r="D10" i="6"/>
  <c r="D9" i="6"/>
  <c r="G7" i="6"/>
  <c r="D7" i="6"/>
  <c r="H123" i="5"/>
  <c r="L108" i="5"/>
  <c r="K108" i="5"/>
  <c r="H15" i="6" s="1"/>
  <c r="J108" i="5"/>
  <c r="I108" i="5"/>
  <c r="F15" i="6" s="1"/>
  <c r="H108" i="5"/>
  <c r="G108" i="5"/>
  <c r="F108" i="5"/>
  <c r="C15" i="6" s="1"/>
  <c r="K93" i="5"/>
  <c r="H14" i="6" s="1"/>
  <c r="J93" i="5"/>
  <c r="G14" i="6" s="1"/>
  <c r="I93" i="5"/>
  <c r="H93" i="5"/>
  <c r="E14" i="6" s="1"/>
  <c r="G93" i="5"/>
  <c r="F93" i="5"/>
  <c r="C14" i="6" s="1"/>
  <c r="K86" i="5"/>
  <c r="H13" i="6" s="1"/>
  <c r="J86" i="5"/>
  <c r="G13" i="6" s="1"/>
  <c r="I86" i="5"/>
  <c r="H86" i="5"/>
  <c r="G86" i="5"/>
  <c r="F86" i="5"/>
  <c r="L86" i="5" s="1"/>
  <c r="K73" i="5"/>
  <c r="H12" i="6" s="1"/>
  <c r="J73" i="5"/>
  <c r="I73" i="5"/>
  <c r="F12" i="6" s="1"/>
  <c r="H73" i="5"/>
  <c r="E12" i="6" s="1"/>
  <c r="J12" i="6" s="1"/>
  <c r="G73" i="5"/>
  <c r="D12" i="6" s="1"/>
  <c r="F73" i="5"/>
  <c r="C12" i="6" s="1"/>
  <c r="I12" i="6" s="1"/>
  <c r="K12" i="6" s="1"/>
  <c r="K60" i="5"/>
  <c r="H11" i="6" s="1"/>
  <c r="J60" i="5"/>
  <c r="I60" i="5"/>
  <c r="F11" i="6" s="1"/>
  <c r="H60" i="5"/>
  <c r="E11" i="6" s="1"/>
  <c r="J11" i="6" s="1"/>
  <c r="G60" i="5"/>
  <c r="F60" i="5"/>
  <c r="K33" i="5"/>
  <c r="J33" i="5"/>
  <c r="I33" i="5"/>
  <c r="F10" i="6" s="1"/>
  <c r="H33" i="5"/>
  <c r="E10" i="6" s="1"/>
  <c r="G33" i="5"/>
  <c r="F33" i="5"/>
  <c r="K20" i="5"/>
  <c r="H9" i="6" s="1"/>
  <c r="J20" i="5"/>
  <c r="G9" i="6" s="1"/>
  <c r="I20" i="5"/>
  <c r="F9" i="6" s="1"/>
  <c r="J9" i="6" s="1"/>
  <c r="H20" i="5"/>
  <c r="E9" i="6" s="1"/>
  <c r="G20" i="5"/>
  <c r="F20" i="5"/>
  <c r="K13" i="5"/>
  <c r="H8" i="6" s="1"/>
  <c r="J13" i="5"/>
  <c r="G8" i="6" s="1"/>
  <c r="J8" i="6" s="1"/>
  <c r="I13" i="5"/>
  <c r="F8" i="6" s="1"/>
  <c r="H13" i="5"/>
  <c r="E8" i="6" s="1"/>
  <c r="G13" i="5"/>
  <c r="D8" i="6" s="1"/>
  <c r="F13" i="5"/>
  <c r="K7" i="5"/>
  <c r="J7" i="5"/>
  <c r="I7" i="5"/>
  <c r="F7" i="6" s="1"/>
  <c r="H7" i="5"/>
  <c r="E7" i="6" s="1"/>
  <c r="G7" i="5"/>
  <c r="F7" i="5"/>
  <c r="H36" i="4"/>
  <c r="F36" i="4"/>
  <c r="G36" i="4" s="1"/>
  <c r="C36" i="4"/>
  <c r="E36" i="4" s="1"/>
  <c r="B36" i="4"/>
  <c r="F35" i="4"/>
  <c r="C35" i="4"/>
  <c r="E35" i="4" s="1"/>
  <c r="B35" i="4"/>
  <c r="F34" i="4"/>
  <c r="C34" i="4"/>
  <c r="E34" i="4" s="1"/>
  <c r="B34" i="4"/>
  <c r="H33" i="4"/>
  <c r="F33" i="4"/>
  <c r="G33" i="4" s="1"/>
  <c r="E33" i="4"/>
  <c r="C33" i="4"/>
  <c r="D33" i="4" s="1"/>
  <c r="B33" i="4"/>
  <c r="C32" i="4"/>
  <c r="D32" i="4" s="1"/>
  <c r="B32" i="4"/>
  <c r="H31" i="4"/>
  <c r="G31" i="4"/>
  <c r="C31" i="4"/>
  <c r="B31" i="4"/>
  <c r="H30" i="4"/>
  <c r="G30" i="4"/>
  <c r="E30" i="4"/>
  <c r="C30" i="4"/>
  <c r="D30" i="4" s="1"/>
  <c r="B30" i="4"/>
  <c r="E29" i="4"/>
  <c r="D29" i="4"/>
  <c r="C29" i="4"/>
  <c r="B29" i="4"/>
  <c r="G28" i="4"/>
  <c r="F28" i="4"/>
  <c r="H28" i="4" s="1"/>
  <c r="B28" i="4"/>
  <c r="G27" i="4"/>
  <c r="F27" i="4"/>
  <c r="H27" i="4" s="1"/>
  <c r="E27" i="4"/>
  <c r="D27" i="4"/>
  <c r="B27" i="4"/>
  <c r="G26" i="4"/>
  <c r="F26" i="4"/>
  <c r="H26" i="4" s="1"/>
  <c r="C26" i="4"/>
  <c r="E26" i="4" s="1"/>
  <c r="B26" i="4"/>
  <c r="G25" i="4"/>
  <c r="F25" i="4"/>
  <c r="H25" i="4" s="1"/>
  <c r="D25" i="4"/>
  <c r="B25" i="4"/>
  <c r="H24" i="4"/>
  <c r="C24" i="4"/>
  <c r="E24" i="4" s="1"/>
  <c r="B24" i="4"/>
  <c r="F23" i="4"/>
  <c r="G23" i="4" s="1"/>
  <c r="D23" i="4"/>
  <c r="C23" i="4"/>
  <c r="E23" i="4" s="1"/>
  <c r="B23" i="4"/>
  <c r="F22" i="4"/>
  <c r="E22" i="4"/>
  <c r="D22" i="4"/>
  <c r="C22" i="4"/>
  <c r="B22" i="4"/>
  <c r="F21" i="4"/>
  <c r="G21" i="4" s="1"/>
  <c r="E21" i="4"/>
  <c r="B21" i="4"/>
  <c r="F20" i="4"/>
  <c r="B20" i="4"/>
  <c r="H19" i="4"/>
  <c r="G19" i="4"/>
  <c r="F19" i="4"/>
  <c r="C19" i="4"/>
  <c r="B19" i="4"/>
  <c r="H18" i="4"/>
  <c r="G18" i="4"/>
  <c r="F18" i="4"/>
  <c r="E18" i="4"/>
  <c r="C18" i="4"/>
  <c r="D18" i="4" s="1"/>
  <c r="B18" i="4"/>
  <c r="F17" i="4"/>
  <c r="H17" i="4" s="1"/>
  <c r="C17" i="4"/>
  <c r="E17" i="4" s="1"/>
  <c r="B17" i="4"/>
  <c r="E16" i="4"/>
  <c r="D16" i="4"/>
  <c r="C16" i="4"/>
  <c r="B16" i="4"/>
  <c r="F15" i="4"/>
  <c r="E15" i="4"/>
  <c r="D15" i="4"/>
  <c r="C15" i="4"/>
  <c r="B15" i="4"/>
  <c r="G14" i="4"/>
  <c r="F14" i="4"/>
  <c r="H14" i="4" s="1"/>
  <c r="D14" i="4"/>
  <c r="C14" i="4"/>
  <c r="E14" i="4" s="1"/>
  <c r="B14" i="4"/>
  <c r="F13" i="4"/>
  <c r="G13" i="4" s="1"/>
  <c r="D13" i="4"/>
  <c r="B13" i="4"/>
  <c r="H12" i="4"/>
  <c r="F12" i="4"/>
  <c r="G12" i="4" s="1"/>
  <c r="B12" i="4"/>
  <c r="H11" i="4"/>
  <c r="F11" i="4"/>
  <c r="G11" i="4" s="1"/>
  <c r="D11" i="4"/>
  <c r="C11" i="4"/>
  <c r="E11" i="4" s="1"/>
  <c r="B11" i="4"/>
  <c r="C10" i="4"/>
  <c r="E10" i="4" s="1"/>
  <c r="B10" i="4"/>
  <c r="H9" i="4"/>
  <c r="F9" i="4"/>
  <c r="G9" i="4" s="1"/>
  <c r="C9" i="4"/>
  <c r="B9" i="4"/>
  <c r="H8" i="4"/>
  <c r="E8" i="4"/>
  <c r="C8" i="4"/>
  <c r="D8" i="4" s="1"/>
  <c r="B8" i="4"/>
  <c r="H7" i="4"/>
  <c r="G7" i="4"/>
  <c r="E7" i="4"/>
  <c r="C7" i="4"/>
  <c r="D7" i="4" s="1"/>
  <c r="B7" i="4"/>
  <c r="E6" i="4"/>
  <c r="C6" i="4"/>
  <c r="D6" i="4" s="1"/>
  <c r="B6" i="4"/>
  <c r="G5" i="4"/>
  <c r="E5" i="4"/>
  <c r="C5" i="4"/>
  <c r="D5" i="4" s="1"/>
  <c r="B5" i="4"/>
  <c r="F4" i="4"/>
  <c r="E4" i="4"/>
  <c r="D4" i="4"/>
  <c r="C4" i="4"/>
  <c r="B4" i="4"/>
  <c r="E3" i="4"/>
  <c r="D3" i="4"/>
  <c r="C3" i="4"/>
  <c r="B3" i="4"/>
  <c r="G2" i="4"/>
  <c r="F2" i="4"/>
  <c r="H2" i="4" s="1"/>
  <c r="D2" i="4"/>
  <c r="C2" i="4"/>
  <c r="E2" i="4" s="1"/>
  <c r="B2" i="4"/>
  <c r="B119" i="3"/>
  <c r="A119" i="3"/>
  <c r="B118" i="3"/>
  <c r="A118" i="3"/>
  <c r="H117" i="3"/>
  <c r="B117" i="3"/>
  <c r="A117" i="3"/>
  <c r="B116" i="3"/>
  <c r="A116" i="3"/>
  <c r="B115" i="3"/>
  <c r="A115" i="3"/>
  <c r="C114" i="3"/>
  <c r="D114" i="3" s="1"/>
  <c r="B114" i="3"/>
  <c r="A114" i="3"/>
  <c r="B113" i="3"/>
  <c r="A113" i="3"/>
  <c r="E112" i="3"/>
  <c r="B112" i="3"/>
  <c r="A112" i="3"/>
  <c r="F111" i="3"/>
  <c r="H111" i="3" s="1"/>
  <c r="B111" i="3"/>
  <c r="A111" i="3"/>
  <c r="B110" i="3"/>
  <c r="A110" i="3"/>
  <c r="B109" i="3"/>
  <c r="A109" i="3"/>
  <c r="B108" i="3"/>
  <c r="A108" i="3"/>
  <c r="H107" i="3"/>
  <c r="B107" i="3"/>
  <c r="A107" i="3"/>
  <c r="F106" i="3"/>
  <c r="G106" i="3" s="1"/>
  <c r="B106" i="3"/>
  <c r="A106" i="3"/>
  <c r="E105" i="3"/>
  <c r="B105" i="3"/>
  <c r="A105" i="3"/>
  <c r="G104" i="3"/>
  <c r="B104" i="3"/>
  <c r="A104" i="3"/>
  <c r="C103" i="3"/>
  <c r="E103" i="3" s="1"/>
  <c r="B103" i="3"/>
  <c r="A103" i="3"/>
  <c r="D102" i="3"/>
  <c r="B102" i="3"/>
  <c r="A102" i="3"/>
  <c r="B101" i="3"/>
  <c r="A101" i="3"/>
  <c r="C100" i="3"/>
  <c r="E100" i="3" s="1"/>
  <c r="B100" i="3"/>
  <c r="A100" i="3"/>
  <c r="B99" i="3"/>
  <c r="A99" i="3"/>
  <c r="B98" i="3"/>
  <c r="A98" i="3"/>
  <c r="B97" i="3"/>
  <c r="A97" i="3"/>
  <c r="C96" i="3"/>
  <c r="E96" i="3" s="1"/>
  <c r="B96" i="3"/>
  <c r="A96" i="3"/>
  <c r="B95" i="3"/>
  <c r="A95" i="3"/>
  <c r="F94" i="3"/>
  <c r="H94" i="3" s="1"/>
  <c r="B94" i="3"/>
  <c r="A94" i="3"/>
  <c r="F93" i="3"/>
  <c r="G93" i="3" s="1"/>
  <c r="B93" i="3"/>
  <c r="A93" i="3"/>
  <c r="B92" i="3"/>
  <c r="A92" i="3"/>
  <c r="B91" i="3"/>
  <c r="A91" i="3"/>
  <c r="B90" i="3"/>
  <c r="A90" i="3"/>
  <c r="B89" i="3"/>
  <c r="A89" i="3"/>
  <c r="B88" i="3"/>
  <c r="A88" i="3"/>
  <c r="B87" i="3"/>
  <c r="A87" i="3"/>
  <c r="E86" i="3"/>
  <c r="B86" i="3"/>
  <c r="A86" i="3"/>
  <c r="B85" i="3"/>
  <c r="A85" i="3"/>
  <c r="B84" i="3"/>
  <c r="A84" i="3"/>
  <c r="B83" i="3"/>
  <c r="A83" i="3"/>
  <c r="C82" i="3"/>
  <c r="E82" i="3" s="1"/>
  <c r="B82" i="3"/>
  <c r="A82" i="3"/>
  <c r="B81" i="3"/>
  <c r="A81" i="3"/>
  <c r="F80" i="3"/>
  <c r="H80" i="3" s="1"/>
  <c r="B80" i="3"/>
  <c r="A80" i="3"/>
  <c r="B79" i="3"/>
  <c r="A79" i="3"/>
  <c r="C78" i="3"/>
  <c r="E78" i="3" s="1"/>
  <c r="B78" i="3"/>
  <c r="A78" i="3"/>
  <c r="D77" i="3"/>
  <c r="B77" i="3"/>
  <c r="A77" i="3"/>
  <c r="F76" i="3"/>
  <c r="H76" i="3" s="1"/>
  <c r="B76" i="3"/>
  <c r="A76" i="3"/>
  <c r="F75" i="3"/>
  <c r="G75" i="3" s="1"/>
  <c r="B75" i="3"/>
  <c r="A75" i="3"/>
  <c r="B74" i="3"/>
  <c r="A74" i="3"/>
  <c r="B73" i="3"/>
  <c r="A73" i="3"/>
  <c r="B72" i="3"/>
  <c r="A72" i="3"/>
  <c r="B71" i="3"/>
  <c r="A71" i="3"/>
  <c r="B70" i="3"/>
  <c r="A70" i="3"/>
  <c r="B69" i="3"/>
  <c r="A69" i="3"/>
  <c r="E68" i="3"/>
  <c r="B68" i="3"/>
  <c r="A68" i="3"/>
  <c r="B67" i="3"/>
  <c r="A67" i="3"/>
  <c r="B66" i="3"/>
  <c r="A66" i="3"/>
  <c r="B65" i="3"/>
  <c r="A65" i="3"/>
  <c r="C64" i="3"/>
  <c r="E64" i="3" s="1"/>
  <c r="B64" i="3"/>
  <c r="A64" i="3"/>
  <c r="B63" i="3"/>
  <c r="A63" i="3"/>
  <c r="B62" i="3"/>
  <c r="A62" i="3"/>
  <c r="B61" i="3"/>
  <c r="A61" i="3"/>
  <c r="C60" i="3"/>
  <c r="E60" i="3" s="1"/>
  <c r="B60" i="3"/>
  <c r="A60" i="3"/>
  <c r="D59" i="3"/>
  <c r="B59" i="3"/>
  <c r="A59" i="3"/>
  <c r="F58" i="3"/>
  <c r="H58" i="3" s="1"/>
  <c r="B58" i="3"/>
  <c r="A58" i="3"/>
  <c r="F57" i="3"/>
  <c r="G57" i="3" s="1"/>
  <c r="B57" i="3"/>
  <c r="A57" i="3"/>
  <c r="B56" i="3"/>
  <c r="A56" i="3"/>
  <c r="B55" i="3"/>
  <c r="A55" i="3"/>
  <c r="B54" i="3"/>
  <c r="A54" i="3"/>
  <c r="B53" i="3"/>
  <c r="A53" i="3"/>
  <c r="B52" i="3"/>
  <c r="A52" i="3"/>
  <c r="B51" i="3"/>
  <c r="A51" i="3"/>
  <c r="F50" i="3"/>
  <c r="H50" i="3" s="1"/>
  <c r="E50" i="3"/>
  <c r="B50" i="3"/>
  <c r="A50" i="3"/>
  <c r="B49" i="3"/>
  <c r="A49" i="3"/>
  <c r="B48" i="3"/>
  <c r="A48" i="3"/>
  <c r="B47" i="3"/>
  <c r="A47" i="3"/>
  <c r="C46" i="3"/>
  <c r="E46" i="3" s="1"/>
  <c r="B46" i="3"/>
  <c r="A46" i="3"/>
  <c r="H45" i="3"/>
  <c r="F45" i="3"/>
  <c r="G45" i="3" s="1"/>
  <c r="B45" i="3"/>
  <c r="A45" i="3"/>
  <c r="F44" i="3"/>
  <c r="H44" i="3" s="1"/>
  <c r="D44" i="3"/>
  <c r="B44" i="3"/>
  <c r="A44" i="3"/>
  <c r="B43" i="3"/>
  <c r="A43" i="3"/>
  <c r="C42" i="3"/>
  <c r="E42" i="3" s="1"/>
  <c r="B42" i="3"/>
  <c r="A42" i="3"/>
  <c r="B41" i="3"/>
  <c r="A41" i="3"/>
  <c r="F40" i="3"/>
  <c r="H40" i="3" s="1"/>
  <c r="B40" i="3"/>
  <c r="A40" i="3"/>
  <c r="B39" i="3"/>
  <c r="A39" i="3"/>
  <c r="D38" i="3"/>
  <c r="B38" i="3"/>
  <c r="A38" i="3"/>
  <c r="B37" i="3"/>
  <c r="A37" i="3"/>
  <c r="B36" i="3"/>
  <c r="A36" i="3"/>
  <c r="B35" i="3"/>
  <c r="A35" i="3"/>
  <c r="C34" i="3"/>
  <c r="E34" i="3" s="1"/>
  <c r="B34" i="3"/>
  <c r="A34" i="3"/>
  <c r="B33" i="3"/>
  <c r="A33" i="3"/>
  <c r="E32" i="3"/>
  <c r="B32" i="3"/>
  <c r="A32" i="3"/>
  <c r="E31" i="3"/>
  <c r="C31" i="3"/>
  <c r="D31" i="3" s="1"/>
  <c r="B31" i="3"/>
  <c r="A31" i="3"/>
  <c r="B30" i="3"/>
  <c r="A30" i="3"/>
  <c r="B29" i="3"/>
  <c r="A29" i="3"/>
  <c r="B28" i="3"/>
  <c r="A28" i="3"/>
  <c r="B27" i="3"/>
  <c r="A27" i="3"/>
  <c r="F26" i="3"/>
  <c r="H26" i="3" s="1"/>
  <c r="B26" i="3"/>
  <c r="A26" i="3"/>
  <c r="B25" i="3"/>
  <c r="A25" i="3"/>
  <c r="C24" i="3"/>
  <c r="E24" i="3" s="1"/>
  <c r="B24" i="3"/>
  <c r="A24" i="3"/>
  <c r="D23" i="3"/>
  <c r="B23" i="3"/>
  <c r="A23" i="3"/>
  <c r="F22" i="3"/>
  <c r="H22" i="3" s="1"/>
  <c r="B22" i="3"/>
  <c r="A22" i="3"/>
  <c r="F21" i="3"/>
  <c r="G21" i="3" s="1"/>
  <c r="C21" i="3"/>
  <c r="E21" i="3" s="1"/>
  <c r="B21" i="3"/>
  <c r="A21" i="3"/>
  <c r="B20" i="3"/>
  <c r="A20" i="3"/>
  <c r="B19" i="3"/>
  <c r="A19" i="3"/>
  <c r="B18" i="3"/>
  <c r="A18" i="3"/>
  <c r="B17" i="3"/>
  <c r="A17" i="3"/>
  <c r="B16" i="3"/>
  <c r="A16" i="3"/>
  <c r="B15" i="3"/>
  <c r="A15" i="3"/>
  <c r="E14" i="3"/>
  <c r="B14" i="3"/>
  <c r="A14" i="3"/>
  <c r="B13" i="3"/>
  <c r="A13" i="3"/>
  <c r="B12" i="3"/>
  <c r="A12" i="3"/>
  <c r="B11" i="3"/>
  <c r="A11" i="3"/>
  <c r="B10" i="3"/>
  <c r="A10" i="3"/>
  <c r="B9" i="3"/>
  <c r="A9" i="3"/>
  <c r="B8" i="3"/>
  <c r="A8" i="3"/>
  <c r="B7" i="3"/>
  <c r="A7" i="3"/>
  <c r="B6" i="3"/>
  <c r="A6" i="3"/>
  <c r="B5" i="3"/>
  <c r="A5" i="3"/>
  <c r="B4" i="3"/>
  <c r="A4" i="3"/>
  <c r="B3" i="3"/>
  <c r="A3" i="3"/>
  <c r="F2" i="3"/>
  <c r="H2" i="3" s="1"/>
  <c r="E2" i="3"/>
  <c r="D2" i="3"/>
  <c r="C2" i="3"/>
  <c r="B2" i="3"/>
  <c r="A2" i="3"/>
  <c r="AT124" i="2"/>
  <c r="AJ124" i="2"/>
  <c r="C119" i="3" s="1"/>
  <c r="AI124" i="2"/>
  <c r="AH124" i="2"/>
  <c r="F119" i="3" s="1"/>
  <c r="AC124" i="2"/>
  <c r="BA123" i="2"/>
  <c r="AZ123" i="2"/>
  <c r="AY123" i="2"/>
  <c r="AX123" i="2"/>
  <c r="AT123" i="2"/>
  <c r="AJ123" i="2"/>
  <c r="C118" i="3" s="1"/>
  <c r="E118" i="3" s="1"/>
  <c r="AI123" i="2"/>
  <c r="AH123" i="2"/>
  <c r="F118" i="3" s="1"/>
  <c r="H118" i="3" s="1"/>
  <c r="BA122" i="2"/>
  <c r="AZ122" i="2"/>
  <c r="AY122" i="2"/>
  <c r="AX122" i="2"/>
  <c r="AT122" i="2"/>
  <c r="AJ122" i="2"/>
  <c r="C117" i="3" s="1"/>
  <c r="AI122" i="2"/>
  <c r="AH122" i="2"/>
  <c r="F117" i="3" s="1"/>
  <c r="G117" i="3" s="1"/>
  <c r="BA121" i="2"/>
  <c r="AZ121" i="2"/>
  <c r="AY121" i="2"/>
  <c r="AX121" i="2"/>
  <c r="AT121" i="2"/>
  <c r="AJ121" i="2"/>
  <c r="C99" i="3" s="1"/>
  <c r="E99" i="3" s="1"/>
  <c r="AI121" i="2"/>
  <c r="AH121" i="2"/>
  <c r="F99" i="3" s="1"/>
  <c r="AC121" i="2"/>
  <c r="AT120" i="2"/>
  <c r="AJ120" i="2"/>
  <c r="AC120" i="2" s="1"/>
  <c r="AI120" i="2"/>
  <c r="AH120" i="2"/>
  <c r="F61" i="3" s="1"/>
  <c r="AT119" i="2"/>
  <c r="AJ119" i="2"/>
  <c r="C45" i="3" s="1"/>
  <c r="AI119" i="2"/>
  <c r="AH119" i="2"/>
  <c r="BA118" i="2"/>
  <c r="AZ118" i="2"/>
  <c r="AY118" i="2"/>
  <c r="AX118" i="2"/>
  <c r="AT118" i="2"/>
  <c r="AJ118" i="2"/>
  <c r="C38" i="3" s="1"/>
  <c r="E38" i="3" s="1"/>
  <c r="AI118" i="2"/>
  <c r="AH118" i="2"/>
  <c r="F38" i="3" s="1"/>
  <c r="AC118" i="2"/>
  <c r="AT117" i="2"/>
  <c r="AJ117" i="2"/>
  <c r="C36" i="3" s="1"/>
  <c r="AI117" i="2"/>
  <c r="AH117" i="2"/>
  <c r="F36" i="3" s="1"/>
  <c r="AC117" i="2"/>
  <c r="BA116" i="2"/>
  <c r="AZ116" i="2"/>
  <c r="AY116" i="2"/>
  <c r="AX116" i="2"/>
  <c r="AT116" i="2"/>
  <c r="AJ116" i="2"/>
  <c r="AI116" i="2"/>
  <c r="AH116" i="2"/>
  <c r="F31" i="3" s="1"/>
  <c r="AC116" i="2"/>
  <c r="BA115" i="2"/>
  <c r="AZ115" i="2"/>
  <c r="AY115" i="2"/>
  <c r="AX115" i="2"/>
  <c r="AT115" i="2"/>
  <c r="AJ115" i="2"/>
  <c r="C20" i="3" s="1"/>
  <c r="E20" i="3" s="1"/>
  <c r="AI115" i="2"/>
  <c r="AH115" i="2"/>
  <c r="F20" i="3" s="1"/>
  <c r="AJ114" i="2"/>
  <c r="C23" i="3" s="1"/>
  <c r="E23" i="3" s="1"/>
  <c r="AI114" i="2"/>
  <c r="AH114" i="2"/>
  <c r="F23" i="3" s="1"/>
  <c r="BA113" i="2"/>
  <c r="AZ113" i="2"/>
  <c r="AY113" i="2"/>
  <c r="AX113" i="2"/>
  <c r="AT113" i="2"/>
  <c r="AJ113" i="2"/>
  <c r="AC113" i="2" s="1"/>
  <c r="AI113" i="2"/>
  <c r="AH113" i="2"/>
  <c r="BA112" i="2"/>
  <c r="AZ112" i="2"/>
  <c r="AY112" i="2"/>
  <c r="AX112" i="2"/>
  <c r="AT112" i="2"/>
  <c r="AJ112" i="2"/>
  <c r="AC112" i="2" s="1"/>
  <c r="AI112" i="2"/>
  <c r="AH112" i="2"/>
  <c r="F13" i="3" s="1"/>
  <c r="AT111" i="2"/>
  <c r="AJ111" i="2"/>
  <c r="C6" i="3" s="1"/>
  <c r="AI111" i="2"/>
  <c r="AH111" i="2"/>
  <c r="F6" i="3" s="1"/>
  <c r="AC111" i="2"/>
  <c r="AT110" i="2"/>
  <c r="AJ110" i="2"/>
  <c r="C5" i="3" s="1"/>
  <c r="AI110" i="2"/>
  <c r="AH110" i="2"/>
  <c r="F5" i="3" s="1"/>
  <c r="AC110" i="2"/>
  <c r="AT109" i="2"/>
  <c r="AJ109" i="2"/>
  <c r="C98" i="3" s="1"/>
  <c r="D98" i="3" s="1"/>
  <c r="AI109" i="2"/>
  <c r="AH109" i="2"/>
  <c r="F98" i="3" s="1"/>
  <c r="H98" i="3" s="1"/>
  <c r="BA108" i="2"/>
  <c r="AZ108" i="2"/>
  <c r="AY108" i="2"/>
  <c r="AX108" i="2"/>
  <c r="AT108" i="2"/>
  <c r="AJ108" i="2"/>
  <c r="AC108" i="2" s="1"/>
  <c r="AI108" i="2"/>
  <c r="AH108" i="2"/>
  <c r="F82" i="3" s="1"/>
  <c r="AT107" i="2"/>
  <c r="AJ107" i="2"/>
  <c r="C72" i="3" s="1"/>
  <c r="AI107" i="2"/>
  <c r="AH107" i="2"/>
  <c r="F72" i="3" s="1"/>
  <c r="AC107" i="2"/>
  <c r="AT106" i="2"/>
  <c r="AJ106" i="2"/>
  <c r="AI106" i="2"/>
  <c r="AH106" i="2"/>
  <c r="F60" i="3" s="1"/>
  <c r="AC106" i="2"/>
  <c r="AT105" i="2"/>
  <c r="AJ105" i="2"/>
  <c r="C50" i="3" s="1"/>
  <c r="D50" i="3" s="1"/>
  <c r="AI105" i="2"/>
  <c r="AH105" i="2"/>
  <c r="AJ104" i="2"/>
  <c r="C49" i="3" s="1"/>
  <c r="AI104" i="2"/>
  <c r="AH104" i="2"/>
  <c r="F49" i="3" s="1"/>
  <c r="AT103" i="2"/>
  <c r="AJ103" i="2"/>
  <c r="AC103" i="2" s="1"/>
  <c r="AI103" i="2"/>
  <c r="AH103" i="2"/>
  <c r="F46" i="3" s="1"/>
  <c r="AT102" i="2"/>
  <c r="AJ102" i="2"/>
  <c r="C44" i="3" s="1"/>
  <c r="E44" i="3" s="1"/>
  <c r="AI102" i="2"/>
  <c r="AH102" i="2"/>
  <c r="AC102" i="2"/>
  <c r="AT101" i="2"/>
  <c r="AJ101" i="2"/>
  <c r="C43" i="3" s="1"/>
  <c r="AI101" i="2"/>
  <c r="AH101" i="2"/>
  <c r="F43" i="3" s="1"/>
  <c r="AC101" i="2"/>
  <c r="AJ100" i="2"/>
  <c r="C25" i="3" s="1"/>
  <c r="AI100" i="2"/>
  <c r="AH100" i="2"/>
  <c r="F25" i="3" s="1"/>
  <c r="AT99" i="2"/>
  <c r="AJ99" i="2"/>
  <c r="C22" i="3" s="1"/>
  <c r="AI99" i="2"/>
  <c r="AH99" i="2"/>
  <c r="AC99" i="2"/>
  <c r="AJ98" i="2"/>
  <c r="C116" i="3" s="1"/>
  <c r="AI98" i="2"/>
  <c r="AH98" i="2"/>
  <c r="F116" i="3" s="1"/>
  <c r="H116" i="3" s="1"/>
  <c r="AT97" i="2"/>
  <c r="AJ97" i="2"/>
  <c r="AC97" i="2" s="1"/>
  <c r="AI97" i="2"/>
  <c r="AH97" i="2"/>
  <c r="F16" i="3" s="1"/>
  <c r="AJ96" i="2"/>
  <c r="C12" i="3" s="1"/>
  <c r="AI96" i="2"/>
  <c r="AH96" i="2"/>
  <c r="F12" i="3" s="1"/>
  <c r="AJ95" i="2"/>
  <c r="C7" i="3" s="1"/>
  <c r="AI95" i="2"/>
  <c r="AH95" i="2"/>
  <c r="F7" i="3" s="1"/>
  <c r="AT94" i="2"/>
  <c r="AJ94" i="2"/>
  <c r="C115" i="3" s="1"/>
  <c r="AI94" i="2"/>
  <c r="AH94" i="2"/>
  <c r="F115" i="3" s="1"/>
  <c r="AJ93" i="2"/>
  <c r="C111" i="3" s="1"/>
  <c r="D111" i="3" s="1"/>
  <c r="AI93" i="2"/>
  <c r="AH93" i="2"/>
  <c r="AT92" i="2"/>
  <c r="AJ92" i="2"/>
  <c r="C37" i="3" s="1"/>
  <c r="AI92" i="2"/>
  <c r="AH92" i="2"/>
  <c r="F37" i="3" s="1"/>
  <c r="AT91" i="2"/>
  <c r="AJ91" i="2"/>
  <c r="C35" i="3" s="1"/>
  <c r="E35" i="3" s="1"/>
  <c r="AI91" i="2"/>
  <c r="AH91" i="2"/>
  <c r="F35" i="3" s="1"/>
  <c r="AT90" i="2"/>
  <c r="AJ90" i="2"/>
  <c r="AI90" i="2"/>
  <c r="AH90" i="2"/>
  <c r="F34" i="3" s="1"/>
  <c r="AC90" i="2"/>
  <c r="AT89" i="2"/>
  <c r="AJ89" i="2"/>
  <c r="AC89" i="2" s="1"/>
  <c r="AI89" i="2"/>
  <c r="AH89" i="2"/>
  <c r="F4" i="3" s="1"/>
  <c r="AT88" i="2"/>
  <c r="AJ88" i="2"/>
  <c r="C113" i="3" s="1"/>
  <c r="E113" i="3" s="1"/>
  <c r="AI88" i="2"/>
  <c r="AH88" i="2"/>
  <c r="F113" i="3" s="1"/>
  <c r="AC88" i="2"/>
  <c r="AT87" i="2"/>
  <c r="AJ87" i="2"/>
  <c r="C3" i="3" s="1"/>
  <c r="AI87" i="2"/>
  <c r="AH87" i="2"/>
  <c r="F3" i="3" s="1"/>
  <c r="AC87" i="2"/>
  <c r="AJ86" i="2"/>
  <c r="C107" i="3" s="1"/>
  <c r="AI86" i="2"/>
  <c r="AH86" i="2"/>
  <c r="F107" i="3" s="1"/>
  <c r="G107" i="3" s="1"/>
  <c r="BA85" i="2"/>
  <c r="AZ85" i="2"/>
  <c r="AY85" i="2"/>
  <c r="AX85" i="2"/>
  <c r="AT85" i="2"/>
  <c r="AJ85" i="2"/>
  <c r="AI85" i="2"/>
  <c r="AH85" i="2"/>
  <c r="F103" i="3" s="1"/>
  <c r="AE85" i="2"/>
  <c r="AC85" i="2"/>
  <c r="BA84" i="2"/>
  <c r="AZ84" i="2"/>
  <c r="AY84" i="2"/>
  <c r="AX84" i="2"/>
  <c r="AT84" i="2"/>
  <c r="AJ84" i="2"/>
  <c r="C102" i="3" s="1"/>
  <c r="E102" i="3" s="1"/>
  <c r="AI84" i="2"/>
  <c r="AH84" i="2"/>
  <c r="F102" i="3" s="1"/>
  <c r="AT83" i="2"/>
  <c r="AJ83" i="2"/>
  <c r="C101" i="3" s="1"/>
  <c r="D101" i="3" s="1"/>
  <c r="AI83" i="2"/>
  <c r="AH83" i="2"/>
  <c r="F101" i="3" s="1"/>
  <c r="H101" i="3" s="1"/>
  <c r="BA82" i="2"/>
  <c r="AZ82" i="2"/>
  <c r="AY82" i="2"/>
  <c r="AX82" i="2"/>
  <c r="AJ82" i="2"/>
  <c r="AC82" i="2" s="1"/>
  <c r="AI82" i="2"/>
  <c r="AH82" i="2"/>
  <c r="F100" i="3" s="1"/>
  <c r="AT81" i="2"/>
  <c r="AJ81" i="2"/>
  <c r="AC81" i="2" s="1"/>
  <c r="AI81" i="2"/>
  <c r="AH81" i="2"/>
  <c r="F97" i="3" s="1"/>
  <c r="AJ80" i="2"/>
  <c r="AI80" i="2"/>
  <c r="AH80" i="2"/>
  <c r="F96" i="3" s="1"/>
  <c r="BA79" i="2"/>
  <c r="AZ79" i="2"/>
  <c r="AY79" i="2"/>
  <c r="AX79" i="2"/>
  <c r="AT79" i="2"/>
  <c r="AJ79" i="2"/>
  <c r="C95" i="3" s="1"/>
  <c r="D95" i="3" s="1"/>
  <c r="AI79" i="2"/>
  <c r="AH79" i="2"/>
  <c r="F95" i="3" s="1"/>
  <c r="W79" i="2"/>
  <c r="AT78" i="2"/>
  <c r="AJ78" i="2"/>
  <c r="C92" i="3" s="1"/>
  <c r="E92" i="3" s="1"/>
  <c r="AI78" i="2"/>
  <c r="AH78" i="2"/>
  <c r="F92" i="3" s="1"/>
  <c r="BA77" i="2"/>
  <c r="AZ77" i="2"/>
  <c r="AY77" i="2"/>
  <c r="AX77" i="2"/>
  <c r="AT77" i="2"/>
  <c r="AJ77" i="2"/>
  <c r="C84" i="3" s="1"/>
  <c r="AI77" i="2"/>
  <c r="AH77" i="2"/>
  <c r="F84" i="3" s="1"/>
  <c r="AC77" i="2"/>
  <c r="BA76" i="2"/>
  <c r="AZ76" i="2"/>
  <c r="AY76" i="2"/>
  <c r="AX76" i="2"/>
  <c r="AT76" i="2"/>
  <c r="AJ76" i="2"/>
  <c r="C83" i="3" s="1"/>
  <c r="E83" i="3" s="1"/>
  <c r="AI76" i="2"/>
  <c r="AH76" i="2"/>
  <c r="F83" i="3" s="1"/>
  <c r="BA75" i="2"/>
  <c r="AZ75" i="2"/>
  <c r="AY75" i="2"/>
  <c r="AX75" i="2"/>
  <c r="AT75" i="2"/>
  <c r="AJ75" i="2"/>
  <c r="C80" i="3" s="1"/>
  <c r="E80" i="3" s="1"/>
  <c r="AI75" i="2"/>
  <c r="AH75" i="2"/>
  <c r="AC75" i="2"/>
  <c r="AT74" i="2"/>
  <c r="AJ74" i="2"/>
  <c r="C79" i="3" s="1"/>
  <c r="AI74" i="2"/>
  <c r="AH74" i="2"/>
  <c r="F79" i="3" s="1"/>
  <c r="AT73" i="2"/>
  <c r="AJ73" i="2"/>
  <c r="C71" i="3" s="1"/>
  <c r="E71" i="3" s="1"/>
  <c r="AI73" i="2"/>
  <c r="AH73" i="2"/>
  <c r="F71" i="3" s="1"/>
  <c r="BA72" i="2"/>
  <c r="AZ72" i="2"/>
  <c r="AY72" i="2"/>
  <c r="AX72" i="2"/>
  <c r="AT72" i="2"/>
  <c r="AJ72" i="2"/>
  <c r="C69" i="3" s="1"/>
  <c r="AI72" i="2"/>
  <c r="AH72" i="2"/>
  <c r="F69" i="3" s="1"/>
  <c r="AC72" i="2"/>
  <c r="BA71" i="2"/>
  <c r="AZ71" i="2"/>
  <c r="AY71" i="2"/>
  <c r="AX71" i="2"/>
  <c r="AT71" i="2"/>
  <c r="AJ71" i="2"/>
  <c r="C68" i="3" s="1"/>
  <c r="D68" i="3" s="1"/>
  <c r="AI71" i="2"/>
  <c r="AH71" i="2"/>
  <c r="F68" i="3" s="1"/>
  <c r="BA70" i="2"/>
  <c r="AZ70" i="2"/>
  <c r="AY70" i="2"/>
  <c r="AX70" i="2"/>
  <c r="AT70" i="2"/>
  <c r="AJ70" i="2"/>
  <c r="C55" i="3" s="1"/>
  <c r="AI70" i="2"/>
  <c r="AH70" i="2"/>
  <c r="F55" i="3" s="1"/>
  <c r="BA69" i="2"/>
  <c r="AZ69" i="2"/>
  <c r="AY69" i="2"/>
  <c r="AX69" i="2"/>
  <c r="AT69" i="2"/>
  <c r="AJ69" i="2"/>
  <c r="C54" i="3" s="1"/>
  <c r="AI69" i="2"/>
  <c r="AH69" i="2"/>
  <c r="F54" i="3" s="1"/>
  <c r="AJ68" i="2"/>
  <c r="C51" i="3" s="1"/>
  <c r="AI68" i="2"/>
  <c r="AH68" i="2"/>
  <c r="F51" i="3" s="1"/>
  <c r="BA67" i="2"/>
  <c r="AZ67" i="2"/>
  <c r="AY67" i="2"/>
  <c r="AX67" i="2"/>
  <c r="AT67" i="2"/>
  <c r="AJ67" i="2"/>
  <c r="C48" i="3" s="1"/>
  <c r="AI67" i="2"/>
  <c r="AH67" i="2"/>
  <c r="F48" i="3" s="1"/>
  <c r="AT66" i="2"/>
  <c r="AJ66" i="2"/>
  <c r="C40" i="3" s="1"/>
  <c r="AI66" i="2"/>
  <c r="AH66" i="2"/>
  <c r="AT65" i="2"/>
  <c r="AJ65" i="2"/>
  <c r="C39" i="3" s="1"/>
  <c r="AI65" i="2"/>
  <c r="AH65" i="2"/>
  <c r="F39" i="3" s="1"/>
  <c r="AC65" i="2"/>
  <c r="BA64" i="2"/>
  <c r="AZ64" i="2"/>
  <c r="AY64" i="2"/>
  <c r="AX64" i="2"/>
  <c r="AT64" i="2"/>
  <c r="AJ64" i="2"/>
  <c r="AC64" i="2" s="1"/>
  <c r="AI64" i="2"/>
  <c r="AH64" i="2"/>
  <c r="F33" i="3" s="1"/>
  <c r="BA63" i="2"/>
  <c r="AZ63" i="2"/>
  <c r="AY63" i="2"/>
  <c r="AX63" i="2"/>
  <c r="AT63" i="2"/>
  <c r="AJ63" i="2"/>
  <c r="C32" i="3" s="1"/>
  <c r="D32" i="3" s="1"/>
  <c r="AI63" i="2"/>
  <c r="AH63" i="2"/>
  <c r="F32" i="3" s="1"/>
  <c r="BA62" i="2"/>
  <c r="AZ62" i="2"/>
  <c r="AY62" i="2"/>
  <c r="AX62" i="2"/>
  <c r="AT62" i="2"/>
  <c r="AJ62" i="2"/>
  <c r="C29" i="3" s="1"/>
  <c r="E29" i="3" s="1"/>
  <c r="AI62" i="2"/>
  <c r="AH62" i="2"/>
  <c r="F29" i="3" s="1"/>
  <c r="AC62" i="2"/>
  <c r="BA61" i="2"/>
  <c r="AZ61" i="2"/>
  <c r="AY61" i="2"/>
  <c r="AX61" i="2"/>
  <c r="AT61" i="2"/>
  <c r="AJ61" i="2"/>
  <c r="C27" i="3" s="1"/>
  <c r="AI61" i="2"/>
  <c r="AH61" i="2"/>
  <c r="F27" i="3" s="1"/>
  <c r="AC61" i="2"/>
  <c r="BA60" i="2"/>
  <c r="AZ60" i="2"/>
  <c r="AY60" i="2"/>
  <c r="AX60" i="2"/>
  <c r="AT60" i="2"/>
  <c r="AJ60" i="2"/>
  <c r="C110" i="3" s="1"/>
  <c r="AI60" i="2"/>
  <c r="AH60" i="2"/>
  <c r="F110" i="3" s="1"/>
  <c r="H110" i="3" s="1"/>
  <c r="AJ59" i="2"/>
  <c r="AI59" i="2"/>
  <c r="AH59" i="2"/>
  <c r="F114" i="3" s="1"/>
  <c r="G114" i="3" s="1"/>
  <c r="BA58" i="2"/>
  <c r="AZ58" i="2"/>
  <c r="AY58" i="2"/>
  <c r="AX58" i="2"/>
  <c r="AT58" i="2"/>
  <c r="AJ58" i="2"/>
  <c r="C104" i="3" s="1"/>
  <c r="AI58" i="2"/>
  <c r="AH58" i="2"/>
  <c r="F104" i="3" s="1"/>
  <c r="H104" i="3" s="1"/>
  <c r="AJ57" i="2"/>
  <c r="C112" i="3" s="1"/>
  <c r="D112" i="3" s="1"/>
  <c r="AI57" i="2"/>
  <c r="AH57" i="2"/>
  <c r="F112" i="3" s="1"/>
  <c r="BA56" i="2"/>
  <c r="AZ56" i="2"/>
  <c r="AY56" i="2"/>
  <c r="AX56" i="2"/>
  <c r="AT56" i="2"/>
  <c r="AJ56" i="2"/>
  <c r="C91" i="3" s="1"/>
  <c r="AH56" i="2"/>
  <c r="F91" i="3" s="1"/>
  <c r="AT55" i="2"/>
  <c r="AJ55" i="2"/>
  <c r="C85" i="3" s="1"/>
  <c r="AI55" i="2"/>
  <c r="AH55" i="2"/>
  <c r="F85" i="3" s="1"/>
  <c r="BA54" i="2"/>
  <c r="AZ54" i="2"/>
  <c r="AY54" i="2"/>
  <c r="AX54" i="2"/>
  <c r="AT54" i="2"/>
  <c r="AJ54" i="2"/>
  <c r="AI54" i="2"/>
  <c r="AH54" i="2"/>
  <c r="F78" i="3" s="1"/>
  <c r="AC54" i="2"/>
  <c r="BA53" i="2"/>
  <c r="AZ53" i="2"/>
  <c r="AY53" i="2"/>
  <c r="AX53" i="2"/>
  <c r="AT53" i="2"/>
  <c r="AJ53" i="2"/>
  <c r="C77" i="3" s="1"/>
  <c r="E77" i="3" s="1"/>
  <c r="AI53" i="2"/>
  <c r="AH53" i="2"/>
  <c r="F77" i="3" s="1"/>
  <c r="AT52" i="2"/>
  <c r="AJ52" i="2"/>
  <c r="AC52" i="2" s="1"/>
  <c r="AI52" i="2"/>
  <c r="AH52" i="2"/>
  <c r="F70" i="3" s="1"/>
  <c r="AT51" i="2"/>
  <c r="AJ51" i="2"/>
  <c r="C59" i="3" s="1"/>
  <c r="E59" i="3" s="1"/>
  <c r="AI51" i="2"/>
  <c r="AH51" i="2"/>
  <c r="F59" i="3" s="1"/>
  <c r="AT50" i="2"/>
  <c r="AJ50" i="2"/>
  <c r="C56" i="3" s="1"/>
  <c r="E56" i="3" s="1"/>
  <c r="AI50" i="2"/>
  <c r="AH50" i="2"/>
  <c r="F56" i="3" s="1"/>
  <c r="AC50" i="2"/>
  <c r="AT49" i="2"/>
  <c r="AJ49" i="2"/>
  <c r="AI49" i="2"/>
  <c r="AH49" i="2"/>
  <c r="F24" i="3" s="1"/>
  <c r="AC49" i="2"/>
  <c r="AT48" i="2"/>
  <c r="AJ48" i="2"/>
  <c r="AC48" i="2" s="1"/>
  <c r="AI48" i="2"/>
  <c r="AH48" i="2"/>
  <c r="F18" i="3" s="1"/>
  <c r="AT47" i="2"/>
  <c r="AJ47" i="2"/>
  <c r="C15" i="3" s="1"/>
  <c r="AI47" i="2"/>
  <c r="AH47" i="2"/>
  <c r="F15" i="3" s="1"/>
  <c r="AT46" i="2"/>
  <c r="AJ46" i="2"/>
  <c r="C11" i="3" s="1"/>
  <c r="AI46" i="2"/>
  <c r="AH46" i="2"/>
  <c r="F11" i="3" s="1"/>
  <c r="AJ45" i="2"/>
  <c r="AI45" i="2" s="1"/>
  <c r="AH45" i="2"/>
  <c r="F109" i="3" s="1"/>
  <c r="G109" i="3" s="1"/>
  <c r="AT44" i="2"/>
  <c r="AJ44" i="2"/>
  <c r="C94" i="3" s="1"/>
  <c r="AH44" i="2"/>
  <c r="AC44" i="2"/>
  <c r="BA43" i="2"/>
  <c r="AZ43" i="2"/>
  <c r="AY43" i="2"/>
  <c r="AX43" i="2"/>
  <c r="AJ43" i="2"/>
  <c r="C89" i="3" s="1"/>
  <c r="E89" i="3" s="1"/>
  <c r="AI43" i="2"/>
  <c r="AH43" i="2"/>
  <c r="F89" i="3" s="1"/>
  <c r="AC43" i="2"/>
  <c r="AJ42" i="2"/>
  <c r="C88" i="3" s="1"/>
  <c r="AI42" i="2"/>
  <c r="AH42" i="2"/>
  <c r="F88" i="3" s="1"/>
  <c r="AJ41" i="2"/>
  <c r="C87" i="3" s="1"/>
  <c r="AI41" i="2"/>
  <c r="AH41" i="2"/>
  <c r="F87" i="3" s="1"/>
  <c r="AT40" i="2"/>
  <c r="AJ40" i="2"/>
  <c r="C86" i="3" s="1"/>
  <c r="D86" i="3" s="1"/>
  <c r="AI40" i="2"/>
  <c r="AH40" i="2"/>
  <c r="F86" i="3" s="1"/>
  <c r="AC40" i="2"/>
  <c r="BA39" i="2"/>
  <c r="AZ39" i="2"/>
  <c r="AY39" i="2"/>
  <c r="AX39" i="2"/>
  <c r="AT39" i="2"/>
  <c r="AJ39" i="2"/>
  <c r="AC39" i="2" s="1"/>
  <c r="AI39" i="2"/>
  <c r="AH39" i="2"/>
  <c r="F90" i="3" s="1"/>
  <c r="AJ38" i="2"/>
  <c r="C74" i="3" s="1"/>
  <c r="E74" i="3" s="1"/>
  <c r="AI38" i="2"/>
  <c r="AH38" i="2"/>
  <c r="F74" i="3" s="1"/>
  <c r="AC38" i="2"/>
  <c r="AJ37" i="2"/>
  <c r="C73" i="3" s="1"/>
  <c r="AI37" i="2"/>
  <c r="AH37" i="2"/>
  <c r="F73" i="3" s="1"/>
  <c r="AT36" i="2"/>
  <c r="AJ36" i="2"/>
  <c r="C65" i="3" s="1"/>
  <c r="E65" i="3" s="1"/>
  <c r="AI36" i="2"/>
  <c r="AH36" i="2"/>
  <c r="F65" i="3" s="1"/>
  <c r="AT35" i="2"/>
  <c r="AJ35" i="2"/>
  <c r="AI35" i="2"/>
  <c r="AH35" i="2"/>
  <c r="F64" i="3" s="1"/>
  <c r="AC35" i="2"/>
  <c r="AT34" i="2"/>
  <c r="AJ34" i="2"/>
  <c r="C62" i="3" s="1"/>
  <c r="E62" i="3" s="1"/>
  <c r="AI34" i="2"/>
  <c r="AH34" i="2"/>
  <c r="F62" i="3" s="1"/>
  <c r="AJ33" i="2"/>
  <c r="C47" i="3" s="1"/>
  <c r="E47" i="3" s="1"/>
  <c r="AI33" i="2"/>
  <c r="AH33" i="2"/>
  <c r="F47" i="3" s="1"/>
  <c r="AT32" i="2"/>
  <c r="AJ32" i="2"/>
  <c r="C106" i="3" s="1"/>
  <c r="AI32" i="2"/>
  <c r="AH32" i="2"/>
  <c r="AC32" i="2"/>
  <c r="AT31" i="2"/>
  <c r="AJ31" i="2"/>
  <c r="AC31" i="2" s="1"/>
  <c r="AI31" i="2"/>
  <c r="AH31" i="2"/>
  <c r="BA30" i="2"/>
  <c r="AZ30" i="2"/>
  <c r="AY30" i="2"/>
  <c r="AX30" i="2"/>
  <c r="AT30" i="2"/>
  <c r="AJ30" i="2"/>
  <c r="C81" i="3" s="1"/>
  <c r="AI30" i="2"/>
  <c r="AH30" i="2"/>
  <c r="F81" i="3" s="1"/>
  <c r="AC30" i="2"/>
  <c r="AJ29" i="2"/>
  <c r="C57" i="3" s="1"/>
  <c r="AI29" i="2"/>
  <c r="AH29" i="2"/>
  <c r="AJ28" i="2"/>
  <c r="C53" i="3" s="1"/>
  <c r="E53" i="3" s="1"/>
  <c r="AI28" i="2"/>
  <c r="AH28" i="2"/>
  <c r="F53" i="3" s="1"/>
  <c r="AT27" i="2"/>
  <c r="AJ27" i="2"/>
  <c r="C28" i="3" s="1"/>
  <c r="AI27" i="2"/>
  <c r="AH27" i="2"/>
  <c r="F28" i="3" s="1"/>
  <c r="AT26" i="2"/>
  <c r="AJ26" i="2"/>
  <c r="C26" i="3" s="1"/>
  <c r="E26" i="3" s="1"/>
  <c r="AI26" i="2"/>
  <c r="AH26" i="2"/>
  <c r="AT25" i="2"/>
  <c r="AJ25" i="2"/>
  <c r="C17" i="3" s="1"/>
  <c r="E17" i="3" s="1"/>
  <c r="AI25" i="2"/>
  <c r="AH25" i="2"/>
  <c r="F17" i="3" s="1"/>
  <c r="AC25" i="2"/>
  <c r="AT24" i="2"/>
  <c r="AJ24" i="2"/>
  <c r="C14" i="3" s="1"/>
  <c r="D14" i="3" s="1"/>
  <c r="AI24" i="2"/>
  <c r="AH24" i="2"/>
  <c r="F14" i="3" s="1"/>
  <c r="AT23" i="2"/>
  <c r="AJ23" i="2"/>
  <c r="C10" i="3" s="1"/>
  <c r="AI23" i="2"/>
  <c r="AH23" i="2"/>
  <c r="F10" i="3" s="1"/>
  <c r="AC23" i="2"/>
  <c r="AT22" i="2"/>
  <c r="AJ22" i="2"/>
  <c r="C9" i="3" s="1"/>
  <c r="AI22" i="2"/>
  <c r="AH22" i="2"/>
  <c r="F9" i="3" s="1"/>
  <c r="AC22" i="2"/>
  <c r="AT21" i="2"/>
  <c r="AJ21" i="2"/>
  <c r="C8" i="3" s="1"/>
  <c r="AI21" i="2"/>
  <c r="AH21" i="2"/>
  <c r="F8" i="3" s="1"/>
  <c r="AT20" i="2"/>
  <c r="AJ20" i="2"/>
  <c r="C108" i="3" s="1"/>
  <c r="E108" i="3" s="1"/>
  <c r="AI20" i="2"/>
  <c r="AH20" i="2"/>
  <c r="F108" i="3" s="1"/>
  <c r="AC20" i="2"/>
  <c r="BA19" i="2"/>
  <c r="AZ19" i="2"/>
  <c r="AY19" i="2"/>
  <c r="AX19" i="2"/>
  <c r="AT19" i="2"/>
  <c r="AJ19" i="2"/>
  <c r="C105" i="3" s="1"/>
  <c r="D105" i="3" s="1"/>
  <c r="AI19" i="2"/>
  <c r="AH19" i="2"/>
  <c r="F105" i="3" s="1"/>
  <c r="AE19" i="2"/>
  <c r="AC19" i="2"/>
  <c r="AT18" i="2"/>
  <c r="AJ18" i="2"/>
  <c r="C63" i="3" s="1"/>
  <c r="AI18" i="2"/>
  <c r="AH18" i="2"/>
  <c r="F63" i="3" s="1"/>
  <c r="AC18" i="2"/>
  <c r="AT17" i="2"/>
  <c r="AJ17" i="2"/>
  <c r="C58" i="3" s="1"/>
  <c r="AI17" i="2"/>
  <c r="AH17" i="2"/>
  <c r="AT15" i="2"/>
  <c r="AJ15" i="2"/>
  <c r="AC15" i="2" s="1"/>
  <c r="AI15" i="2"/>
  <c r="AH15" i="2"/>
  <c r="F52" i="3" s="1"/>
  <c r="AT14" i="2"/>
  <c r="AJ14" i="2"/>
  <c r="AC14" i="2" s="1"/>
  <c r="AI14" i="2"/>
  <c r="AH14" i="2"/>
  <c r="F30" i="3" s="1"/>
  <c r="BA13" i="2"/>
  <c r="AZ13" i="2"/>
  <c r="AY13" i="2"/>
  <c r="AX13" i="2"/>
  <c r="AT13" i="2"/>
  <c r="AJ13" i="2"/>
  <c r="C19" i="3" s="1"/>
  <c r="AI13" i="2"/>
  <c r="AH13" i="2"/>
  <c r="F19" i="3" s="1"/>
  <c r="AC13" i="2"/>
  <c r="BA12" i="2"/>
  <c r="AZ12" i="2"/>
  <c r="AY12" i="2"/>
  <c r="AX12" i="2"/>
  <c r="AT12" i="2"/>
  <c r="AJ12" i="2"/>
  <c r="C76" i="3" s="1"/>
  <c r="AI12" i="2"/>
  <c r="AH12" i="2"/>
  <c r="AC12" i="2"/>
  <c r="BA11" i="2"/>
  <c r="AZ11" i="2"/>
  <c r="AY11" i="2"/>
  <c r="AX11" i="2"/>
  <c r="AT11" i="2"/>
  <c r="AJ11" i="2"/>
  <c r="C75" i="3" s="1"/>
  <c r="AI11" i="2"/>
  <c r="AH11" i="2"/>
  <c r="AC11" i="2"/>
  <c r="BA10" i="2"/>
  <c r="AZ10" i="2"/>
  <c r="AY10" i="2"/>
  <c r="AX10" i="2"/>
  <c r="AT10" i="2"/>
  <c r="AJ10" i="2"/>
  <c r="AC10" i="2" s="1"/>
  <c r="AI10" i="2"/>
  <c r="AH10" i="2"/>
  <c r="F67" i="3" s="1"/>
  <c r="BA9" i="2"/>
  <c r="AZ9" i="2"/>
  <c r="AY9" i="2"/>
  <c r="AX9" i="2"/>
  <c r="AT9" i="2"/>
  <c r="AJ9" i="2"/>
  <c r="C66" i="3" s="1"/>
  <c r="AI9" i="2"/>
  <c r="AH9" i="2"/>
  <c r="F66" i="3" s="1"/>
  <c r="AC9" i="2"/>
  <c r="AT8" i="2"/>
  <c r="AJ8" i="2"/>
  <c r="AC8" i="2" s="1"/>
  <c r="AI8" i="2"/>
  <c r="AH8" i="2"/>
  <c r="F42" i="3" s="1"/>
  <c r="AT7" i="2"/>
  <c r="AJ7" i="2"/>
  <c r="C41" i="3" s="1"/>
  <c r="D41" i="3" s="1"/>
  <c r="AI7" i="2"/>
  <c r="AH7" i="2"/>
  <c r="F41" i="3" s="1"/>
  <c r="E40" i="3" l="1"/>
  <c r="D40" i="3"/>
  <c r="E51" i="3"/>
  <c r="D51" i="3"/>
  <c r="G84" i="3"/>
  <c r="H84" i="3"/>
  <c r="H97" i="3"/>
  <c r="G97" i="3"/>
  <c r="E7" i="3"/>
  <c r="D7" i="3"/>
  <c r="D72" i="3"/>
  <c r="E72" i="3"/>
  <c r="H13" i="3"/>
  <c r="G13" i="3"/>
  <c r="H119" i="3"/>
  <c r="G119" i="3"/>
  <c r="E75" i="3"/>
  <c r="D75" i="3"/>
  <c r="G24" i="3"/>
  <c r="H24" i="3"/>
  <c r="G63" i="3"/>
  <c r="H63" i="3"/>
  <c r="G9" i="3"/>
  <c r="H9" i="3"/>
  <c r="E28" i="3"/>
  <c r="D28" i="3"/>
  <c r="E106" i="3"/>
  <c r="D106" i="3"/>
  <c r="D11" i="3"/>
  <c r="E11" i="3"/>
  <c r="H32" i="3"/>
  <c r="G32" i="3"/>
  <c r="H95" i="3"/>
  <c r="G95" i="3"/>
  <c r="G3" i="3"/>
  <c r="H3" i="3"/>
  <c r="G12" i="3"/>
  <c r="H12" i="3"/>
  <c r="H67" i="3"/>
  <c r="G67" i="3"/>
  <c r="G70" i="3"/>
  <c r="H70" i="3"/>
  <c r="G54" i="3"/>
  <c r="H54" i="3"/>
  <c r="G103" i="3"/>
  <c r="H103" i="3"/>
  <c r="G36" i="3"/>
  <c r="H36" i="3"/>
  <c r="G90" i="3"/>
  <c r="H90" i="3"/>
  <c r="G78" i="3"/>
  <c r="H78" i="3"/>
  <c r="H91" i="3"/>
  <c r="G91" i="3"/>
  <c r="G48" i="3"/>
  <c r="H48" i="3"/>
  <c r="G69" i="3"/>
  <c r="H69" i="3"/>
  <c r="G79" i="3"/>
  <c r="H79" i="3"/>
  <c r="E84" i="3"/>
  <c r="D84" i="3"/>
  <c r="E22" i="3"/>
  <c r="D22" i="3"/>
  <c r="H82" i="3"/>
  <c r="G82" i="3"/>
  <c r="H64" i="3"/>
  <c r="G64" i="3"/>
  <c r="D37" i="3"/>
  <c r="E37" i="3"/>
  <c r="D63" i="3"/>
  <c r="E63" i="3"/>
  <c r="E9" i="3"/>
  <c r="D9" i="3"/>
  <c r="G17" i="3"/>
  <c r="H17" i="3"/>
  <c r="G53" i="3"/>
  <c r="H53" i="3"/>
  <c r="H47" i="3"/>
  <c r="G47" i="3"/>
  <c r="H65" i="3"/>
  <c r="G65" i="3"/>
  <c r="G87" i="3"/>
  <c r="H87" i="3"/>
  <c r="G15" i="3"/>
  <c r="H15" i="3"/>
  <c r="D91" i="3"/>
  <c r="E91" i="3"/>
  <c r="D54" i="3"/>
  <c r="E54" i="3"/>
  <c r="H83" i="3"/>
  <c r="G83" i="3"/>
  <c r="H102" i="3"/>
  <c r="G102" i="3"/>
  <c r="E3" i="3"/>
  <c r="D3" i="3"/>
  <c r="G34" i="3"/>
  <c r="H34" i="3"/>
  <c r="E12" i="3"/>
  <c r="D12" i="3"/>
  <c r="H5" i="3"/>
  <c r="G5" i="3"/>
  <c r="D36" i="3"/>
  <c r="E36" i="3"/>
  <c r="H11" i="3"/>
  <c r="G11" i="3"/>
  <c r="D55" i="3"/>
  <c r="E55" i="3"/>
  <c r="G30" i="3"/>
  <c r="H30" i="3"/>
  <c r="G25" i="3"/>
  <c r="H25" i="3"/>
  <c r="H23" i="3"/>
  <c r="G23" i="3"/>
  <c r="H31" i="3"/>
  <c r="G31" i="3"/>
  <c r="D45" i="3"/>
  <c r="E45" i="3"/>
  <c r="F2" i="11"/>
  <c r="L17" i="11"/>
  <c r="H74" i="3"/>
  <c r="G74" i="3"/>
  <c r="H37" i="3"/>
  <c r="G37" i="3"/>
  <c r="G52" i="3"/>
  <c r="H52" i="3"/>
  <c r="E69" i="3"/>
  <c r="D69" i="3"/>
  <c r="G100" i="3"/>
  <c r="H100" i="3"/>
  <c r="G16" i="3"/>
  <c r="H16" i="3"/>
  <c r="E87" i="3"/>
  <c r="D87" i="3"/>
  <c r="E15" i="3"/>
  <c r="D15" i="3"/>
  <c r="H56" i="3"/>
  <c r="G56" i="3"/>
  <c r="H77" i="3"/>
  <c r="G77" i="3"/>
  <c r="H29" i="3"/>
  <c r="G29" i="3"/>
  <c r="H68" i="3"/>
  <c r="G68" i="3"/>
  <c r="H46" i="3"/>
  <c r="G46" i="3"/>
  <c r="G60" i="3"/>
  <c r="H60" i="3"/>
  <c r="D5" i="3"/>
  <c r="E5" i="3"/>
  <c r="H3" i="4"/>
  <c r="G3" i="4"/>
  <c r="E49" i="3"/>
  <c r="D49" i="3"/>
  <c r="E79" i="3"/>
  <c r="D79" i="3"/>
  <c r="G66" i="3"/>
  <c r="H66" i="3"/>
  <c r="D19" i="3"/>
  <c r="E19" i="3"/>
  <c r="H38" i="3"/>
  <c r="G38" i="3"/>
  <c r="G61" i="3"/>
  <c r="H61" i="3"/>
  <c r="D20" i="4"/>
  <c r="E20" i="4"/>
  <c r="E25" i="3"/>
  <c r="D25" i="3"/>
  <c r="E66" i="3"/>
  <c r="D66" i="3"/>
  <c r="H105" i="3"/>
  <c r="G105" i="3"/>
  <c r="H73" i="3"/>
  <c r="G73" i="3"/>
  <c r="E94" i="3"/>
  <c r="D94" i="3"/>
  <c r="G18" i="3"/>
  <c r="H18" i="3"/>
  <c r="G35" i="3"/>
  <c r="H35" i="3"/>
  <c r="H20" i="3"/>
  <c r="G20" i="3"/>
  <c r="D81" i="3"/>
  <c r="E81" i="3"/>
  <c r="E85" i="3"/>
  <c r="D85" i="3"/>
  <c r="H10" i="3"/>
  <c r="G10" i="3"/>
  <c r="H62" i="3"/>
  <c r="G62" i="3"/>
  <c r="G88" i="3"/>
  <c r="H88" i="3"/>
  <c r="G39" i="3"/>
  <c r="H39" i="3"/>
  <c r="H41" i="3"/>
  <c r="G41" i="3"/>
  <c r="H8" i="3"/>
  <c r="G8" i="3"/>
  <c r="E10" i="3"/>
  <c r="D10" i="3"/>
  <c r="E57" i="3"/>
  <c r="D57" i="3"/>
  <c r="E88" i="3"/>
  <c r="D88" i="3"/>
  <c r="G27" i="3"/>
  <c r="H27" i="3"/>
  <c r="E39" i="3"/>
  <c r="D39" i="3"/>
  <c r="H92" i="3"/>
  <c r="G92" i="3"/>
  <c r="G43" i="3"/>
  <c r="H43" i="3"/>
  <c r="G6" i="3"/>
  <c r="H6" i="3"/>
  <c r="H86" i="3"/>
  <c r="G86" i="3"/>
  <c r="H19" i="3"/>
  <c r="G19" i="3"/>
  <c r="H59" i="3"/>
  <c r="G59" i="3"/>
  <c r="H112" i="3"/>
  <c r="G112" i="3"/>
  <c r="G33" i="3"/>
  <c r="H33" i="3"/>
  <c r="H55" i="3"/>
  <c r="G55" i="3"/>
  <c r="H96" i="3"/>
  <c r="G96" i="3"/>
  <c r="H49" i="3"/>
  <c r="G49" i="3"/>
  <c r="H28" i="3"/>
  <c r="G28" i="3"/>
  <c r="H99" i="3"/>
  <c r="G99" i="3"/>
  <c r="G42" i="3"/>
  <c r="H42" i="3"/>
  <c r="H108" i="3"/>
  <c r="G108" i="3"/>
  <c r="E48" i="3"/>
  <c r="D48" i="3"/>
  <c r="E76" i="3"/>
  <c r="D76" i="3"/>
  <c r="D73" i="3"/>
  <c r="E73" i="3"/>
  <c r="E58" i="3"/>
  <c r="D58" i="3"/>
  <c r="D8" i="3"/>
  <c r="E8" i="3"/>
  <c r="H14" i="3"/>
  <c r="G14" i="3"/>
  <c r="G81" i="3"/>
  <c r="H81" i="3"/>
  <c r="G89" i="3"/>
  <c r="H89" i="3"/>
  <c r="H85" i="3"/>
  <c r="G85" i="3"/>
  <c r="D27" i="3"/>
  <c r="E27" i="3"/>
  <c r="G51" i="3"/>
  <c r="H51" i="3"/>
  <c r="G71" i="3"/>
  <c r="H71" i="3"/>
  <c r="H4" i="3"/>
  <c r="G4" i="3"/>
  <c r="H7" i="3"/>
  <c r="G7" i="3"/>
  <c r="E116" i="3"/>
  <c r="D116" i="3"/>
  <c r="E43" i="3"/>
  <c r="D43" i="3"/>
  <c r="G72" i="3"/>
  <c r="H72" i="3"/>
  <c r="E6" i="3"/>
  <c r="D6" i="3"/>
  <c r="E115" i="3"/>
  <c r="D115" i="3"/>
  <c r="D117" i="3"/>
  <c r="E117" i="3"/>
  <c r="C16" i="3"/>
  <c r="G22" i="3"/>
  <c r="D24" i="3"/>
  <c r="D29" i="3"/>
  <c r="G40" i="3"/>
  <c r="D42" i="3"/>
  <c r="D47" i="3"/>
  <c r="C52" i="3"/>
  <c r="G58" i="3"/>
  <c r="D60" i="3"/>
  <c r="D65" i="3"/>
  <c r="C70" i="3"/>
  <c r="G76" i="3"/>
  <c r="D78" i="3"/>
  <c r="D83" i="3"/>
  <c r="G94" i="3"/>
  <c r="D96" i="3"/>
  <c r="D100" i="3"/>
  <c r="H106" i="3"/>
  <c r="C109" i="3"/>
  <c r="G111" i="3"/>
  <c r="E114" i="3"/>
  <c r="H4" i="4"/>
  <c r="G4" i="4"/>
  <c r="D10" i="4"/>
  <c r="H15" i="4"/>
  <c r="G15" i="4"/>
  <c r="E32" i="4"/>
  <c r="H32" i="4"/>
  <c r="G32" i="4"/>
  <c r="H16" i="4"/>
  <c r="G16" i="4"/>
  <c r="J26" i="13"/>
  <c r="AD26" i="13" s="1"/>
  <c r="I26" i="13"/>
  <c r="H26" i="13"/>
  <c r="E107" i="3"/>
  <c r="D107" i="3"/>
  <c r="AC27" i="2"/>
  <c r="AC47" i="2"/>
  <c r="AC55" i="2"/>
  <c r="AC67" i="2"/>
  <c r="AC69" i="2"/>
  <c r="AC73" i="2"/>
  <c r="AC92" i="2"/>
  <c r="D34" i="3"/>
  <c r="G50" i="3"/>
  <c r="C93" i="3"/>
  <c r="E98" i="3"/>
  <c r="H114" i="3"/>
  <c r="G35" i="4"/>
  <c r="H35" i="4"/>
  <c r="D14" i="6"/>
  <c r="I14" i="6" s="1"/>
  <c r="L93" i="5"/>
  <c r="G123" i="5"/>
  <c r="H7" i="6"/>
  <c r="H16" i="6" s="1"/>
  <c r="K123" i="5"/>
  <c r="AC7" i="2"/>
  <c r="AI44" i="2"/>
  <c r="AC78" i="2"/>
  <c r="AC84" i="2"/>
  <c r="AC119" i="2"/>
  <c r="G2" i="3"/>
  <c r="C4" i="3"/>
  <c r="C13" i="3"/>
  <c r="D21" i="3"/>
  <c r="D26" i="3"/>
  <c r="D62" i="3"/>
  <c r="C67" i="3"/>
  <c r="D80" i="3"/>
  <c r="G98" i="3"/>
  <c r="D118" i="3"/>
  <c r="H13" i="4"/>
  <c r="H21" i="4"/>
  <c r="D24" i="4"/>
  <c r="J14" i="6"/>
  <c r="K15" i="6"/>
  <c r="G10" i="4"/>
  <c r="H10" i="4"/>
  <c r="H29" i="4"/>
  <c r="G29" i="4"/>
  <c r="C18" i="3"/>
  <c r="C90" i="3"/>
  <c r="H109" i="3"/>
  <c r="G118" i="3"/>
  <c r="G16" i="6"/>
  <c r="H21" i="3"/>
  <c r="G26" i="3"/>
  <c r="C33" i="3"/>
  <c r="E41" i="3"/>
  <c r="G44" i="3"/>
  <c r="D46" i="3"/>
  <c r="H57" i="3"/>
  <c r="D64" i="3"/>
  <c r="H75" i="3"/>
  <c r="G80" i="3"/>
  <c r="D82" i="3"/>
  <c r="H93" i="3"/>
  <c r="E95" i="3"/>
  <c r="C97" i="3"/>
  <c r="D103" i="3"/>
  <c r="AC17" i="2"/>
  <c r="AC56" i="2"/>
  <c r="AC58" i="2"/>
  <c r="AC60" i="2"/>
  <c r="AC74" i="2"/>
  <c r="H113" i="3"/>
  <c r="G113" i="3"/>
  <c r="AC105" i="2"/>
  <c r="AC109" i="2"/>
  <c r="AC115" i="2"/>
  <c r="AC123" i="2"/>
  <c r="E119" i="3"/>
  <c r="D119" i="3"/>
  <c r="D20" i="3"/>
  <c r="D56" i="3"/>
  <c r="C61" i="3"/>
  <c r="D74" i="3"/>
  <c r="D92" i="3"/>
  <c r="D99" i="3"/>
  <c r="E101" i="3"/>
  <c r="G110" i="3"/>
  <c r="D28" i="4"/>
  <c r="F123" i="5"/>
  <c r="C7" i="6"/>
  <c r="L7" i="5"/>
  <c r="J147" i="13"/>
  <c r="AD147" i="13" s="1"/>
  <c r="H147" i="13"/>
  <c r="I147" i="13"/>
  <c r="E19" i="4"/>
  <c r="D19" i="4"/>
  <c r="AC53" i="2"/>
  <c r="AC71" i="2"/>
  <c r="C30" i="3"/>
  <c r="G101" i="3"/>
  <c r="D108" i="3"/>
  <c r="G116" i="3"/>
  <c r="D9" i="4"/>
  <c r="E9" i="4"/>
  <c r="D17" i="4"/>
  <c r="J145" i="13"/>
  <c r="AD145" i="13" s="1"/>
  <c r="H145" i="13"/>
  <c r="I145" i="13"/>
  <c r="AC21" i="2"/>
  <c r="AC26" i="2"/>
  <c r="AC36" i="2"/>
  <c r="AC46" i="2"/>
  <c r="AI56" i="2"/>
  <c r="AC66" i="2"/>
  <c r="AC76" i="2"/>
  <c r="AC79" i="2"/>
  <c r="AC91" i="2"/>
  <c r="D17" i="3"/>
  <c r="D35" i="3"/>
  <c r="D53" i="3"/>
  <c r="D71" i="3"/>
  <c r="D89" i="3"/>
  <c r="D113" i="3"/>
  <c r="G6" i="4"/>
  <c r="D12" i="4"/>
  <c r="D34" i="4"/>
  <c r="E16" i="6"/>
  <c r="J7" i="6"/>
  <c r="AC51" i="2"/>
  <c r="E104" i="3"/>
  <c r="D104" i="3"/>
  <c r="E110" i="3"/>
  <c r="D110" i="3"/>
  <c r="AC63" i="2"/>
  <c r="AC83" i="2"/>
  <c r="AC94" i="2"/>
  <c r="AC122" i="2"/>
  <c r="AC24" i="2"/>
  <c r="AC34" i="2"/>
  <c r="AC70" i="2"/>
  <c r="H115" i="3"/>
  <c r="G115" i="3"/>
  <c r="E111" i="3"/>
  <c r="H20" i="4"/>
  <c r="G20" i="4"/>
  <c r="J123" i="5"/>
  <c r="L3" i="12"/>
  <c r="H34" i="4"/>
  <c r="G34" i="4"/>
  <c r="L20" i="5"/>
  <c r="C11" i="6"/>
  <c r="I11" i="6" s="1"/>
  <c r="K11" i="6" s="1"/>
  <c r="L60" i="5"/>
  <c r="L73" i="5"/>
  <c r="I123" i="5"/>
  <c r="C9" i="6"/>
  <c r="I9" i="6" s="1"/>
  <c r="K9" i="6" s="1"/>
  <c r="J55" i="13"/>
  <c r="AD55" i="13" s="1"/>
  <c r="H55" i="13"/>
  <c r="J57" i="13"/>
  <c r="AD57" i="13" s="1"/>
  <c r="H57" i="13"/>
  <c r="I57" i="13"/>
  <c r="J73" i="13"/>
  <c r="AD73" i="13" s="1"/>
  <c r="H73" i="13"/>
  <c r="J75" i="13"/>
  <c r="AD75" i="13" s="1"/>
  <c r="H75" i="13"/>
  <c r="I75" i="13"/>
  <c r="J91" i="13"/>
  <c r="AD91" i="13" s="1"/>
  <c r="H91" i="13"/>
  <c r="J93" i="13"/>
  <c r="AD93" i="13" s="1"/>
  <c r="H93" i="13"/>
  <c r="I93" i="13"/>
  <c r="J109" i="13"/>
  <c r="AD109" i="13" s="1"/>
  <c r="H109" i="13"/>
  <c r="J111" i="13"/>
  <c r="AD111" i="13" s="1"/>
  <c r="H111" i="13"/>
  <c r="I111" i="13"/>
  <c r="J127" i="13"/>
  <c r="AD127" i="13" s="1"/>
  <c r="H127" i="13"/>
  <c r="J129" i="13"/>
  <c r="AD129" i="13" s="1"/>
  <c r="H129" i="13"/>
  <c r="I129" i="13"/>
  <c r="I73" i="13"/>
  <c r="I91" i="13"/>
  <c r="I109" i="13"/>
  <c r="I127" i="13"/>
  <c r="F16" i="6"/>
  <c r="D16" i="6"/>
  <c r="I3" i="11"/>
  <c r="H3" i="11"/>
  <c r="G3" i="11"/>
  <c r="J24" i="13"/>
  <c r="AD24" i="13" s="1"/>
  <c r="I24" i="13"/>
  <c r="H24" i="13"/>
  <c r="H22" i="4"/>
  <c r="G22" i="4"/>
  <c r="D35" i="4"/>
  <c r="J41" i="13"/>
  <c r="AD41" i="13" s="1"/>
  <c r="I41" i="13"/>
  <c r="J51" i="13"/>
  <c r="AD51" i="13" s="1"/>
  <c r="H51" i="13"/>
  <c r="I51" i="13"/>
  <c r="J67" i="13"/>
  <c r="AD67" i="13" s="1"/>
  <c r="H67" i="13"/>
  <c r="J69" i="13"/>
  <c r="AD69" i="13" s="1"/>
  <c r="H69" i="13"/>
  <c r="I69" i="13"/>
  <c r="J85" i="13"/>
  <c r="AD85" i="13" s="1"/>
  <c r="H85" i="13"/>
  <c r="J87" i="13"/>
  <c r="AD87" i="13" s="1"/>
  <c r="H87" i="13"/>
  <c r="I87" i="13"/>
  <c r="J103" i="13"/>
  <c r="AD103" i="13" s="1"/>
  <c r="H103" i="13"/>
  <c r="J105" i="13"/>
  <c r="AD105" i="13" s="1"/>
  <c r="H105" i="13"/>
  <c r="I105" i="13"/>
  <c r="J121" i="13"/>
  <c r="AD121" i="13" s="1"/>
  <c r="H121" i="13"/>
  <c r="J123" i="13"/>
  <c r="AD123" i="13" s="1"/>
  <c r="H123" i="13"/>
  <c r="I123" i="13"/>
  <c r="J139" i="13"/>
  <c r="AD139" i="13" s="1"/>
  <c r="H139" i="13"/>
  <c r="J141" i="13"/>
  <c r="AD141" i="13" s="1"/>
  <c r="H141" i="13"/>
  <c r="I141" i="13"/>
  <c r="J170" i="13"/>
  <c r="AD170" i="13" s="1"/>
  <c r="H170" i="13"/>
  <c r="J15" i="13"/>
  <c r="AD15" i="13" s="1"/>
  <c r="I15" i="13"/>
  <c r="H15" i="13"/>
  <c r="I22" i="13"/>
  <c r="H22" i="13"/>
  <c r="J22" i="13"/>
  <c r="AD22" i="13" s="1"/>
  <c r="J168" i="13"/>
  <c r="AD168" i="13" s="1"/>
  <c r="I168" i="13"/>
  <c r="H168" i="13"/>
  <c r="I170" i="13"/>
  <c r="E31" i="4"/>
  <c r="D31" i="4"/>
  <c r="L13" i="5"/>
  <c r="L33" i="5"/>
  <c r="L4" i="12"/>
  <c r="J151" i="13"/>
  <c r="AD151" i="13" s="1"/>
  <c r="H151" i="13"/>
  <c r="J153" i="13"/>
  <c r="AD153" i="13" s="1"/>
  <c r="H153" i="13"/>
  <c r="I153" i="13"/>
  <c r="K16" i="14"/>
  <c r="K18" i="14" s="1"/>
  <c r="J39" i="13"/>
  <c r="AD39" i="13" s="1"/>
  <c r="I39" i="13"/>
  <c r="I151" i="13"/>
  <c r="H23" i="4"/>
  <c r="D36" i="4"/>
  <c r="J10" i="6"/>
  <c r="C8" i="6"/>
  <c r="I8" i="6" s="1"/>
  <c r="K8" i="6" s="1"/>
  <c r="I13" i="13"/>
  <c r="H13" i="13"/>
  <c r="J13" i="13"/>
  <c r="AD13" i="13" s="1"/>
  <c r="I37" i="13"/>
  <c r="H37" i="13"/>
  <c r="J37" i="13"/>
  <c r="AD37" i="13" s="1"/>
  <c r="H39" i="13"/>
  <c r="J61" i="13"/>
  <c r="AD61" i="13" s="1"/>
  <c r="H61" i="13"/>
  <c r="J63" i="13"/>
  <c r="AD63" i="13" s="1"/>
  <c r="H63" i="13"/>
  <c r="I63" i="13"/>
  <c r="J79" i="13"/>
  <c r="AD79" i="13" s="1"/>
  <c r="H79" i="13"/>
  <c r="J81" i="13"/>
  <c r="AD81" i="13" s="1"/>
  <c r="H81" i="13"/>
  <c r="I81" i="13"/>
  <c r="J97" i="13"/>
  <c r="AD97" i="13" s="1"/>
  <c r="H97" i="13"/>
  <c r="J99" i="13"/>
  <c r="AD99" i="13" s="1"/>
  <c r="H99" i="13"/>
  <c r="I99" i="13"/>
  <c r="J115" i="13"/>
  <c r="AD115" i="13" s="1"/>
  <c r="H115" i="13"/>
  <c r="J117" i="13"/>
  <c r="AD117" i="13" s="1"/>
  <c r="H117" i="13"/>
  <c r="I117" i="13"/>
  <c r="J133" i="13"/>
  <c r="AD133" i="13" s="1"/>
  <c r="H133" i="13"/>
  <c r="J135" i="13"/>
  <c r="AD135" i="13" s="1"/>
  <c r="H135" i="13"/>
  <c r="I135" i="13"/>
  <c r="J8" i="13"/>
  <c r="AD8" i="13" s="1"/>
  <c r="J17" i="13"/>
  <c r="AD17" i="13" s="1"/>
  <c r="I43" i="13"/>
  <c r="H43" i="13"/>
  <c r="J43" i="13"/>
  <c r="AD43" i="13" s="1"/>
  <c r="J162" i="13"/>
  <c r="AD162" i="13" s="1"/>
  <c r="I162" i="13"/>
  <c r="H162" i="13"/>
  <c r="J164" i="13"/>
  <c r="AD164" i="13" s="1"/>
  <c r="H164" i="13"/>
  <c r="I28" i="13"/>
  <c r="H28" i="13"/>
  <c r="J28" i="13"/>
  <c r="AD28" i="13" s="1"/>
  <c r="G17" i="4"/>
  <c r="D26" i="4"/>
  <c r="I8" i="13"/>
  <c r="I17" i="13"/>
  <c r="H30" i="13"/>
  <c r="H32" i="13"/>
  <c r="I45" i="13"/>
  <c r="J158" i="13"/>
  <c r="AD158" i="13" s="1"/>
  <c r="H158" i="13"/>
  <c r="I10" i="13"/>
  <c r="H10" i="13"/>
  <c r="J10" i="13"/>
  <c r="AD10" i="13" s="1"/>
  <c r="I19" i="13"/>
  <c r="H19" i="13"/>
  <c r="J19" i="13"/>
  <c r="AD19" i="13" s="1"/>
  <c r="I30" i="13"/>
  <c r="I32" i="13"/>
  <c r="I34" i="13"/>
  <c r="H34" i="13"/>
  <c r="J34" i="13"/>
  <c r="AD34" i="13" s="1"/>
  <c r="I158" i="13"/>
  <c r="J171" i="13"/>
  <c r="AD171" i="13" s="1"/>
  <c r="I171" i="13"/>
  <c r="H171" i="13"/>
  <c r="J173" i="13"/>
  <c r="AD173" i="13" s="1"/>
  <c r="H173" i="13"/>
  <c r="E13" i="18"/>
  <c r="J48" i="13"/>
  <c r="AD48" i="13" s="1"/>
  <c r="H48" i="13"/>
  <c r="J52" i="13"/>
  <c r="AD52" i="13" s="1"/>
  <c r="H52" i="13"/>
  <c r="J58" i="13"/>
  <c r="AD58" i="13" s="1"/>
  <c r="H58" i="13"/>
  <c r="J64" i="13"/>
  <c r="AD64" i="13" s="1"/>
  <c r="H64" i="13"/>
  <c r="J70" i="13"/>
  <c r="AD70" i="13" s="1"/>
  <c r="H70" i="13"/>
  <c r="J76" i="13"/>
  <c r="AD76" i="13" s="1"/>
  <c r="H76" i="13"/>
  <c r="J82" i="13"/>
  <c r="AD82" i="13" s="1"/>
  <c r="H82" i="13"/>
  <c r="J88" i="13"/>
  <c r="AD88" i="13" s="1"/>
  <c r="H88" i="13"/>
  <c r="J94" i="13"/>
  <c r="AD94" i="13" s="1"/>
  <c r="H94" i="13"/>
  <c r="J100" i="13"/>
  <c r="AD100" i="13" s="1"/>
  <c r="H100" i="13"/>
  <c r="J106" i="13"/>
  <c r="AD106" i="13" s="1"/>
  <c r="H106" i="13"/>
  <c r="J112" i="13"/>
  <c r="AD112" i="13" s="1"/>
  <c r="H112" i="13"/>
  <c r="J118" i="13"/>
  <c r="AD118" i="13" s="1"/>
  <c r="H118" i="13"/>
  <c r="J124" i="13"/>
  <c r="AD124" i="13" s="1"/>
  <c r="H124" i="13"/>
  <c r="J130" i="13"/>
  <c r="AD130" i="13" s="1"/>
  <c r="H130" i="13"/>
  <c r="J136" i="13"/>
  <c r="AD136" i="13" s="1"/>
  <c r="H136" i="13"/>
  <c r="J142" i="13"/>
  <c r="AD142" i="13" s="1"/>
  <c r="H142" i="13"/>
  <c r="J148" i="13"/>
  <c r="AD148" i="13" s="1"/>
  <c r="H148" i="13"/>
  <c r="J154" i="13"/>
  <c r="AD154" i="13" s="1"/>
  <c r="H154" i="13"/>
  <c r="I40" i="13"/>
  <c r="H40" i="13"/>
  <c r="J40" i="13"/>
  <c r="AD40" i="13" s="1"/>
  <c r="J54" i="13"/>
  <c r="AD54" i="13" s="1"/>
  <c r="H54" i="13"/>
  <c r="J60" i="13"/>
  <c r="AD60" i="13" s="1"/>
  <c r="H60" i="13"/>
  <c r="J66" i="13"/>
  <c r="AD66" i="13" s="1"/>
  <c r="H66" i="13"/>
  <c r="J72" i="13"/>
  <c r="AD72" i="13" s="1"/>
  <c r="H72" i="13"/>
  <c r="J78" i="13"/>
  <c r="AD78" i="13" s="1"/>
  <c r="H78" i="13"/>
  <c r="J84" i="13"/>
  <c r="AD84" i="13" s="1"/>
  <c r="H84" i="13"/>
  <c r="J90" i="13"/>
  <c r="AD90" i="13" s="1"/>
  <c r="H90" i="13"/>
  <c r="J96" i="13"/>
  <c r="AD96" i="13" s="1"/>
  <c r="H96" i="13"/>
  <c r="J102" i="13"/>
  <c r="AD102" i="13" s="1"/>
  <c r="H102" i="13"/>
  <c r="J108" i="13"/>
  <c r="AD108" i="13" s="1"/>
  <c r="H108" i="13"/>
  <c r="J114" i="13"/>
  <c r="AD114" i="13" s="1"/>
  <c r="H114" i="13"/>
  <c r="J120" i="13"/>
  <c r="AD120" i="13" s="1"/>
  <c r="H120" i="13"/>
  <c r="J126" i="13"/>
  <c r="AD126" i="13" s="1"/>
  <c r="H126" i="13"/>
  <c r="J132" i="13"/>
  <c r="AD132" i="13" s="1"/>
  <c r="H132" i="13"/>
  <c r="J138" i="13"/>
  <c r="AD138" i="13" s="1"/>
  <c r="H138" i="13"/>
  <c r="I142" i="13"/>
  <c r="J144" i="13"/>
  <c r="AD144" i="13" s="1"/>
  <c r="V14" i="14" s="1"/>
  <c r="H144" i="13"/>
  <c r="I148" i="13"/>
  <c r="J150" i="13"/>
  <c r="AD150" i="13" s="1"/>
  <c r="H150" i="13"/>
  <c r="I154" i="13"/>
  <c r="J156" i="13"/>
  <c r="H156" i="13"/>
  <c r="J165" i="13"/>
  <c r="AD165" i="13" s="1"/>
  <c r="I165" i="13"/>
  <c r="H165" i="13"/>
  <c r="J167" i="13"/>
  <c r="AD167" i="13" s="1"/>
  <c r="H167" i="13"/>
  <c r="C10" i="6"/>
  <c r="I10" i="6" s="1"/>
  <c r="K10" i="6" s="1"/>
  <c r="I14" i="13"/>
  <c r="I23" i="13"/>
  <c r="I25" i="13"/>
  <c r="H25" i="13"/>
  <c r="J25" i="13"/>
  <c r="AD25" i="13" s="1"/>
  <c r="H42" i="13"/>
  <c r="H44" i="13"/>
  <c r="I54" i="13"/>
  <c r="I60" i="13"/>
  <c r="I66" i="13"/>
  <c r="I72" i="13"/>
  <c r="I78" i="13"/>
  <c r="I84" i="13"/>
  <c r="I90" i="13"/>
  <c r="I96" i="13"/>
  <c r="I102" i="13"/>
  <c r="I108" i="13"/>
  <c r="I114" i="13"/>
  <c r="I120" i="13"/>
  <c r="I126" i="13"/>
  <c r="I132" i="13"/>
  <c r="I138" i="13"/>
  <c r="I144" i="13"/>
  <c r="I150" i="13"/>
  <c r="I156" i="13"/>
  <c r="I167" i="13"/>
  <c r="C16" i="14"/>
  <c r="C18" i="14" s="1"/>
  <c r="O16" i="14"/>
  <c r="O18" i="14" s="1"/>
  <c r="I7" i="13"/>
  <c r="H7" i="13"/>
  <c r="J7" i="13"/>
  <c r="AD7" i="13" s="1"/>
  <c r="I16" i="13"/>
  <c r="H16" i="13"/>
  <c r="J16" i="13"/>
  <c r="AD16" i="13" s="1"/>
  <c r="I42" i="13"/>
  <c r="I44" i="13"/>
  <c r="J159" i="13"/>
  <c r="AD159" i="13" s="1"/>
  <c r="I159" i="13"/>
  <c r="H159" i="13"/>
  <c r="J161" i="13"/>
  <c r="AD161" i="13" s="1"/>
  <c r="V15" i="14" s="1"/>
  <c r="H161" i="13"/>
  <c r="D16" i="14"/>
  <c r="D18" i="14" s="1"/>
  <c r="P16" i="14"/>
  <c r="P18" i="14" s="1"/>
  <c r="J11" i="13"/>
  <c r="AD11" i="13" s="1"/>
  <c r="J20" i="13"/>
  <c r="AD20" i="13" s="1"/>
  <c r="I31" i="13"/>
  <c r="H31" i="13"/>
  <c r="J31" i="13"/>
  <c r="AD31" i="13" s="1"/>
  <c r="I161" i="13"/>
  <c r="J174" i="13"/>
  <c r="AD174" i="13" s="1"/>
  <c r="I174" i="13"/>
  <c r="H174" i="13"/>
  <c r="F11" i="18"/>
  <c r="C13" i="18"/>
  <c r="V11" i="14" l="1"/>
  <c r="V8" i="14"/>
  <c r="D90" i="3"/>
  <c r="E90" i="3"/>
  <c r="F4" i="11"/>
  <c r="I2" i="11"/>
  <c r="H2" i="11"/>
  <c r="G2" i="11"/>
  <c r="E61" i="3"/>
  <c r="D61" i="3"/>
  <c r="E67" i="3"/>
  <c r="D67" i="3"/>
  <c r="E109" i="3"/>
  <c r="D109" i="3"/>
  <c r="E52" i="3"/>
  <c r="D52" i="3"/>
  <c r="D18" i="3"/>
  <c r="E18" i="3"/>
  <c r="V12" i="14"/>
  <c r="J16" i="6"/>
  <c r="V13" i="14"/>
  <c r="L123" i="5"/>
  <c r="V10" i="14"/>
  <c r="I7" i="6"/>
  <c r="C16" i="6"/>
  <c r="E33" i="3"/>
  <c r="D33" i="3"/>
  <c r="E13" i="3"/>
  <c r="D13" i="3"/>
  <c r="K14" i="6"/>
  <c r="E97" i="3"/>
  <c r="D97" i="3"/>
  <c r="E4" i="3"/>
  <c r="D4" i="3"/>
  <c r="O4" i="12"/>
  <c r="N4" i="12"/>
  <c r="M4" i="12"/>
  <c r="O3" i="12"/>
  <c r="O5" i="12" s="1"/>
  <c r="N3" i="12"/>
  <c r="N5" i="12" s="1"/>
  <c r="M3" i="12"/>
  <c r="M5" i="12" s="1"/>
  <c r="E30" i="3"/>
  <c r="D30" i="3"/>
  <c r="E16" i="3"/>
  <c r="D16" i="3"/>
  <c r="V7" i="14"/>
  <c r="V9" i="14"/>
  <c r="E70" i="3"/>
  <c r="D70" i="3"/>
  <c r="F13" i="18"/>
  <c r="G11" i="18"/>
  <c r="E93" i="3"/>
  <c r="D93" i="3"/>
  <c r="V16" i="14" l="1"/>
  <c r="V18" i="14" s="1"/>
  <c r="G13" i="18"/>
  <c r="H11" i="18"/>
  <c r="I4" i="11"/>
  <c r="G4" i="11"/>
  <c r="N3" i="7"/>
  <c r="H4" i="11"/>
  <c r="I16" i="6"/>
  <c r="K7" i="6"/>
  <c r="K16" i="6" s="1"/>
  <c r="C18" i="6" s="1"/>
  <c r="H3" i="14" l="1"/>
  <c r="J18" i="6"/>
  <c r="F18" i="6"/>
  <c r="G18" i="6"/>
  <c r="H18" i="6"/>
  <c r="E18" i="6"/>
  <c r="D18" i="6"/>
  <c r="R3" i="7"/>
  <c r="Q3" i="7"/>
  <c r="P3" i="7"/>
  <c r="O3" i="7"/>
  <c r="H13" i="18"/>
  <c r="I11" i="18"/>
  <c r="I13" i="18" s="1"/>
  <c r="I1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E9" authorId="0" shapeId="0" xr:uid="{00000000-0006-0000-0100-00002F000000}">
      <text>
        <r>
          <rPr>
            <sz val="10"/>
            <color rgb="FF000000"/>
            <rFont val="Arial"/>
            <scheme val="minor"/>
          </rPr>
          <t>======
ID#AAABGVXgqAk
4RJZJ93    (2023-11-20 17:27:50)
Renovación RC de oficio</t>
        </r>
      </text>
    </comment>
    <comment ref="AE10" authorId="0" shapeId="0" xr:uid="{00000000-0006-0000-0100-00002B000000}">
      <text>
        <r>
          <rPr>
            <sz val="10"/>
            <color rgb="FF000000"/>
            <rFont val="Arial"/>
            <scheme val="minor"/>
          </rPr>
          <t>======
ID#AAABGVXgqDg
4RJZJ93    (2023-11-20 17:27:50)
Renovación RC de oficio</t>
        </r>
      </text>
    </comment>
    <comment ref="AE11" authorId="0" shapeId="0" xr:uid="{00000000-0006-0000-0100-000021000000}">
      <text>
        <r>
          <rPr>
            <sz val="10"/>
            <color rgb="FF000000"/>
            <rFont val="Arial"/>
            <scheme val="minor"/>
          </rPr>
          <t>======
ID#AAABGVXgqBs
David    (2023-11-20 17:27:50)
Renovación RC de oficio</t>
        </r>
      </text>
    </comment>
    <comment ref="AE12" authorId="0" shapeId="0" xr:uid="{00000000-0006-0000-0100-00001B000000}">
      <text>
        <r>
          <rPr>
            <sz val="10"/>
            <color rgb="FF000000"/>
            <rFont val="Arial"/>
            <scheme val="minor"/>
          </rPr>
          <t>======
ID#AAABGVXgqG8
David    (2023-11-20 17:27:50)
Renovación RC de oficio</t>
        </r>
      </text>
    </comment>
    <comment ref="AD13" authorId="0" shapeId="0" xr:uid="{00000000-0006-0000-0100-000010000000}">
      <text>
        <r>
          <rPr>
            <sz val="10"/>
            <color rgb="FF000000"/>
            <rFont val="Arial"/>
            <scheme val="minor"/>
          </rPr>
          <t>======
ID#AAABGVXgqGw
LENOVO    (2023-11-20 17:27:50)
Res. AAC renovación por oficio</t>
        </r>
      </text>
    </comment>
    <comment ref="AE13" authorId="0" shapeId="0" xr:uid="{00000000-0006-0000-0100-00002A000000}">
      <text>
        <r>
          <rPr>
            <sz val="10"/>
            <color rgb="FF000000"/>
            <rFont val="Arial"/>
            <scheme val="minor"/>
          </rPr>
          <t>======
ID#AAABGVXgqEE
LENOVO    (2023-11-20 17:27:50)
Res. AAC renovación por oficio</t>
        </r>
      </text>
    </comment>
    <comment ref="AM13" authorId="0" shapeId="0" xr:uid="{00000000-0006-0000-0100-00001A000000}">
      <text>
        <r>
          <rPr>
            <sz val="10"/>
            <color rgb="FF000000"/>
            <rFont val="Arial"/>
            <scheme val="minor"/>
          </rPr>
          <t>======
ID#AAABGVXgqGA
LENOVO    (2023-11-20 17:27:50)
Regionalización tiene RC hasta el 14 de julio de 2022</t>
        </r>
      </text>
    </comment>
    <comment ref="AD16" authorId="0" shapeId="0" xr:uid="{00000000-0006-0000-0100-000026000000}">
      <text>
        <r>
          <rPr>
            <sz val="10"/>
            <color rgb="FF000000"/>
            <rFont val="Arial"/>
            <scheme val="minor"/>
          </rPr>
          <t>======
ID#AAABGVXgqE8
4RJZJ93    (2023-11-20 17:27:50)
Res. AAC renovación por oficio</t>
        </r>
      </text>
    </comment>
    <comment ref="AE16" authorId="0" shapeId="0" xr:uid="{00000000-0006-0000-0100-00000A000000}">
      <text>
        <r>
          <rPr>
            <sz val="10"/>
            <color rgb="FF000000"/>
            <rFont val="Arial"/>
            <scheme val="minor"/>
          </rPr>
          <t>======
ID#AAABGVXgqGo
4RJZJ93    (2023-11-20 17:27:50)
Res. AAC renovación por oficio</t>
        </r>
      </text>
    </comment>
    <comment ref="AE19" authorId="0" shapeId="0" xr:uid="{00000000-0006-0000-0100-000005000000}">
      <text>
        <r>
          <rPr>
            <sz val="10"/>
            <color rgb="FF000000"/>
            <rFont val="Arial"/>
            <scheme val="minor"/>
          </rPr>
          <t>======
ID#AAABw6rLzrM
tc={47F73AF5-D299-4376-9D10-D520E64206F2}    (2025-12-01 16:35:55)
[Comentario encadenado]
Su versión de Excel le permite leer este comentario encadenado; sin embargo, las ediciones que se apliquen se quitarán si el archivo se abre en una versión más reciente de Excel. Más información: https://go.microsoft.com/fwlink/?linkid=870924
Comentario:
    Se adjunta resolución de RRC, pero el término de la vigencia de RC se establece con el periodo de AAC</t>
        </r>
      </text>
    </comment>
    <comment ref="AD20" authorId="0" shapeId="0" xr:uid="{00000000-0006-0000-0100-00000D000000}">
      <text>
        <r>
          <rPr>
            <sz val="10"/>
            <color rgb="FF000000"/>
            <rFont val="Arial"/>
            <scheme val="minor"/>
          </rPr>
          <t>======
ID#AAABGVXgqHU
UNICAUCA    (2023-11-20 17:27:50)
Res. 8937 de 31-may-18</t>
        </r>
      </text>
    </comment>
    <comment ref="AE20" authorId="0" shapeId="0" xr:uid="{00000000-0006-0000-0100-000031000000}">
      <text>
        <r>
          <rPr>
            <sz val="10"/>
            <color rgb="FF000000"/>
            <rFont val="Arial"/>
            <scheme val="minor"/>
          </rPr>
          <t>======
ID#AAABGVXgqC0
UNICAUCA    (2023-11-20 17:27:50)
Res. 8937 de 31-may-18</t>
        </r>
      </text>
    </comment>
    <comment ref="AF20" authorId="0" shapeId="0" xr:uid="{00000000-0006-0000-0100-000027000000}">
      <text>
        <r>
          <rPr>
            <sz val="10"/>
            <color rgb="FF000000"/>
            <rFont val="Arial"/>
            <scheme val="minor"/>
          </rPr>
          <t>======
ID#AAABGVXgqDY
UNICAUCA    (2023-11-20 17:27:50)
AAC: 2899 de 21-feb-18</t>
        </r>
      </text>
    </comment>
    <comment ref="AH20" authorId="0" shapeId="0" xr:uid="{00000000-0006-0000-0100-000006000000}">
      <text>
        <r>
          <rPr>
            <sz val="10"/>
            <color rgb="FF000000"/>
            <rFont val="Arial"/>
            <scheme val="minor"/>
          </rPr>
          <t>======
ID#AAABw6rLzrE
4RLZJ93    (2025-12-01 16:35:55)
Se actualizó conforme a la extensión del decreto 1174</t>
        </r>
      </text>
    </comment>
    <comment ref="AI20" authorId="0" shapeId="0" xr:uid="{00000000-0006-0000-0100-000004000000}">
      <text>
        <r>
          <rPr>
            <sz val="10"/>
            <color rgb="FF000000"/>
            <rFont val="Arial"/>
            <scheme val="minor"/>
          </rPr>
          <t>======
ID#AAABw6rLzrg
4RLZJ93    (2025-12-01 16:35:55)
Se ajustó conforme al beneficio del decreto 1174 de 2023</t>
        </r>
      </text>
    </comment>
    <comment ref="AJ20" authorId="0" shapeId="0" xr:uid="{00000000-0006-0000-0100-000003000000}">
      <text>
        <r>
          <rPr>
            <sz val="10"/>
            <color rgb="FF000000"/>
            <rFont val="Arial"/>
            <scheme val="minor"/>
          </rPr>
          <t>======
ID#AAABw6rLzro
UNICAUCA    (2025-12-01 16:35:55)
Sin fórmula, aplica decreto 1174 de 2023</t>
        </r>
      </text>
    </comment>
    <comment ref="AD26" authorId="0" shapeId="0" xr:uid="{00000000-0006-0000-0100-000020000000}">
      <text>
        <r>
          <rPr>
            <sz val="10"/>
            <color rgb="FF000000"/>
            <rFont val="Arial"/>
            <scheme val="minor"/>
          </rPr>
          <t>======
ID#AAABGVXgqGE
LENOVO    (2023-11-20 17:27:50)
Res. AAC renovación por oficio</t>
        </r>
      </text>
    </comment>
    <comment ref="AE26" authorId="0" shapeId="0" xr:uid="{00000000-0006-0000-0100-000038000000}">
      <text>
        <r>
          <rPr>
            <sz val="10"/>
            <color rgb="FF000000"/>
            <rFont val="Arial"/>
            <scheme val="minor"/>
          </rPr>
          <t>======
ID#AAABGVXgqBU
LENOVO    (2023-11-20 17:27:50)
Res. AAC renovación por oficio</t>
        </r>
      </text>
    </comment>
    <comment ref="AE30" authorId="0" shapeId="0" xr:uid="{00000000-0006-0000-0100-000035000000}">
      <text>
        <r>
          <rPr>
            <sz val="10"/>
            <color rgb="FF000000"/>
            <rFont val="Arial"/>
            <scheme val="minor"/>
          </rPr>
          <t>======
ID#AAABGVXgqAo
UNICAUCA    (2023-11-20 17:27:50)
RRC de oficio</t>
        </r>
      </text>
    </comment>
    <comment ref="AI31" authorId="0" shapeId="0" xr:uid="{00000000-0006-0000-0100-000002000000}">
      <text>
        <r>
          <rPr>
            <sz val="10"/>
            <color rgb="FF000000"/>
            <rFont val="Arial"/>
            <scheme val="minor"/>
          </rPr>
          <t>======
ID#AAABw60mCMg
4RLZJ93    (2025-12-01 16:35:55)
Se ajustó conforme al beneficio del decreto 1174 de 2023</t>
        </r>
      </text>
    </comment>
    <comment ref="AR31" authorId="0" shapeId="0" xr:uid="{00000000-0006-0000-0100-000011000000}">
      <text>
        <r>
          <rPr>
            <sz val="10"/>
            <color rgb="FF000000"/>
            <rFont val="Arial"/>
            <scheme val="minor"/>
          </rPr>
          <t>======
ID#AAABGVXgqA4
CGC-AI    (2023-11-20 17:27:50)
Proyectadio para 2018</t>
        </r>
      </text>
    </comment>
    <comment ref="AI44" authorId="0" shapeId="0" xr:uid="{00000000-0006-0000-0100-000007000000}">
      <text>
        <r>
          <rPr>
            <sz val="10"/>
            <color rgb="FF000000"/>
            <rFont val="Arial"/>
            <scheme val="minor"/>
          </rPr>
          <t>======
ID#AAABw6rLzrA
4RLZJ93    (2025-12-01 16:35:55)
Se ajustó conforme al beneficio del decreto 1174 de 2023</t>
        </r>
      </text>
    </comment>
    <comment ref="D46" authorId="0" shapeId="0" xr:uid="{00000000-0006-0000-0100-00001E000000}">
      <text>
        <r>
          <rPr>
            <sz val="10"/>
            <color rgb="FF000000"/>
            <rFont val="Arial"/>
            <scheme val="minor"/>
          </rPr>
          <t>======
ID#AAABGVXgqGQ
UNICAUCA    (2023-11-20 17:27:50)
Antes Licenciatura en Lenguas Modernas, Inglés y Francés</t>
        </r>
      </text>
    </comment>
    <comment ref="G46" authorId="0" shapeId="0" xr:uid="{00000000-0006-0000-0100-000015000000}">
      <text>
        <r>
          <rPr>
            <sz val="10"/>
            <color rgb="FF000000"/>
            <rFont val="Arial"/>
            <scheme val="minor"/>
          </rPr>
          <t>======
ID#AAABGVXgqEU
UNICAUCA    (2023-11-20 17:27:50)
Anterior 102181</t>
        </r>
      </text>
    </comment>
    <comment ref="AF51" authorId="0" shapeId="0" xr:uid="{00000000-0006-0000-0100-000039000000}">
      <text>
        <r>
          <rPr>
            <sz val="10"/>
            <color rgb="FF000000"/>
            <rFont val="Arial"/>
            <scheme val="minor"/>
          </rPr>
          <t>======
ID#AAABGVXgqC8
unicauca    (2023-11-20 17:27:50)
Fecha Res. De Acreditación según Res RC 11-09-2012</t>
        </r>
      </text>
    </comment>
    <comment ref="D53" authorId="0" shapeId="0" xr:uid="{00000000-0006-0000-0100-00001D000000}">
      <text>
        <r>
          <rPr>
            <sz val="10"/>
            <color rgb="FF000000"/>
            <rFont val="Arial"/>
            <scheme val="minor"/>
          </rPr>
          <t>======
ID#AAABGVXgqGM
UNICAUCA    (2023-11-20 17:27:50)
Antes Licenciatura en Lenguas Modernas Inglés - Francés</t>
        </r>
      </text>
    </comment>
    <comment ref="G53" authorId="0" shapeId="0" xr:uid="{00000000-0006-0000-0100-000009000000}">
      <text>
        <r>
          <rPr>
            <sz val="10"/>
            <color rgb="FF000000"/>
            <rFont val="Arial"/>
            <scheme val="minor"/>
          </rPr>
          <t>======
ID#AAABGVXgqGY
CGC-AI    (2023-11-20 17:27:50)
SNIES anterior 12102</t>
        </r>
      </text>
    </comment>
    <comment ref="AI53" authorId="0" shapeId="0" xr:uid="{00000000-0006-0000-0100-000001000000}">
      <text>
        <r>
          <rPr>
            <sz val="10"/>
            <color rgb="FF000000"/>
            <rFont val="Arial"/>
            <scheme val="minor"/>
          </rPr>
          <t>======
ID#AAABw60mCMs
4RLZJ93    (2025-12-01 16:35:55)
Se ajustó conforme al beneficio del decreto 1174 de 2023</t>
        </r>
      </text>
    </comment>
    <comment ref="D56" authorId="0" shapeId="0" xr:uid="{00000000-0006-0000-0100-000013000000}">
      <text>
        <r>
          <rPr>
            <sz val="10"/>
            <color rgb="FF000000"/>
            <rFont val="Arial"/>
            <scheme val="minor"/>
          </rPr>
          <t>======
ID#AAABGVXgqFA
CGC-AI    (2023-11-20 17:27:50)
Antes Licenciatura en Español Y Literatura</t>
        </r>
      </text>
    </comment>
    <comment ref="G56" authorId="0" shapeId="0" xr:uid="{00000000-0006-0000-0100-00003D000000}">
      <text>
        <r>
          <rPr>
            <sz val="10"/>
            <color rgb="FF000000"/>
            <rFont val="Arial"/>
            <scheme val="minor"/>
          </rPr>
          <t>======
ID#AAABGVXgqBc
CGC-AI    (2023-11-20 17:27:50)
SNIES anterior: 15444</t>
        </r>
      </text>
    </comment>
    <comment ref="I60" authorId="0" shapeId="0" xr:uid="{00000000-0006-0000-0100-00001C000000}">
      <text>
        <r>
          <rPr>
            <sz val="10"/>
            <color rgb="FF000000"/>
            <rFont val="Arial"/>
            <scheme val="minor"/>
          </rPr>
          <t>======
ID#AAABGVXgqEw
UNICAUCA    (2023-11-20 17:27:50)
30 (2019)</t>
        </r>
      </text>
    </comment>
    <comment ref="AD60" authorId="0" shapeId="0" xr:uid="{00000000-0006-0000-0100-000008000000}">
      <text>
        <r>
          <rPr>
            <sz val="10"/>
            <color rgb="FF000000"/>
            <rFont val="Arial"/>
            <scheme val="minor"/>
          </rPr>
          <t>======
ID#AAABGVXgqGc
UNICAUCA    (2023-11-20 17:27:50)
Res. 16109 de 18-dic-19</t>
        </r>
      </text>
    </comment>
    <comment ref="AE60" authorId="0" shapeId="0" xr:uid="{00000000-0006-0000-0100-00000B000000}">
      <text>
        <r>
          <rPr>
            <sz val="10"/>
            <color rgb="FF000000"/>
            <rFont val="Arial"/>
            <scheme val="minor"/>
          </rPr>
          <t>======
ID#AAABGVXgqHQ
UNICAUCA    (2023-11-20 17:27:50)
Res. 16109 de 18-dic-19</t>
        </r>
      </text>
    </comment>
    <comment ref="AF60" authorId="0" shapeId="0" xr:uid="{00000000-0006-0000-0100-000028000000}">
      <text>
        <r>
          <rPr>
            <sz val="10"/>
            <color rgb="FF000000"/>
            <rFont val="Arial"/>
            <scheme val="minor"/>
          </rPr>
          <t>======
ID#AAABGVXgqDk
UNICAUCA    (2023-11-20 17:27:50)
AAC: Res. 8333 de 09-ago-19</t>
        </r>
      </text>
    </comment>
    <comment ref="D69" authorId="0" shapeId="0" xr:uid="{00000000-0006-0000-0100-000034000000}">
      <text>
        <r>
          <rPr>
            <sz val="10"/>
            <color rgb="FF000000"/>
            <rFont val="Arial"/>
            <scheme val="minor"/>
          </rPr>
          <t>======
ID#AAABGVXgqBE
UNICAUCA    (2023-11-20 17:27:50)
Antes Licenciatura en Educación Básica con Énfasis en Educación Física, Recreación y Deportes</t>
        </r>
      </text>
    </comment>
    <comment ref="G69" authorId="0" shapeId="0" xr:uid="{00000000-0006-0000-0100-000030000000}">
      <text>
        <r>
          <rPr>
            <sz val="10"/>
            <color rgb="FF000000"/>
            <rFont val="Arial"/>
            <scheme val="minor"/>
          </rPr>
          <t>======
ID#AAABGVXgqBM
CGC-AI    (2023-11-20 17:27:50)
SNIES anterior 12101</t>
        </r>
      </text>
    </comment>
    <comment ref="AD69" authorId="0" shapeId="0" xr:uid="{00000000-0006-0000-0100-00003B000000}">
      <text>
        <r>
          <rPr>
            <sz val="10"/>
            <color rgb="FF000000"/>
            <rFont val="Arial"/>
            <scheme val="minor"/>
          </rPr>
          <t>======
ID#AAABGVXgqBk
4RJZJ93    (2023-11-20 17:27:50)
RAAC: renovación de oficio</t>
        </r>
      </text>
    </comment>
    <comment ref="AE69" authorId="0" shapeId="0" xr:uid="{00000000-0006-0000-0100-000024000000}">
      <text>
        <r>
          <rPr>
            <sz val="10"/>
            <color rgb="FF000000"/>
            <rFont val="Arial"/>
            <scheme val="minor"/>
          </rPr>
          <t>======
ID#AAABGVXgqDQ
4RJZJ93    (2023-11-20 17:27:50)
RAAC: renovación de oficio</t>
        </r>
      </text>
    </comment>
    <comment ref="D70" authorId="0" shapeId="0" xr:uid="{00000000-0006-0000-0100-000025000000}">
      <text>
        <r>
          <rPr>
            <sz val="10"/>
            <color rgb="FF000000"/>
            <rFont val="Arial"/>
            <scheme val="minor"/>
          </rPr>
          <t>======
ID#AAABGVXgqDU
UNICAUCA    (2023-11-20 17:27:50)
Antes Licenciatura en Educación Básica con Énfasis en Educación Artística</t>
        </r>
      </text>
    </comment>
    <comment ref="G70" authorId="0" shapeId="0" xr:uid="{00000000-0006-0000-0100-000032000000}">
      <text>
        <r>
          <rPr>
            <sz val="10"/>
            <color rgb="FF000000"/>
            <rFont val="Arial"/>
            <scheme val="minor"/>
          </rPr>
          <t>======
ID#AAABGVXgqBA
CGC-AI    (2023-11-20 17:27:50)
Anterior SNIES 13418</t>
        </r>
      </text>
    </comment>
    <comment ref="AD70" authorId="0" shapeId="0" xr:uid="{00000000-0006-0000-0100-000016000000}">
      <text>
        <r>
          <rPr>
            <sz val="10"/>
            <color rgb="FF000000"/>
            <rFont val="Arial"/>
            <scheme val="minor"/>
          </rPr>
          <t>======
ID#AAABGVXgqFM
4RJZJ93    (2023-11-20 17:27:50)
AAC: renovación de oficio</t>
        </r>
      </text>
    </comment>
    <comment ref="AE70" authorId="0" shapeId="0" xr:uid="{00000000-0006-0000-0100-000033000000}">
      <text>
        <r>
          <rPr>
            <sz val="10"/>
            <color rgb="FF000000"/>
            <rFont val="Arial"/>
            <scheme val="minor"/>
          </rPr>
          <t>======
ID#AAABGVXgqAc
4RJZJ93    (2023-11-20 17:27:50)
AAC: renovación de oficio</t>
        </r>
      </text>
    </comment>
    <comment ref="D71" authorId="0" shapeId="0" xr:uid="{00000000-0006-0000-0100-000014000000}">
      <text>
        <r>
          <rPr>
            <sz val="10"/>
            <color rgb="FF000000"/>
            <rFont val="Arial"/>
            <scheme val="minor"/>
          </rPr>
          <t>======
ID#AAABGVXgqDs
UNICAUCA    (2023-11-20 17:27:50)
Antes Licenciatura en Educación Básica con Énfasis en Ciencias Naturales y Educación Ambiental</t>
        </r>
      </text>
    </comment>
    <comment ref="G71" authorId="0" shapeId="0" xr:uid="{00000000-0006-0000-0100-000036000000}">
      <text>
        <r>
          <rPr>
            <sz val="10"/>
            <color rgb="FF000000"/>
            <rFont val="Arial"/>
            <scheme val="minor"/>
          </rPr>
          <t>======
ID#AAABGVXgqBQ
CGC-AI    (2023-11-20 17:27:50)
Snies anterior 3965</t>
        </r>
      </text>
    </comment>
    <comment ref="AE71" authorId="0" shapeId="0" xr:uid="{00000000-0006-0000-0100-000012000000}">
      <text>
        <r>
          <rPr>
            <sz val="10"/>
            <color rgb="FF000000"/>
            <rFont val="Arial"/>
            <scheme val="minor"/>
          </rPr>
          <t>======
ID#AAABGVXgqHk
4RJZJ93    (2023-11-20 17:27:50)
Renovación RC de oficio</t>
        </r>
      </text>
    </comment>
    <comment ref="D72" authorId="0" shapeId="0" xr:uid="{00000000-0006-0000-0100-000017000000}">
      <text>
        <r>
          <rPr>
            <sz val="10"/>
            <color rgb="FF000000"/>
            <rFont val="Arial"/>
            <scheme val="minor"/>
          </rPr>
          <t>======
ID#AAABGVXgqG0
CGC-AI    (2023-11-20 17:27:50)
Anterior denominación: Licenciatura en Educación Básica con énfasis en Lengua Castellana e Inglés</t>
        </r>
      </text>
    </comment>
    <comment ref="G72" authorId="0" shapeId="0" xr:uid="{00000000-0006-0000-0100-00001F000000}">
      <text>
        <r>
          <rPr>
            <sz val="10"/>
            <color rgb="FF000000"/>
            <rFont val="Arial"/>
            <scheme val="minor"/>
          </rPr>
          <t>======
ID#AAABGVXgqFs
CGC-AI    (2023-11-20 17:27:50)
Anterior SNIES 13153</t>
        </r>
      </text>
    </comment>
    <comment ref="AE72" authorId="0" shapeId="0" xr:uid="{00000000-0006-0000-0100-00000F000000}">
      <text>
        <r>
          <rPr>
            <sz val="10"/>
            <color rgb="FF000000"/>
            <rFont val="Arial"/>
            <scheme val="minor"/>
          </rPr>
          <t>======
ID#AAABGVXgqHI
4RJZJ93    (2023-11-20 17:27:50)
Renovación RC de oficio</t>
        </r>
      </text>
    </comment>
    <comment ref="AE75" authorId="0" shapeId="0" xr:uid="{00000000-0006-0000-0100-00000E000000}">
      <text>
        <r>
          <rPr>
            <sz val="10"/>
            <color rgb="FF000000"/>
            <rFont val="Arial"/>
            <scheme val="minor"/>
          </rPr>
          <t>======
ID#AAABGVXgqGg
David    (2023-11-20 17:27:50)
Renovación RC de oficio</t>
        </r>
      </text>
    </comment>
    <comment ref="AM100" authorId="0" shapeId="0" xr:uid="{00000000-0006-0000-0100-000037000000}">
      <text>
        <r>
          <rPr>
            <sz val="10"/>
            <color rgb="FF000000"/>
            <rFont val="Arial"/>
            <scheme val="minor"/>
          </rPr>
          <t>======
ID#AAABGVXgqC4
UNICAUCA    (2023-11-20 17:27:50)
Se venció el RC en el año 2020 y se dio registro calificado nuevo</t>
        </r>
      </text>
    </comment>
    <comment ref="AE108" authorId="0" shapeId="0" xr:uid="{00000000-0006-0000-0100-00000C000000}">
      <text>
        <r>
          <rPr>
            <sz val="10"/>
            <color rgb="FF000000"/>
            <rFont val="Arial"/>
            <scheme val="minor"/>
          </rPr>
          <t>======
ID#AAABGVXgqGs
4RJZJ93    (2023-11-20 17:27:50)
RRC de oficio</t>
        </r>
      </text>
    </comment>
    <comment ref="AD113" authorId="0" shapeId="0" xr:uid="{00000000-0006-0000-0100-00003A000000}">
      <text>
        <r>
          <rPr>
            <sz val="10"/>
            <color rgb="FF000000"/>
            <rFont val="Arial"/>
            <scheme val="minor"/>
          </rPr>
          <t>======
ID#AAABGVXgqCI
UNICAUCA    (2023-11-20 17:27:50)
Res. 16108 de 18-dic-19</t>
        </r>
      </text>
    </comment>
    <comment ref="AE113" authorId="0" shapeId="0" xr:uid="{00000000-0006-0000-0100-00002E000000}">
      <text>
        <r>
          <rPr>
            <sz val="10"/>
            <color rgb="FF000000"/>
            <rFont val="Arial"/>
            <scheme val="minor"/>
          </rPr>
          <t>======
ID#AAABGVXgqBI
UNICAUCA    (2023-11-20 17:27:50)
Res. 16108 de 18-dic-19</t>
        </r>
      </text>
    </comment>
    <comment ref="AF113" authorId="0" shapeId="0" xr:uid="{00000000-0006-0000-0100-00002C000000}">
      <text>
        <r>
          <rPr>
            <sz val="10"/>
            <color rgb="FF000000"/>
            <rFont val="Arial"/>
            <scheme val="minor"/>
          </rPr>
          <t>======
ID#AAABGVXgqHw
UNICAUCA    (2023-11-20 17:27:50)
AAC: Res. 7576 de 24-jul-19</t>
        </r>
      </text>
    </comment>
    <comment ref="I116" authorId="0" shapeId="0" xr:uid="{00000000-0006-0000-0100-000022000000}">
      <text>
        <r>
          <rPr>
            <sz val="10"/>
            <color rgb="FF000000"/>
            <rFont val="Arial"/>
            <scheme val="minor"/>
          </rPr>
          <t>======
ID#AAABGVXgqD8
4RJZJ93    (2023-11-20 17:27:50)
Error en la plataforma 50</t>
        </r>
      </text>
    </comment>
    <comment ref="AD116" authorId="0" shapeId="0" xr:uid="{00000000-0006-0000-0100-000019000000}">
      <text>
        <r>
          <rPr>
            <sz val="10"/>
            <color rgb="FF000000"/>
            <rFont val="Arial"/>
            <scheme val="minor"/>
          </rPr>
          <t>======
ID#AAABGVXgqFE
LENOVO    (2023-11-20 17:27:50)
Res. AAC renovación por oficio</t>
        </r>
      </text>
    </comment>
    <comment ref="AE116" authorId="0" shapeId="0" xr:uid="{00000000-0006-0000-0100-000029000000}">
      <text>
        <r>
          <rPr>
            <sz val="10"/>
            <color rgb="FF000000"/>
            <rFont val="Arial"/>
            <scheme val="minor"/>
          </rPr>
          <t>======
ID#AAABGVXgqEQ
LENOVO    (2023-11-20 17:27:50)
Res. AAC renovación por oficio</t>
        </r>
      </text>
    </comment>
    <comment ref="AR118" authorId="0" shapeId="0" xr:uid="{00000000-0006-0000-0100-000023000000}">
      <text>
        <r>
          <rPr>
            <sz val="10"/>
            <color rgb="FF000000"/>
            <rFont val="Arial"/>
            <scheme val="minor"/>
          </rPr>
          <t>======
ID#AAABGVXgqCo
CGC-AI    (2023-11-20 17:27:50)
Proyectado para 2018</t>
        </r>
      </text>
    </comment>
    <comment ref="AD124" authorId="0" shapeId="0" xr:uid="{00000000-0006-0000-0100-00003C000000}">
      <text>
        <r>
          <rPr>
            <sz val="10"/>
            <color rgb="FF000000"/>
            <rFont val="Arial"/>
            <scheme val="minor"/>
          </rPr>
          <t>======
ID#AAABGVXgqCM
UNICAUCA    (2023-11-20 17:27:50)
Res. 2719 de 18-mar-19</t>
        </r>
      </text>
    </comment>
    <comment ref="AE124" authorId="0" shapeId="0" xr:uid="{00000000-0006-0000-0100-000018000000}">
      <text>
        <r>
          <rPr>
            <sz val="10"/>
            <color rgb="FF000000"/>
            <rFont val="Arial"/>
            <scheme val="minor"/>
          </rPr>
          <t>======
ID#AAABGVXgqG4
UNICAUCA    (2023-11-20 17:27:50)
Res. 2719 de 18-mar-19</t>
        </r>
      </text>
    </comment>
    <comment ref="AF124" authorId="0" shapeId="0" xr:uid="{00000000-0006-0000-0100-00002D000000}">
      <text>
        <r>
          <rPr>
            <sz val="10"/>
            <color rgb="FF000000"/>
            <rFont val="Arial"/>
            <scheme val="minor"/>
          </rPr>
          <t>======
ID#AAABGVXgqAg
UNICAUCA    (2023-11-20 17:27:50)
AAC: Res. 11006 de 06-jul-2018</t>
        </r>
      </text>
    </comment>
  </commentList>
  <extLst>
    <ext xmlns:r="http://schemas.openxmlformats.org/officeDocument/2006/relationships" uri="GoogleSheetsCustomDataVersion2">
      <go:sheetsCustomData xmlns:go="http://customooxmlschemas.google.com/" r:id="rId1" roundtripDataSignature="AMtx7mgNW/3bExhc4nKlmgMJf6CzHtJxV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23" authorId="0" shapeId="0" xr:uid="{00000000-0006-0000-0600-000003000000}">
      <text>
        <r>
          <rPr>
            <sz val="10"/>
            <color rgb="FF000000"/>
            <rFont val="Arial"/>
            <scheme val="minor"/>
          </rPr>
          <t>======
ID#AAABGVXgqAw
LENOVO    (2023-11-20 17:27:50)
Dic 2021</t>
        </r>
      </text>
    </comment>
    <comment ref="C26" authorId="0" shapeId="0" xr:uid="{00000000-0006-0000-0600-000002000000}">
      <text>
        <r>
          <rPr>
            <sz val="10"/>
            <color rgb="FF000000"/>
            <rFont val="Arial"/>
            <scheme val="minor"/>
          </rPr>
          <t>======
ID#AAABGVXgqGI
UNICAUCA    (2023-11-20 17:27:50)
Antes Licenciatura en Educación Básica con Énfasis en Educación Artística</t>
        </r>
      </text>
    </comment>
    <comment ref="D26" authorId="0" shapeId="0" xr:uid="{00000000-0006-0000-0600-000001000000}">
      <text>
        <r>
          <rPr>
            <sz val="10"/>
            <color rgb="FF000000"/>
            <rFont val="Arial"/>
            <scheme val="minor"/>
          </rPr>
          <t>======
ID#AAABGVXgqFg
CGC-AI    (2023-11-20 17:27:50)
Anterior SNIES 13418</t>
        </r>
      </text>
    </comment>
  </commentList>
  <extLst>
    <ext xmlns:r="http://schemas.openxmlformats.org/officeDocument/2006/relationships" uri="GoogleSheetsCustomDataVersion2">
      <go:sheetsCustomData xmlns:go="http://customooxmlschemas.google.com/" r:id="rId1" roundtripDataSignature="AMtx7mjrbxPwwWYNpAp8Bats/FiD90LmX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6" authorId="0" shapeId="0" xr:uid="{00000000-0006-0000-0800-000004000000}">
      <text>
        <r>
          <rPr>
            <sz val="10"/>
            <color rgb="FF000000"/>
            <rFont val="Arial"/>
            <scheme val="minor"/>
          </rPr>
          <t>======
ID#AAABGVXgqHg
UNICAUCA    (2023-11-20 17:27:50)
Antes Licenciatura en Lenguas Modernas Inglés - Francés</t>
        </r>
      </text>
    </comment>
    <comment ref="D16" authorId="0" shapeId="0" xr:uid="{00000000-0006-0000-0800-00000B000000}">
      <text>
        <r>
          <rPr>
            <sz val="10"/>
            <color rgb="FF000000"/>
            <rFont val="Arial"/>
            <scheme val="minor"/>
          </rPr>
          <t>======
ID#AAABGVXgqCs
CGC-AI    (2023-11-20 17:27:50)
SNIES anterior 12102</t>
        </r>
      </text>
    </comment>
    <comment ref="F20" authorId="0" shapeId="0" xr:uid="{00000000-0006-0000-0800-00000C000000}">
      <text>
        <r>
          <rPr>
            <sz val="10"/>
            <color rgb="FF000000"/>
            <rFont val="Arial"/>
            <scheme val="minor"/>
          </rPr>
          <t>======
ID#AAABGVXgqDo
CGC-AI    (2023-11-20 17:27:50)
Res. 7895 de 11-may-18</t>
        </r>
      </text>
    </comment>
    <comment ref="G20" authorId="0" shapeId="0" xr:uid="{00000000-0006-0000-0800-000002000000}">
      <text>
        <r>
          <rPr>
            <sz val="10"/>
            <color rgb="FF000000"/>
            <rFont val="Arial"/>
            <scheme val="minor"/>
          </rPr>
          <t>======
ID#AAABGVXgqA0
UNICAUCA    (2023-11-20 17:27:50)
AAC: 17610 de 01-sep-17</t>
        </r>
      </text>
    </comment>
    <comment ref="F21" authorId="0" shapeId="0" xr:uid="{00000000-0006-0000-0800-00000D000000}">
      <text>
        <r>
          <rPr>
            <sz val="10"/>
            <color rgb="FF000000"/>
            <rFont val="Arial"/>
            <scheme val="minor"/>
          </rPr>
          <t>======
ID#AAABGVXgqDc
CGC-AI    (2023-11-20 17:27:50)
Res. 8938 de 31-may-18</t>
        </r>
      </text>
    </comment>
    <comment ref="G21" authorId="0" shapeId="0" xr:uid="{00000000-0006-0000-0800-000005000000}">
      <text>
        <r>
          <rPr>
            <sz val="10"/>
            <color rgb="FF000000"/>
            <rFont val="Arial"/>
            <scheme val="minor"/>
          </rPr>
          <t>======
ID#AAABGVXgqFQ
UNICAUCA    (2023-11-20 17:27:50)
AAC: 16737 de 24-ago-17</t>
        </r>
      </text>
    </comment>
    <comment ref="F34" authorId="0" shapeId="0" xr:uid="{00000000-0006-0000-0800-00000A000000}">
      <text>
        <r>
          <rPr>
            <sz val="10"/>
            <color rgb="FF000000"/>
            <rFont val="Arial"/>
            <scheme val="minor"/>
          </rPr>
          <t>======
ID#AAABGVXgqE4
UNICAUCA    (2023-11-20 17:27:50)
Res. 8937 de 31-may-18</t>
        </r>
      </text>
    </comment>
    <comment ref="G34" authorId="0" shapeId="0" xr:uid="{00000000-0006-0000-0800-00000E000000}">
      <text>
        <r>
          <rPr>
            <sz val="10"/>
            <color rgb="FF000000"/>
            <rFont val="Arial"/>
            <scheme val="minor"/>
          </rPr>
          <t>======
ID#AAABGVXgqB4
UNICAUCA    (2023-11-20 17:27:50)
AAC: 2899 de 21-feb-18</t>
        </r>
      </text>
    </comment>
    <comment ref="C37" authorId="0" shapeId="0" xr:uid="{00000000-0006-0000-0800-000003000000}">
      <text>
        <r>
          <rPr>
            <sz val="10"/>
            <color rgb="FF000000"/>
            <rFont val="Arial"/>
            <scheme val="minor"/>
          </rPr>
          <t>======
ID#AAABGVXgqHo
CGC-AI    (2023-11-20 17:27:50)
Antes Licenciatura en Español Y Literatura</t>
        </r>
      </text>
    </comment>
    <comment ref="D37" authorId="0" shapeId="0" xr:uid="{00000000-0006-0000-0800-000008000000}">
      <text>
        <r>
          <rPr>
            <sz val="10"/>
            <color rgb="FF000000"/>
            <rFont val="Arial"/>
            <scheme val="minor"/>
          </rPr>
          <t>======
ID#AAABGVXgqCU
CGC-AI    (2023-11-20 17:27:50)
SNIES anterior: 15444</t>
        </r>
      </text>
    </comment>
    <comment ref="C38" authorId="0" shapeId="0" xr:uid="{00000000-0006-0000-0800-000007000000}">
      <text>
        <r>
          <rPr>
            <sz val="10"/>
            <color rgb="FF000000"/>
            <rFont val="Arial"/>
            <scheme val="minor"/>
          </rPr>
          <t>======
ID#AAABGVXgqD4
UNICAUCA    (2023-11-20 17:27:50)
Antes Licenciatura en Educación Básica con Énfasis en Ciencias Naturales y Educación Ambiental</t>
        </r>
      </text>
    </comment>
    <comment ref="D38" authorId="0" shapeId="0" xr:uid="{00000000-0006-0000-0800-000009000000}">
      <text>
        <r>
          <rPr>
            <sz val="10"/>
            <color rgb="FF000000"/>
            <rFont val="Arial"/>
            <scheme val="minor"/>
          </rPr>
          <t>======
ID#AAABGVXgqCg
CGC-AI    (2023-11-20 17:27:50)
Snies anterior 3965</t>
        </r>
      </text>
    </comment>
    <comment ref="C40" authorId="0" shapeId="0" xr:uid="{00000000-0006-0000-0800-000006000000}">
      <text>
        <r>
          <rPr>
            <sz val="10"/>
            <color rgb="FF000000"/>
            <rFont val="Arial"/>
            <scheme val="minor"/>
          </rPr>
          <t>======
ID#AAABGVXgqFU
CGC-AI    (2023-11-20 17:27:50)
Anterior denominación: Licenciatura en Educación Básica con énfasis en Lengua Castellana e Inglés</t>
        </r>
      </text>
    </comment>
    <comment ref="D40" authorId="0" shapeId="0" xr:uid="{00000000-0006-0000-0800-000001000000}">
      <text>
        <r>
          <rPr>
            <sz val="10"/>
            <color rgb="FF000000"/>
            <rFont val="Arial"/>
            <scheme val="minor"/>
          </rPr>
          <t>======
ID#AAABGVXgqA8
CGC-AI    (2023-11-20 17:27:50)
Anterior SNIES 13153</t>
        </r>
      </text>
    </comment>
  </commentList>
  <extLst>
    <ext xmlns:r="http://schemas.openxmlformats.org/officeDocument/2006/relationships" uri="GoogleSheetsCustomDataVersion2">
      <go:sheetsCustomData xmlns:go="http://customooxmlschemas.google.com/" r:id="rId1" roundtripDataSignature="AMtx7mi2/calOeX3GCWdatM6LV8e8y9qY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33" authorId="0" shapeId="0" xr:uid="{00000000-0006-0000-0A00-000007000000}">
      <text>
        <r>
          <rPr>
            <sz val="10"/>
            <color rgb="FF000000"/>
            <rFont val="Arial"/>
            <scheme val="minor"/>
          </rPr>
          <t>======
ID#AAABGVXgqCw
CGC-AI    (2023-11-20 17:27:50)
SNIES anterior 12102</t>
        </r>
      </text>
    </comment>
    <comment ref="E34" authorId="0" shapeId="0" xr:uid="{00000000-0006-0000-0A00-000001000000}">
      <text>
        <r>
          <rPr>
            <sz val="10"/>
            <color rgb="FF000000"/>
            <rFont val="Arial"/>
            <scheme val="minor"/>
          </rPr>
          <t>======
ID#AAABGVXgqHA
UNICAUCA    (2023-11-20 17:27:50)
Anterior 102181</t>
        </r>
      </text>
    </comment>
    <comment ref="C37" authorId="0" shapeId="0" xr:uid="{00000000-0006-0000-0A00-000004000000}">
      <text>
        <r>
          <rPr>
            <sz val="10"/>
            <color rgb="FF000000"/>
            <rFont val="Arial"/>
            <scheme val="minor"/>
          </rPr>
          <t>======
ID#AAABGVXgqF8
CGC-AI    (2023-11-20 17:27:50)
Antes Lic. en Español Y Literatura</t>
        </r>
      </text>
    </comment>
    <comment ref="E37" authorId="0" shapeId="0" xr:uid="{00000000-0006-0000-0A00-000006000000}">
      <text>
        <r>
          <rPr>
            <sz val="10"/>
            <color rgb="FF000000"/>
            <rFont val="Arial"/>
            <scheme val="minor"/>
          </rPr>
          <t>======
ID#AAABGVXgqE0
CGC-AI    (2023-11-20 17:27:50)
SNIES anterior: 15444</t>
        </r>
      </text>
    </comment>
    <comment ref="F38" authorId="0" shapeId="0" xr:uid="{00000000-0006-0000-0A00-000008000000}">
      <text>
        <r>
          <rPr>
            <sz val="10"/>
            <color rgb="FF000000"/>
            <rFont val="Arial"/>
            <scheme val="minor"/>
          </rPr>
          <t>======
ID#AAABGVXgqB0
UNICAUCA    (2023-11-20 17:27:50)
Proyectadio para 2019</t>
        </r>
      </text>
    </comment>
    <comment ref="E46" authorId="0" shapeId="0" xr:uid="{00000000-0006-0000-0A00-000005000000}">
      <text>
        <r>
          <rPr>
            <sz val="10"/>
            <color rgb="FF000000"/>
            <rFont val="Arial"/>
            <scheme val="minor"/>
          </rPr>
          <t>======
ID#AAABGVXgqEY
CGC-AI    (2023-11-20 17:27:50)
Snies anterior 3965</t>
        </r>
      </text>
    </comment>
    <comment ref="E48" authorId="0" shapeId="0" xr:uid="{00000000-0006-0000-0A00-000009000000}">
      <text>
        <r>
          <rPr>
            <sz val="10"/>
            <color rgb="FF000000"/>
            <rFont val="Arial"/>
            <scheme val="minor"/>
          </rPr>
          <t>======
ID#AAABGVXgqBY
CGC-AI    (2023-11-20 17:27:50)
SNIES anterior 12101</t>
        </r>
      </text>
    </comment>
    <comment ref="E49" authorId="0" shapeId="0" xr:uid="{00000000-0006-0000-0A00-000002000000}">
      <text>
        <r>
          <rPr>
            <sz val="10"/>
            <color rgb="FF000000"/>
            <rFont val="Arial"/>
            <scheme val="minor"/>
          </rPr>
          <t>======
ID#AAABGVXgqFw
CGC-AI    (2023-11-20 17:27:50)
Anterior SNIES 13153</t>
        </r>
      </text>
    </comment>
    <comment ref="E50" authorId="0" shapeId="0" xr:uid="{00000000-0006-0000-0A00-00000A000000}">
      <text>
        <r>
          <rPr>
            <sz val="10"/>
            <color rgb="FF000000"/>
            <rFont val="Arial"/>
            <scheme val="minor"/>
          </rPr>
          <t>======
ID#AAABGVXgqAs
CGC-AI    (2023-11-20 17:27:50)
Anterior SNIES 13418</t>
        </r>
      </text>
    </comment>
    <comment ref="F51" authorId="0" shapeId="0" xr:uid="{00000000-0006-0000-0A00-000003000000}">
      <text>
        <r>
          <rPr>
            <sz val="10"/>
            <color rgb="FF000000"/>
            <rFont val="Arial"/>
            <scheme val="minor"/>
          </rPr>
          <t>======
ID#AAABGVXgqHY
UNICAUCA    (2023-11-20 17:27:50)
Proyectadio para 2019</t>
        </r>
      </text>
    </comment>
  </commentList>
  <extLst>
    <ext xmlns:r="http://schemas.openxmlformats.org/officeDocument/2006/relationships" uri="GoogleSheetsCustomDataVersion2">
      <go:sheetsCustomData xmlns:go="http://customooxmlschemas.google.com/" r:id="rId1" roundtripDataSignature="AMtx7mhZvvtBUNI2U3BqUJqgZL4jkvdJW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42" authorId="0" shapeId="0" xr:uid="{00000000-0006-0000-0B00-000002000000}">
      <text>
        <r>
          <rPr>
            <sz val="10"/>
            <color rgb="FF000000"/>
            <rFont val="Arial"/>
            <scheme val="minor"/>
          </rPr>
          <t>======
ID#AAABGVXgqEc
CGC-AI    (2023-11-20 17:27:50)
SNIES anterior 12102</t>
        </r>
      </text>
    </comment>
    <comment ref="F43" authorId="0" shapeId="0" xr:uid="{00000000-0006-0000-0B00-000004000000}">
      <text>
        <r>
          <rPr>
            <sz val="10"/>
            <color rgb="FF000000"/>
            <rFont val="Arial"/>
            <scheme val="minor"/>
          </rPr>
          <t>======
ID#AAABGVXgqDE
CGC-AI    (2023-11-20 17:27:50)
SNIES anterior: 15444</t>
        </r>
      </text>
    </comment>
    <comment ref="F54" authorId="0" shapeId="0" xr:uid="{00000000-0006-0000-0B00-000005000000}">
      <text>
        <r>
          <rPr>
            <sz val="10"/>
            <color rgb="FF000000"/>
            <rFont val="Arial"/>
            <scheme val="minor"/>
          </rPr>
          <t>======
ID#AAABGVXgqDI
CGC-AI    (2023-11-20 17:27:50)
Snies anterior 3965</t>
        </r>
      </text>
    </comment>
    <comment ref="E55" authorId="0" shapeId="0" xr:uid="{00000000-0006-0000-0B00-000006000000}">
      <text>
        <r>
          <rPr>
            <sz val="10"/>
            <color rgb="FF000000"/>
            <rFont val="Arial"/>
            <scheme val="minor"/>
          </rPr>
          <t>======
ID#AAABGVXgqF0
UNICAUCA    (2023-11-20 17:27:50)
Antes Licenciatura en Educación Básica con Énfasis en Educación Artística</t>
        </r>
      </text>
    </comment>
    <comment ref="F55" authorId="0" shapeId="0" xr:uid="{00000000-0006-0000-0B00-000001000000}">
      <text>
        <r>
          <rPr>
            <sz val="10"/>
            <color rgb="FF000000"/>
            <rFont val="Arial"/>
            <scheme val="minor"/>
          </rPr>
          <t>======
ID#AAABGVXgqF4
CGC-AI    (2023-11-20 17:27:50)
Anterior SNIES 13418</t>
        </r>
      </text>
    </comment>
    <comment ref="F56" authorId="0" shapeId="0" xr:uid="{00000000-0006-0000-0B00-000007000000}">
      <text>
        <r>
          <rPr>
            <sz val="10"/>
            <color rgb="FF000000"/>
            <rFont val="Arial"/>
            <scheme val="minor"/>
          </rPr>
          <t>======
ID#AAABGVXgqEI
CGC-AI    (2023-11-20 17:27:50)
Anterior SNIES 13153</t>
        </r>
      </text>
    </comment>
    <comment ref="F57" authorId="0" shapeId="0" xr:uid="{00000000-0006-0000-0B00-000003000000}">
      <text>
        <r>
          <rPr>
            <sz val="10"/>
            <color rgb="FF000000"/>
            <rFont val="Arial"/>
            <scheme val="minor"/>
          </rPr>
          <t>======
ID#AAABGVXgqCc
CGC-AI    (2023-11-20 17:27:50)
SNIES anterior 12101</t>
        </r>
      </text>
    </comment>
  </commentList>
  <extLst>
    <ext xmlns:r="http://schemas.openxmlformats.org/officeDocument/2006/relationships" uri="GoogleSheetsCustomDataVersion2">
      <go:sheetsCustomData xmlns:go="http://customooxmlschemas.google.com/" r:id="rId1" roundtripDataSignature="AMtx7mhSFWrHiykHi05icXcFJYEnkUeQs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65" authorId="0" shapeId="0" xr:uid="{00000000-0006-0000-0C00-000005000000}">
      <text>
        <r>
          <rPr>
            <sz val="10"/>
            <color rgb="FF000000"/>
            <rFont val="Arial"/>
            <scheme val="minor"/>
          </rPr>
          <t>======
ID#AAABGVXgqB8
CGC-AI    (2023-11-20 17:27:50)
SNIES anterior 12102</t>
        </r>
      </text>
    </comment>
    <comment ref="C68" authorId="0" shapeId="0" xr:uid="{00000000-0006-0000-0C00-000001000000}">
      <text>
        <r>
          <rPr>
            <sz val="10"/>
            <color rgb="FF000000"/>
            <rFont val="Arial"/>
            <scheme val="minor"/>
          </rPr>
          <t>======
ID#AAABGVXgqEo
CGC-AI    (2023-11-20 17:27:50)
Antes Lic. en Español Y Literatura</t>
        </r>
      </text>
    </comment>
    <comment ref="D68" authorId="0" shapeId="0" xr:uid="{00000000-0006-0000-0C00-000004000000}">
      <text>
        <r>
          <rPr>
            <sz val="10"/>
            <color rgb="FF000000"/>
            <rFont val="Arial"/>
            <scheme val="minor"/>
          </rPr>
          <t>======
ID#AAABGVXgqEA
CGC-AI    (2023-11-20 17:27:50)
SNIES anterior: 15444</t>
        </r>
      </text>
    </comment>
    <comment ref="D89" authorId="0" shapeId="0" xr:uid="{00000000-0006-0000-0C00-000007000000}">
      <text>
        <r>
          <rPr>
            <sz val="10"/>
            <color rgb="FF000000"/>
            <rFont val="Arial"/>
            <scheme val="minor"/>
          </rPr>
          <t>======
ID#AAABGVXgqCE
CGC-AI    (2023-11-20 17:27:50)
Snies anterior 3965</t>
        </r>
      </text>
    </comment>
    <comment ref="D92" authorId="0" shapeId="0" xr:uid="{00000000-0006-0000-0C00-000002000000}">
      <text>
        <r>
          <rPr>
            <sz val="10"/>
            <color rgb="FF000000"/>
            <rFont val="Arial"/>
            <scheme val="minor"/>
          </rPr>
          <t>======
ID#AAABGVXgqFc
CGC-AI    (2023-11-20 17:27:50)
SNIES anterior 12101</t>
        </r>
      </text>
    </comment>
    <comment ref="D93" authorId="0" shapeId="0" xr:uid="{00000000-0006-0000-0C00-000003000000}">
      <text>
        <r>
          <rPr>
            <sz val="10"/>
            <color rgb="FF000000"/>
            <rFont val="Arial"/>
            <scheme val="minor"/>
          </rPr>
          <t>======
ID#AAABGVXgqEs
CGC-AI    (2023-11-20 17:27:50)
SNIES Anterior 13153</t>
        </r>
      </text>
    </comment>
    <comment ref="D94" authorId="0" shapeId="0" xr:uid="{00000000-0006-0000-0C00-000006000000}">
      <text>
        <r>
          <rPr>
            <sz val="10"/>
            <color rgb="FF000000"/>
            <rFont val="Arial"/>
            <scheme val="minor"/>
          </rPr>
          <t>======
ID#AAABGVXgqBo
CGC-AI    (2023-11-20 17:27:50)
Anterior SNIES 13418</t>
        </r>
      </text>
    </comment>
  </commentList>
  <extLst>
    <ext xmlns:r="http://schemas.openxmlformats.org/officeDocument/2006/relationships" uri="GoogleSheetsCustomDataVersion2">
      <go:sheetsCustomData xmlns:go="http://customooxmlschemas.google.com/" r:id="rId1" roundtripDataSignature="AMtx7mhI5e6tDoDjPFj9mYs/2hNvvP/xh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72" authorId="0" shapeId="0" xr:uid="{00000000-0006-0000-0F00-000004000000}">
      <text>
        <r>
          <rPr>
            <sz val="10"/>
            <color rgb="FF000000"/>
            <rFont val="Arial"/>
            <scheme val="minor"/>
          </rPr>
          <t>======
ID#AAABGVXgqEg
CGC-AI    (2023-11-20 17:27:50)
SNIES anterior: 15444</t>
        </r>
      </text>
    </comment>
    <comment ref="D74" authorId="0" shapeId="0" xr:uid="{00000000-0006-0000-0F00-000001000000}">
      <text>
        <r>
          <rPr>
            <sz val="10"/>
            <color rgb="FF000000"/>
            <rFont val="Arial"/>
            <scheme val="minor"/>
          </rPr>
          <t>======
ID#AAABGVXgqHE
CGC-AI    (2023-11-20 17:27:50)
SNIES anterior 12102</t>
        </r>
      </text>
    </comment>
    <comment ref="D98" authorId="0" shapeId="0" xr:uid="{00000000-0006-0000-0F00-000003000000}">
      <text>
        <r>
          <rPr>
            <sz val="10"/>
            <color rgb="FF000000"/>
            <rFont val="Arial"/>
            <scheme val="minor"/>
          </rPr>
          <t>======
ID#AAABGVXgqDw
CGC-AI    (2023-11-20 17:27:50)
Anterior SNIES 13418</t>
        </r>
      </text>
    </comment>
    <comment ref="D99" authorId="0" shapeId="0" xr:uid="{00000000-0006-0000-0F00-000005000000}">
      <text>
        <r>
          <rPr>
            <sz val="10"/>
            <color rgb="FF000000"/>
            <rFont val="Arial"/>
            <scheme val="minor"/>
          </rPr>
          <t>======
ID#AAABGVXgqBw
CGC-AI    (2023-11-20 17:27:50)
Snies anterior 3965</t>
        </r>
      </text>
    </comment>
    <comment ref="D100" authorId="0" shapeId="0" xr:uid="{00000000-0006-0000-0F00-000002000000}">
      <text>
        <r>
          <rPr>
            <sz val="10"/>
            <color rgb="FF000000"/>
            <rFont val="Arial"/>
            <scheme val="minor"/>
          </rPr>
          <t>======
ID#AAABGVXgqGU
CGC-AI    (2023-11-20 17:27:50)
SNIES anterior 13153</t>
        </r>
      </text>
    </comment>
    <comment ref="D101" authorId="0" shapeId="0" xr:uid="{00000000-0006-0000-0F00-000006000000}">
      <text>
        <r>
          <rPr>
            <sz val="10"/>
            <color rgb="FF000000"/>
            <rFont val="Arial"/>
            <scheme val="minor"/>
          </rPr>
          <t>======
ID#AAABGVXgqDM
CGC-AI    (2023-11-20 17:27:50)
SNIES anterior 12101</t>
        </r>
      </text>
    </comment>
    <comment ref="C172" authorId="0" shapeId="0" xr:uid="{00000000-0006-0000-0F00-000007000000}">
      <text>
        <r>
          <rPr>
            <sz val="10"/>
            <color rgb="FF000000"/>
            <rFont val="Arial"/>
            <scheme val="minor"/>
          </rPr>
          <t>======
ID#AAABGVXgqBg
Usuario    (2023-11-20 17:27:50)
Mediante oficio 8.4.9/35 del 15 de agosto de 2017, notifican:
Se presenta informe de autoevaluación planes d mejoramiento 2013 - 2015
Informe de autoevaluación con fines de renovación de la acreditación, y se subió a la plataforma MEN entre los días 12 y 16 de junio.</t>
        </r>
      </text>
    </comment>
  </commentList>
  <extLst>
    <ext xmlns:r="http://schemas.openxmlformats.org/officeDocument/2006/relationships" uri="GoogleSheetsCustomDataVersion2">
      <go:sheetsCustomData xmlns:go="http://customooxmlschemas.google.com/" r:id="rId1" roundtripDataSignature="AMtx7mgktjllYOgLBTdAOvb4USpRp5poC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J6" authorId="0" shapeId="0" xr:uid="{00000000-0006-0000-1100-000001000000}">
      <text>
        <r>
          <rPr>
            <sz val="10"/>
            <color rgb="FF000000"/>
            <rFont val="Arial"/>
            <scheme val="minor"/>
          </rPr>
          <t>======
ID#AAABGVXgqHs
UNICAUCA    (2023-11-20 17:27:50)
Ing. Civil (SQ) no es programa nuevo, pero se venció el RC y se otorgó RC</t>
        </r>
      </text>
    </comment>
  </commentList>
  <extLst>
    <ext xmlns:r="http://schemas.openxmlformats.org/officeDocument/2006/relationships" uri="GoogleSheetsCustomDataVersion2">
      <go:sheetsCustomData xmlns:go="http://customooxmlschemas.google.com/" r:id="rId1" roundtripDataSignature="AMtx7miBHzdR54wP2nPmG+vxF2661th67Q=="/>
    </ext>
  </extLst>
</comments>
</file>

<file path=xl/sharedStrings.xml><?xml version="1.0" encoding="utf-8"?>
<sst xmlns="http://schemas.openxmlformats.org/spreadsheetml/2006/main" count="6077" uniqueCount="1367">
  <si>
    <t>Centro de Gestión de Calidad y Acreditación Institucional</t>
  </si>
  <si>
    <r>
      <rPr>
        <b/>
        <sz val="10"/>
        <color theme="1"/>
        <rFont val="Arial Narrow"/>
      </rPr>
      <t xml:space="preserve">Sistema Integrado de Gestión para la Acreditación </t>
    </r>
    <r>
      <rPr>
        <b/>
        <sz val="10"/>
        <color rgb="FFC00000"/>
        <rFont val="Arial Narrow"/>
      </rPr>
      <t>SiGA</t>
    </r>
  </si>
  <si>
    <t>Base de Datos Maestra del CGC-AI</t>
  </si>
  <si>
    <t>Listado
Programas
con RC</t>
  </si>
  <si>
    <t>Resumen
Programas
con RC</t>
  </si>
  <si>
    <t>Programas
Acreditables</t>
  </si>
  <si>
    <t>Programas
Acreditados</t>
  </si>
  <si>
    <t>Estado proceso
Renovación RC
por programa</t>
  </si>
  <si>
    <t>Resumen
proceso
 Renovación RC</t>
  </si>
  <si>
    <t>Estado proceso
AAC por
programa</t>
  </si>
  <si>
    <t>Resumen proceso
AAC</t>
  </si>
  <si>
    <t>RC: Registro Calificado</t>
  </si>
  <si>
    <t>AAC:Acreditación Alta Calidad</t>
  </si>
  <si>
    <t>Actualizada a 4 de junio de 2024</t>
  </si>
  <si>
    <t>Asignación de código SNIES para programas académicos</t>
  </si>
  <si>
    <t>Sistema Interno de Aseguramiento de la Calidad</t>
  </si>
  <si>
    <t>Información de Programas Académicos de la Universidad del Cauca</t>
  </si>
  <si>
    <t>N°</t>
  </si>
  <si>
    <t>Código
Proceso</t>
  </si>
  <si>
    <t>Facultad</t>
  </si>
  <si>
    <t>Programa</t>
  </si>
  <si>
    <t>Título otorgado</t>
  </si>
  <si>
    <t>Acuerdo de Creación
Consejo Superior</t>
  </si>
  <si>
    <t>SNIES</t>
  </si>
  <si>
    <t>No Renovación</t>
  </si>
  <si>
    <t>Número de Admitidos autorizados por el MEN</t>
  </si>
  <si>
    <t>Periodicidad del admisión</t>
  </si>
  <si>
    <t>Convenio</t>
  </si>
  <si>
    <t>IES en Convenio</t>
  </si>
  <si>
    <t>Administrador
de convenio</t>
  </si>
  <si>
    <t>Lugar de Desarrollo</t>
  </si>
  <si>
    <t>Jornada</t>
  </si>
  <si>
    <t>Regionalizado</t>
  </si>
  <si>
    <t>Nivel de formación
académico</t>
  </si>
  <si>
    <t>Nivel
académico</t>
  </si>
  <si>
    <t>Modalidad</t>
  </si>
  <si>
    <t>Metodología</t>
  </si>
  <si>
    <t>Créditos 
Investigación</t>
  </si>
  <si>
    <t>Créditos
Profundización</t>
  </si>
  <si>
    <t>Total Créditos 
Académicos</t>
  </si>
  <si>
    <t>Duración</t>
  </si>
  <si>
    <t>Reforma
Consejo Académico</t>
  </si>
  <si>
    <t>Reforma
Consejo Superior</t>
  </si>
  <si>
    <t>Reforma
MinEducación</t>
  </si>
  <si>
    <t>% TIC</t>
  </si>
  <si>
    <t>Con R.C.</t>
  </si>
  <si>
    <t>Resolución
R.C.</t>
  </si>
  <si>
    <t>Inicio R.C.</t>
  </si>
  <si>
    <t>Duración
(años)</t>
  </si>
  <si>
    <r>
      <rPr>
        <b/>
        <sz val="16"/>
        <color theme="0"/>
        <rFont val="Arial Narrow"/>
      </rPr>
      <t xml:space="preserve">SiGA </t>
    </r>
    <r>
      <rPr>
        <b/>
        <sz val="16"/>
        <color rgb="FF002060"/>
        <rFont val="Arial Narrow"/>
      </rPr>
      <t>RRC</t>
    </r>
    <r>
      <rPr>
        <b/>
        <sz val="10"/>
        <color theme="0"/>
        <rFont val="Arial Narrow"/>
      </rPr>
      <t xml:space="preserve">
(14 meses antes)</t>
    </r>
  </si>
  <si>
    <t>Plazo Radicación RRC
ante MinEducación 
(12 meses antes)</t>
  </si>
  <si>
    <t>Vencimiento
R.C.</t>
  </si>
  <si>
    <t>Extensión Decreto 1330 de 2019</t>
  </si>
  <si>
    <t>Vencimiento de R.C con Extensión decreto 1174 de 2023</t>
  </si>
  <si>
    <t>Histórico
Resoluciones R.C.</t>
  </si>
  <si>
    <t>Cantidad
Res/Ren R.C.</t>
  </si>
  <si>
    <t>Resolución R.C.
de Oficio</t>
  </si>
  <si>
    <t>Resolución R.C.
Negada</t>
  </si>
  <si>
    <t>Número
Egresados</t>
  </si>
  <si>
    <t>Acreditable</t>
  </si>
  <si>
    <t>Acreditado</t>
  </si>
  <si>
    <t>En Proceso de
Acreditación</t>
  </si>
  <si>
    <t>Resolución
Acreditación A.C.</t>
  </si>
  <si>
    <t>Inicio A.A.C.</t>
  </si>
  <si>
    <r>
      <rPr>
        <b/>
        <sz val="12"/>
        <color theme="0"/>
        <rFont val="Arial Narrow"/>
      </rPr>
      <t>Entrega al CGCAI</t>
    </r>
    <r>
      <rPr>
        <b/>
        <sz val="10"/>
        <color theme="0"/>
        <rFont val="Arial Narrow"/>
      </rPr>
      <t xml:space="preserve">
(14 meses antes)</t>
    </r>
  </si>
  <si>
    <t>Plazo Radicación AAC
ante MinEducación
(1 año antes)</t>
  </si>
  <si>
    <t>Vencimiento
A.A.C.</t>
  </si>
  <si>
    <t>Mitad Vigencia de Acreditación
(Plan de Mejora)</t>
  </si>
  <si>
    <t>Histórico
Resoluciones AAC</t>
  </si>
  <si>
    <t>Cantidad
Res. AAC</t>
  </si>
  <si>
    <t>Resolución AAC
Negada</t>
  </si>
  <si>
    <t>Lineamiento Acreditación</t>
  </si>
  <si>
    <t>Observaciones
Generales</t>
  </si>
  <si>
    <t>Coordinador
de Programa</t>
  </si>
  <si>
    <t>Facultad de Artes</t>
  </si>
  <si>
    <t>Artes Plásticas</t>
  </si>
  <si>
    <t>Maestro en Artes Plásticas</t>
  </si>
  <si>
    <t>Ac. 006 de 17-Feb-1996
(CS)
Reforma 04 de 03-Feb-2010</t>
  </si>
  <si>
    <t>30 (2021)</t>
  </si>
  <si>
    <t>Semestral</t>
  </si>
  <si>
    <t>Popayán</t>
  </si>
  <si>
    <t>Diurna</t>
  </si>
  <si>
    <t>No</t>
  </si>
  <si>
    <t>Profesional Universitario</t>
  </si>
  <si>
    <t>Pregrado</t>
  </si>
  <si>
    <t>Presencial</t>
  </si>
  <si>
    <t>N/A</t>
  </si>
  <si>
    <t>10 Semestres</t>
  </si>
  <si>
    <r>
      <rPr>
        <sz val="10"/>
        <color theme="1"/>
        <rFont val="Arial Narrow"/>
      </rPr>
      <t xml:space="preserve">Res. 4837 de 07-abr-2014 </t>
    </r>
    <r>
      <rPr>
        <b/>
        <sz val="10"/>
        <color theme="1"/>
        <rFont val="Arial Narrow"/>
      </rPr>
      <t>(7a)</t>
    </r>
    <r>
      <rPr>
        <sz val="10"/>
        <color theme="1"/>
        <rFont val="Arial Narrow"/>
      </rPr>
      <t xml:space="preserve">
Res. 2764 de 25-may-2007</t>
    </r>
  </si>
  <si>
    <t>Si</t>
  </si>
  <si>
    <t xml:space="preserve">Maestría en Música </t>
  </si>
  <si>
    <t xml:space="preserve">Magíster en Música </t>
  </si>
  <si>
    <t>Ac. S. 071 17/12/2014 MODIFICADO por Ac. S. 022 6/04/2015</t>
  </si>
  <si>
    <t>20 (2021)</t>
  </si>
  <si>
    <t>Anual</t>
  </si>
  <si>
    <t>Maestría</t>
  </si>
  <si>
    <t>Posgrado</t>
  </si>
  <si>
    <t>Profundización</t>
  </si>
  <si>
    <t>4 semestres</t>
  </si>
  <si>
    <t>No se cuenta con información</t>
  </si>
  <si>
    <r>
      <rPr>
        <sz val="10"/>
        <color theme="1"/>
        <rFont val="Arial Narrow"/>
      </rPr>
      <t xml:space="preserve">Res. 6930 de 14-may-2015 </t>
    </r>
    <r>
      <rPr>
        <b/>
        <sz val="10"/>
        <color theme="1"/>
        <rFont val="Arial Narrow"/>
      </rPr>
      <t>(7a)</t>
    </r>
  </si>
  <si>
    <t>Licenciatura en Música</t>
  </si>
  <si>
    <t>Licenciado en Música</t>
  </si>
  <si>
    <t>Res. 1504 de 30-Jun-1992 CS</t>
  </si>
  <si>
    <t>25 (2023)</t>
  </si>
  <si>
    <t>AC. 012 del 07-Jun-2017 (CA)</t>
  </si>
  <si>
    <t>Res. 25125 de 17-nov-2017 (MEN)</t>
  </si>
  <si>
    <r>
      <rPr>
        <sz val="10"/>
        <color theme="1"/>
        <rFont val="Arial Narrow"/>
      </rPr>
      <t xml:space="preserve">Res. 1999 de 13-feb-2018 </t>
    </r>
    <r>
      <rPr>
        <b/>
        <sz val="10"/>
        <color theme="1"/>
        <rFont val="Arial Narrow"/>
      </rPr>
      <t>(7a)</t>
    </r>
    <r>
      <rPr>
        <sz val="10"/>
        <color theme="1"/>
        <rFont val="Arial Narrow"/>
      </rPr>
      <t xml:space="preserve">
Res. 743 de 08-feb-2011 </t>
    </r>
    <r>
      <rPr>
        <b/>
        <sz val="10"/>
        <color theme="1"/>
        <rFont val="Arial Narrow"/>
      </rPr>
      <t>(7a)</t>
    </r>
    <r>
      <rPr>
        <sz val="10"/>
        <color theme="1"/>
        <rFont val="Arial Narrow"/>
      </rPr>
      <t xml:space="preserve">
Res. 2117 de 12-sep-2001</t>
    </r>
  </si>
  <si>
    <r>
      <rPr>
        <sz val="10"/>
        <color theme="1"/>
        <rFont val="Arial Narrow"/>
      </rPr>
      <t xml:space="preserve">Res. 27743 de 07-dic-2017 </t>
    </r>
    <r>
      <rPr>
        <b/>
        <sz val="10"/>
        <color theme="1"/>
        <rFont val="Arial Narrow"/>
      </rPr>
      <t>(4a)</t>
    </r>
  </si>
  <si>
    <t>Música Instrumental</t>
  </si>
  <si>
    <t xml:space="preserve">Música Instrumental </t>
  </si>
  <si>
    <t>Ac. 046 de 29-Ago-2000
(CS)
Modificado por el Acuerdo 008 de 2007
Derogado por el Ac. 038 de 11-Jun-2014</t>
  </si>
  <si>
    <t>30 (2023)</t>
  </si>
  <si>
    <t>Bimestral</t>
  </si>
  <si>
    <t>12 Semestres</t>
  </si>
  <si>
    <t xml:space="preserve">AC. 015 del 2014 </t>
  </si>
  <si>
    <r>
      <rPr>
        <sz val="10"/>
        <color theme="1"/>
        <rFont val="Arial Narrow"/>
      </rPr>
      <t xml:space="preserve">Res. 8264 de 18-may-2021 </t>
    </r>
    <r>
      <rPr>
        <b/>
        <sz val="10"/>
        <color theme="1"/>
        <rFont val="Arial Narrow"/>
      </rPr>
      <t>(7a)</t>
    </r>
    <r>
      <rPr>
        <sz val="10"/>
        <color theme="1"/>
        <rFont val="Arial Narrow"/>
      </rPr>
      <t xml:space="preserve">
Res. 18029 de 21-sep-2021 </t>
    </r>
    <r>
      <rPr>
        <b/>
        <sz val="10"/>
        <color theme="1"/>
        <rFont val="Arial Narrow"/>
      </rPr>
      <t>(Corr)</t>
    </r>
    <r>
      <rPr>
        <sz val="10"/>
        <color theme="1"/>
        <rFont val="Arial Narrow"/>
      </rPr>
      <t xml:space="preserve">
Res. 13551 de 21-ago-2014 </t>
    </r>
    <r>
      <rPr>
        <b/>
        <sz val="10"/>
        <color theme="1"/>
        <rFont val="Arial Narrow"/>
      </rPr>
      <t>(7a)</t>
    </r>
    <r>
      <rPr>
        <sz val="10"/>
        <color theme="1"/>
        <rFont val="Arial Narrow"/>
      </rPr>
      <t xml:space="preserve">
Res. 6506 de 26-oct-2007</t>
    </r>
  </si>
  <si>
    <t>Diseño Gráfico</t>
  </si>
  <si>
    <t>Diseñador Gráfico</t>
  </si>
  <si>
    <t>Ac. 016 de 18-Feb-1997 CS</t>
  </si>
  <si>
    <t>30 (2020)</t>
  </si>
  <si>
    <t>9 Semestres</t>
  </si>
  <si>
    <t>AC. 014 del 21-Sep-2016 (CA)</t>
  </si>
  <si>
    <t>Res. 04303 de 10-may-2017 MEN</t>
  </si>
  <si>
    <r>
      <rPr>
        <sz val="10"/>
        <color theme="1"/>
        <rFont val="Arial Narrow"/>
      </rPr>
      <t xml:space="preserve">Res. 12800 de 10-jul-2020 </t>
    </r>
    <r>
      <rPr>
        <b/>
        <sz val="10"/>
        <color theme="1"/>
        <rFont val="Arial Narrow"/>
      </rPr>
      <t>(7a)</t>
    </r>
    <r>
      <rPr>
        <sz val="10"/>
        <color theme="1"/>
        <rFont val="Arial Narrow"/>
      </rPr>
      <t xml:space="preserve">
Res. 4938 de 07-abr-2014 </t>
    </r>
    <r>
      <rPr>
        <b/>
        <sz val="10"/>
        <color theme="1"/>
        <rFont val="Arial Narrow"/>
      </rPr>
      <t>(7a)</t>
    </r>
    <r>
      <rPr>
        <sz val="10"/>
        <color theme="1"/>
        <rFont val="Arial Narrow"/>
      </rPr>
      <t xml:space="preserve">
Res. 4303 de 10-mar-2017 </t>
    </r>
    <r>
      <rPr>
        <b/>
        <sz val="10"/>
        <color theme="1"/>
        <rFont val="Arial Narrow"/>
      </rPr>
      <t>(Corr)</t>
    </r>
    <r>
      <rPr>
        <sz val="10"/>
        <color theme="1"/>
        <rFont val="Arial Narrow"/>
      </rPr>
      <t xml:space="preserve">
Res. 5420 de 12-sep-2007</t>
    </r>
  </si>
  <si>
    <t>1</t>
  </si>
  <si>
    <t>Dirección de Banda</t>
  </si>
  <si>
    <t>Maestro en Dirección de Banda</t>
  </si>
  <si>
    <t>Ac.045 de 29-Ago-2000
(Maestro en Música)
(CS)</t>
  </si>
  <si>
    <r>
      <rPr>
        <sz val="10"/>
        <color theme="1"/>
        <rFont val="Arial Narrow"/>
      </rPr>
      <t xml:space="preserve">Res. 8914 de 21-may-2021 </t>
    </r>
    <r>
      <rPr>
        <b/>
        <sz val="10"/>
        <color theme="1"/>
        <rFont val="Arial Narrow"/>
      </rPr>
      <t>(7a)</t>
    </r>
    <r>
      <rPr>
        <sz val="10"/>
        <color theme="1"/>
        <rFont val="Arial Narrow"/>
      </rPr>
      <t xml:space="preserve">
Res. 13547 de 21-ago-2014 </t>
    </r>
    <r>
      <rPr>
        <b/>
        <sz val="10"/>
        <color theme="1"/>
        <rFont val="Arial Narrow"/>
      </rPr>
      <t xml:space="preserve">(7a)
</t>
    </r>
    <r>
      <rPr>
        <sz val="10"/>
        <color theme="1"/>
        <rFont val="Arial Narrow"/>
      </rPr>
      <t>Res. 5811 de 02-oct-2007</t>
    </r>
  </si>
  <si>
    <t>Facultad de Ciencias Agrarias</t>
  </si>
  <si>
    <t>Ingeniería Agroindustrial</t>
  </si>
  <si>
    <t>Ingeniero Agroindustrial</t>
  </si>
  <si>
    <t>Ac. 040 de 02-Nov-1995
Consejo Superior</t>
  </si>
  <si>
    <t>40 (2020)</t>
  </si>
  <si>
    <t>Popayán
Patía (El Bordo) Santander de Quilichao</t>
  </si>
  <si>
    <t>Ampliación de cobertura</t>
  </si>
  <si>
    <r>
      <rPr>
        <sz val="10"/>
        <color theme="1"/>
        <rFont val="Arial Narrow"/>
      </rPr>
      <t>AC. 007 del 26-Mar-2012</t>
    </r>
    <r>
      <rPr>
        <b/>
        <sz val="10"/>
        <color theme="1"/>
        <rFont val="Arial Narrow"/>
      </rPr>
      <t xml:space="preserve"> (CA) </t>
    </r>
    <r>
      <rPr>
        <sz val="10"/>
        <color theme="1"/>
        <rFont val="Arial Narrow"/>
      </rPr>
      <t xml:space="preserve">
AC. 020 del 26-Jun-2013 </t>
    </r>
    <r>
      <rPr>
        <b/>
        <sz val="10"/>
        <color theme="1"/>
        <rFont val="Arial Narrow"/>
      </rPr>
      <t>(CA)</t>
    </r>
    <r>
      <rPr>
        <sz val="10"/>
        <color theme="1"/>
        <rFont val="Arial Narrow"/>
      </rPr>
      <t xml:space="preserve">
AC. 019 del 23-Sep-2015 </t>
    </r>
    <r>
      <rPr>
        <b/>
        <sz val="10"/>
        <color theme="1"/>
        <rFont val="Arial Narrow"/>
      </rPr>
      <t>(CA)</t>
    </r>
  </si>
  <si>
    <t xml:space="preserve">13200
</t>
  </si>
  <si>
    <r>
      <rPr>
        <sz val="10"/>
        <color theme="1"/>
        <rFont val="Arial Narrow"/>
      </rPr>
      <t xml:space="preserve">Res. 10608 de 14-jul-2015
Res. 5518 de 24-mar-2017 </t>
    </r>
    <r>
      <rPr>
        <b/>
        <sz val="10"/>
        <color theme="1"/>
        <rFont val="Arial Narrow"/>
      </rPr>
      <t>(Ren oficio)</t>
    </r>
    <r>
      <rPr>
        <sz val="10"/>
        <color theme="1"/>
        <rFont val="Arial Narrow"/>
      </rPr>
      <t xml:space="preserve">
Res. 12939 de 31-dic-2010
Res. 1017 de 21-abr-2004</t>
    </r>
  </si>
  <si>
    <r>
      <rPr>
        <sz val="10"/>
        <color theme="1"/>
        <rFont val="Arial Narrow"/>
      </rPr>
      <t xml:space="preserve">Res. 10608 de 14-jul-2015 </t>
    </r>
    <r>
      <rPr>
        <b/>
        <sz val="10"/>
        <color theme="1"/>
        <rFont val="Arial Narrow"/>
      </rPr>
      <t>(4a)</t>
    </r>
  </si>
  <si>
    <t>En la respuesta 2025-ER-0340850 de 18/08/2025 se indica que los municipios de Santander de Quilicihao y el Bordo no se encuentra registrados en el SNIES 3833</t>
  </si>
  <si>
    <r>
      <rPr>
        <sz val="10"/>
        <color theme="1"/>
        <rFont val="Arial Narrow"/>
      </rPr>
      <t xml:space="preserve">Facultad de Ciencias Agrarias / </t>
    </r>
    <r>
      <rPr>
        <sz val="10"/>
        <color rgb="FFFF0000"/>
        <rFont val="Arial Narrow"/>
      </rPr>
      <t>eliminar??? No enviamos correo NBC</t>
    </r>
  </si>
  <si>
    <t>Especialización en Sanidad en Producción Agraria Integrada</t>
  </si>
  <si>
    <t>Especialista en Sanidad en Producción Agraria Integrada</t>
  </si>
  <si>
    <t>Ac. S. 005 6-feb-2014</t>
  </si>
  <si>
    <t>24 (2021)</t>
  </si>
  <si>
    <t xml:space="preserve">Diurna </t>
  </si>
  <si>
    <t>Especialización</t>
  </si>
  <si>
    <t xml:space="preserve">2 semestres </t>
  </si>
  <si>
    <r>
      <rPr>
        <sz val="10"/>
        <color theme="1"/>
        <rFont val="Arial Narrow"/>
      </rPr>
      <t xml:space="preserve">Res. 5444 de 14-abr-2014 </t>
    </r>
    <r>
      <rPr>
        <b/>
        <sz val="10"/>
        <color theme="1"/>
        <rFont val="Arial Narrow"/>
      </rPr>
      <t>(7a)</t>
    </r>
  </si>
  <si>
    <t>Especialización en Gestión Integral del Recurso Hídrico</t>
  </si>
  <si>
    <t>Especialista en Gestión Integral del Recurso Hídrico</t>
  </si>
  <si>
    <t>Ac. S. 057 19/11/2014</t>
  </si>
  <si>
    <t>21 (2022)</t>
  </si>
  <si>
    <t>Mixta</t>
  </si>
  <si>
    <t>2 semestres</t>
  </si>
  <si>
    <r>
      <rPr>
        <sz val="10"/>
        <color theme="1"/>
        <rFont val="Arial Narrow"/>
      </rPr>
      <t xml:space="preserve">Res. 12925 de 21-ago-2015 </t>
    </r>
    <r>
      <rPr>
        <b/>
        <sz val="10"/>
        <color theme="1"/>
        <rFont val="Arial Narrow"/>
      </rPr>
      <t>(7a)</t>
    </r>
  </si>
  <si>
    <t xml:space="preserve">Maestría en Ciencias Agrarias </t>
  </si>
  <si>
    <t xml:space="preserve">Magíster en Ciencias Agrarias </t>
  </si>
  <si>
    <t>Ac. S. 017 18/03/2015</t>
  </si>
  <si>
    <t>15 (2022)</t>
  </si>
  <si>
    <t>Investigación</t>
  </si>
  <si>
    <t xml:space="preserve">4 semestres </t>
  </si>
  <si>
    <r>
      <rPr>
        <sz val="10"/>
        <color theme="1"/>
        <rFont val="Arial Narrow"/>
      </rPr>
      <t xml:space="preserve">Res. 9745 de 06-jul-2015 </t>
    </r>
    <r>
      <rPr>
        <b/>
        <sz val="10"/>
        <color theme="1"/>
        <rFont val="Arial Narrow"/>
      </rPr>
      <t>(7a)</t>
    </r>
  </si>
  <si>
    <t xml:space="preserve">Doctorado en Ciencias Agrarias y Agroindustriales </t>
  </si>
  <si>
    <t>Doctor en Ciencias Agrarias y Agroindustriales</t>
  </si>
  <si>
    <t>Ac. S. 020 23-abr-2013</t>
  </si>
  <si>
    <t>5 (2022)</t>
  </si>
  <si>
    <t>Doctorado</t>
  </si>
  <si>
    <t>8 semestres</t>
  </si>
  <si>
    <r>
      <rPr>
        <sz val="10"/>
        <color theme="1"/>
        <rFont val="Arial Narrow"/>
      </rPr>
      <t xml:space="preserve">Res. 5533 de 14-abr-2014 </t>
    </r>
    <r>
      <rPr>
        <b/>
        <sz val="10"/>
        <color theme="1"/>
        <rFont val="Arial Narrow"/>
      </rPr>
      <t>(7a)</t>
    </r>
    <r>
      <rPr>
        <sz val="10"/>
        <color theme="1"/>
        <rFont val="Arial Narrow"/>
      </rPr>
      <t xml:space="preserve">
Res. 8105 de 30-may-2014</t>
    </r>
    <r>
      <rPr>
        <b/>
        <sz val="10"/>
        <color theme="1"/>
        <rFont val="Arial Narrow"/>
      </rPr>
      <t xml:space="preserve"> (Correc)</t>
    </r>
  </si>
  <si>
    <t>Ingeniería Forestal</t>
  </si>
  <si>
    <t>Ingeniero Forestal</t>
  </si>
  <si>
    <t>Ac. 040 de 10-Sep-1999 CS</t>
  </si>
  <si>
    <t>40 (2018)</t>
  </si>
  <si>
    <r>
      <rPr>
        <sz val="10"/>
        <color theme="1"/>
        <rFont val="Arial Narrow"/>
      </rPr>
      <t>AC. 007 del 26-Mar-2012</t>
    </r>
    <r>
      <rPr>
        <b/>
        <sz val="10"/>
        <color theme="1"/>
        <rFont val="Arial Narrow"/>
      </rPr>
      <t xml:space="preserve"> (CA)</t>
    </r>
    <r>
      <rPr>
        <sz val="10"/>
        <color theme="1"/>
        <rFont val="Arial Narrow"/>
      </rPr>
      <t xml:space="preserve">
AC. 029 del 06-Ago-2013 </t>
    </r>
    <r>
      <rPr>
        <b/>
        <sz val="10"/>
        <color theme="1"/>
        <rFont val="Arial Narrow"/>
      </rPr>
      <t>(CA)</t>
    </r>
  </si>
  <si>
    <t>Res. 02948 del 22-02-2018</t>
  </si>
  <si>
    <r>
      <rPr>
        <sz val="10"/>
        <color theme="1"/>
        <rFont val="Arial Narrow"/>
      </rPr>
      <t>Res. 4952 de 16-jun-11  
Res. 1845 de 02-jul-2004</t>
    </r>
    <r>
      <rPr>
        <b/>
        <sz val="10"/>
        <color theme="1"/>
        <rFont val="Arial Narrow"/>
      </rPr>
      <t xml:space="preserve"> (7a)</t>
    </r>
  </si>
  <si>
    <t>si</t>
  </si>
  <si>
    <t>Los nombres de estos programas fueron modificados mediante Ac. No. 9 20/02/1996.</t>
  </si>
  <si>
    <t>Cristina Madiedo Pérez</t>
  </si>
  <si>
    <t xml:space="preserve">Facultad de Ciencias Contables, Económicas y Administrativas </t>
  </si>
  <si>
    <t xml:space="preserve">Contaduría Pública </t>
  </si>
  <si>
    <t>Contador Público</t>
  </si>
  <si>
    <t>Ac. 065 de 03-Jul-1967
Ac 114 de 1966</t>
  </si>
  <si>
    <t>46 (2018)
45 (2025)</t>
  </si>
  <si>
    <t>Nocturna</t>
  </si>
  <si>
    <r>
      <rPr>
        <sz val="10"/>
        <color rgb="FFFF0000"/>
        <rFont val="Arial Narrow"/>
      </rPr>
      <t xml:space="preserve">Res. 010 del 08-Feb-2012 </t>
    </r>
    <r>
      <rPr>
        <b/>
        <sz val="10"/>
        <color rgb="FFFF0000"/>
        <rFont val="Arial Narrow"/>
      </rPr>
      <t>(CA)</t>
    </r>
    <r>
      <rPr>
        <sz val="10"/>
        <color rgb="FFFF0000"/>
        <rFont val="Arial Narrow"/>
      </rPr>
      <t xml:space="preserve">
AC. 001 del 2015</t>
    </r>
  </si>
  <si>
    <r>
      <rPr>
        <sz val="10"/>
        <color theme="1"/>
        <rFont val="Arial Narrow"/>
      </rPr>
      <t>Res. 14447 de 04-sep-2014</t>
    </r>
    <r>
      <rPr>
        <b/>
        <sz val="10"/>
        <color theme="1"/>
        <rFont val="Arial Narrow"/>
      </rPr>
      <t xml:space="preserve"> (MEN)</t>
    </r>
    <r>
      <rPr>
        <sz val="10"/>
        <color theme="1"/>
        <rFont val="Arial Narrow"/>
      </rPr>
      <t xml:space="preserve">
Res. 16342 de 30-sep-2015 </t>
    </r>
    <r>
      <rPr>
        <b/>
        <sz val="10"/>
        <color theme="1"/>
        <rFont val="Arial Narrow"/>
      </rPr>
      <t>(MEN)</t>
    </r>
  </si>
  <si>
    <r>
      <rPr>
        <sz val="10"/>
        <color theme="1"/>
        <rFont val="Arial Narrow"/>
      </rPr>
      <t xml:space="preserve">Res. 8937 de 31-may-2018 </t>
    </r>
    <r>
      <rPr>
        <b/>
        <sz val="10"/>
        <color theme="1"/>
        <rFont val="Arial Narrow"/>
      </rPr>
      <t>(RenOficio)</t>
    </r>
    <r>
      <rPr>
        <sz val="10"/>
        <color theme="1"/>
        <rFont val="Arial Narrow"/>
      </rPr>
      <t xml:space="preserve">
Res. 9871 de 20-may-2016 (7a)
Res. 5680 de 25-ago-2009
Res. 16342 de 30-sep-2015 </t>
    </r>
    <r>
      <rPr>
        <b/>
        <sz val="10"/>
        <color theme="1"/>
        <rFont val="Arial Narrow"/>
      </rPr>
      <t>(Modif)</t>
    </r>
    <r>
      <rPr>
        <sz val="10"/>
        <color theme="1"/>
        <rFont val="Arial Narrow"/>
      </rPr>
      <t xml:space="preserve">
Res. 8557 de 8-jul-2013 </t>
    </r>
    <r>
      <rPr>
        <b/>
        <sz val="10"/>
        <color theme="1"/>
        <rFont val="Arial Narrow"/>
      </rPr>
      <t>(Amp.Cob)</t>
    </r>
    <r>
      <rPr>
        <sz val="10"/>
        <color theme="1"/>
        <rFont val="Arial Narrow"/>
      </rPr>
      <t xml:space="preserve">
Res. 1589 de 28-feb-2011</t>
    </r>
    <r>
      <rPr>
        <b/>
        <sz val="10"/>
        <color theme="1"/>
        <rFont val="Arial Narrow"/>
      </rPr>
      <t xml:space="preserve"> (7a)</t>
    </r>
    <r>
      <rPr>
        <sz val="10"/>
        <color theme="1"/>
        <rFont val="Arial Narrow"/>
      </rPr>
      <t xml:space="preserve">
Res. 9772 de 23-dic-2008 </t>
    </r>
    <r>
      <rPr>
        <b/>
        <sz val="10"/>
        <color theme="1"/>
        <rFont val="Arial Narrow"/>
      </rPr>
      <t xml:space="preserve">(7a)
</t>
    </r>
    <r>
      <rPr>
        <sz val="10"/>
        <color theme="1"/>
        <rFont val="Arial Narrow"/>
      </rPr>
      <t>Res. 23503 de 28-nov-2025 (7a)</t>
    </r>
  </si>
  <si>
    <r>
      <rPr>
        <sz val="10"/>
        <color theme="1"/>
        <rFont val="Arial Narrow"/>
      </rPr>
      <t xml:space="preserve">Res. 5608 de 25-ago-2009 </t>
    </r>
    <r>
      <rPr>
        <b/>
        <sz val="10"/>
        <color theme="1"/>
        <rFont val="Arial Narrow"/>
      </rPr>
      <t>(4a)</t>
    </r>
    <r>
      <rPr>
        <sz val="10"/>
        <color theme="1"/>
        <rFont val="Arial Narrow"/>
      </rPr>
      <t xml:space="preserve">
Res.464 de 20-feb-2004</t>
    </r>
    <r>
      <rPr>
        <b/>
        <sz val="10"/>
        <color theme="1"/>
        <rFont val="Arial Narrow"/>
      </rPr>
      <t xml:space="preserve"> (3a)</t>
    </r>
  </si>
  <si>
    <t>Especialización en Gerencia de Impuestos</t>
  </si>
  <si>
    <t>Especialista en Gerencia de Impuestos</t>
  </si>
  <si>
    <t>Ac. S. 008 28/01/1994</t>
  </si>
  <si>
    <t>25 (2019)</t>
  </si>
  <si>
    <t>2 Semestres</t>
  </si>
  <si>
    <r>
      <rPr>
        <sz val="10"/>
        <color theme="1"/>
        <rFont val="Arial Narrow"/>
      </rPr>
      <t xml:space="preserve">Res. 2571 de 14-mar-2013 </t>
    </r>
    <r>
      <rPr>
        <b/>
        <sz val="10"/>
        <color theme="1"/>
        <rFont val="Arial Narrow"/>
      </rPr>
      <t>(7a)</t>
    </r>
    <r>
      <rPr>
        <sz val="10"/>
        <color theme="1"/>
        <rFont val="Arial Narrow"/>
      </rPr>
      <t xml:space="preserve">
Res. 2993 de 22-may-2008</t>
    </r>
  </si>
  <si>
    <t>Especialización en Revisoría Fiscal y Auditoría Internacional</t>
  </si>
  <si>
    <t>Especialista en Revisoría Fiscal y Auditoría Internacional</t>
  </si>
  <si>
    <t>Ac. S. 043 11/09/2001</t>
  </si>
  <si>
    <t>30 (2019)</t>
  </si>
  <si>
    <r>
      <rPr>
        <sz val="10"/>
        <color theme="1"/>
        <rFont val="Arial Narrow"/>
      </rPr>
      <t xml:space="preserve">Res. 4980 de 02-may-2013 </t>
    </r>
    <r>
      <rPr>
        <b/>
        <sz val="10"/>
        <color theme="1"/>
        <rFont val="Arial Narrow"/>
      </rPr>
      <t>(7a)</t>
    </r>
    <r>
      <rPr>
        <sz val="10"/>
        <color theme="1"/>
        <rFont val="Arial Narrow"/>
      </rPr>
      <t xml:space="preserve">
Res. 17173 de 27-nov-2013 </t>
    </r>
    <r>
      <rPr>
        <b/>
        <sz val="10"/>
        <color theme="1"/>
        <rFont val="Arial Narrow"/>
      </rPr>
      <t>(Corr 4980)</t>
    </r>
    <r>
      <rPr>
        <sz val="10"/>
        <color theme="1"/>
        <rFont val="Arial Narrow"/>
      </rPr>
      <t xml:space="preserve">
Res. 3193 de 30-may-2008 </t>
    </r>
    <r>
      <rPr>
        <b/>
        <sz val="10"/>
        <color theme="1"/>
        <rFont val="Arial Narrow"/>
      </rPr>
      <t>(5a)</t>
    </r>
  </si>
  <si>
    <t>Especialización en Gerencia de Proyectos</t>
  </si>
  <si>
    <t>Especialista en Gerencia de Proyectos</t>
  </si>
  <si>
    <t>Ac. S. 033 8/08/1995</t>
  </si>
  <si>
    <t>Universidad de Nariño</t>
  </si>
  <si>
    <t>Pasto - Nariño</t>
  </si>
  <si>
    <r>
      <rPr>
        <sz val="10"/>
        <color theme="1"/>
        <rFont val="Arial Narrow"/>
      </rPr>
      <t xml:space="preserve">Res. 16392 de 13-dic-2012 </t>
    </r>
    <r>
      <rPr>
        <b/>
        <sz val="10"/>
        <color theme="1"/>
        <rFont val="Arial Narrow"/>
      </rPr>
      <t>(7a)</t>
    </r>
  </si>
  <si>
    <t>Especialización en Mercadeo Corporativo</t>
  </si>
  <si>
    <t>Especialista en Mercadeo Corporativo</t>
  </si>
  <si>
    <t>Res. 029 26/06/2001</t>
  </si>
  <si>
    <r>
      <rPr>
        <sz val="10"/>
        <color theme="1"/>
        <rFont val="Arial Narrow"/>
      </rPr>
      <t xml:space="preserve">Res. 8951 de 15-jul-2013 </t>
    </r>
    <r>
      <rPr>
        <b/>
        <sz val="10"/>
        <color theme="1"/>
        <rFont val="Arial Narrow"/>
      </rPr>
      <t>(7a)</t>
    </r>
    <r>
      <rPr>
        <sz val="10"/>
        <color theme="1"/>
        <rFont val="Arial Narrow"/>
      </rPr>
      <t xml:space="preserve">
Res. 7219 de 17-nov-2006</t>
    </r>
  </si>
  <si>
    <t>Ac. S. 033 08/08/1995</t>
  </si>
  <si>
    <t>35 (2020)</t>
  </si>
  <si>
    <t>Trimestral</t>
  </si>
  <si>
    <r>
      <rPr>
        <sz val="10"/>
        <color theme="1"/>
        <rFont val="Arial Narrow"/>
      </rPr>
      <t xml:space="preserve">Res. 5358 de 10-may-2013 </t>
    </r>
    <r>
      <rPr>
        <b/>
        <sz val="10"/>
        <color theme="1"/>
        <rFont val="Arial Narrow"/>
      </rPr>
      <t>(7a)</t>
    </r>
    <r>
      <rPr>
        <sz val="10"/>
        <color theme="1"/>
        <rFont val="Arial Narrow"/>
      </rPr>
      <t xml:space="preserve">
Res. 3192 de 30-may-2008</t>
    </r>
  </si>
  <si>
    <t>Administración de Empresas</t>
  </si>
  <si>
    <t>Administrador de Empresas</t>
  </si>
  <si>
    <t>Res. 112 20-Dic-1989 CS</t>
  </si>
  <si>
    <t>45 (2020)</t>
  </si>
  <si>
    <t>AC. 002 del 12-Feb-2014 (CA)</t>
  </si>
  <si>
    <t>Res. 14130 de 02-sep-2014 (MEN)</t>
  </si>
  <si>
    <r>
      <rPr>
        <sz val="10"/>
        <color theme="1"/>
        <rFont val="Arial Narrow"/>
      </rPr>
      <t xml:space="preserve">Res. 575 de 22-ene-2018 </t>
    </r>
    <r>
      <rPr>
        <b/>
        <sz val="10"/>
        <color theme="1"/>
        <rFont val="Arial Narrow"/>
      </rPr>
      <t>(7a)</t>
    </r>
    <r>
      <rPr>
        <sz val="10"/>
        <color theme="1"/>
        <rFont val="Arial Narrow"/>
      </rPr>
      <t xml:space="preserve">
Res. 14130 de 2-sep-2014</t>
    </r>
    <r>
      <rPr>
        <b/>
        <sz val="10"/>
        <color theme="1"/>
        <rFont val="Arial Narrow"/>
      </rPr>
      <t xml:space="preserve"> (Corr)</t>
    </r>
    <r>
      <rPr>
        <sz val="10"/>
        <color theme="1"/>
        <rFont val="Arial Narrow"/>
      </rPr>
      <t xml:space="preserve">
Res 2031 de 24-mar-2010</t>
    </r>
    <r>
      <rPr>
        <b/>
        <sz val="10"/>
        <color theme="1"/>
        <rFont val="Arial Narrow"/>
      </rPr>
      <t xml:space="preserve"> (7a)</t>
    </r>
    <r>
      <rPr>
        <sz val="10"/>
        <color theme="1"/>
        <rFont val="Arial Narrow"/>
      </rPr>
      <t xml:space="preserve">
Res 13153 de 16-oct-2012
Res. 17739 de 22-oct-2014
Res. 3152 de 16-jun-2006</t>
    </r>
  </si>
  <si>
    <r>
      <rPr>
        <sz val="10"/>
        <color theme="1"/>
        <rFont val="Arial Narrow"/>
      </rPr>
      <t xml:space="preserve">Res. 20141 de 11-dic-2015 </t>
    </r>
    <r>
      <rPr>
        <b/>
        <sz val="10"/>
        <color theme="1"/>
        <rFont val="Arial Narrow"/>
      </rPr>
      <t>(4a)</t>
    </r>
    <r>
      <rPr>
        <sz val="10"/>
        <color theme="1"/>
        <rFont val="Arial Narrow"/>
      </rPr>
      <t xml:space="preserve">
Res.2031 de 24-mar-2010</t>
    </r>
    <r>
      <rPr>
        <b/>
        <sz val="10"/>
        <color theme="1"/>
        <rFont val="Arial Narrow"/>
      </rPr>
      <t xml:space="preserve"> (4a)</t>
    </r>
  </si>
  <si>
    <t>Maestría en Gestión de Organizaciones y Proyectos</t>
  </si>
  <si>
    <t xml:space="preserve">Magíster en Gestión de Organizaciones y Proyectos </t>
  </si>
  <si>
    <t>Ac. S. 016 5/03/2014</t>
  </si>
  <si>
    <t>25 (2021)</t>
  </si>
  <si>
    <r>
      <rPr>
        <sz val="10"/>
        <color theme="1"/>
        <rFont val="Arial Narrow"/>
      </rPr>
      <t xml:space="preserve">Res. 222 de 04-ene-2021 </t>
    </r>
    <r>
      <rPr>
        <b/>
        <sz val="10"/>
        <color theme="1"/>
        <rFont val="Arial Narrow"/>
      </rPr>
      <t>(modificada por la Res. 2583)</t>
    </r>
    <r>
      <rPr>
        <sz val="10"/>
        <color theme="1"/>
        <rFont val="Arial Narrow"/>
      </rPr>
      <t xml:space="preserve">
Res. 11044 de 14-jul-2014 </t>
    </r>
    <r>
      <rPr>
        <b/>
        <sz val="10"/>
        <color theme="1"/>
        <rFont val="Arial Narrow"/>
      </rPr>
      <t>(7a)</t>
    </r>
  </si>
  <si>
    <t>Maestría en Economía Regional y Políticas Públicas</t>
  </si>
  <si>
    <t>Magíster en Economía Regional y Políticas Públicas</t>
  </si>
  <si>
    <t>Ac. 050 de 23-Sep-2021</t>
  </si>
  <si>
    <t>4 Semestres</t>
  </si>
  <si>
    <t>Maestría en Gestión del Conocimiento y la Innovación</t>
  </si>
  <si>
    <t>Magíster en Gestión del Conocimiento y la Innovación</t>
  </si>
  <si>
    <t>A. S. 049 de 23-Sep-2021</t>
  </si>
  <si>
    <t>Economía</t>
  </si>
  <si>
    <t>Economista</t>
  </si>
  <si>
    <t>Ac.003 de 20-Ene-1998 CS</t>
  </si>
  <si>
    <t>45 (2023)</t>
  </si>
  <si>
    <t>AC. 007 del 2014</t>
  </si>
  <si>
    <t>Res. 3525 de 17-jul-2018 (7a)
Res. 3141 de 04-abr-2013
Res. 2159 de 17-may-2006</t>
  </si>
  <si>
    <r>
      <rPr>
        <sz val="10"/>
        <color theme="1"/>
        <rFont val="Arial Narrow"/>
      </rPr>
      <t xml:space="preserve">Res. 11561 de 17-jul-2018 </t>
    </r>
    <r>
      <rPr>
        <b/>
        <sz val="10"/>
        <color theme="1"/>
        <rFont val="Arial Narrow"/>
      </rPr>
      <t>(4a)</t>
    </r>
  </si>
  <si>
    <t>Maestría en Estudios Interdisciplinarios del Desarrollo</t>
  </si>
  <si>
    <t>Magíster en Estudios Interdisciplinarios del Desarrollo</t>
  </si>
  <si>
    <t>Ac. S. 009 17/02/2009</t>
  </si>
  <si>
    <t xml:space="preserve">46 (2017) </t>
  </si>
  <si>
    <t>Res. 10089 de 11-dic-2009                                                                                                         Res. 24382 de 30 de diciembre de 2016</t>
  </si>
  <si>
    <r>
      <rPr>
        <sz val="10"/>
        <color theme="1"/>
        <rFont val="Arial Narrow"/>
      </rPr>
      <t xml:space="preserve">Res. 7060 de 29-09-2009 </t>
    </r>
    <r>
      <rPr>
        <b/>
        <sz val="10"/>
        <color theme="1"/>
        <rFont val="Arial Narrow"/>
      </rPr>
      <t>(Negada)</t>
    </r>
  </si>
  <si>
    <t>Turismo</t>
  </si>
  <si>
    <t>Profesional en Turismo</t>
  </si>
  <si>
    <t>Ac. 041 de 10-Sep-1999</t>
  </si>
  <si>
    <t>45 (2018)</t>
  </si>
  <si>
    <r>
      <rPr>
        <sz val="10"/>
        <color theme="1"/>
        <rFont val="Arial Narrow"/>
      </rPr>
      <t xml:space="preserve">Res. 10587 de 22-nov-2011 </t>
    </r>
    <r>
      <rPr>
        <b/>
        <sz val="10"/>
        <color theme="1"/>
        <rFont val="Arial Narrow"/>
      </rPr>
      <t>(7a)</t>
    </r>
    <r>
      <rPr>
        <sz val="10"/>
        <color theme="1"/>
        <rFont val="Arial Narrow"/>
      </rPr>
      <t xml:space="preserve">
Res. 5396 de 22-nov-2005</t>
    </r>
  </si>
  <si>
    <t>Facultad de Ciencias de la Salud</t>
  </si>
  <si>
    <t>Maestría en Desarrollo Humano y Salud</t>
  </si>
  <si>
    <t>Magíster en Desarrollo Humano y Salud</t>
  </si>
  <si>
    <r>
      <rPr>
        <sz val="10"/>
        <color theme="1"/>
        <rFont val="Arial Narrow"/>
      </rPr>
      <t xml:space="preserve">Ac. 084 de 27/11/2019 </t>
    </r>
    <r>
      <rPr>
        <b/>
        <sz val="10"/>
        <color theme="1"/>
        <rFont val="Arial Narrow"/>
      </rPr>
      <t>(CS)</t>
    </r>
  </si>
  <si>
    <t>Por cohorte</t>
  </si>
  <si>
    <t>Fonoaudiología</t>
  </si>
  <si>
    <t>Fonoaudiólogo (a)</t>
  </si>
  <si>
    <t>Res. 051 de 09-Sep-1997</t>
  </si>
  <si>
    <t>40 (2022)</t>
  </si>
  <si>
    <t>Res. 16966 de 27-dic-2019 (MEN)</t>
  </si>
  <si>
    <r>
      <rPr>
        <sz val="10"/>
        <color theme="1"/>
        <rFont val="Arial Narrow"/>
      </rPr>
      <t xml:space="preserve">Res. 12304 de 08-jul-2021 </t>
    </r>
    <r>
      <rPr>
        <b/>
        <sz val="10"/>
        <color theme="1"/>
        <rFont val="Arial Narrow"/>
      </rPr>
      <t>(Negación)</t>
    </r>
    <r>
      <rPr>
        <sz val="10"/>
        <color theme="1"/>
        <rFont val="Arial Narrow"/>
      </rPr>
      <t xml:space="preserve">
Res. 3454 de 14-mar-2014 </t>
    </r>
    <r>
      <rPr>
        <b/>
        <sz val="10"/>
        <color theme="1"/>
        <rFont val="Arial Narrow"/>
      </rPr>
      <t>(7a)</t>
    </r>
    <r>
      <rPr>
        <sz val="10"/>
        <color theme="1"/>
        <rFont val="Arial Narrow"/>
      </rPr>
      <t xml:space="preserve">
Res. 905 de 28-feb-2007</t>
    </r>
  </si>
  <si>
    <t>Especialización en Anestesiología</t>
  </si>
  <si>
    <t>Especialista en Anestesiología</t>
  </si>
  <si>
    <t>3 (2022)</t>
  </si>
  <si>
    <t>3 Años</t>
  </si>
  <si>
    <r>
      <rPr>
        <sz val="10"/>
        <color theme="1"/>
        <rFont val="Arial Narrow"/>
      </rPr>
      <t xml:space="preserve">Res. 78 de 03-ene-2014 </t>
    </r>
    <r>
      <rPr>
        <b/>
        <sz val="10"/>
        <color theme="1"/>
        <rFont val="Arial Narrow"/>
      </rPr>
      <t>(7a)</t>
    </r>
    <r>
      <rPr>
        <sz val="10"/>
        <color theme="1"/>
        <rFont val="Arial Narrow"/>
      </rPr>
      <t xml:space="preserve">
Res. 3436 de 28-may-2009</t>
    </r>
    <r>
      <rPr>
        <b/>
        <sz val="10"/>
        <color theme="1"/>
        <rFont val="Arial Narrow"/>
      </rPr>
      <t xml:space="preserve"> (5a)</t>
    </r>
  </si>
  <si>
    <t>Especialización en Pediatría</t>
  </si>
  <si>
    <t>Especialista en Pediatría</t>
  </si>
  <si>
    <t>4 (2022)</t>
  </si>
  <si>
    <r>
      <rPr>
        <sz val="10"/>
        <color theme="1"/>
        <rFont val="Arial Narrow"/>
      </rPr>
      <t xml:space="preserve">Res. 172 de 03-ene-2014 </t>
    </r>
    <r>
      <rPr>
        <b/>
        <sz val="10"/>
        <color theme="1"/>
        <rFont val="Arial Narrow"/>
      </rPr>
      <t>(7a)</t>
    </r>
    <r>
      <rPr>
        <sz val="10"/>
        <color theme="1"/>
        <rFont val="Arial Narrow"/>
      </rPr>
      <t xml:space="preserve">
Res. 2811 de 14-may-2009 </t>
    </r>
    <r>
      <rPr>
        <b/>
        <sz val="10"/>
        <color theme="1"/>
        <rFont val="Arial Narrow"/>
      </rPr>
      <t xml:space="preserve"> (5a)</t>
    </r>
  </si>
  <si>
    <t>Especialización en Ginecología y Obstetricia</t>
  </si>
  <si>
    <t>Especialista en Ginecología y Obstetricia</t>
  </si>
  <si>
    <t>3 (2023)</t>
  </si>
  <si>
    <r>
      <rPr>
        <sz val="10"/>
        <color theme="1"/>
        <rFont val="Arial Narrow"/>
      </rPr>
      <t xml:space="preserve">Res. 4137 de 24-mar-2022 </t>
    </r>
    <r>
      <rPr>
        <b/>
        <sz val="10"/>
        <color theme="1"/>
        <rFont val="Arial Narrow"/>
      </rPr>
      <t>(Negación Rep.)</t>
    </r>
    <r>
      <rPr>
        <sz val="10"/>
        <color theme="1"/>
        <rFont val="Arial Narrow"/>
      </rPr>
      <t xml:space="preserve">
Res. 25080 de 29-dic-2021 </t>
    </r>
    <r>
      <rPr>
        <b/>
        <sz val="10"/>
        <color theme="1"/>
        <rFont val="Arial Narrow"/>
      </rPr>
      <t xml:space="preserve">(Negación)
</t>
    </r>
    <r>
      <rPr>
        <sz val="10"/>
        <color theme="1"/>
        <rFont val="Arial Narrow"/>
      </rPr>
      <t xml:space="preserve">Res. 477 de 16-ene-2014 </t>
    </r>
    <r>
      <rPr>
        <b/>
        <sz val="10"/>
        <color theme="1"/>
        <rFont val="Arial Narrow"/>
      </rPr>
      <t>(7a)</t>
    </r>
    <r>
      <rPr>
        <sz val="10"/>
        <color theme="1"/>
        <rFont val="Arial Narrow"/>
      </rPr>
      <t xml:space="preserve">
Res. 1592 de 24-mar-2009  </t>
    </r>
    <r>
      <rPr>
        <b/>
        <sz val="10"/>
        <color theme="1"/>
        <rFont val="Arial Narrow"/>
      </rPr>
      <t>(5a)</t>
    </r>
  </si>
  <si>
    <t xml:space="preserve"> </t>
  </si>
  <si>
    <t>Especialización en Cirugía General</t>
  </si>
  <si>
    <t>Especialista en Cirugía General</t>
  </si>
  <si>
    <t>4 (2023)</t>
  </si>
  <si>
    <t>4 Años</t>
  </si>
  <si>
    <r>
      <rPr>
        <sz val="10"/>
        <color theme="1"/>
        <rFont val="Arial Narrow"/>
      </rPr>
      <t xml:space="preserve">Res. 5943 de 19-abr-2022 </t>
    </r>
    <r>
      <rPr>
        <b/>
        <sz val="10"/>
        <color theme="1"/>
        <rFont val="Arial Narrow"/>
      </rPr>
      <t xml:space="preserve">(Negación)
</t>
    </r>
    <r>
      <rPr>
        <sz val="10"/>
        <color theme="1"/>
        <rFont val="Arial Narrow"/>
      </rPr>
      <t xml:space="preserve">Res. 174 de 03-ene-2014 </t>
    </r>
    <r>
      <rPr>
        <b/>
        <sz val="10"/>
        <color theme="1"/>
        <rFont val="Arial Narrow"/>
      </rPr>
      <t>(7a)</t>
    </r>
    <r>
      <rPr>
        <sz val="10"/>
        <color theme="1"/>
        <rFont val="Arial Narrow"/>
      </rPr>
      <t xml:space="preserve">
Res. 2810 de 14-may-2009 </t>
    </r>
    <r>
      <rPr>
        <b/>
        <sz val="10"/>
        <color theme="1"/>
        <rFont val="Arial Narrow"/>
      </rPr>
      <t xml:space="preserve"> (5a)</t>
    </r>
  </si>
  <si>
    <t>Enfermería</t>
  </si>
  <si>
    <t>Enfermera(o)</t>
  </si>
  <si>
    <t>Ac. 05 de 23-Jul-1970 CA</t>
  </si>
  <si>
    <t>35 (2023)</t>
  </si>
  <si>
    <r>
      <rPr>
        <sz val="10"/>
        <color rgb="FFFF0000"/>
        <rFont val="Arial Narrow"/>
      </rPr>
      <t xml:space="preserve">AC. 024 del 26-Jun-2013 </t>
    </r>
    <r>
      <rPr>
        <b/>
        <sz val="10"/>
        <color rgb="FFFF0000"/>
        <rFont val="Arial Narrow"/>
      </rPr>
      <t xml:space="preserve">(CA) </t>
    </r>
    <r>
      <rPr>
        <sz val="10"/>
        <color rgb="FFFF0000"/>
        <rFont val="Arial Narrow"/>
      </rPr>
      <t xml:space="preserve">
AC. 004 del 18-Mar-2014 </t>
    </r>
    <r>
      <rPr>
        <b/>
        <sz val="10"/>
        <color rgb="FFFF0000"/>
        <rFont val="Arial Narrow"/>
      </rPr>
      <t>(CA)</t>
    </r>
    <r>
      <rPr>
        <sz val="10"/>
        <color rgb="FFFF0000"/>
        <rFont val="Arial Narrow"/>
      </rPr>
      <t xml:space="preserve">
AC. 013 del 07-Jun-2017 </t>
    </r>
    <r>
      <rPr>
        <b/>
        <sz val="10"/>
        <color rgb="FFFF0000"/>
        <rFont val="Arial Narrow"/>
      </rPr>
      <t xml:space="preserve"> (CA)</t>
    </r>
  </si>
  <si>
    <r>
      <rPr>
        <sz val="10"/>
        <color theme="1"/>
        <rFont val="Arial Narrow"/>
      </rPr>
      <t xml:space="preserve">Res. 10878 de 15-jun-2022 </t>
    </r>
    <r>
      <rPr>
        <b/>
        <sz val="10"/>
        <color theme="1"/>
        <rFont val="Arial Narrow"/>
      </rPr>
      <t>(Negación)</t>
    </r>
    <r>
      <rPr>
        <sz val="10"/>
        <color theme="1"/>
        <rFont val="Arial Narrow"/>
      </rPr>
      <t xml:space="preserve">
Res. 2409 de 10-feb-2016 </t>
    </r>
    <r>
      <rPr>
        <b/>
        <sz val="10"/>
        <color theme="1"/>
        <rFont val="Arial Narrow"/>
      </rPr>
      <t>(7a)</t>
    </r>
    <r>
      <rPr>
        <sz val="10"/>
        <color theme="1"/>
        <rFont val="Arial Narrow"/>
      </rPr>
      <t xml:space="preserve">
Res. 29544 de 29-dic-2017</t>
    </r>
    <r>
      <rPr>
        <b/>
        <sz val="10"/>
        <color theme="1"/>
        <rFont val="Arial Narrow"/>
      </rPr>
      <t xml:space="preserve"> (Modif)</t>
    </r>
    <r>
      <rPr>
        <sz val="10"/>
        <color theme="1"/>
        <rFont val="Arial Narrow"/>
      </rPr>
      <t xml:space="preserve">
Res. 13927 de 29-ago-2014</t>
    </r>
    <r>
      <rPr>
        <b/>
        <sz val="10"/>
        <color theme="1"/>
        <rFont val="Arial Narrow"/>
      </rPr>
      <t xml:space="preserve"> (Modif)</t>
    </r>
    <r>
      <rPr>
        <sz val="10"/>
        <color theme="1"/>
        <rFont val="Arial Narrow"/>
      </rPr>
      <t xml:space="preserve">
Res. 10573 de 23-dic-2009 </t>
    </r>
    <r>
      <rPr>
        <b/>
        <sz val="10"/>
        <color theme="1"/>
        <rFont val="Arial Narrow"/>
      </rPr>
      <t>(7a)</t>
    </r>
  </si>
  <si>
    <r>
      <rPr>
        <sz val="10"/>
        <color theme="1"/>
        <rFont val="Arial Narrow"/>
      </rPr>
      <t>Res. 3572 de 16-jun-2008</t>
    </r>
    <r>
      <rPr>
        <b/>
        <sz val="10"/>
        <color theme="1"/>
        <rFont val="Arial Narrow"/>
      </rPr>
      <t xml:space="preserve"> (4a)</t>
    </r>
    <r>
      <rPr>
        <sz val="10"/>
        <color theme="1"/>
        <rFont val="Arial Narrow"/>
      </rPr>
      <t xml:space="preserve">
Res. 3422 29-dic-2003</t>
    </r>
    <r>
      <rPr>
        <b/>
        <sz val="10"/>
        <color theme="1"/>
        <rFont val="Arial Narrow"/>
      </rPr>
      <t xml:space="preserve"> (3a)</t>
    </r>
  </si>
  <si>
    <t xml:space="preserve">Especialización en Intervención del Lenguaje Infantil </t>
  </si>
  <si>
    <t xml:space="preserve">Especialista en Intervención del Lenguaje Infantil </t>
  </si>
  <si>
    <t>Res. 069 9/12/2015</t>
  </si>
  <si>
    <r>
      <rPr>
        <sz val="10"/>
        <color theme="1"/>
        <rFont val="Arial Narrow"/>
      </rPr>
      <t xml:space="preserve">Res. 20884 del 03-nov-2016 </t>
    </r>
    <r>
      <rPr>
        <b/>
        <sz val="10"/>
        <color theme="1"/>
        <rFont val="Arial Narrow"/>
      </rPr>
      <t>(7a)</t>
    </r>
  </si>
  <si>
    <t>Especialización en Medicina Interna</t>
  </si>
  <si>
    <t>Especialista en Medicina Interna</t>
  </si>
  <si>
    <t>3 años</t>
  </si>
  <si>
    <t>AC. 015 del 2014 
RES. 076 del 20-Oct-2016 (CA)</t>
  </si>
  <si>
    <t>SI</t>
  </si>
  <si>
    <t>Res. 010815 de 13-jun-2022 (Negación)                                                                 Res. 1591 de 24-mar-2009  (5a)</t>
  </si>
  <si>
    <t>SÍ</t>
  </si>
  <si>
    <t>Especialización en Medicina Familiar</t>
  </si>
  <si>
    <t>Especialista en Medicina Familiar</t>
  </si>
  <si>
    <t>Res. 025 12/05/1998</t>
  </si>
  <si>
    <t>8 (2023)</t>
  </si>
  <si>
    <t>RES. 003 del 15-Ene-2014 (CA)</t>
  </si>
  <si>
    <t>Res. 10575 de 23-dic-2009</t>
  </si>
  <si>
    <r>
      <rPr>
        <sz val="10"/>
        <color theme="1"/>
        <rFont val="Arial Narrow"/>
      </rPr>
      <t xml:space="preserve">Res. 010816 de 13-junio-2022 </t>
    </r>
    <r>
      <rPr>
        <b/>
        <sz val="10"/>
        <color theme="1"/>
        <rFont val="Arial Narrow"/>
      </rPr>
      <t>(Negada</t>
    </r>
    <r>
      <rPr>
        <sz val="10"/>
        <color theme="1"/>
        <rFont val="Arial Narrow"/>
      </rPr>
      <t>)                 Res. 6939 de 14-may-2015 (</t>
    </r>
    <r>
      <rPr>
        <b/>
        <sz val="10"/>
        <color theme="1"/>
        <rFont val="Arial Narrow"/>
      </rPr>
      <t>Negada</t>
    </r>
    <r>
      <rPr>
        <sz val="10"/>
        <color theme="1"/>
        <rFont val="Arial Narrow"/>
      </rPr>
      <t xml:space="preserve">)                     </t>
    </r>
  </si>
  <si>
    <t>Fisioterapia</t>
  </si>
  <si>
    <t>Fisioterapeuta</t>
  </si>
  <si>
    <t>Ac. 050 de 09-Sep-1997 CS</t>
  </si>
  <si>
    <t>40 (2023)</t>
  </si>
  <si>
    <r>
      <rPr>
        <sz val="10"/>
        <color rgb="FFFF0000"/>
        <rFont val="Arial Narrow"/>
      </rPr>
      <t xml:space="preserve">AC. 002 del 11-Feb-2015 </t>
    </r>
    <r>
      <rPr>
        <b/>
        <sz val="10"/>
        <color rgb="FFFF0000"/>
        <rFont val="Arial Narrow"/>
      </rPr>
      <t>(CA)</t>
    </r>
  </si>
  <si>
    <r>
      <rPr>
        <sz val="10"/>
        <color theme="1"/>
        <rFont val="Arial Narrow"/>
      </rPr>
      <t xml:space="preserve">Res. 20491 de 27-oct-2020 </t>
    </r>
    <r>
      <rPr>
        <b/>
        <sz val="10"/>
        <color theme="1"/>
        <rFont val="Arial Narrow"/>
      </rPr>
      <t>(7a)</t>
    </r>
    <r>
      <rPr>
        <sz val="10"/>
        <color theme="1"/>
        <rFont val="Arial Narrow"/>
      </rPr>
      <t xml:space="preserve">
Res. 16727 de 05-abr-2013 </t>
    </r>
    <r>
      <rPr>
        <b/>
        <sz val="10"/>
        <color theme="1"/>
        <rFont val="Arial Narrow"/>
      </rPr>
      <t>(7a)</t>
    </r>
    <r>
      <rPr>
        <sz val="10"/>
        <color theme="1"/>
        <rFont val="Arial Narrow"/>
      </rPr>
      <t xml:space="preserve">
Res. 904 de 28-feb-2007</t>
    </r>
    <r>
      <rPr>
        <b/>
        <sz val="10"/>
        <color theme="1"/>
        <rFont val="Arial Narrow"/>
      </rPr>
      <t xml:space="preserve"> (7a)</t>
    </r>
  </si>
  <si>
    <r>
      <rPr>
        <sz val="10"/>
        <color theme="1"/>
        <rFont val="Arial Narrow"/>
      </rPr>
      <t xml:space="preserve">Res. 6371 de 12-abr-2018 </t>
    </r>
    <r>
      <rPr>
        <b/>
        <sz val="10"/>
        <color theme="1"/>
        <rFont val="Arial Narrow"/>
      </rPr>
      <t>(4a)</t>
    </r>
    <r>
      <rPr>
        <sz val="10"/>
        <color theme="1"/>
        <rFont val="Arial Narrow"/>
      </rPr>
      <t xml:space="preserve">
Res. 3226 de 05-abr-2013 </t>
    </r>
    <r>
      <rPr>
        <b/>
        <sz val="10"/>
        <color theme="1"/>
        <rFont val="Arial Narrow"/>
      </rPr>
      <t>(4a)</t>
    </r>
  </si>
  <si>
    <t>*Esta especialización fue aprobada por el C.S. octubre 2015, aún no ha salido la norma dado que desde ese entonces los profesores que lo sustentaron no han aclarado unas dudas sobre el pensum y además el texto que presentaron para el programa procesal, tiene partes que hablan sobre derecho contractual privado. Sec Gral.</t>
  </si>
  <si>
    <t>Especialización en Seguridad y Salud en el Trabajo</t>
  </si>
  <si>
    <t>Especialista en Seguridad y Salud en el Trabajo</t>
  </si>
  <si>
    <r>
      <rPr>
        <sz val="10"/>
        <color theme="1"/>
        <rFont val="Arial Narrow"/>
      </rPr>
      <t xml:space="preserve">Ac. 018 de 18/03/2015 </t>
    </r>
    <r>
      <rPr>
        <b/>
        <sz val="10"/>
        <color theme="1"/>
        <rFont val="Arial Narrow"/>
      </rPr>
      <t>(CS)</t>
    </r>
  </si>
  <si>
    <t>35 (2015)</t>
  </si>
  <si>
    <t xml:space="preserve">Mixta </t>
  </si>
  <si>
    <r>
      <rPr>
        <sz val="10"/>
        <color theme="1"/>
        <rFont val="Arial Narrow"/>
      </rPr>
      <t xml:space="preserve">Res. </t>
    </r>
    <r>
      <rPr>
        <b/>
        <sz val="10"/>
        <color theme="1"/>
        <rFont val="Arial Narrow"/>
      </rPr>
      <t xml:space="preserve">2330 </t>
    </r>
    <r>
      <rPr>
        <sz val="10"/>
        <color theme="1"/>
        <rFont val="Arial Narrow"/>
      </rPr>
      <t>del 17 de febrero de 2017</t>
    </r>
  </si>
  <si>
    <t>Enfermería (S.Q)</t>
  </si>
  <si>
    <t>Enfermera (o)</t>
  </si>
  <si>
    <t>Acuerdo Superior No. 009 del 6 de marzo de 2024 (CS)</t>
  </si>
  <si>
    <t>35 (2025)</t>
  </si>
  <si>
    <t xml:space="preserve">Santander de Quilichao </t>
  </si>
  <si>
    <t>10 semestres</t>
  </si>
  <si>
    <t>Res. 023523 de 28-nov 2025</t>
  </si>
  <si>
    <t>Qué es????</t>
  </si>
  <si>
    <t>????</t>
  </si>
  <si>
    <t>Facultad de Ciencias Humanas y Sociales</t>
  </si>
  <si>
    <t>Licenciatura en Lenguas Modernas con énfasis en Inglés y Francés (Santander de Quilichao)</t>
  </si>
  <si>
    <t>Licenciado(a) en Lenguas Modernas con énfasis en Inglés y Francés</t>
  </si>
  <si>
    <t>Res. 3527 de 16-Dic-1985</t>
  </si>
  <si>
    <t>Santander de Quilichao</t>
  </si>
  <si>
    <r>
      <rPr>
        <sz val="10"/>
        <color theme="1"/>
        <rFont val="Arial Narrow"/>
      </rPr>
      <t xml:space="preserve">Res. 17189 de 27-dic-2012 </t>
    </r>
    <r>
      <rPr>
        <b/>
        <sz val="10"/>
        <color theme="1"/>
        <rFont val="Arial Narrow"/>
      </rPr>
      <t>(7a)</t>
    </r>
  </si>
  <si>
    <t>Filosofía</t>
  </si>
  <si>
    <t>Filósofo</t>
  </si>
  <si>
    <t>Res. 041 de 15-Ago-2000</t>
  </si>
  <si>
    <t xml:space="preserve">45 (2020) </t>
  </si>
  <si>
    <t>8 Semestres</t>
  </si>
  <si>
    <t>AC. 023 del 30-Nov-2011 (CA)</t>
  </si>
  <si>
    <r>
      <rPr>
        <sz val="10"/>
        <color theme="1"/>
        <rFont val="Arial Narrow"/>
      </rPr>
      <t xml:space="preserve">Res. 11314 de 26-ago-2013 </t>
    </r>
    <r>
      <rPr>
        <b/>
        <sz val="10"/>
        <color theme="1"/>
        <rFont val="Arial Narrow"/>
      </rPr>
      <t>(7a)</t>
    </r>
    <r>
      <rPr>
        <sz val="10"/>
        <color theme="1"/>
        <rFont val="Arial Narrow"/>
      </rPr>
      <t xml:space="preserve">
Res. 124 de 18-ene-2007</t>
    </r>
    <r>
      <rPr>
        <b/>
        <sz val="10"/>
        <color theme="1"/>
        <rFont val="Arial Narrow"/>
      </rPr>
      <t xml:space="preserve"> (7a)</t>
    </r>
  </si>
  <si>
    <t>Geografía del Desarrollo Regional y Ambiental</t>
  </si>
  <si>
    <t>Geógrafo</t>
  </si>
  <si>
    <t>Res. 037 de 17-Sep-1996</t>
  </si>
  <si>
    <t>AC. 030 del 06-Ago-2013 (CA)</t>
  </si>
  <si>
    <r>
      <rPr>
        <sz val="10"/>
        <color theme="1"/>
        <rFont val="Arial Narrow"/>
      </rPr>
      <t xml:space="preserve">Res. 12951 de 23-sep-2013 </t>
    </r>
    <r>
      <rPr>
        <b/>
        <sz val="10"/>
        <color theme="1"/>
        <rFont val="Arial Narrow"/>
      </rPr>
      <t>(7a)</t>
    </r>
    <r>
      <rPr>
        <sz val="10"/>
        <color theme="1"/>
        <rFont val="Arial Narrow"/>
      </rPr>
      <t xml:space="preserve">
Res. 2354 de 10-may-2007</t>
    </r>
    <r>
      <rPr>
        <b/>
        <sz val="10"/>
        <color theme="1"/>
        <rFont val="Arial Narrow"/>
      </rPr>
      <t xml:space="preserve"> (7a)</t>
    </r>
  </si>
  <si>
    <t>Doctorado en Antropología</t>
  </si>
  <si>
    <t>Doctor en Antropología</t>
  </si>
  <si>
    <t>Ac. S. 009 24/02/2004 Modificado por Acuerdo 055/2011</t>
  </si>
  <si>
    <t>10 (2020)</t>
  </si>
  <si>
    <t>Cuatrimestral</t>
  </si>
  <si>
    <r>
      <rPr>
        <sz val="10"/>
        <color theme="1"/>
        <rFont val="Arial Narrow"/>
      </rPr>
      <t xml:space="preserve">Res. 4839 de 30-abr-2013 </t>
    </r>
    <r>
      <rPr>
        <b/>
        <sz val="10"/>
        <color theme="1"/>
        <rFont val="Arial Narrow"/>
      </rPr>
      <t>(7a)</t>
    </r>
    <r>
      <rPr>
        <sz val="10"/>
        <color theme="1"/>
        <rFont val="Arial Narrow"/>
      </rPr>
      <t xml:space="preserve">
Res. 5291 de 16-nov-2005 </t>
    </r>
    <r>
      <rPr>
        <b/>
        <sz val="10"/>
        <color theme="1"/>
        <rFont val="Arial Narrow"/>
      </rPr>
      <t>(7a)</t>
    </r>
  </si>
  <si>
    <t>Maestría en Antropología</t>
  </si>
  <si>
    <t>Magíster en Antropología</t>
  </si>
  <si>
    <t>Ac. S. 032 27/05/2009</t>
  </si>
  <si>
    <t>7 (2022)</t>
  </si>
  <si>
    <r>
      <rPr>
        <sz val="10"/>
        <color theme="1"/>
        <rFont val="Arial Narrow"/>
      </rPr>
      <t xml:space="preserve">Res. 18669 de 17-nov-2015 </t>
    </r>
    <r>
      <rPr>
        <b/>
        <sz val="10"/>
        <color theme="1"/>
        <rFont val="Arial Narrow"/>
      </rPr>
      <t>(7a)</t>
    </r>
    <r>
      <rPr>
        <sz val="10"/>
        <color theme="1"/>
        <rFont val="Arial Narrow"/>
      </rPr>
      <t xml:space="preserve">
Res. 6472 de 16-sep-2009</t>
    </r>
  </si>
  <si>
    <t xml:space="preserve">Maestría en Ciencias Humanas </t>
  </si>
  <si>
    <t xml:space="preserve">Magíster en Ciencias Humanas </t>
  </si>
  <si>
    <t>Ac. S. 045 13/08/2014</t>
  </si>
  <si>
    <t>25 (2022)</t>
  </si>
  <si>
    <r>
      <rPr>
        <sz val="10"/>
        <color theme="1"/>
        <rFont val="Arial Narrow"/>
      </rPr>
      <t xml:space="preserve">Res. 3275 de 13-mar-2015 </t>
    </r>
    <r>
      <rPr>
        <b/>
        <sz val="10"/>
        <color theme="1"/>
        <rFont val="Arial Narrow"/>
      </rPr>
      <t>(7a)</t>
    </r>
  </si>
  <si>
    <t>Doctorado en Ciencias Humanas</t>
  </si>
  <si>
    <t>Doctor en Ciencias Humanas</t>
  </si>
  <si>
    <t>Ac. S. 035 01/06/2015</t>
  </si>
  <si>
    <t>12 (2023)</t>
  </si>
  <si>
    <r>
      <rPr>
        <sz val="10"/>
        <color theme="1"/>
        <rFont val="Arial Narrow"/>
      </rPr>
      <t xml:space="preserve">Res. 10719 de 20-may-2016 </t>
    </r>
    <r>
      <rPr>
        <b/>
        <sz val="10"/>
        <color theme="1"/>
        <rFont val="Arial Narrow"/>
      </rPr>
      <t>(7a)</t>
    </r>
  </si>
  <si>
    <t>Licenciatura en Lenguas Modernas con Énfasis en Inglés y Francés</t>
  </si>
  <si>
    <t>Licenciado(a) en Lenguas Modernas con Énfasis en Ingles y Francés</t>
  </si>
  <si>
    <t>45 (2017)</t>
  </si>
  <si>
    <t>AC. 011 del 24-May-2017 (CA)</t>
  </si>
  <si>
    <t>AC. 013 del 02-May-2017 (CS)</t>
  </si>
  <si>
    <t>Res. 25122 de 17-nov-2017 (MEN)</t>
  </si>
  <si>
    <r>
      <rPr>
        <sz val="10"/>
        <color theme="1"/>
        <rFont val="Arial Narrow"/>
      </rPr>
      <t xml:space="preserve">Res. 29142 de 26-dic-2017 </t>
    </r>
    <r>
      <rPr>
        <b/>
        <sz val="10"/>
        <color theme="1"/>
        <rFont val="Arial Narrow"/>
      </rPr>
      <t>(7a)</t>
    </r>
    <r>
      <rPr>
        <sz val="10"/>
        <color theme="1"/>
        <rFont val="Arial Narrow"/>
      </rPr>
      <t xml:space="preserve">
Res. 10209 de 22-nov-2010
Res. 2251 17-ago-2000</t>
    </r>
  </si>
  <si>
    <r>
      <rPr>
        <sz val="10"/>
        <color theme="1"/>
        <rFont val="Arial Narrow"/>
      </rPr>
      <t xml:space="preserve">Res. 27245 de 04-dic-2017 </t>
    </r>
    <r>
      <rPr>
        <b/>
        <sz val="10"/>
        <color theme="1"/>
        <rFont val="Arial Narrow"/>
      </rPr>
      <t>(4a)</t>
    </r>
    <r>
      <rPr>
        <sz val="10"/>
        <color theme="1"/>
        <rFont val="Arial Narrow"/>
      </rPr>
      <t xml:space="preserve">
Res. 12458 de 29-dic-2011 </t>
    </r>
    <r>
      <rPr>
        <b/>
        <sz val="10"/>
        <color theme="1"/>
        <rFont val="Arial Narrow"/>
      </rPr>
      <t>(4a)</t>
    </r>
    <r>
      <rPr>
        <sz val="10"/>
        <color theme="1"/>
        <rFont val="Arial Narrow"/>
      </rPr>
      <t xml:space="preserve">
Res. 2251 de17-ago-2000 </t>
    </r>
    <r>
      <rPr>
        <b/>
        <sz val="10"/>
        <color theme="1"/>
        <rFont val="Arial Narrow"/>
      </rPr>
      <t>(7a)</t>
    </r>
  </si>
  <si>
    <t>Res.11754 de 9-jun-2017</t>
  </si>
  <si>
    <t>Historia</t>
  </si>
  <si>
    <t>Historiador</t>
  </si>
  <si>
    <t>Res. 010 de 20-Mar-2001</t>
  </si>
  <si>
    <t>45 (2021)</t>
  </si>
  <si>
    <t>AC.005 del 2015</t>
  </si>
  <si>
    <r>
      <rPr>
        <sz val="10"/>
        <color theme="1"/>
        <rFont val="Arial Narrow"/>
      </rPr>
      <t xml:space="preserve">Res. 10290 de 4-jun-2021 </t>
    </r>
    <r>
      <rPr>
        <b/>
        <sz val="10"/>
        <color theme="1"/>
        <rFont val="Arial Narrow"/>
      </rPr>
      <t>(7a)</t>
    </r>
    <r>
      <rPr>
        <sz val="10"/>
        <color theme="1"/>
        <rFont val="Arial Narrow"/>
      </rPr>
      <t xml:space="preserve">
Res. 374 de 14-ene-2014 </t>
    </r>
    <r>
      <rPr>
        <b/>
        <sz val="10"/>
        <color theme="1"/>
        <rFont val="Arial Narrow"/>
      </rPr>
      <t>(7a)</t>
    </r>
    <r>
      <rPr>
        <sz val="10"/>
        <color theme="1"/>
        <rFont val="Arial Narrow"/>
      </rPr>
      <t xml:space="preserve">
Res. 5812 de 02-oct-2007</t>
    </r>
    <r>
      <rPr>
        <b/>
        <sz val="10"/>
        <color theme="1"/>
        <rFont val="Arial Narrow"/>
      </rPr>
      <t xml:space="preserve"> (7a)</t>
    </r>
  </si>
  <si>
    <t xml:space="preserve">Maestría en Artes Integradas con el Ambiente </t>
  </si>
  <si>
    <t xml:space="preserve">Magíster en Artes Integradas con el Ambiente </t>
  </si>
  <si>
    <t>Res. C.S. 032 28/05/2014</t>
  </si>
  <si>
    <t>21 (2023)</t>
  </si>
  <si>
    <r>
      <rPr>
        <sz val="10"/>
        <color theme="1"/>
        <rFont val="Arial Narrow"/>
      </rPr>
      <t xml:space="preserve">Res. 6190 de 06-may-2015 </t>
    </r>
    <r>
      <rPr>
        <b/>
        <sz val="10"/>
        <color theme="1"/>
        <rFont val="Arial Narrow"/>
      </rPr>
      <t>(7a)</t>
    </r>
  </si>
  <si>
    <t>Licenciatura en Literatura y Lengua Castellana</t>
  </si>
  <si>
    <t>Licenciado(a) en Literatura y Lengua Castellana</t>
  </si>
  <si>
    <r>
      <rPr>
        <sz val="10"/>
        <color theme="1"/>
        <rFont val="Arial Narrow"/>
      </rPr>
      <t>Ac. 022 de 24-Mar-1994</t>
    </r>
    <r>
      <rPr>
        <b/>
        <sz val="10"/>
        <color theme="1"/>
        <rFont val="Arial Narrow"/>
      </rPr>
      <t xml:space="preserve"> (CS)</t>
    </r>
  </si>
  <si>
    <t>30 (2018)</t>
  </si>
  <si>
    <t>AC. 016 del 22-Jun-2017 (CA)</t>
  </si>
  <si>
    <t>AC. 014 del 02-May-2017 (CS)</t>
  </si>
  <si>
    <t>Res. 28123 del 13-dic-2017</t>
  </si>
  <si>
    <r>
      <rPr>
        <sz val="10"/>
        <color theme="1"/>
        <rFont val="Arial Narrow"/>
      </rPr>
      <t>Res 10449 de 26-nov-2010</t>
    </r>
    <r>
      <rPr>
        <b/>
        <sz val="10"/>
        <color theme="1"/>
        <rFont val="Arial Narrow"/>
      </rPr>
      <t xml:space="preserve"> (7a)</t>
    </r>
    <r>
      <rPr>
        <sz val="10"/>
        <color theme="1"/>
        <rFont val="Arial Narrow"/>
      </rPr>
      <t xml:space="preserve">
Res 28123 de 13-dic-2017</t>
    </r>
    <r>
      <rPr>
        <b/>
        <sz val="10"/>
        <color theme="1"/>
        <rFont val="Arial Narrow"/>
      </rPr>
      <t xml:space="preserve"> (Modif.)</t>
    </r>
    <r>
      <rPr>
        <sz val="10"/>
        <color theme="1"/>
        <rFont val="Arial Narrow"/>
      </rPr>
      <t xml:space="preserve">
Res. 2116 de 12-sep-2001</t>
    </r>
    <r>
      <rPr>
        <b/>
        <sz val="10"/>
        <color theme="1"/>
        <rFont val="Arial Narrow"/>
      </rPr>
      <t xml:space="preserve"> (Ac. Previa)</t>
    </r>
  </si>
  <si>
    <r>
      <rPr>
        <sz val="10"/>
        <color theme="1"/>
        <rFont val="Arial Narrow"/>
      </rPr>
      <t xml:space="preserve">Res. 11243 de 02 de junio 2017 </t>
    </r>
    <r>
      <rPr>
        <b/>
        <sz val="10"/>
        <color theme="1"/>
        <rFont val="Arial Narrow"/>
      </rPr>
      <t>(4a)</t>
    </r>
  </si>
  <si>
    <t>Licenciatura en Etnoeducación y Ciencias Sociales</t>
  </si>
  <si>
    <t>Licenciado (a) en Etnoeducación y Ciencias Sociales</t>
  </si>
  <si>
    <t>Ac 017 de 10-marzo-1994 (CS)</t>
  </si>
  <si>
    <t>40 (en cada municipio)(2025)</t>
  </si>
  <si>
    <t>Popayán, Santander de Quilichao y Guapi</t>
  </si>
  <si>
    <r>
      <rPr>
        <u/>
        <sz val="10"/>
        <color rgb="FF0000FF"/>
        <rFont val="Arial"/>
      </rPr>
      <t xml:space="preserve">24484
</t>
    </r>
    <r>
      <rPr>
        <u/>
        <sz val="10"/>
        <color rgb="FF1155CC"/>
        <rFont val="Arial"/>
      </rPr>
      <t>9085</t>
    </r>
  </si>
  <si>
    <t>Res 24484 de 17-dic-2025 (7a)
Res. 9085 modifica resolución 24484 en nombre</t>
  </si>
  <si>
    <t xml:space="preserve">Antropología </t>
  </si>
  <si>
    <t>Antropólogo (a)</t>
  </si>
  <si>
    <t>Res. 1351 de 07-Jun-1988</t>
  </si>
  <si>
    <r>
      <rPr>
        <sz val="10"/>
        <color theme="1"/>
        <rFont val="Arial Narrow"/>
      </rPr>
      <t xml:space="preserve">Res. 24750 de 29-dic-2022 </t>
    </r>
    <r>
      <rPr>
        <b/>
        <sz val="10"/>
        <color theme="1"/>
        <rFont val="Arial Narrow"/>
      </rPr>
      <t>(7a)</t>
    </r>
    <r>
      <rPr>
        <sz val="10"/>
        <color theme="1"/>
        <rFont val="Arial Narrow"/>
      </rPr>
      <t xml:space="preserve">
Res. 9839 de 18-may-2016 </t>
    </r>
    <r>
      <rPr>
        <b/>
        <sz val="10"/>
        <color theme="1"/>
        <rFont val="Arial Narrow"/>
      </rPr>
      <t>(7a)</t>
    </r>
    <r>
      <rPr>
        <sz val="10"/>
        <color theme="1"/>
        <rFont val="Arial Narrow"/>
      </rPr>
      <t xml:space="preserve">
Res. 9879 de 31-jul-2013 </t>
    </r>
    <r>
      <rPr>
        <b/>
        <sz val="10"/>
        <color theme="1"/>
        <rFont val="Arial Narrow"/>
      </rPr>
      <t>(7a)</t>
    </r>
    <r>
      <rPr>
        <sz val="10"/>
        <color theme="1"/>
        <rFont val="Arial Narrow"/>
      </rPr>
      <t xml:space="preserve">
Res.7557 de 31-ago-2010</t>
    </r>
    <r>
      <rPr>
        <b/>
        <sz val="10"/>
        <color theme="1"/>
        <rFont val="Arial Narrow"/>
      </rPr>
      <t xml:space="preserve"> (7a)</t>
    </r>
    <r>
      <rPr>
        <sz val="10"/>
        <color theme="1"/>
        <rFont val="Arial Narrow"/>
      </rPr>
      <t xml:space="preserve">
Res.1582 de 20-mar-2009 </t>
    </r>
    <r>
      <rPr>
        <b/>
        <sz val="10"/>
        <color theme="1"/>
        <rFont val="Arial Narrow"/>
      </rPr>
      <t>(6a)</t>
    </r>
    <r>
      <rPr>
        <sz val="10"/>
        <color theme="1"/>
        <rFont val="Arial Narrow"/>
      </rPr>
      <t xml:space="preserve">
Res.9589 de 16-dic-2008 </t>
    </r>
    <r>
      <rPr>
        <b/>
        <sz val="10"/>
        <color theme="1"/>
        <rFont val="Arial Narrow"/>
      </rPr>
      <t>(7a)</t>
    </r>
    <r>
      <rPr>
        <sz val="10"/>
        <color theme="1"/>
        <rFont val="Arial Narrow"/>
      </rPr>
      <t xml:space="preserve">
Res.3163 de 11-dic-2003 </t>
    </r>
    <r>
      <rPr>
        <b/>
        <sz val="10"/>
        <color theme="1"/>
        <rFont val="Arial Narrow"/>
      </rPr>
      <t>(3a)</t>
    </r>
  </si>
  <si>
    <r>
      <rPr>
        <sz val="10"/>
        <color theme="1"/>
        <rFont val="Arial Narrow"/>
      </rPr>
      <t xml:space="preserve">Res. 19159 de 30-sep-2016 </t>
    </r>
    <r>
      <rPr>
        <b/>
        <sz val="10"/>
        <color theme="1"/>
        <rFont val="Arial Narrow"/>
      </rPr>
      <t>(6a)</t>
    </r>
    <r>
      <rPr>
        <sz val="10"/>
        <color theme="1"/>
        <rFont val="Arial Narrow"/>
      </rPr>
      <t xml:space="preserve">
Res. 1582 de 20-mar-2009 </t>
    </r>
    <r>
      <rPr>
        <b/>
        <sz val="10"/>
        <color theme="1"/>
        <rFont val="Arial Narrow"/>
      </rPr>
      <t>(6a)</t>
    </r>
    <r>
      <rPr>
        <sz val="10"/>
        <color theme="1"/>
        <rFont val="Arial Narrow"/>
      </rPr>
      <t xml:space="preserve">
Res. 3163 de 11-dic-2003 </t>
    </r>
    <r>
      <rPr>
        <b/>
        <sz val="10"/>
        <color theme="1"/>
        <rFont val="Arial Narrow"/>
      </rPr>
      <t>(3a)</t>
    </r>
  </si>
  <si>
    <t>Facultad de Ciencias Naturales, Exactas y de la Educación</t>
  </si>
  <si>
    <t>Especialización en Educación Comunitaria</t>
  </si>
  <si>
    <t>Especialista en Educación Comunitaria</t>
  </si>
  <si>
    <t>Ac. 044 de 10-sep-1999</t>
  </si>
  <si>
    <t>25 (2026)</t>
  </si>
  <si>
    <t>Cada 2 años</t>
  </si>
  <si>
    <t>Res. 9133 de 01-abril-2026</t>
  </si>
  <si>
    <t>Ingeniería Física</t>
  </si>
  <si>
    <t>Ingeniero (a) Físico (a)</t>
  </si>
  <si>
    <t>Res. 024 de 20-Jun-1995</t>
  </si>
  <si>
    <t>50 (2025)</t>
  </si>
  <si>
    <r>
      <rPr>
        <sz val="10"/>
        <color theme="1"/>
        <rFont val="Arial Narrow"/>
      </rPr>
      <t>AC. 013 del 2014
AC. 010 del 13-May-2015</t>
    </r>
    <r>
      <rPr>
        <b/>
        <sz val="10"/>
        <color theme="1"/>
        <rFont val="Arial Narrow"/>
      </rPr>
      <t xml:space="preserve"> (CA)</t>
    </r>
  </si>
  <si>
    <t>Res. 005365 del 24-05-2019</t>
  </si>
  <si>
    <r>
      <rPr>
        <sz val="10"/>
        <color theme="1"/>
        <rFont val="Arial Narrow"/>
      </rPr>
      <t xml:space="preserve">Res. 10288 de 27-jun-2018 </t>
    </r>
    <r>
      <rPr>
        <b/>
        <sz val="10"/>
        <color theme="1"/>
        <rFont val="Arial Narrow"/>
      </rPr>
      <t>(7a)</t>
    </r>
    <r>
      <rPr>
        <sz val="10"/>
        <color theme="1"/>
        <rFont val="Arial Narrow"/>
      </rPr>
      <t xml:space="preserve">
Res. 6518 de 09-ago-2011  
 Res. 19844 de 18-oct-2016</t>
    </r>
    <r>
      <rPr>
        <b/>
        <sz val="10"/>
        <color theme="1"/>
        <rFont val="Arial Narrow"/>
      </rPr>
      <t xml:space="preserve"> (Mod)</t>
    </r>
    <r>
      <rPr>
        <sz val="10"/>
        <color theme="1"/>
        <rFont val="Arial Narrow"/>
      </rPr>
      <t xml:space="preserve">
Res. 2140 de 26-jul-2004
Res. 23384 de 28-nov-2025</t>
    </r>
  </si>
  <si>
    <t>Maestría en Educación Popular</t>
  </si>
  <si>
    <t>Magíster en Educación Popular</t>
  </si>
  <si>
    <t>Ac. S. 012 19/02/2014</t>
  </si>
  <si>
    <r>
      <rPr>
        <sz val="10"/>
        <color theme="1"/>
        <rFont val="Arial Narrow"/>
      </rPr>
      <t xml:space="preserve">Res. 11043 de 14-jul-2014 </t>
    </r>
    <r>
      <rPr>
        <b/>
        <sz val="10"/>
        <color theme="1"/>
        <rFont val="Arial Narrow"/>
      </rPr>
      <t>(7a)</t>
    </r>
  </si>
  <si>
    <t>Maestría en Educación Popular (Santander de Quilichao)</t>
  </si>
  <si>
    <r>
      <rPr>
        <sz val="10"/>
        <color theme="1"/>
        <rFont val="Arial Narrow"/>
      </rPr>
      <t xml:space="preserve">Res. 162 de 04-ene-2021 </t>
    </r>
    <r>
      <rPr>
        <b/>
        <sz val="10"/>
        <color theme="1"/>
        <rFont val="Arial Narrow"/>
      </rPr>
      <t>(Modificada por Res. 2559)</t>
    </r>
    <r>
      <rPr>
        <sz val="10"/>
        <color theme="1"/>
        <rFont val="Arial Narrow"/>
      </rPr>
      <t xml:space="preserve">
Res. 11276 de 16-jul-2014 </t>
    </r>
    <r>
      <rPr>
        <b/>
        <sz val="10"/>
        <color theme="1"/>
        <rFont val="Arial Narrow"/>
      </rPr>
      <t>(7a)</t>
    </r>
  </si>
  <si>
    <t>Maestría en Educación (MI)</t>
  </si>
  <si>
    <t>Magíster en Educación</t>
  </si>
  <si>
    <t>Res. 048 2/08/2005</t>
  </si>
  <si>
    <r>
      <rPr>
        <sz val="10"/>
        <color theme="1"/>
        <rFont val="Arial Narrow"/>
      </rPr>
      <t xml:space="preserve">RES. VRA-387 del 30-Jun-2011 </t>
    </r>
    <r>
      <rPr>
        <b/>
        <sz val="10"/>
        <color theme="1"/>
        <rFont val="Arial Narrow"/>
      </rPr>
      <t>(VA)</t>
    </r>
    <r>
      <rPr>
        <sz val="10"/>
        <color theme="1"/>
        <rFont val="Arial Narrow"/>
      </rPr>
      <t xml:space="preserve">
RES. 076 del 27-Jun-2012</t>
    </r>
    <r>
      <rPr>
        <b/>
        <sz val="10"/>
        <color theme="1"/>
        <rFont val="Arial Narrow"/>
      </rPr>
      <t xml:space="preserve"> (CA)</t>
    </r>
  </si>
  <si>
    <r>
      <rPr>
        <sz val="10"/>
        <color theme="1"/>
        <rFont val="Arial Narrow"/>
      </rPr>
      <t xml:space="preserve">Res. 20288 de 28-nov-2014 </t>
    </r>
    <r>
      <rPr>
        <b/>
        <sz val="10"/>
        <color theme="1"/>
        <rFont val="Arial Narrow"/>
      </rPr>
      <t>(7a)</t>
    </r>
    <r>
      <rPr>
        <sz val="10"/>
        <color theme="1"/>
        <rFont val="Arial Narrow"/>
      </rPr>
      <t xml:space="preserve">
Res. 3980 de 27-jun-2008</t>
    </r>
  </si>
  <si>
    <t>Biología</t>
  </si>
  <si>
    <t>Biólogo</t>
  </si>
  <si>
    <r>
      <rPr>
        <sz val="10"/>
        <color theme="1"/>
        <rFont val="Arial Narrow"/>
      </rPr>
      <t xml:space="preserve">Res. 073 de 18-Oct-1994 </t>
    </r>
    <r>
      <rPr>
        <b/>
        <sz val="10"/>
        <color theme="1"/>
        <rFont val="Arial Narrow"/>
      </rPr>
      <t>(CS)</t>
    </r>
  </si>
  <si>
    <t>40 (2021)</t>
  </si>
  <si>
    <t>AC 004 del 20-feb-2018</t>
  </si>
  <si>
    <t>Res. 013914 15-ago-2018</t>
  </si>
  <si>
    <r>
      <rPr>
        <sz val="10"/>
        <color theme="1"/>
        <rFont val="Arial Narrow"/>
      </rPr>
      <t xml:space="preserve">Res. 8006 de 17-may-2018 </t>
    </r>
    <r>
      <rPr>
        <b/>
        <sz val="10"/>
        <color theme="1"/>
        <rFont val="Arial Narrow"/>
      </rPr>
      <t>(Ren.Ofic)</t>
    </r>
    <r>
      <rPr>
        <sz val="10"/>
        <color theme="1"/>
        <rFont val="Arial Narrow"/>
      </rPr>
      <t xml:space="preserve">
Res 10981 de 11-sep-12 </t>
    </r>
    <r>
      <rPr>
        <b/>
        <sz val="10"/>
        <color theme="1"/>
        <rFont val="Arial Narrow"/>
      </rPr>
      <t>(7a)</t>
    </r>
    <r>
      <rPr>
        <sz val="10"/>
        <color theme="1"/>
        <rFont val="Arial Narrow"/>
      </rPr>
      <t xml:space="preserve">
Res. 778 de 09-mar-2005</t>
    </r>
  </si>
  <si>
    <r>
      <rPr>
        <sz val="10"/>
        <color theme="1"/>
        <rFont val="Arial Narrow"/>
      </rPr>
      <t xml:space="preserve">Res. 6830 de 12-may-2014 </t>
    </r>
    <r>
      <rPr>
        <b/>
        <sz val="10"/>
        <color theme="1"/>
        <rFont val="Arial Narrow"/>
      </rPr>
      <t>(6a)</t>
    </r>
  </si>
  <si>
    <t>Maestría en Ingeniería Física</t>
  </si>
  <si>
    <t>Magister en Ingeniería Física</t>
  </si>
  <si>
    <t>Res. 083 8/11/2005</t>
  </si>
  <si>
    <t>16 (2014)</t>
  </si>
  <si>
    <t>AC. 020 del 2014</t>
  </si>
  <si>
    <r>
      <rPr>
        <sz val="10"/>
        <color theme="1"/>
        <rFont val="Arial Narrow"/>
      </rPr>
      <t xml:space="preserve">Res. 8113 de 30-may-2014 </t>
    </r>
    <r>
      <rPr>
        <b/>
        <sz val="10"/>
        <color theme="1"/>
        <rFont val="Arial Narrow"/>
      </rPr>
      <t>(7a)</t>
    </r>
    <r>
      <rPr>
        <sz val="10"/>
        <color theme="1"/>
        <rFont val="Arial Narrow"/>
      </rPr>
      <t xml:space="preserve">
Res. 1116 de 29-feb-2008</t>
    </r>
  </si>
  <si>
    <t>Maestría en Biología</t>
  </si>
  <si>
    <t xml:space="preserve">Magíster en Biología </t>
  </si>
  <si>
    <t>Ac. S. 072 17/12/2014</t>
  </si>
  <si>
    <r>
      <rPr>
        <sz val="10"/>
        <color theme="1"/>
        <rFont val="Arial Narrow"/>
      </rPr>
      <t xml:space="preserve">Res. 8328 de 9-jun-2015 </t>
    </r>
    <r>
      <rPr>
        <b/>
        <sz val="10"/>
        <color theme="1"/>
        <rFont val="Arial Narrow"/>
      </rPr>
      <t>(7a)</t>
    </r>
  </si>
  <si>
    <t>Maestría en Educación, Estudios del Cuerpo y la Motricidad</t>
  </si>
  <si>
    <t>Magíster en Educación, Estudios del Cuerpo y la Motricidad</t>
  </si>
  <si>
    <t>Ac. S. 061 3/12/2014</t>
  </si>
  <si>
    <r>
      <rPr>
        <sz val="10"/>
        <color theme="1"/>
        <rFont val="Arial Narrow"/>
      </rPr>
      <t xml:space="preserve">Res. 3274 del 13-mar-2015 </t>
    </r>
    <r>
      <rPr>
        <b/>
        <sz val="10"/>
        <color theme="1"/>
        <rFont val="Arial Narrow"/>
      </rPr>
      <t>(7a)</t>
    </r>
  </si>
  <si>
    <t>Maestría en Educación Superior</t>
  </si>
  <si>
    <t>Magíster en Educación Superior con énfasis en Docencia Universitaria o Dirección Universitaria</t>
  </si>
  <si>
    <r>
      <rPr>
        <sz val="10"/>
        <color theme="1"/>
        <rFont val="Arial Narrow"/>
      </rPr>
      <t xml:space="preserve">Ac. 026 del 09-jun-21 </t>
    </r>
    <r>
      <rPr>
        <b/>
        <sz val="10"/>
        <color theme="1"/>
        <rFont val="Arial Narrow"/>
      </rPr>
      <t>(CS)</t>
    </r>
  </si>
  <si>
    <t>35 (2021)</t>
  </si>
  <si>
    <t>Presencial-Virtual</t>
  </si>
  <si>
    <t>Licenciatura en Educación Física, Recreación y Deportes</t>
  </si>
  <si>
    <t>Licenciado(a) en Educación Física, Recreación y Deportes</t>
  </si>
  <si>
    <t>Res. 013 de 23-Feb-1999 y
Res. 029 de 24-Jul-1995 y
Res. MODIF. 023 14-Abr-2009</t>
  </si>
  <si>
    <t>AC. 062 del 29-Nov-2016 (CS)</t>
  </si>
  <si>
    <t>Res. 22114 de 24-oct-2017 (MEN)</t>
  </si>
  <si>
    <r>
      <rPr>
        <sz val="10"/>
        <color theme="1"/>
        <rFont val="Arial Narrow"/>
      </rPr>
      <t xml:space="preserve">Res. 22114 de 24-oct-2017 </t>
    </r>
    <r>
      <rPr>
        <b/>
        <sz val="10"/>
        <color theme="1"/>
        <rFont val="Arial Narrow"/>
      </rPr>
      <t>(7a)</t>
    </r>
    <r>
      <rPr>
        <sz val="10"/>
        <color theme="1"/>
        <rFont val="Arial Narrow"/>
      </rPr>
      <t xml:space="preserve">
Res. 4965 de 16-jun-2011 </t>
    </r>
    <r>
      <rPr>
        <b/>
        <sz val="10"/>
        <color theme="1"/>
        <rFont val="Arial Narrow"/>
      </rPr>
      <t>(Mod)</t>
    </r>
    <r>
      <rPr>
        <sz val="10"/>
        <color theme="1"/>
        <rFont val="Arial Narrow"/>
      </rPr>
      <t xml:space="preserve">
Res. 7757 de 6-sep-2010
Res. 1761 de 28-jun-2000 </t>
    </r>
    <r>
      <rPr>
        <b/>
        <sz val="10"/>
        <color theme="1"/>
        <rFont val="Arial Narrow"/>
      </rPr>
      <t>(AC)</t>
    </r>
  </si>
  <si>
    <r>
      <rPr>
        <sz val="10"/>
        <color theme="1"/>
        <rFont val="Arial Narrow"/>
      </rPr>
      <t xml:space="preserve">Res. 27242 de 04-dic-2017 </t>
    </r>
    <r>
      <rPr>
        <b/>
        <sz val="10"/>
        <color theme="1"/>
        <rFont val="Arial Narrow"/>
      </rPr>
      <t>(4a)</t>
    </r>
  </si>
  <si>
    <t>Res.11440 de 08-06-17</t>
  </si>
  <si>
    <t>Recurso de Reposición a Res.11440 de 08-06-17</t>
  </si>
  <si>
    <t>Licenciatura en Educación Artística</t>
  </si>
  <si>
    <t>Licenciado(a) en Educación Artística</t>
  </si>
  <si>
    <r>
      <rPr>
        <sz val="10"/>
        <color theme="1"/>
        <rFont val="Arial Narrow"/>
      </rPr>
      <t>Ac. 029 de 24-Jul-1995
Res. 063 de1996</t>
    </r>
    <r>
      <rPr>
        <b/>
        <sz val="10"/>
        <color theme="1"/>
        <rFont val="Arial Narrow"/>
      </rPr>
      <t xml:space="preserve"> (CS)</t>
    </r>
  </si>
  <si>
    <t>RES. 109 del 09-Dic-2015 (CA)</t>
  </si>
  <si>
    <t>Res.15277 de 26-jul-2016 (MEN)</t>
  </si>
  <si>
    <r>
      <rPr>
        <sz val="10"/>
        <color theme="1"/>
        <rFont val="Arial Narrow"/>
      </rPr>
      <t xml:space="preserve">Res. 29143 de 26-dic-2017 </t>
    </r>
    <r>
      <rPr>
        <b/>
        <sz val="10"/>
        <color theme="1"/>
        <rFont val="Arial Narrow"/>
      </rPr>
      <t>(7a)</t>
    </r>
    <r>
      <rPr>
        <sz val="10"/>
        <color theme="1"/>
        <rFont val="Arial Narrow"/>
      </rPr>
      <t xml:space="preserve">
Res. 10448 de 26-nov-2010
Res. 3304 de 7-dic-2000</t>
    </r>
  </si>
  <si>
    <t>Res.11784 de 09-06-17</t>
  </si>
  <si>
    <t>Recurso de Reposición a Res.11784 de 09-06-17</t>
  </si>
  <si>
    <t>Licenciatura en Ciencias Naturales y Educación Ambiental</t>
  </si>
  <si>
    <t>Licenciado(a) en Ciencias Naturales y Educación Ambiental</t>
  </si>
  <si>
    <r>
      <rPr>
        <sz val="10"/>
        <color theme="1"/>
        <rFont val="Arial Narrow"/>
      </rPr>
      <t>Ac. 029 de 24-Jul-1995</t>
    </r>
    <r>
      <rPr>
        <b/>
        <sz val="10"/>
        <color theme="1"/>
        <rFont val="Arial Narrow"/>
      </rPr>
      <t xml:space="preserve"> (CS)</t>
    </r>
  </si>
  <si>
    <t>AC. 009 del 10-May-2017 (CA)</t>
  </si>
  <si>
    <t xml:space="preserve">   AC. 012 del 02-May-2017 (CS)</t>
  </si>
  <si>
    <t>Res. 25119 de 17-nov-2017 MEN</t>
  </si>
  <si>
    <r>
      <rPr>
        <sz val="10"/>
        <color theme="1"/>
        <rFont val="Arial Narrow"/>
      </rPr>
      <t xml:space="preserve">Res. 6928 de 24-abr-2018 </t>
    </r>
    <r>
      <rPr>
        <b/>
        <sz val="10"/>
        <color theme="1"/>
        <rFont val="Arial Narrow"/>
      </rPr>
      <t>(7a)</t>
    </r>
    <r>
      <rPr>
        <sz val="10"/>
        <color theme="1"/>
        <rFont val="Arial Narrow"/>
      </rPr>
      <t xml:space="preserve">
Res.1261 de 21-feb-2011</t>
    </r>
    <r>
      <rPr>
        <b/>
        <sz val="10"/>
        <color theme="1"/>
        <rFont val="Arial Narrow"/>
      </rPr>
      <t xml:space="preserve"> (7a)</t>
    </r>
    <r>
      <rPr>
        <sz val="10"/>
        <color theme="1"/>
        <rFont val="Arial Narrow"/>
      </rPr>
      <t xml:space="preserve">
Res. 25119 de 17-nov-2017 </t>
    </r>
    <r>
      <rPr>
        <b/>
        <sz val="10"/>
        <color theme="1"/>
        <rFont val="Arial Narrow"/>
      </rPr>
      <t xml:space="preserve">(Mod)
</t>
    </r>
    <r>
      <rPr>
        <sz val="10"/>
        <color theme="1"/>
        <rFont val="Arial Narrow"/>
      </rPr>
      <t xml:space="preserve">Res. 2251 de 17-ago-2000 </t>
    </r>
    <r>
      <rPr>
        <b/>
        <sz val="10"/>
        <color theme="1"/>
        <rFont val="Arial Narrow"/>
      </rPr>
      <t>(Ac.Previa)</t>
    </r>
  </si>
  <si>
    <r>
      <rPr>
        <sz val="10"/>
        <color theme="1"/>
        <rFont val="Arial Narrow"/>
      </rPr>
      <t>Res. 10704 de 25-may-2017</t>
    </r>
    <r>
      <rPr>
        <b/>
        <sz val="10"/>
        <color theme="1"/>
        <rFont val="Arial Narrow"/>
      </rPr>
      <t xml:space="preserve"> (4a)</t>
    </r>
  </si>
  <si>
    <t>Licenciatura en Educación Básica Primaria</t>
  </si>
  <si>
    <t>Licenciado(a) en Educación Básica Primaria</t>
  </si>
  <si>
    <t>Res. 029 de 24-Jul-1995</t>
  </si>
  <si>
    <r>
      <rPr>
        <sz val="10"/>
        <color rgb="FFFF0000"/>
        <rFont val="Arial Narrow"/>
      </rPr>
      <t xml:space="preserve">AC. 014 o 024 del 2014
AC. 008 del 05-Abr-2017 </t>
    </r>
    <r>
      <rPr>
        <b/>
        <sz val="10"/>
        <color rgb="FFFF0000"/>
        <rFont val="Arial Narrow"/>
      </rPr>
      <t>(CA)</t>
    </r>
  </si>
  <si>
    <r>
      <rPr>
        <sz val="10"/>
        <color theme="1"/>
        <rFont val="Arial Narrow"/>
      </rPr>
      <t xml:space="preserve">AC. 011 del 02-May-2017 </t>
    </r>
    <r>
      <rPr>
        <b/>
        <sz val="10"/>
        <color theme="1"/>
        <rFont val="Arial Narrow"/>
      </rPr>
      <t>(CS)</t>
    </r>
    <r>
      <rPr>
        <sz val="10"/>
        <color theme="1"/>
        <rFont val="Arial Narrow"/>
      </rPr>
      <t xml:space="preserve">
AC. 048 del 07-Nov-2017 </t>
    </r>
    <r>
      <rPr>
        <b/>
        <sz val="10"/>
        <color theme="1"/>
        <rFont val="Arial Narrow"/>
      </rPr>
      <t>(CS)</t>
    </r>
  </si>
  <si>
    <t>Res. 03266 de 26-feb-2018 (MEN)</t>
  </si>
  <si>
    <r>
      <rPr>
        <sz val="10"/>
        <color theme="1"/>
        <rFont val="Arial Narrow"/>
      </rPr>
      <t xml:space="preserve">Res. 3266 de 26-feb-2018 </t>
    </r>
    <r>
      <rPr>
        <b/>
        <sz val="10"/>
        <color theme="1"/>
        <rFont val="Arial Narrow"/>
      </rPr>
      <t>(7a)</t>
    </r>
    <r>
      <rPr>
        <sz val="10"/>
        <color theme="1"/>
        <rFont val="Arial Narrow"/>
      </rPr>
      <t xml:space="preserve">
Res 745 de 8-feb-2011 </t>
    </r>
    <r>
      <rPr>
        <b/>
        <sz val="10"/>
        <color theme="1"/>
        <rFont val="Arial Narrow"/>
      </rPr>
      <t>(7a) (Mod)</t>
    </r>
    <r>
      <rPr>
        <sz val="10"/>
        <color theme="1"/>
        <rFont val="Arial Narrow"/>
      </rPr>
      <t xml:space="preserve">
Res. 2251 de 17-ago-2000</t>
    </r>
  </si>
  <si>
    <r>
      <rPr>
        <sz val="10"/>
        <color theme="1"/>
        <rFont val="Arial Narrow"/>
      </rPr>
      <t>Res. 11249 de 2-jun-2017</t>
    </r>
    <r>
      <rPr>
        <b/>
        <sz val="10"/>
        <color theme="1"/>
        <rFont val="Arial Narrow"/>
      </rPr>
      <t xml:space="preserve"> (4a)</t>
    </r>
  </si>
  <si>
    <t xml:space="preserve">Maestría en Deporte y Actividad Física </t>
  </si>
  <si>
    <t xml:space="preserve">Magíster en Deporte y Actividad Física </t>
  </si>
  <si>
    <t>Ac. S.066 9/12/2015</t>
  </si>
  <si>
    <r>
      <rPr>
        <sz val="10"/>
        <color theme="1"/>
        <rFont val="Arial Narrow"/>
      </rPr>
      <t xml:space="preserve">Res. 8419 de 28-abr-2016 </t>
    </r>
    <r>
      <rPr>
        <b/>
        <sz val="10"/>
        <color theme="1"/>
        <rFont val="Arial Narrow"/>
      </rPr>
      <t>(7a)</t>
    </r>
  </si>
  <si>
    <t>Doctorado en Ciencias Matemáticas</t>
  </si>
  <si>
    <t>Doctor en Ciencias Matemáticas</t>
  </si>
  <si>
    <t>Res. 26 12/04/2016 y Ac. S. 079 16/12/2015</t>
  </si>
  <si>
    <t>5 (2023)</t>
  </si>
  <si>
    <t xml:space="preserve">8 semestres </t>
  </si>
  <si>
    <r>
      <rPr>
        <sz val="10"/>
        <color theme="1"/>
        <rFont val="Arial Narrow"/>
      </rPr>
      <t xml:space="preserve">Res. 16586 de 12-ago-2016 </t>
    </r>
    <r>
      <rPr>
        <b/>
        <sz val="10"/>
        <color theme="1"/>
        <rFont val="Arial Narrow"/>
      </rPr>
      <t>(7a)</t>
    </r>
  </si>
  <si>
    <t>Matemáticas</t>
  </si>
  <si>
    <t>Matemático</t>
  </si>
  <si>
    <t>Res. 015 de 09-Abr-1996</t>
  </si>
  <si>
    <t>RES. 100 del 02-Ago-2012 (CA)</t>
  </si>
  <si>
    <r>
      <rPr>
        <sz val="10"/>
        <color theme="1"/>
        <rFont val="Arial Narrow"/>
      </rPr>
      <t xml:space="preserve">Res. 8938 de 31-may-2018 </t>
    </r>
    <r>
      <rPr>
        <b/>
        <sz val="10"/>
        <color theme="1"/>
        <rFont val="Arial Narrow"/>
      </rPr>
      <t>(RenOfic)</t>
    </r>
    <r>
      <rPr>
        <sz val="10"/>
        <color theme="1"/>
        <rFont val="Arial Narrow"/>
      </rPr>
      <t xml:space="preserve">
Res. 7440 de 14-jun-2013</t>
    </r>
    <r>
      <rPr>
        <b/>
        <sz val="10"/>
        <color theme="1"/>
        <rFont val="Arial Narrow"/>
      </rPr>
      <t xml:space="preserve"> (7a)</t>
    </r>
    <r>
      <rPr>
        <sz val="10"/>
        <color theme="1"/>
        <rFont val="Arial Narrow"/>
      </rPr>
      <t xml:space="preserve">
Res. 5210 de 05-sep-2006</t>
    </r>
  </si>
  <si>
    <r>
      <rPr>
        <sz val="10"/>
        <color theme="1"/>
        <rFont val="Arial Narrow"/>
      </rPr>
      <t xml:space="preserve">Res. 3195  de 4-abr-2013 </t>
    </r>
    <r>
      <rPr>
        <b/>
        <sz val="10"/>
        <color theme="1"/>
        <rFont val="Arial Narrow"/>
      </rPr>
      <t>(Negada)</t>
    </r>
  </si>
  <si>
    <r>
      <rPr>
        <sz val="10"/>
        <color theme="1"/>
        <rFont val="Arial Narrow"/>
      </rPr>
      <t xml:space="preserve">Res. 16737 de 24-ago-2017 </t>
    </r>
    <r>
      <rPr>
        <b/>
        <sz val="10"/>
        <color theme="1"/>
        <rFont val="Arial Narrow"/>
      </rPr>
      <t>(4a)</t>
    </r>
  </si>
  <si>
    <t>Química</t>
  </si>
  <si>
    <t>Químico</t>
  </si>
  <si>
    <r>
      <rPr>
        <sz val="10"/>
        <color theme="1"/>
        <rFont val="Arial Narrow"/>
      </rPr>
      <t>Ac. 152 de 28-Oct-1992</t>
    </r>
    <r>
      <rPr>
        <b/>
        <sz val="10"/>
        <color theme="1"/>
        <rFont val="Arial Narrow"/>
      </rPr>
      <t xml:space="preserve"> (CS)</t>
    </r>
  </si>
  <si>
    <t>Res. 013915 del 15-ago-2018</t>
  </si>
  <si>
    <r>
      <rPr>
        <sz val="10"/>
        <color theme="1"/>
        <rFont val="Arial Narrow"/>
      </rPr>
      <t xml:space="preserve">Res.7895 de 11-may-18 </t>
    </r>
    <r>
      <rPr>
        <b/>
        <sz val="10"/>
        <color theme="1"/>
        <rFont val="Arial Narrow"/>
      </rPr>
      <t>(Ren.Ofic)</t>
    </r>
    <r>
      <rPr>
        <sz val="10"/>
        <color theme="1"/>
        <rFont val="Arial Narrow"/>
      </rPr>
      <t xml:space="preserve">
Res. 7441 de 05-jul-12</t>
    </r>
    <r>
      <rPr>
        <b/>
        <sz val="10"/>
        <color theme="1"/>
        <rFont val="Arial Narrow"/>
      </rPr>
      <t xml:space="preserve"> (7a)</t>
    </r>
    <r>
      <rPr>
        <sz val="10"/>
        <color theme="1"/>
        <rFont val="Arial Narrow"/>
      </rPr>
      <t xml:space="preserve">
Res. 3835 de 05-sep-2005</t>
    </r>
  </si>
  <si>
    <r>
      <rPr>
        <sz val="10"/>
        <color theme="1"/>
        <rFont val="Arial Narrow"/>
      </rPr>
      <t xml:space="preserve">Res. 17610 de 01-sep-2017 </t>
    </r>
    <r>
      <rPr>
        <b/>
        <sz val="10"/>
        <color theme="1"/>
        <rFont val="Arial Narrow"/>
      </rPr>
      <t>(4a)</t>
    </r>
  </si>
  <si>
    <t xml:space="preserve">Especialización en Educación y Discapacidad </t>
  </si>
  <si>
    <t xml:space="preserve">Especialista en Educación y Discapacidad </t>
  </si>
  <si>
    <t>Ac S. 067 9/12/2015</t>
  </si>
  <si>
    <r>
      <rPr>
        <sz val="10"/>
        <color theme="1"/>
        <rFont val="Arial Narrow"/>
      </rPr>
      <t xml:space="preserve">Res. 8418 de 28-abr-2016 </t>
    </r>
    <r>
      <rPr>
        <b/>
        <sz val="10"/>
        <color theme="1"/>
        <rFont val="Arial Narrow"/>
      </rPr>
      <t>(7a)</t>
    </r>
  </si>
  <si>
    <t>Maestría en Ciencias Matemáticas</t>
  </si>
  <si>
    <t>Magíster en Ciencias Matemáticas</t>
  </si>
  <si>
    <t>Res. 081 18/11/2009</t>
  </si>
  <si>
    <t>5 (2016)</t>
  </si>
  <si>
    <t>Res. 5119 de 24-jun-2010                                                                                                 Res. 21940 de 22 de Nov 2016</t>
  </si>
  <si>
    <t>Doctorado en Ciencias de la Educación</t>
  </si>
  <si>
    <t>Doctor en Ciencias de la Educación</t>
  </si>
  <si>
    <r>
      <rPr>
        <sz val="10"/>
        <color theme="1"/>
        <rFont val="Arial Narrow"/>
      </rPr>
      <t xml:space="preserve">Res.2333 de 03-jul-1998 </t>
    </r>
    <r>
      <rPr>
        <b/>
        <sz val="10"/>
        <color theme="1"/>
        <rFont val="Arial Narrow"/>
      </rPr>
      <t>(MEN)</t>
    </r>
  </si>
  <si>
    <t>15 (2018)</t>
  </si>
  <si>
    <r>
      <rPr>
        <sz val="10"/>
        <color theme="1"/>
        <rFont val="Arial Narrow"/>
      </rPr>
      <t>Res. 1566 de 01-feb-2011</t>
    </r>
    <r>
      <rPr>
        <b/>
        <sz val="10"/>
        <color theme="1"/>
        <rFont val="Arial Narrow"/>
      </rPr>
      <t xml:space="preserve"> (7a)</t>
    </r>
    <r>
      <rPr>
        <sz val="10"/>
        <color theme="1"/>
        <rFont val="Arial Narrow"/>
      </rPr>
      <t xml:space="preserve">
Res. 1591 de 12-jun-2000 </t>
    </r>
    <r>
      <rPr>
        <b/>
        <sz val="10"/>
        <color theme="1"/>
        <rFont val="Arial Narrow"/>
      </rPr>
      <t>(7a)</t>
    </r>
  </si>
  <si>
    <t>Doctorado en Etnobiología y Estudios Bioculturales</t>
  </si>
  <si>
    <t>Doctor(a) en Etnobiología y Estudios Bioculturales</t>
  </si>
  <si>
    <t>8(2023)</t>
  </si>
  <si>
    <t>Sí</t>
  </si>
  <si>
    <r>
      <rPr>
        <sz val="10"/>
        <color theme="1"/>
        <rFont val="Arial Narrow"/>
      </rPr>
      <t>Res.10696 del 1 de junio de 2016 (</t>
    </r>
    <r>
      <rPr>
        <b/>
        <sz val="10"/>
        <color theme="1"/>
        <rFont val="Arial Narrow"/>
      </rPr>
      <t>7a)</t>
    </r>
  </si>
  <si>
    <t>Doctorado en Ciencias Química</t>
  </si>
  <si>
    <t>Doctor en Ciencias-Química</t>
  </si>
  <si>
    <t>Ac. S. 077 16/12/2015</t>
  </si>
  <si>
    <t>3 (2013)</t>
  </si>
  <si>
    <r>
      <rPr>
        <sz val="10"/>
        <color theme="1"/>
        <rFont val="Arial Narrow"/>
      </rPr>
      <t xml:space="preserve">Res. 10727 de 01-jun-2016 </t>
    </r>
    <r>
      <rPr>
        <b/>
        <sz val="10"/>
        <color theme="1"/>
        <rFont val="Arial Narrow"/>
      </rPr>
      <t>(7a)</t>
    </r>
  </si>
  <si>
    <t>34057.</t>
  </si>
  <si>
    <t>Maestría en Recursos Hidrobiológicos Continentales</t>
  </si>
  <si>
    <t>Magíster en Recursos Hidrobiológicos Continentales</t>
  </si>
  <si>
    <t>Res. C.S. 084 27/05/1991</t>
  </si>
  <si>
    <t>15 (2021)</t>
  </si>
  <si>
    <t>AC. 017 del 24-Sep-2014 (CA)</t>
  </si>
  <si>
    <r>
      <rPr>
        <sz val="10"/>
        <color theme="1"/>
        <rFont val="Arial Narrow"/>
      </rPr>
      <t xml:space="preserve">Res. 19499 de 14-nov-2014 </t>
    </r>
    <r>
      <rPr>
        <b/>
        <sz val="10"/>
        <color theme="1"/>
        <rFont val="Arial Narrow"/>
      </rPr>
      <t>(7a)</t>
    </r>
    <r>
      <rPr>
        <sz val="10"/>
        <color theme="1"/>
        <rFont val="Arial Narrow"/>
      </rPr>
      <t xml:space="preserve">
Res. 4755 de 15-abri-2015 </t>
    </r>
    <r>
      <rPr>
        <b/>
        <sz val="10"/>
        <color theme="1"/>
        <rFont val="Arial Narrow"/>
      </rPr>
      <t>(Modif.)</t>
    </r>
    <r>
      <rPr>
        <sz val="10"/>
        <color theme="1"/>
        <rFont val="Arial Narrow"/>
      </rPr>
      <t xml:space="preserve">
Res. 4118 de 04-jul-2008 </t>
    </r>
    <r>
      <rPr>
        <b/>
        <sz val="10"/>
        <color theme="1"/>
        <rFont val="Arial Narrow"/>
      </rPr>
      <t>(7a)</t>
    </r>
  </si>
  <si>
    <t>Maestría en Ciencias Química</t>
  </si>
  <si>
    <t>Magíster en Ciencias Química</t>
  </si>
  <si>
    <t>Res. 080 18/11/2009</t>
  </si>
  <si>
    <t>11 (2017)</t>
  </si>
  <si>
    <t>Res. 10202 de 22-nov-2010</t>
  </si>
  <si>
    <t>Doctorado en Ciencias Ambientales</t>
  </si>
  <si>
    <t>Doctor en Ciencias Ambientales</t>
  </si>
  <si>
    <t>Res. 085 23/11/2007</t>
  </si>
  <si>
    <t>6 (2023)</t>
  </si>
  <si>
    <r>
      <rPr>
        <sz val="10"/>
        <color theme="1"/>
        <rFont val="Arial Narrow"/>
      </rPr>
      <t xml:space="preserve">Res. 13806 de 03-sep-2015 </t>
    </r>
    <r>
      <rPr>
        <b/>
        <sz val="10"/>
        <color theme="1"/>
        <rFont val="Arial Narrow"/>
      </rPr>
      <t>(7a)</t>
    </r>
    <r>
      <rPr>
        <sz val="10"/>
        <color theme="1"/>
        <rFont val="Arial Narrow"/>
      </rPr>
      <t xml:space="preserve">
Res. 5641 de 29-ago-2008                                                                                      Res. 001125 de 14Feb2024 </t>
    </r>
    <r>
      <rPr>
        <b/>
        <sz val="10"/>
        <color theme="1"/>
        <rFont val="Arial Narrow"/>
      </rPr>
      <t>(7a)</t>
    </r>
  </si>
  <si>
    <t>Licenciatura en Matemáticas</t>
  </si>
  <si>
    <t>Licenciado en Matemáticas</t>
  </si>
  <si>
    <t>Res. 88 de 8-Nov-1993
y Res. 3953 de 6-May-1977</t>
  </si>
  <si>
    <t>30 (2017)</t>
  </si>
  <si>
    <t>AC. 021 del 06-Nov-2014 (CA)</t>
  </si>
  <si>
    <r>
      <rPr>
        <sz val="10"/>
        <color theme="1"/>
        <rFont val="Arial Narrow"/>
      </rPr>
      <t>Res 744 de 08-feb-11
Res. 2118 de 12-sep-2001</t>
    </r>
    <r>
      <rPr>
        <b/>
        <sz val="10"/>
        <color theme="1"/>
        <rFont val="Arial Narrow"/>
      </rPr>
      <t xml:space="preserve"> (Ac. Previa)</t>
    </r>
  </si>
  <si>
    <t>Res. 10722 del 25 de Mayo de 2017 (6a)</t>
  </si>
  <si>
    <t>Res. 8382 de 22-sep-2010</t>
  </si>
  <si>
    <t>Maestría en Bioingeniería</t>
  </si>
  <si>
    <t>Magíster en Bioingeniería</t>
  </si>
  <si>
    <t>Res. 29 12/04/2016 y Ac. S. 076 16/12/2015</t>
  </si>
  <si>
    <t>28 (2016)</t>
  </si>
  <si>
    <t>Facultad de Derecho, Ciencias Políticas y Sociales</t>
  </si>
  <si>
    <t xml:space="preserve">Derecho </t>
  </si>
  <si>
    <t>Abogado</t>
  </si>
  <si>
    <t>Res. 3372 de 23-Dic-1992
ICFES</t>
  </si>
  <si>
    <t>110 (2019)</t>
  </si>
  <si>
    <t>Diurna
Nocturna</t>
  </si>
  <si>
    <t>AC. 017 del 22-Jun-2017 (CA)</t>
  </si>
  <si>
    <r>
      <rPr>
        <sz val="10"/>
        <color theme="1"/>
        <rFont val="Arial Narrow"/>
      </rPr>
      <t xml:space="preserve">Res. 11150 11/09/2012 </t>
    </r>
    <r>
      <rPr>
        <b/>
        <sz val="10"/>
        <color theme="1"/>
        <rFont val="Arial Narrow"/>
      </rPr>
      <t>(7a)</t>
    </r>
    <r>
      <rPr>
        <sz val="10"/>
        <color theme="1"/>
        <rFont val="Arial Narrow"/>
      </rPr>
      <t xml:space="preserve">
Res. 10682 22/11/2011 </t>
    </r>
    <r>
      <rPr>
        <b/>
        <sz val="10"/>
        <color theme="1"/>
        <rFont val="Arial Narrow"/>
      </rPr>
      <t>(7a)</t>
    </r>
    <r>
      <rPr>
        <sz val="10"/>
        <color theme="1"/>
        <rFont val="Arial Narrow"/>
      </rPr>
      <t xml:space="preserve">
Res. 95 14/01/2005 </t>
    </r>
    <r>
      <rPr>
        <b/>
        <sz val="10"/>
        <color theme="1"/>
        <rFont val="Arial Narrow"/>
      </rPr>
      <t>(7a)</t>
    </r>
  </si>
  <si>
    <r>
      <rPr>
        <sz val="10"/>
        <color theme="1"/>
        <rFont val="Arial Narrow"/>
      </rPr>
      <t xml:space="preserve">Res.9900 de 22-ago-2012 </t>
    </r>
    <r>
      <rPr>
        <b/>
        <sz val="10"/>
        <color theme="1"/>
        <rFont val="Arial Narrow"/>
      </rPr>
      <t>(4a)</t>
    </r>
  </si>
  <si>
    <t>Comunicación Social</t>
  </si>
  <si>
    <t>Comunicador Social</t>
  </si>
  <si>
    <t>Res. 016 de 09-Mar-1999</t>
  </si>
  <si>
    <t>46 (2026)</t>
  </si>
  <si>
    <t>AC 046 del 12-12-2018</t>
  </si>
  <si>
    <r>
      <rPr>
        <b/>
        <sz val="10"/>
        <color theme="1"/>
        <rFont val="Arial Narrow"/>
      </rPr>
      <t xml:space="preserve">   </t>
    </r>
    <r>
      <rPr>
        <sz val="10"/>
        <color theme="1"/>
        <rFont val="Arial Narrow"/>
      </rPr>
      <t xml:space="preserve">Res. 3677 de 31-ago-2005 </t>
    </r>
    <r>
      <rPr>
        <b/>
        <sz val="10"/>
        <color theme="1"/>
        <rFont val="Arial Narrow"/>
      </rPr>
      <t xml:space="preserve">(7a)
Res. 11091 de 11-sep-2012 (7a)   
</t>
    </r>
    <r>
      <rPr>
        <sz val="10"/>
        <color theme="1"/>
        <rFont val="Arial Narrow"/>
      </rPr>
      <t>Res. 7110 de 10 marzo 2026</t>
    </r>
  </si>
  <si>
    <r>
      <rPr>
        <sz val="10"/>
        <color theme="1"/>
        <rFont val="Arial Narrow"/>
      </rPr>
      <t xml:space="preserve">Res. 17190 de 27-dic-2012 </t>
    </r>
    <r>
      <rPr>
        <b/>
        <sz val="10"/>
        <color theme="1"/>
        <rFont val="Arial Narrow"/>
      </rPr>
      <t>(7a)</t>
    </r>
  </si>
  <si>
    <r>
      <rPr>
        <sz val="10"/>
        <color theme="1"/>
        <rFont val="Arial Narrow"/>
      </rPr>
      <t xml:space="preserve">Res.9900 de 22-ago-2012 </t>
    </r>
    <r>
      <rPr>
        <b/>
        <sz val="10"/>
        <color theme="1"/>
        <rFont val="Arial Narrow"/>
      </rPr>
      <t>(4a)</t>
    </r>
  </si>
  <si>
    <t>Ciencia Política</t>
  </si>
  <si>
    <t>Politólogo (a)</t>
  </si>
  <si>
    <t>Res. 02 de 16-Ene-1996</t>
  </si>
  <si>
    <t>AC. 022 del 10-Dic-2014 (CA)</t>
  </si>
  <si>
    <r>
      <rPr>
        <sz val="10"/>
        <color theme="1"/>
        <rFont val="Arial Narrow"/>
      </rPr>
      <t xml:space="preserve">Res. 3185 de 12-mar-2015 </t>
    </r>
    <r>
      <rPr>
        <b/>
        <sz val="10"/>
        <color theme="1"/>
        <rFont val="Arial Narrow"/>
      </rPr>
      <t>(7a)</t>
    </r>
    <r>
      <rPr>
        <sz val="10"/>
        <color theme="1"/>
        <rFont val="Arial Narrow"/>
      </rPr>
      <t xml:space="preserve">
Res. 7225 de 24-oct-2008</t>
    </r>
  </si>
  <si>
    <t xml:space="preserve">Especialización en Derecho de Familia </t>
  </si>
  <si>
    <t xml:space="preserve">Especialista en Derecho de Familia </t>
  </si>
  <si>
    <t>Ac. S. 035 28/05/2014</t>
  </si>
  <si>
    <r>
      <rPr>
        <sz val="10"/>
        <color theme="1"/>
        <rFont val="Arial Narrow"/>
      </rPr>
      <t xml:space="preserve">Res. 17192 de 17-oct-2014 </t>
    </r>
    <r>
      <rPr>
        <b/>
        <sz val="10"/>
        <color theme="1"/>
        <rFont val="Arial Narrow"/>
      </rPr>
      <t>(7a)</t>
    </r>
  </si>
  <si>
    <t>Especialización en Gobierno y Políticas Públicas</t>
  </si>
  <si>
    <t>Especialista en Gobierno y Políticas Públicas</t>
  </si>
  <si>
    <t>Ac. S. 037 25/06/2013</t>
  </si>
  <si>
    <r>
      <rPr>
        <sz val="10"/>
        <color theme="1"/>
        <rFont val="Arial Narrow"/>
      </rPr>
      <t xml:space="preserve">Res. 12952 de 23-sep-2013 </t>
    </r>
    <r>
      <rPr>
        <b/>
        <sz val="10"/>
        <color theme="1"/>
        <rFont val="Arial Narrow"/>
      </rPr>
      <t>(7a)</t>
    </r>
    <r>
      <rPr>
        <sz val="10"/>
        <color theme="1"/>
        <rFont val="Arial Narrow"/>
      </rPr>
      <t xml:space="preserve">
Res. 17780 de 27-nov-2013 </t>
    </r>
    <r>
      <rPr>
        <b/>
        <sz val="10"/>
        <color theme="1"/>
        <rFont val="Arial Narrow"/>
      </rPr>
      <t>(Correc)</t>
    </r>
  </si>
  <si>
    <t xml:space="preserve">Especialización Derecho Procesal </t>
  </si>
  <si>
    <t>Especialista en Derecho Procesal</t>
  </si>
  <si>
    <t>Ac. S 057 del 27/10/2025</t>
  </si>
  <si>
    <t>30 (2025)</t>
  </si>
  <si>
    <t>Res. 23526 de 28-nov-2025</t>
  </si>
  <si>
    <t>Facultad de Ingeniería Civil</t>
  </si>
  <si>
    <t>Especialización en Ingeniería de Vías Terrestres</t>
  </si>
  <si>
    <t>Especialista en Ingeniería de Vías Terrestres</t>
  </si>
  <si>
    <t>Res. 9 28/01/1994</t>
  </si>
  <si>
    <t>21 (2026)</t>
  </si>
  <si>
    <t>AC. 003 del 24-Feb-2015 (CA)</t>
  </si>
  <si>
    <t xml:space="preserve"> AC. 054 del 27-Oct-2015 (CS)</t>
  </si>
  <si>
    <t>Res. 18362 de 10-nov-2015 (MEN)</t>
  </si>
  <si>
    <r>
      <rPr>
        <sz val="10"/>
        <color theme="1"/>
        <rFont val="Arial Narrow"/>
      </rPr>
      <t>Res. 5982 de 20-may-2013 (7a)</t>
    </r>
    <r>
      <rPr>
        <b/>
        <sz val="10"/>
        <color theme="1"/>
        <rFont val="Arial Narrow"/>
      </rPr>
      <t xml:space="preserve">
</t>
    </r>
    <r>
      <rPr>
        <sz val="10"/>
        <color theme="1"/>
        <rFont val="Arial Narrow"/>
      </rPr>
      <t>Res. 18362 de 10-nov-2014 (5a) (Modif)</t>
    </r>
    <r>
      <rPr>
        <b/>
        <sz val="10"/>
        <color theme="1"/>
        <rFont val="Arial Narrow"/>
      </rPr>
      <t xml:space="preserve">
</t>
    </r>
    <r>
      <rPr>
        <sz val="10"/>
        <color theme="1"/>
        <rFont val="Arial Narrow"/>
      </rPr>
      <t>Res. 9060 de 28-ago-2019 (7a) (ren y Mod)</t>
    </r>
    <r>
      <rPr>
        <b/>
        <sz val="10"/>
        <color theme="1"/>
        <rFont val="Arial Narrow"/>
      </rPr>
      <t xml:space="preserve">
</t>
    </r>
    <r>
      <rPr>
        <sz val="10"/>
        <color theme="1"/>
        <rFont val="Arial Narrow"/>
      </rPr>
      <t>Res. 9097 de 01-abril-2026 (7a) (Renovación)</t>
    </r>
  </si>
  <si>
    <t>Maestría en Ingeniería Hidráulica e Hidrológica</t>
  </si>
  <si>
    <t>Magíster en Ingeniería Hidráulica e Hidrológica</t>
  </si>
  <si>
    <t>Ac. 012 de 02-Abr-2019 CS</t>
  </si>
  <si>
    <t>15 (2019)</t>
  </si>
  <si>
    <t>Prof.- Inv.</t>
  </si>
  <si>
    <t>Maestría en Ingeniería Ambiental</t>
  </si>
  <si>
    <t>Magíster en Ingeniería Ambiental</t>
  </si>
  <si>
    <t>Ac. 023 de 22-May-2019</t>
  </si>
  <si>
    <t>14 (2019)</t>
  </si>
  <si>
    <t>Ingeniería Ambiental</t>
  </si>
  <si>
    <t>Ingeniero Ambiental</t>
  </si>
  <si>
    <t>Res. 011 de 23-Feb-1999</t>
  </si>
  <si>
    <t>50 (2020)</t>
  </si>
  <si>
    <r>
      <rPr>
        <sz val="10"/>
        <color theme="1"/>
        <rFont val="Arial Narrow"/>
      </rPr>
      <t xml:space="preserve">Res. 12918 de 23-sep-2013 </t>
    </r>
    <r>
      <rPr>
        <b/>
        <sz val="10"/>
        <color theme="1"/>
        <rFont val="Arial Narrow"/>
      </rPr>
      <t>(7a)</t>
    </r>
    <r>
      <rPr>
        <sz val="10"/>
        <color theme="1"/>
        <rFont val="Arial Narrow"/>
      </rPr>
      <t xml:space="preserve">
Res. 2952 de 30-may-2007</t>
    </r>
    <r>
      <rPr>
        <b/>
        <sz val="10"/>
        <color theme="1"/>
        <rFont val="Arial Narrow"/>
      </rPr>
      <t xml:space="preserve"> (7a)</t>
    </r>
  </si>
  <si>
    <t>Ingeniería en Inteligencia Artificial y Ciencia de Datos</t>
  </si>
  <si>
    <t>Ingenier(a) en Inteligencia Artificial y Ciencia de Datos</t>
  </si>
  <si>
    <t>Ac. 031 de 15 - oct - 2025</t>
  </si>
  <si>
    <t>200 (2026)</t>
  </si>
  <si>
    <t>Virtual</t>
  </si>
  <si>
    <t>4 años</t>
  </si>
  <si>
    <t>Especialización en Estructuras</t>
  </si>
  <si>
    <t>Especialista en Estructuras</t>
  </si>
  <si>
    <t>Res. 021 25/02/1997</t>
  </si>
  <si>
    <t>25 (2020)</t>
  </si>
  <si>
    <t>AC. 026 del 26-Jun-2013 (CA)</t>
  </si>
  <si>
    <r>
      <rPr>
        <sz val="10"/>
        <color theme="1"/>
        <rFont val="Arial Narrow"/>
      </rPr>
      <t xml:space="preserve">Res. 12929 de 23-sep-2013 </t>
    </r>
    <r>
      <rPr>
        <b/>
        <sz val="10"/>
        <color theme="1"/>
        <rFont val="Arial Narrow"/>
      </rPr>
      <t>(7a)</t>
    </r>
    <r>
      <rPr>
        <sz val="10"/>
        <color theme="1"/>
        <rFont val="Arial Narrow"/>
      </rPr>
      <t xml:space="preserve">
Res. 9378 de 12-dic-2008</t>
    </r>
  </si>
  <si>
    <t>Ingeniería Civil</t>
  </si>
  <si>
    <t>Ingeniero Civil</t>
  </si>
  <si>
    <t>Res. 3376 de 30-Nov-1988</t>
  </si>
  <si>
    <r>
      <rPr>
        <sz val="10"/>
        <color theme="1"/>
        <rFont val="Arial Narrow"/>
      </rPr>
      <t xml:space="preserve">Res. 4838 de 30-abr-2013 </t>
    </r>
    <r>
      <rPr>
        <b/>
        <sz val="10"/>
        <color theme="1"/>
        <rFont val="Arial Narrow"/>
      </rPr>
      <t>(7a)</t>
    </r>
  </si>
  <si>
    <t xml:space="preserve">Maestría en Ingeniería de la Construcción </t>
  </si>
  <si>
    <t xml:space="preserve">Magíster en Ingeniería de la Construcción </t>
  </si>
  <si>
    <t>Ac. S. 05 4/02/2015</t>
  </si>
  <si>
    <r>
      <rPr>
        <sz val="10"/>
        <color theme="1"/>
        <rFont val="Arial Narrow"/>
      </rPr>
      <t xml:space="preserve">Res. 6925 de 14-may-2015 </t>
    </r>
    <r>
      <rPr>
        <b/>
        <sz val="10"/>
        <color theme="1"/>
        <rFont val="Arial Narrow"/>
      </rPr>
      <t>(7a)</t>
    </r>
  </si>
  <si>
    <t>Maestría en Ingeniería de Pavimentos</t>
  </si>
  <si>
    <t xml:space="preserve">Magíster en Ingeniería de Pavimentos </t>
  </si>
  <si>
    <t>Ac. S. 009 19/02/2015</t>
  </si>
  <si>
    <r>
      <rPr>
        <sz val="10"/>
        <color theme="1"/>
        <rFont val="Arial Narrow"/>
      </rPr>
      <t xml:space="preserve">Res. 7837 de 01-jun-2015 </t>
    </r>
    <r>
      <rPr>
        <b/>
        <sz val="10"/>
        <color theme="1"/>
        <rFont val="Arial Narrow"/>
      </rPr>
      <t>(7a)</t>
    </r>
  </si>
  <si>
    <t>Ferney Quiñonez</t>
  </si>
  <si>
    <t>Geotecnología</t>
  </si>
  <si>
    <t>Geotecnólogo</t>
  </si>
  <si>
    <t>Ac. 224 de 02-Oct-1975 (CS)</t>
  </si>
  <si>
    <t>Tecnología</t>
  </si>
  <si>
    <t>6 Semestres</t>
  </si>
  <si>
    <t>RES. 191 del 11-Dic-2013 (CA)</t>
  </si>
  <si>
    <r>
      <rPr>
        <sz val="10"/>
        <color rgb="FFFF0000"/>
        <rFont val="Arial Narrow"/>
      </rPr>
      <t>Res. 17733 de 6-dic-2013</t>
    </r>
    <r>
      <rPr>
        <b/>
        <sz val="10"/>
        <color rgb="FFFF0000"/>
        <rFont val="Arial Narrow"/>
      </rPr>
      <t xml:space="preserve"> (MEN)</t>
    </r>
  </si>
  <si>
    <r>
      <rPr>
        <sz val="10"/>
        <color theme="1"/>
        <rFont val="Arial Narrow"/>
      </rPr>
      <t xml:space="preserve">Res. 3263 de 14-mar-2014 </t>
    </r>
    <r>
      <rPr>
        <b/>
        <sz val="10"/>
        <color theme="1"/>
        <rFont val="Arial Narrow"/>
      </rPr>
      <t>(7a)</t>
    </r>
    <r>
      <rPr>
        <sz val="10"/>
        <color theme="1"/>
        <rFont val="Arial Narrow"/>
      </rPr>
      <t xml:space="preserve">
Res. 6505 de 26-oct-2007</t>
    </r>
  </si>
  <si>
    <t>Maestría en Ingeniería de Vías Terrestres</t>
  </si>
  <si>
    <t>Magíster en Ingeniería de Vías Terrestres</t>
  </si>
  <si>
    <t>Ac. S. 007 19/02/2015</t>
  </si>
  <si>
    <t>110867 (p)</t>
  </si>
  <si>
    <t xml:space="preserve">104525 (i)
</t>
  </si>
  <si>
    <t>23673 (i)</t>
  </si>
  <si>
    <r>
      <rPr>
        <sz val="10"/>
        <color theme="1"/>
        <rFont val="Arial Narrow"/>
      </rPr>
      <t xml:space="preserve">Res. 6929 de 14-may-2015 </t>
    </r>
    <r>
      <rPr>
        <b/>
        <sz val="10"/>
        <color theme="1"/>
        <rFont val="Arial Narrow"/>
      </rPr>
      <t>(7a)</t>
    </r>
    <r>
      <rPr>
        <sz val="10"/>
        <color theme="1"/>
        <rFont val="Arial Narrow"/>
      </rPr>
      <t xml:space="preserve">
Res. 10075 13/07/2015 </t>
    </r>
    <r>
      <rPr>
        <b/>
        <sz val="10"/>
        <color theme="1"/>
        <rFont val="Arial Narrow"/>
      </rPr>
      <t>(Mod)</t>
    </r>
  </si>
  <si>
    <t>Jorge Aníbal Coral Guerrón</t>
  </si>
  <si>
    <t>Maestría en Geomática</t>
  </si>
  <si>
    <t>Magíster en Geomática</t>
  </si>
  <si>
    <t>Res. 065 9/12/2015</t>
  </si>
  <si>
    <r>
      <rPr>
        <sz val="10"/>
        <color theme="1"/>
        <rFont val="Arial Narrow"/>
      </rPr>
      <t xml:space="preserve">Res. 5574 de 29-mar-2016 </t>
    </r>
    <r>
      <rPr>
        <b/>
        <sz val="10"/>
        <color theme="1"/>
        <rFont val="Arial Narrow"/>
      </rPr>
      <t>(7a)</t>
    </r>
  </si>
  <si>
    <t>Especialización en Ingeniería de Recursos Hídricos</t>
  </si>
  <si>
    <t>Especialista en Ingeniería de Recursos Hídricos</t>
  </si>
  <si>
    <t>Res. 053 30/09/2015</t>
  </si>
  <si>
    <t>22 (2023)</t>
  </si>
  <si>
    <r>
      <rPr>
        <sz val="10"/>
        <color theme="1"/>
        <rFont val="Arial Narrow"/>
      </rPr>
      <t xml:space="preserve">Res. 6253 de 6-abr-2016 </t>
    </r>
    <r>
      <rPr>
        <b/>
        <sz val="10"/>
        <color theme="1"/>
        <rFont val="Arial Narrow"/>
      </rPr>
      <t>(7a)</t>
    </r>
  </si>
  <si>
    <t>80 (2023)</t>
  </si>
  <si>
    <r>
      <rPr>
        <sz val="10"/>
        <color theme="1"/>
        <rFont val="Arial Narrow"/>
      </rPr>
      <t xml:space="preserve">AC. 008 del 15-Ago-2014 </t>
    </r>
    <r>
      <rPr>
        <b/>
        <sz val="10"/>
        <color theme="1"/>
        <rFont val="Arial Narrow"/>
      </rPr>
      <t>(CA)</t>
    </r>
    <r>
      <rPr>
        <sz val="10"/>
        <color theme="1"/>
        <rFont val="Arial Narrow"/>
      </rPr>
      <t xml:space="preserve">
AC. 011 del 2016</t>
    </r>
  </si>
  <si>
    <r>
      <rPr>
        <sz val="10"/>
        <color theme="1"/>
        <rFont val="Arial Narrow"/>
      </rPr>
      <t xml:space="preserve">Res. 3276 de 02-mar-2021 </t>
    </r>
    <r>
      <rPr>
        <b/>
        <sz val="10"/>
        <color theme="1"/>
        <rFont val="Arial Narrow"/>
      </rPr>
      <t>(7a)</t>
    </r>
    <r>
      <rPr>
        <sz val="10"/>
        <color theme="1"/>
        <rFont val="Arial Narrow"/>
      </rPr>
      <t xml:space="preserve">
Res. 21032 de 11-dic-2014 </t>
    </r>
    <r>
      <rPr>
        <b/>
        <sz val="10"/>
        <color theme="1"/>
        <rFont val="Arial Narrow"/>
      </rPr>
      <t>(7a)</t>
    </r>
    <r>
      <rPr>
        <sz val="10"/>
        <color theme="1"/>
        <rFont val="Arial Narrow"/>
      </rPr>
      <t xml:space="preserve">
Res. 4999 de 28-jul-2009 </t>
    </r>
    <r>
      <rPr>
        <b/>
        <sz val="10"/>
        <color theme="1"/>
        <rFont val="Arial Narrow"/>
      </rPr>
      <t>(7a)</t>
    </r>
  </si>
  <si>
    <r>
      <rPr>
        <sz val="10"/>
        <color rgb="FF002060"/>
        <rFont val="Arial Narrow"/>
      </rPr>
      <t xml:space="preserve">Res. 3571 de 16-jun-2008 </t>
    </r>
    <r>
      <rPr>
        <b/>
        <sz val="10"/>
        <color rgb="FF002060"/>
        <rFont val="Arial Narrow"/>
      </rPr>
      <t>(4a)</t>
    </r>
    <r>
      <rPr>
        <sz val="10"/>
        <color rgb="FF002060"/>
        <rFont val="Arial Narrow"/>
      </rPr>
      <t xml:space="preserve">
Res. 1815 de 4-ago-2003 </t>
    </r>
    <r>
      <rPr>
        <b/>
        <sz val="10"/>
        <color rgb="FF002060"/>
        <rFont val="Arial Narrow"/>
      </rPr>
      <t>(3a)</t>
    </r>
  </si>
  <si>
    <t>Arquitectura</t>
  </si>
  <si>
    <t>Arquitecto</t>
  </si>
  <si>
    <t>Ac. 048 de 28-Sep-2016
Consejo Superior</t>
  </si>
  <si>
    <t>40 (2017)</t>
  </si>
  <si>
    <t>Res. 01145 de 31 de enero 2017</t>
  </si>
  <si>
    <t>Facultad de Ingeniería Electrónica y Telecomunicaciones</t>
  </si>
  <si>
    <t>Especialización en Redes y Servicios Telemáticos</t>
  </si>
  <si>
    <t>Especialista en Redes y Servicios Telemáticos</t>
  </si>
  <si>
    <r>
      <rPr>
        <sz val="10"/>
        <color theme="1"/>
        <rFont val="Arial Narrow"/>
      </rPr>
      <t xml:space="preserve">Ac. 006 de 21/01/1997 </t>
    </r>
    <r>
      <rPr>
        <b/>
        <sz val="10"/>
        <color theme="1"/>
        <rFont val="Arial Narrow"/>
      </rPr>
      <t>(CS)</t>
    </r>
  </si>
  <si>
    <t>8,47/016</t>
  </si>
  <si>
    <t>20 (2018)</t>
  </si>
  <si>
    <t>Cali - Valle</t>
  </si>
  <si>
    <r>
      <rPr>
        <sz val="10"/>
        <color theme="1"/>
        <rFont val="Arial Narrow"/>
      </rPr>
      <t xml:space="preserve">Res. 6311 de 08-jun-2012 </t>
    </r>
    <r>
      <rPr>
        <b/>
        <sz val="10"/>
        <color theme="1"/>
        <rFont val="Arial Narrow"/>
      </rPr>
      <t>(7a)</t>
    </r>
  </si>
  <si>
    <t>Res. 06 21/01/1997</t>
  </si>
  <si>
    <t>25 (2018)</t>
  </si>
  <si>
    <r>
      <rPr>
        <sz val="10"/>
        <color theme="1"/>
        <rFont val="Arial Narrow"/>
      </rPr>
      <t xml:space="preserve">Res. 16743 de 20-dic-2012 </t>
    </r>
    <r>
      <rPr>
        <b/>
        <sz val="10"/>
        <color theme="1"/>
        <rFont val="Arial Narrow"/>
      </rPr>
      <t>(7a)</t>
    </r>
    <r>
      <rPr>
        <sz val="10"/>
        <color theme="1"/>
        <rFont val="Arial Narrow"/>
      </rPr>
      <t xml:space="preserve">
Res. 3195 de 30-may-2008</t>
    </r>
  </si>
  <si>
    <t>Ingeniería Electrónica y Telecomunicaciones</t>
  </si>
  <si>
    <t>Ingeniero en Electrónica y Telecomunicaciones</t>
  </si>
  <si>
    <t>Ac. 040 de 17-Dic-1960
Mineducación</t>
  </si>
  <si>
    <t>60 (2019)</t>
  </si>
  <si>
    <t>AC. 012 del 2015</t>
  </si>
  <si>
    <t>AC. 021 del 24-Abr-2019 (CS)</t>
  </si>
  <si>
    <r>
      <rPr>
        <sz val="10"/>
        <color theme="1"/>
        <rFont val="Arial Narrow"/>
      </rPr>
      <t xml:space="preserve">Res. 11006 de 11-sep-12 </t>
    </r>
    <r>
      <rPr>
        <b/>
        <sz val="10"/>
        <color theme="1"/>
        <rFont val="Arial Narrow"/>
      </rPr>
      <t xml:space="preserve">(7a)                          </t>
    </r>
    <r>
      <rPr>
        <sz val="10"/>
        <color theme="1"/>
        <rFont val="Arial Narrow"/>
      </rPr>
      <t>Res. 10879 de 10-dic-2010</t>
    </r>
    <r>
      <rPr>
        <b/>
        <sz val="10"/>
        <color theme="1"/>
        <rFont val="Arial Narrow"/>
      </rPr>
      <t xml:space="preserve"> (7a)</t>
    </r>
    <r>
      <rPr>
        <sz val="10"/>
        <color theme="1"/>
        <rFont val="Arial Narrow"/>
      </rPr>
      <t xml:space="preserve">
Res. 2394 de 30-abr-2009 </t>
    </r>
    <r>
      <rPr>
        <b/>
        <sz val="10"/>
        <color theme="1"/>
        <rFont val="Arial Narrow"/>
      </rPr>
      <t>(7a)</t>
    </r>
  </si>
  <si>
    <r>
      <rPr>
        <sz val="10"/>
        <color theme="1"/>
        <rFont val="Arial Narrow"/>
      </rPr>
      <t xml:space="preserve">Res. 9899 de 22-ago-2012      Res. 2114 de 09-sep-2003 </t>
    </r>
    <r>
      <rPr>
        <b/>
        <sz val="10"/>
        <color theme="1"/>
        <rFont val="Arial Narrow"/>
      </rPr>
      <t>(6a)</t>
    </r>
  </si>
  <si>
    <t>Maestría en Ingeniería Telemática</t>
  </si>
  <si>
    <t>Magíster en Ingeniería Telemática</t>
  </si>
  <si>
    <t>AC. 047 del 7-Jul-2009 (CS)</t>
  </si>
  <si>
    <t>5 (2019)</t>
  </si>
  <si>
    <t>AC. 047 del 07-jul-2009</t>
  </si>
  <si>
    <r>
      <rPr>
        <sz val="10"/>
        <color theme="1"/>
        <rFont val="Arial Narrow"/>
      </rPr>
      <t xml:space="preserve">Res. 1127 de 29-feb-2008 </t>
    </r>
    <r>
      <rPr>
        <b/>
        <sz val="10"/>
        <color theme="1"/>
        <rFont val="Arial Narrow"/>
      </rPr>
      <t>(MEN)</t>
    </r>
    <r>
      <rPr>
        <sz val="10"/>
        <color theme="1"/>
        <rFont val="Arial Narrow"/>
      </rPr>
      <t xml:space="preserve">
Res. 8426 de 28-oct-2009</t>
    </r>
    <r>
      <rPr>
        <b/>
        <sz val="10"/>
        <color theme="1"/>
        <rFont val="Arial Narrow"/>
      </rPr>
      <t xml:space="preserve"> (MEN) (Modif 1127</t>
    </r>
    <r>
      <rPr>
        <sz val="10"/>
        <color theme="1"/>
        <rFont val="Arial Narrow"/>
      </rPr>
      <t>)</t>
    </r>
  </si>
  <si>
    <r>
      <rPr>
        <sz val="10"/>
        <color theme="1"/>
        <rFont val="Arial Narrow"/>
      </rPr>
      <t xml:space="preserve">Res. 4737 de 15-abr-2015 </t>
    </r>
    <r>
      <rPr>
        <b/>
        <sz val="10"/>
        <color theme="1"/>
        <rFont val="Arial Narrow"/>
      </rPr>
      <t>(7a)</t>
    </r>
    <r>
      <rPr>
        <sz val="10"/>
        <color theme="1"/>
        <rFont val="Arial Narrow"/>
      </rPr>
      <t xml:space="preserve">
Res. 8426 de 28-oct-2009
Res. 1127 de 29-feb-2008</t>
    </r>
  </si>
  <si>
    <t>Doctorado en Ciencias de la Computación</t>
  </si>
  <si>
    <t>Doctor en Ciencias de la Computación</t>
  </si>
  <si>
    <r>
      <rPr>
        <sz val="10"/>
        <color theme="1"/>
        <rFont val="Arial Narrow"/>
      </rPr>
      <t xml:space="preserve">Ac. 071 de 01-nov-2019 </t>
    </r>
    <r>
      <rPr>
        <b/>
        <sz val="10"/>
        <color theme="1"/>
        <rFont val="Arial Narrow"/>
      </rPr>
      <t>(CS)</t>
    </r>
  </si>
  <si>
    <t>Tecnología en Telemática</t>
  </si>
  <si>
    <t>Tecnólogo en Telemática</t>
  </si>
  <si>
    <t>Ac. 047 de 11-Sep-2001
Consejo Superior</t>
  </si>
  <si>
    <t>36 (2020)</t>
  </si>
  <si>
    <t>AC. 023 del 26-Jun-2013 (CA)</t>
  </si>
  <si>
    <t>Res. 9736 de 16-jun-2023 (MEN)
Res. 17733 de 6-dic-2013 (MEN)</t>
  </si>
  <si>
    <r>
      <rPr>
        <sz val="10"/>
        <color theme="1"/>
        <rFont val="Arial Narrow"/>
      </rPr>
      <t xml:space="preserve">Res. 3264 de 14-mar-2014 </t>
    </r>
    <r>
      <rPr>
        <b/>
        <sz val="10"/>
        <color theme="1"/>
        <rFont val="Arial Narrow"/>
      </rPr>
      <t>(7a)</t>
    </r>
    <r>
      <rPr>
        <sz val="10"/>
        <color theme="1"/>
        <rFont val="Arial Narrow"/>
      </rPr>
      <t xml:space="preserve">
Res. 17733 de 6-dic-2013</t>
    </r>
    <r>
      <rPr>
        <b/>
        <sz val="10"/>
        <color theme="1"/>
        <rFont val="Arial Narrow"/>
      </rPr>
      <t xml:space="preserve"> (Modif)</t>
    </r>
    <r>
      <rPr>
        <sz val="10"/>
        <color theme="1"/>
        <rFont val="Arial Narrow"/>
      </rPr>
      <t xml:space="preserve">
Res. 6818 de 09-nov-2007</t>
    </r>
    <r>
      <rPr>
        <b/>
        <sz val="10"/>
        <color theme="1"/>
        <rFont val="Arial Narrow"/>
      </rPr>
      <t xml:space="preserve"> (7a)</t>
    </r>
  </si>
  <si>
    <t>Ingeniería de Sistemas</t>
  </si>
  <si>
    <t>Ingeniero de Sistemas</t>
  </si>
  <si>
    <t>Res. 030 de 19-May-1998</t>
  </si>
  <si>
    <t>60 (2020)</t>
  </si>
  <si>
    <r>
      <rPr>
        <sz val="10"/>
        <color theme="1"/>
        <rFont val="Arial Narrow"/>
      </rPr>
      <t xml:space="preserve">Res. 4378 de 19-abr-2013 </t>
    </r>
    <r>
      <rPr>
        <b/>
        <sz val="10"/>
        <color theme="1"/>
        <rFont val="Arial Narrow"/>
      </rPr>
      <t>(7a)</t>
    </r>
    <r>
      <rPr>
        <sz val="10"/>
        <color theme="1"/>
        <rFont val="Arial Narrow"/>
      </rPr>
      <t xml:space="preserve">
Res. 3270 de 25-abr-2011 </t>
    </r>
    <r>
      <rPr>
        <b/>
        <sz val="10"/>
        <color theme="1"/>
        <rFont val="Arial Narrow"/>
      </rPr>
      <t>(7a)</t>
    </r>
    <r>
      <rPr>
        <sz val="10"/>
        <color theme="1"/>
        <rFont val="Arial Narrow"/>
      </rPr>
      <t xml:space="preserve">
Res. 2313 de 05-ago-2004</t>
    </r>
    <r>
      <rPr>
        <b/>
        <sz val="10"/>
        <color theme="1"/>
        <rFont val="Arial Narrow"/>
      </rPr>
      <t xml:space="preserve"> (7a)</t>
    </r>
  </si>
  <si>
    <r>
      <rPr>
        <sz val="10"/>
        <color theme="1"/>
        <rFont val="Arial Narrow"/>
      </rPr>
      <t>Res. 1322 de 12-feb-2013</t>
    </r>
    <r>
      <rPr>
        <b/>
        <sz val="10"/>
        <color theme="1"/>
        <rFont val="Arial Narrow"/>
      </rPr>
      <t xml:space="preserve"> (6a)</t>
    </r>
  </si>
  <si>
    <t>Maestría en Electrónica y Telecomunicaciones</t>
  </si>
  <si>
    <t>Magíster en Electrónica y Telecomunicaciones</t>
  </si>
  <si>
    <t>10 (2021)</t>
  </si>
  <si>
    <t>AC. 011 del 2015</t>
  </si>
  <si>
    <r>
      <rPr>
        <sz val="10"/>
        <color theme="1"/>
        <rFont val="Arial Narrow"/>
      </rPr>
      <t xml:space="preserve">Res. 22846 de 30-dic-2014 </t>
    </r>
    <r>
      <rPr>
        <b/>
        <sz val="10"/>
        <color theme="1"/>
        <rFont val="Arial Narrow"/>
      </rPr>
      <t>(7a)</t>
    </r>
    <r>
      <rPr>
        <sz val="10"/>
        <color theme="1"/>
        <rFont val="Arial Narrow"/>
      </rPr>
      <t xml:space="preserve">
Res. 6490 de 26-sep-2008</t>
    </r>
  </si>
  <si>
    <t>Doctorado en Ingeniería Telemática</t>
  </si>
  <si>
    <t>Doctor en Ingeniería Telemática</t>
  </si>
  <si>
    <t>Res. 084 23/11/2007</t>
  </si>
  <si>
    <t>2 (2021)</t>
  </si>
  <si>
    <r>
      <rPr>
        <sz val="10"/>
        <color theme="1"/>
        <rFont val="Arial Narrow"/>
      </rPr>
      <t xml:space="preserve">Res. 6905 de 14-may-2015 </t>
    </r>
    <r>
      <rPr>
        <b/>
        <sz val="10"/>
        <color theme="1"/>
        <rFont val="Arial Narrow"/>
      </rPr>
      <t>(7a)</t>
    </r>
    <r>
      <rPr>
        <sz val="10"/>
        <color theme="1"/>
        <rFont val="Arial Narrow"/>
      </rPr>
      <t xml:space="preserve">
Res.5370 de 25-ago-2008</t>
    </r>
  </si>
  <si>
    <t>Maestría en Telecomunicaciones</t>
  </si>
  <si>
    <t>Magíster en Telecomunicaciones</t>
  </si>
  <si>
    <t>Ac. S. 013 23/02/2015</t>
  </si>
  <si>
    <t>14 (2021)</t>
  </si>
  <si>
    <r>
      <rPr>
        <sz val="10"/>
        <color theme="1"/>
        <rFont val="Arial Narrow"/>
      </rPr>
      <t xml:space="preserve">Res. 8766 de 18-jun-2015 </t>
    </r>
    <r>
      <rPr>
        <b/>
        <sz val="10"/>
        <color theme="1"/>
        <rFont val="Arial Narrow"/>
      </rPr>
      <t>(7a)</t>
    </r>
  </si>
  <si>
    <t>Especialización en TIC para la Innovación Educativa</t>
  </si>
  <si>
    <r>
      <rPr>
        <sz val="10"/>
        <color theme="1"/>
        <rFont val="Arial Narrow"/>
      </rPr>
      <t xml:space="preserve">Ac. 043 de 20/08/2015 </t>
    </r>
    <r>
      <rPr>
        <b/>
        <sz val="10"/>
        <color theme="1"/>
        <rFont val="Arial Narrow"/>
      </rPr>
      <t>(CS)</t>
    </r>
  </si>
  <si>
    <r>
      <rPr>
        <sz val="10"/>
        <color theme="1"/>
        <rFont val="Arial Narrow"/>
      </rPr>
      <t xml:space="preserve">Res. 20205 de 11-dic-2015 </t>
    </r>
    <r>
      <rPr>
        <b/>
        <sz val="10"/>
        <color theme="1"/>
        <rFont val="Arial Narrow"/>
      </rPr>
      <t>(7a)</t>
    </r>
  </si>
  <si>
    <t>Maestría en Automática</t>
  </si>
  <si>
    <t>Magíster en Automática</t>
  </si>
  <si>
    <t>Res. 066 02/10/2007</t>
  </si>
  <si>
    <t>12 (2021)</t>
  </si>
  <si>
    <t>AC. 001 del 26-ene-2022</t>
  </si>
  <si>
    <r>
      <rPr>
        <sz val="10"/>
        <color theme="1"/>
        <rFont val="Arial Narrow"/>
      </rPr>
      <t xml:space="preserve">Res. 20292 de 28-nov-2014 </t>
    </r>
    <r>
      <rPr>
        <b/>
        <sz val="10"/>
        <color theme="1"/>
        <rFont val="Arial Narrow"/>
      </rPr>
      <t>(7a)</t>
    </r>
    <r>
      <rPr>
        <sz val="10"/>
        <color theme="1"/>
        <rFont val="Arial Narrow"/>
      </rPr>
      <t xml:space="preserve">
Res. 7861 de 26-oct-2009 </t>
    </r>
    <r>
      <rPr>
        <b/>
        <sz val="10"/>
        <color theme="1"/>
        <rFont val="Arial Narrow"/>
      </rPr>
      <t>(Modif)</t>
    </r>
    <r>
      <rPr>
        <sz val="10"/>
        <color theme="1"/>
        <rFont val="Arial Narrow"/>
      </rPr>
      <t xml:space="preserve">
Res.4562 de 18-jul-2008</t>
    </r>
  </si>
  <si>
    <t>Res, 020074 de 32 de octubre de 2023</t>
  </si>
  <si>
    <t>Doctorado en Ciencias de la Electrónica</t>
  </si>
  <si>
    <t>Doctor en Ciencias de la Electrónica</t>
  </si>
  <si>
    <t>Ac. S. 025 8/04/2008</t>
  </si>
  <si>
    <t>10 (2022)</t>
  </si>
  <si>
    <r>
      <rPr>
        <sz val="10"/>
        <color theme="1"/>
        <rFont val="Arial Narrow"/>
      </rPr>
      <t xml:space="preserve">Res. 10402 de 14-jul-2015 </t>
    </r>
    <r>
      <rPr>
        <b/>
        <sz val="10"/>
        <color theme="1"/>
        <rFont val="Arial Narrow"/>
      </rPr>
      <t>(7a)</t>
    </r>
    <r>
      <rPr>
        <sz val="10"/>
        <color theme="1"/>
        <rFont val="Arial Narrow"/>
      </rPr>
      <t xml:space="preserve">
Res. 7224 de 24-oct-2008</t>
    </r>
  </si>
  <si>
    <t>Res. 020075 de 31 Oct 2023 (6a)</t>
  </si>
  <si>
    <t>Maestría en Computación</t>
  </si>
  <si>
    <t>Magíster en Computación</t>
  </si>
  <si>
    <t>Res. 067 2/10/2007</t>
  </si>
  <si>
    <t>22 (2021)</t>
  </si>
  <si>
    <r>
      <rPr>
        <sz val="10"/>
        <color theme="1"/>
        <rFont val="Arial Narrow"/>
      </rPr>
      <t xml:space="preserve">Res. 8112 de 30-may-2014 </t>
    </r>
    <r>
      <rPr>
        <b/>
        <sz val="10"/>
        <color theme="1"/>
        <rFont val="Arial Narrow"/>
      </rPr>
      <t xml:space="preserve">(7a)
</t>
    </r>
    <r>
      <rPr>
        <sz val="10"/>
        <color theme="1"/>
        <rFont val="Arial Narrow"/>
      </rPr>
      <t>Res. 7860 de 26-oct-2009</t>
    </r>
    <r>
      <rPr>
        <b/>
        <sz val="10"/>
        <color theme="1"/>
        <rFont val="Arial Narrow"/>
      </rPr>
      <t xml:space="preserve"> (Modif)</t>
    </r>
    <r>
      <rPr>
        <sz val="10"/>
        <color theme="1"/>
        <rFont val="Arial Narrow"/>
      </rPr>
      <t xml:space="preserve">
Res. 1125 de 29-feb-2008</t>
    </r>
  </si>
  <si>
    <t>Res. 020747 02 de Nov de 2023 (6a)</t>
  </si>
  <si>
    <t>Ingeniería en Automática Industrial</t>
  </si>
  <si>
    <t>Ingeniero en Automática Industrial</t>
  </si>
  <si>
    <t>Res. 031 de 19-May-1998</t>
  </si>
  <si>
    <r>
      <rPr>
        <sz val="10"/>
        <color theme="1"/>
        <rFont val="Arial Narrow"/>
      </rPr>
      <t>AC. 022 del 26-Sep-2012</t>
    </r>
    <r>
      <rPr>
        <b/>
        <sz val="10"/>
        <color theme="1"/>
        <rFont val="Arial Narrow"/>
      </rPr>
      <t xml:space="preserve"> (CA)</t>
    </r>
    <r>
      <rPr>
        <sz val="10"/>
        <color theme="1"/>
        <rFont val="Arial Narrow"/>
      </rPr>
      <t xml:space="preserve">
AC. 010 del 2017</t>
    </r>
  </si>
  <si>
    <r>
      <rPr>
        <sz val="10"/>
        <color theme="1"/>
        <rFont val="Arial Narrow"/>
      </rPr>
      <t>Res. 11168 de 11-sep-2012                                    Res. 13920 8/10/2013</t>
    </r>
    <r>
      <rPr>
        <b/>
        <sz val="10"/>
        <color theme="1"/>
        <rFont val="Arial Narrow"/>
      </rPr>
      <t xml:space="preserve"> (Mod)</t>
    </r>
    <r>
      <rPr>
        <sz val="10"/>
        <color theme="1"/>
        <rFont val="Arial Narrow"/>
      </rPr>
      <t xml:space="preserve">
Res. 11168 11-sep-2012</t>
    </r>
    <r>
      <rPr>
        <b/>
        <sz val="10"/>
        <color theme="1"/>
        <rFont val="Arial Narrow"/>
      </rPr>
      <t xml:space="preserve"> (7a)</t>
    </r>
    <r>
      <rPr>
        <sz val="10"/>
        <color theme="1"/>
        <rFont val="Arial Narrow"/>
      </rPr>
      <t xml:space="preserve">
Res. 4492 de 10-oct-2005 </t>
    </r>
    <r>
      <rPr>
        <b/>
        <sz val="10"/>
        <color theme="1"/>
        <rFont val="Arial Narrow"/>
      </rPr>
      <t>(7a)</t>
    </r>
    <r>
      <rPr>
        <sz val="10"/>
        <color theme="1"/>
        <rFont val="Arial Narrow"/>
      </rPr>
      <t xml:space="preserve">
Res. 1586 de 6-may-2005 </t>
    </r>
  </si>
  <si>
    <t>Se espera resolución por oficio</t>
  </si>
  <si>
    <r>
      <rPr>
        <sz val="10"/>
        <color theme="1"/>
        <rFont val="Arial Narrow"/>
      </rPr>
      <t xml:space="preserve">Res. 1334 de 3-feb-2014 </t>
    </r>
    <r>
      <rPr>
        <b/>
        <sz val="10"/>
        <color theme="1"/>
        <rFont val="Arial Narrow"/>
      </rPr>
      <t>(4a)</t>
    </r>
  </si>
  <si>
    <t>Número</t>
  </si>
  <si>
    <t>Vencimiento R.C.</t>
  </si>
  <si>
    <t>Alerta R.C.</t>
  </si>
  <si>
    <t>Días R.C</t>
  </si>
  <si>
    <t>Vencimiento SIAC RRC</t>
  </si>
  <si>
    <t>Alerta SIAC RRC</t>
  </si>
  <si>
    <t>Días SIAC RRC</t>
  </si>
  <si>
    <t>Observaciones</t>
  </si>
  <si>
    <t>Revisado 22 enero 2026 ok</t>
  </si>
  <si>
    <t>Modificación RC, Ok</t>
  </si>
  <si>
    <t>Alerta roja por lugar de desarrollo 22 enero 2026</t>
  </si>
  <si>
    <t>Alerta roja, cargar información del programa 22 enero 2026</t>
  </si>
  <si>
    <t>22 enero 2026 ok</t>
  </si>
  <si>
    <t>Revisado 22 enero 2026 Ok</t>
  </si>
  <si>
    <t>Vencimiento Acreditación</t>
  </si>
  <si>
    <t>Alerta Acreditación</t>
  </si>
  <si>
    <t>Días Acreditación</t>
  </si>
  <si>
    <t>Vencimiento SIAC AAC</t>
  </si>
  <si>
    <t>Alerta SIAC AAC</t>
  </si>
  <si>
    <t>Días SIAC AAC</t>
  </si>
  <si>
    <t>Espera resolución  - 09/03/2026</t>
  </si>
  <si>
    <t>Espera visita - 09/03/2026</t>
  </si>
  <si>
    <t>Están elaborando informe de autoevaluación - 09/03/2026</t>
  </si>
  <si>
    <t>Nivel</t>
  </si>
  <si>
    <t>Documentos</t>
  </si>
  <si>
    <t>Tecn.</t>
  </si>
  <si>
    <t>Esp.</t>
  </si>
  <si>
    <t>Esp. Méd.Quir.</t>
  </si>
  <si>
    <t>Maestrías</t>
  </si>
  <si>
    <t>Doct.</t>
  </si>
  <si>
    <t>Total</t>
  </si>
  <si>
    <t>Licenciatura en Música (225)</t>
  </si>
  <si>
    <t>Diseño Gráfico  (4963)</t>
  </si>
  <si>
    <t>Dirección de Banda  (11067)</t>
  </si>
  <si>
    <t>Artes Plásticas (224)</t>
  </si>
  <si>
    <t>Música Instrumental  (54801)</t>
  </si>
  <si>
    <t>Maestría en Música ( 104526)</t>
  </si>
  <si>
    <t>Ingenieria Agroindustrial (3833)</t>
  </si>
  <si>
    <t>Ingeniería Forestal (8482)</t>
  </si>
  <si>
    <t>Ingeniería Agropecuaria (7171)</t>
  </si>
  <si>
    <t>Especialización en Sanidad en Producción Agraria Integrada - Popayán ( 103292)</t>
  </si>
  <si>
    <t>Especializaciones</t>
  </si>
  <si>
    <t>Especialización en Gestión Integral del Recurso Hídrico (104846)</t>
  </si>
  <si>
    <t>Maestría en Ciencias Agrarias  (104677)</t>
  </si>
  <si>
    <t>Doctorado en Ciencias Agrarias y Agroindustriales  ( 103231)</t>
  </si>
  <si>
    <t>Doctorados</t>
  </si>
  <si>
    <t>Facultad de Ciencias Contables, Económicas y Administrativas</t>
  </si>
  <si>
    <t>Contaduría Pública (235)</t>
  </si>
  <si>
    <t>Contaduría, Esp Derecho Procesal, Enfermería S.Q. Ing. Física 2025.pdf
Rta/ Contaduría, Esp. Derecho Procesal, Enfermería S.Q. Ing. Física.pdf</t>
  </si>
  <si>
    <t>Economía (8441)</t>
  </si>
  <si>
    <t>Administración de Empresas (234)</t>
  </si>
  <si>
    <t>Turismo (18679)</t>
  </si>
  <si>
    <t>Especialización en Gerencia de Impuestos ( 2970)</t>
  </si>
  <si>
    <t>Especialización en Gerencia de Proyectos - Popayán (3613)</t>
  </si>
  <si>
    <t>Especialización en Revisoría Fiscal y Auditoría Internacional (15924)</t>
  </si>
  <si>
    <t>Especialización en Mercadeo Corporativo (15358)</t>
  </si>
  <si>
    <t>Especialización en Gerencia de Proyectos CONV. U. de Pasto (102109)</t>
  </si>
  <si>
    <t>Maestría en Estudios Interdisciplinarios del Desarrollo Popayán ( 55045)</t>
  </si>
  <si>
    <t>Maestría en Gestión de Organizaciones y Proyectos (103477)</t>
  </si>
  <si>
    <t>Maestría en Economía Regional y Políticas Públicas (110924)</t>
  </si>
  <si>
    <t>Maestría en Gestión del Conocimiento y la Innovación (111151)</t>
  </si>
  <si>
    <t>Licenciatura en Educación Artística (106651)</t>
  </si>
  <si>
    <t>Licenciatura en Educación Básica Primaria (106794)</t>
  </si>
  <si>
    <t>Lic. en Ciencias Naturales y Educación Ambiental ( 106574)</t>
  </si>
  <si>
    <t>Lic. en Educación Física, Recreación y Deportes (106545)</t>
  </si>
  <si>
    <t>Licenciatura en Matemáticas (229)</t>
  </si>
  <si>
    <t>Biología  (3048)</t>
  </si>
  <si>
    <t>Ingeniería Física (3636)</t>
  </si>
  <si>
    <t>Matemáticas (4010)</t>
  </si>
  <si>
    <t>Química (2130)</t>
  </si>
  <si>
    <t>Especialización en Educación y Discapacidad (105532)</t>
  </si>
  <si>
    <t>Maestría en Recursos Hidrobiológicos Continentales (256)</t>
  </si>
  <si>
    <t>Maestría en Educación (MI) (104784)
Popayán</t>
  </si>
  <si>
    <t>Maestría en Ingeniería Física (53504)</t>
  </si>
  <si>
    <t>Maestría en Ciencias Química (90909)</t>
  </si>
  <si>
    <t>Maestría en Ciencias Matemáticas (90576)</t>
  </si>
  <si>
    <t>Maestría en Educación Popular (103476)</t>
  </si>
  <si>
    <t>Maestría en Educación Popular - Santander de Quilichao ( 103504)</t>
  </si>
  <si>
    <t>Maestría en Educación, Estudios del Cuerpo y la Motricidad (104303)</t>
  </si>
  <si>
    <t>Maestría en Biología (104621)</t>
  </si>
  <si>
    <t>Maestría en Deporte y Actividad Física  (105533)</t>
  </si>
  <si>
    <t>Maestría en Educación Superior (110826)</t>
  </si>
  <si>
    <t>Maestría en Bioingeniería (106198)</t>
  </si>
  <si>
    <t>Doctorado en Ciencias Ambientales (53943)</t>
  </si>
  <si>
    <t>Doctorado en Etnobiología y Estudios Bioculturales (105656)</t>
  </si>
  <si>
    <t>Doctorado en Ciencias Química (105661)</t>
  </si>
  <si>
    <t>Doctorado en Ciencias Matemáticas (105772)</t>
  </si>
  <si>
    <t>Doctorado en Ciencias de la Educación (7172)</t>
  </si>
  <si>
    <t>Antropología (232)</t>
  </si>
  <si>
    <t>Licenciatura en Literatura y Lengua Castellana (106604)</t>
  </si>
  <si>
    <t>Licenciatura en Lenguas Modernas con Énfasis en Inglés y Francés (106575)</t>
  </si>
  <si>
    <t>Filosofía (11967)</t>
  </si>
  <si>
    <t>Geografía del Desarrollo Regional y Ambiental  (4493)</t>
  </si>
  <si>
    <t>Historia (13062)</t>
  </si>
  <si>
    <t>Licenciatura en Lenguas Modernas, Inglés - Francés - Santander de Quilichao (108963)</t>
  </si>
  <si>
    <t>Licenciatura en Etnoeducación y Ciencias Sociales (Popayán, S. Quilichao y Guapi)</t>
  </si>
  <si>
    <t>Licenciatura en Etnoeducación y Ciencias Sociales 024484 (Popayán, Santander Q. y Guapi).pdf
Licenciatura en Etnoeducación y Ciencias Sociales R 009085 corrige R 24484.pdf</t>
  </si>
  <si>
    <t>Maestría en Antropología (54866)</t>
  </si>
  <si>
    <t>Maestría en Ciencias Humanas ( 104296)</t>
  </si>
  <si>
    <t>Maestría en Artes Integradas con el Ambiente  (104456)</t>
  </si>
  <si>
    <t>Doctorado en Antropología (51767)</t>
  </si>
  <si>
    <t>Doctorado en Ciencias Humanas (105733)</t>
  </si>
  <si>
    <t>Enfermería (230)</t>
  </si>
  <si>
    <t>Fisioterapia (5269)</t>
  </si>
  <si>
    <t>Fonoaudiología (5268)</t>
  </si>
  <si>
    <t>Enfermería S.Q (118436)</t>
  </si>
  <si>
    <t>Contaduría, Esp Derecho Procesal, Enfermería S.Q. Ing. Física 2025.pdf
 Solicitud asiganción código SNIES Enfermería S.Q. Firmado.pdf
Radicado solicitud SNIES Enfermería S.Q.
Rta/ Contaduría, Esp. Derecho Procesal, Enfermería S.Q. Ing. Física.pdf</t>
  </si>
  <si>
    <t>Especialización en Intervención del Lenguaje Infantil (105964)</t>
  </si>
  <si>
    <t>Especialización en Seguridad y Salud en el Trabajo (106126)</t>
  </si>
  <si>
    <t>Especialización en Ginecología y Obstetricia (242)</t>
  </si>
  <si>
    <t>Esp. Médico Quirúrgicas</t>
  </si>
  <si>
    <t>Especialización en Anestesiología (240)</t>
  </si>
  <si>
    <t>Especialización en Cirugía General (241)</t>
  </si>
  <si>
    <t>Especialización en Pediatría (244)</t>
  </si>
  <si>
    <t>Respuesta oficio Radicado No. 2025 EE-379455 2025-12-25- Esp. Pediatría.pdf</t>
  </si>
  <si>
    <t>Especialización en Medicina Interna (243)</t>
  </si>
  <si>
    <t>Especialización en Medicina Familiar (11546)</t>
  </si>
  <si>
    <t>Maestría en Desarrollo Humano y Salud (110739)</t>
  </si>
  <si>
    <t xml:space="preserve">Facultad de Derecho, Ciencias Políticas y Sociales </t>
  </si>
  <si>
    <t>Derecho (Diruno y Nocturno) (233)</t>
  </si>
  <si>
    <t>Comunicación Social (8170)</t>
  </si>
  <si>
    <t>Comunicación Social 7110- 2026.pdf</t>
  </si>
  <si>
    <t>Ciencia Política (4080)</t>
  </si>
  <si>
    <t>Derecho - Santander de Quilichao (102182)</t>
  </si>
  <si>
    <t>Especialización en Gobierno y Políticas Públicas (102803)</t>
  </si>
  <si>
    <t>Especialización en Derecho de Familia  (103788)</t>
  </si>
  <si>
    <t>Esepecialización en Derecho Procesal (106623)</t>
  </si>
  <si>
    <t>Facultad de Ingenieria Civil</t>
  </si>
  <si>
    <t>Geotecnología (222)</t>
  </si>
  <si>
    <t>Tecnologías</t>
  </si>
  <si>
    <t>Ingeniería Civil (236)</t>
  </si>
  <si>
    <t>Ingeniería Ambiental  (8704)</t>
  </si>
  <si>
    <t>Ingeniería Civil - Santander de Quilichao (102471)</t>
  </si>
  <si>
    <t>Arquitectura (106111)</t>
  </si>
  <si>
    <t>Especialización en Ingeniería de Recursos Hídricos (105480)</t>
  </si>
  <si>
    <t>Especialización en Ingeniería de Vías Terrestres (104525)</t>
  </si>
  <si>
    <t>Especialización en Ingeniería de Vías Terrestres 9097.pdf</t>
  </si>
  <si>
    <t>Especialización en Estructuras (4730)</t>
  </si>
  <si>
    <t>Maestría en Ingeniería de Vías Terrestres (110867 (p))</t>
  </si>
  <si>
    <t>Maestría en Ingeniería de la Construcción (104528)</t>
  </si>
  <si>
    <t>Maestría en Ingeniería de Pavimentos (104611)</t>
  </si>
  <si>
    <t>Maestría en Ingeniería de Vías Terrestres (104525 (i))</t>
  </si>
  <si>
    <t>Maestría en (Profundización e Investigación en)  Geomática ( 105455)</t>
  </si>
  <si>
    <t>Maestría en Ingeniería Hidráulica e Hidrológica (108684)</t>
  </si>
  <si>
    <t>Documento descargable IES Rad Maestría en Ing. Hidráulica e Hidrológica.pdf</t>
  </si>
  <si>
    <t>Maestría en Ingeniería Ambiental (109143)</t>
  </si>
  <si>
    <t>Documento descargable IES Rad Maestría en Ingeniería Ambiental.pdf</t>
  </si>
  <si>
    <t>Facultad de Ingeniería Electrónica y  Telecomunicaciones</t>
  </si>
  <si>
    <t>Tecnología en Telemática - Popayán  (223)</t>
  </si>
  <si>
    <t>Ingeniería Electrónica y Telecomunicaciones (238)</t>
  </si>
  <si>
    <t>Ingeniería de Sistemas (7520)</t>
  </si>
  <si>
    <t>Ingeniería en Automática Industrial (7519)</t>
  </si>
  <si>
    <t>Especialización en Redes y Servicios Telemáticos (4615)</t>
  </si>
  <si>
    <t>Especialización en Redes y Servicios CONV. Universidad Autónoma del Valle(101755)</t>
  </si>
  <si>
    <t>Especialización en TIC para la Innovación Educativa (105149)</t>
  </si>
  <si>
    <t>Maestría en Ingeniería Telemática (90930)</t>
  </si>
  <si>
    <t>Maestría en Electrónica y Telecomunicaciones (252)</t>
  </si>
  <si>
    <t>Maestría en Computación (53505)</t>
  </si>
  <si>
    <t>Maestría en Automática (55175)</t>
  </si>
  <si>
    <t>Maestría en Telecomunicaciones (104646)</t>
  </si>
  <si>
    <t>Doctorado en Ingeniería Telemática (53918)</t>
  </si>
  <si>
    <t>Doctorado en Ciencias de la Electrónica (54103)</t>
  </si>
  <si>
    <t>Doctorado en Ciencias de la Computación (109668)</t>
  </si>
  <si>
    <r>
      <rPr>
        <b/>
        <sz val="10"/>
        <color theme="1"/>
        <rFont val="Arial Narrow"/>
      </rPr>
      <t xml:space="preserve">Sistema Interno de Gestión para la Acreditación </t>
    </r>
    <r>
      <rPr>
        <b/>
        <sz val="10"/>
        <color rgb="FFC00000"/>
        <rFont val="Arial Narrow"/>
      </rPr>
      <t>SiGA</t>
    </r>
  </si>
  <si>
    <t>Síntesis Programas Académicos con Registro Calificado</t>
  </si>
  <si>
    <t>Facultades</t>
  </si>
  <si>
    <t>Profesional</t>
  </si>
  <si>
    <t>Total
Pregrado</t>
  </si>
  <si>
    <t>Total
Posgrado</t>
  </si>
  <si>
    <t xml:space="preserve">Facultad de Ciencias Naturales, Exactas y de la Educación </t>
  </si>
  <si>
    <t xml:space="preserve">Facultad de Ingeniería Civil </t>
  </si>
  <si>
    <t xml:space="preserve">Facultad de Ingeniería Electrónica y Telecomunicaciones </t>
  </si>
  <si>
    <t>Total programas con RC</t>
  </si>
  <si>
    <t>Acreditados</t>
  </si>
  <si>
    <t>Acreditables</t>
  </si>
  <si>
    <t>Cumplimiento</t>
  </si>
  <si>
    <t>Acreditados con corte a 2019</t>
  </si>
  <si>
    <r>
      <rPr>
        <b/>
        <sz val="10"/>
        <color theme="1"/>
        <rFont val="Arial Narrow"/>
      </rPr>
      <t>Sistema Interno de Gestión para la Acreditación</t>
    </r>
    <r>
      <rPr>
        <b/>
        <sz val="10"/>
        <color rgb="FFC00000"/>
        <rFont val="Arial Narrow"/>
      </rPr>
      <t xml:space="preserve"> SiGA</t>
    </r>
  </si>
  <si>
    <t>Acreditados con corte a 2022</t>
  </si>
  <si>
    <t>Programas Académicos Acreditados</t>
  </si>
  <si>
    <t>Acreditados con corte a 2023</t>
  </si>
  <si>
    <t>Acreditados con corte a 2024</t>
  </si>
  <si>
    <t>Acreditados con corte a 2026</t>
  </si>
  <si>
    <t>% cumpliminto de la meta a 31/12/2024</t>
  </si>
  <si>
    <t>No.</t>
  </si>
  <si>
    <t>Programa Acreditado</t>
  </si>
  <si>
    <t>Inicio A.C.</t>
  </si>
  <si>
    <r>
      <rPr>
        <b/>
        <sz val="12"/>
        <color rgb="FFFFFFFF"/>
        <rFont val="Arial Narrow"/>
      </rPr>
      <t xml:space="preserve">SIAC AAC </t>
    </r>
    <r>
      <rPr>
        <b/>
        <sz val="10"/>
        <color rgb="FFFFFFFF"/>
        <rFont val="Arial Narrow"/>
      </rPr>
      <t>(14 meses antes)</t>
    </r>
  </si>
  <si>
    <t>Vencimiento
Acreditación A.C.</t>
  </si>
  <si>
    <t xml:space="preserve">Ingeniería Agropecuaria </t>
  </si>
  <si>
    <t>Facultad de Ingeniería Civíl</t>
  </si>
  <si>
    <t>Medicina</t>
  </si>
  <si>
    <t>Total programas Acreditados</t>
  </si>
  <si>
    <t>Total:</t>
  </si>
  <si>
    <t>Licenciatura en Lenguas Modernas con énfasis en Inglés y Francés</t>
  </si>
  <si>
    <t xml:space="preserve">Licenciatura en Matemáticas </t>
  </si>
  <si>
    <t>VISITA DE PARES ACADÉMICOS - EVALUACIÓN EXTERNA</t>
  </si>
  <si>
    <t>UNIVERSIDAD DEL CAUCA</t>
  </si>
  <si>
    <t xml:space="preserve">Fecha inicio </t>
  </si>
  <si>
    <t>Fecha final</t>
  </si>
  <si>
    <t>Asunto</t>
  </si>
  <si>
    <t>Evaluación externa para acreditación de alta calidad</t>
  </si>
  <si>
    <t>Licenciatura en Educación Básica con énfasis en Lengua Castellana e Inglés</t>
  </si>
  <si>
    <t>Licenciatura en Educación Básica con énfasis en Ciencias Naturales y Educación Ambiental</t>
  </si>
  <si>
    <t>Licenciatura en Lenguas Modernas Inglés-Francés</t>
  </si>
  <si>
    <t>Licenciatura en Educación Básica con énfasis en Educación Artística</t>
  </si>
  <si>
    <t>Doctorado en Educación</t>
  </si>
  <si>
    <t>Evaluación externa para obtener registro calificado</t>
  </si>
  <si>
    <t>Contaduría Pública</t>
  </si>
  <si>
    <t>Evaluación externa para renovación de acreditación de alta calidad</t>
  </si>
  <si>
    <t>Evaluación externa para acreditación internacional</t>
  </si>
  <si>
    <t>Universidad del Cauca</t>
  </si>
  <si>
    <t>Evaluación externa para acreditación institucional</t>
  </si>
  <si>
    <t>Evaluación externa para renovar registro calificado</t>
  </si>
  <si>
    <t>Ingeniería Agropecuaria</t>
  </si>
  <si>
    <t>Evaluación externa para condiciones iniciales</t>
  </si>
  <si>
    <t>Ingeniería Agroindustrial (Santander de Quilichao)</t>
  </si>
  <si>
    <t>Licenciatura en Etnoeducación</t>
  </si>
  <si>
    <t>Evaluación externa prueba piloto zonas rurales</t>
  </si>
  <si>
    <t>Dirección De Banda</t>
  </si>
  <si>
    <t>Antropología</t>
  </si>
  <si>
    <t>Ingeniería Automática Industrial</t>
  </si>
  <si>
    <t>Híbrida</t>
  </si>
  <si>
    <t>Doctorado en Ciencias Agrarias y Agroindustriales</t>
  </si>
  <si>
    <t xml:space="preserve">Ingeniería Agroindustrial </t>
  </si>
  <si>
    <t>Centro de Gestión de la Calidad y la Acreditación Institucional</t>
  </si>
  <si>
    <t>Listado de programas con periodo de transición del Nuevo Decreto</t>
  </si>
  <si>
    <t>No renovarán registro calificado</t>
  </si>
  <si>
    <t>Renovarán registro calificado pero no han entregado documentación</t>
  </si>
  <si>
    <t>Radicados en el Nuevo SACES</t>
  </si>
  <si>
    <t>En proceso de acreditación / renovación acreditación</t>
  </si>
  <si>
    <t>Con respuesta</t>
  </si>
  <si>
    <t>Visita de pares</t>
  </si>
  <si>
    <t>LOS QUE VENCEN DESDE 01 DE ENERO AL 31 DE DICIEMBRE DE 2023</t>
  </si>
  <si>
    <t>SiGA RRC
(14 meses antes)</t>
  </si>
  <si>
    <t>Extensión (meses)</t>
  </si>
  <si>
    <t>Vencimiento
R.C. con decreto 1174 de 2023</t>
  </si>
  <si>
    <t>Maestría en Ética y Filosofía Política</t>
  </si>
  <si>
    <t>LOS QUE VENCEN DESDE 01 DE ENERO AL 31 DE DICIEMBRE DE 2024</t>
  </si>
  <si>
    <t>vencimiento
R.C. con decreto 1174 de 2023</t>
  </si>
  <si>
    <t>Maestría en Historia</t>
  </si>
  <si>
    <t xml:space="preserve">Química </t>
  </si>
  <si>
    <t xml:space="preserve">Matemáticas </t>
  </si>
  <si>
    <t>Licenciatura en Educación Infantil</t>
  </si>
  <si>
    <t>Especialización en Derecho Procesal</t>
  </si>
  <si>
    <t>LOS QUE VENCEN DESDE 01 DE ENERO AL 30 DE JUNIO DE 2025</t>
  </si>
  <si>
    <t>Tecnología en Gestión de Proyectos Agroecológicos</t>
  </si>
  <si>
    <t>Ingeniería en Agroecología</t>
  </si>
  <si>
    <t xml:space="preserve">Turismo </t>
  </si>
  <si>
    <t xml:space="preserve">Especialización en Educación Comunitaria </t>
  </si>
  <si>
    <t>Fechas reporte del Plan de Mejoramiento Ajustado al CNA</t>
  </si>
  <si>
    <t>Entrega Plan Mejora Ajustado
(6 meses)</t>
  </si>
  <si>
    <t>Informe a mitad de Acreditación</t>
  </si>
  <si>
    <t>Plan de mejora</t>
  </si>
  <si>
    <t>Acta 13</t>
  </si>
  <si>
    <t>PDM vía correo electrónico 11 agosto 2023</t>
  </si>
  <si>
    <t>Plan de Mejoramiento Medicina 2022</t>
  </si>
  <si>
    <t>Plan de mejoramiento Lic Ed. Rec y Dep</t>
  </si>
  <si>
    <t>8.9-1.40/170</t>
  </si>
  <si>
    <t xml:space="preserve">Plan de Mejoramiento Lic Ed Artística </t>
  </si>
  <si>
    <t>8.6.1.140/155</t>
  </si>
  <si>
    <t>8.6.1.140/156</t>
  </si>
  <si>
    <t>8.6.1.140/109</t>
  </si>
  <si>
    <t>8.6.1.140/154</t>
  </si>
  <si>
    <t>8.7.3.40/104</t>
  </si>
  <si>
    <t>8.2.20-2.1/001</t>
  </si>
  <si>
    <t>Meta 25%</t>
  </si>
  <si>
    <t>Meta 40%</t>
  </si>
  <si>
    <t>Meta 60%</t>
  </si>
  <si>
    <r>
      <rPr>
        <b/>
        <sz val="10"/>
        <color theme="1"/>
        <rFont val="Arial Narrow"/>
      </rPr>
      <t xml:space="preserve">Sistema Interno de Gestión para la Acreditación </t>
    </r>
    <r>
      <rPr>
        <b/>
        <sz val="10"/>
        <color rgb="FFC00000"/>
        <rFont val="Arial Narrow"/>
      </rPr>
      <t>SiGA</t>
    </r>
  </si>
  <si>
    <t>Programas Académicos Acreditables con proyección de meta</t>
  </si>
  <si>
    <t>Programa Académico</t>
  </si>
  <si>
    <t xml:space="preserve">Licenciatura en Música </t>
  </si>
  <si>
    <t xml:space="preserve">Diseño Gráfico </t>
  </si>
  <si>
    <t xml:space="preserve">Dirección de Banda </t>
  </si>
  <si>
    <t>sí</t>
  </si>
  <si>
    <t>*</t>
  </si>
  <si>
    <t xml:space="preserve">Ingeniería Forestal </t>
  </si>
  <si>
    <t xml:space="preserve">Administración de Empresas </t>
  </si>
  <si>
    <t xml:space="preserve">Economía </t>
  </si>
  <si>
    <t>Maestría en Estudios Interdisciplinarios del Desarrollo Popayán</t>
  </si>
  <si>
    <t xml:space="preserve">Especialización en Anatomía Patológica </t>
  </si>
  <si>
    <t xml:space="preserve">Geografía del Desarrollo Regional y Ambiental </t>
  </si>
  <si>
    <t xml:space="preserve">Filosofía </t>
  </si>
  <si>
    <t>Licenciatura en Lenguas Modernas con Énfasis en Inglés y Francés (Santander de Quilichao)</t>
  </si>
  <si>
    <t xml:space="preserve">Ingeniería Física </t>
  </si>
  <si>
    <t>Lienciatura en Ciencias Naturales y Educación Ambiental</t>
  </si>
  <si>
    <t xml:space="preserve">Comunicación Social </t>
  </si>
  <si>
    <t>Derecho</t>
  </si>
  <si>
    <t>Derecho (Santander de Quilichao)</t>
  </si>
  <si>
    <r>
      <rPr>
        <b/>
        <sz val="10"/>
        <color theme="1"/>
        <rFont val="Arial Narrow"/>
      </rPr>
      <t>Sistema Interno de Gestión para la Acreditación</t>
    </r>
    <r>
      <rPr>
        <b/>
        <sz val="10"/>
        <color rgb="FFC00000"/>
        <rFont val="Arial Narrow"/>
      </rPr>
      <t xml:space="preserve"> SiGA</t>
    </r>
  </si>
  <si>
    <t>Reporte Programas Elegibles</t>
  </si>
  <si>
    <t>Total programas elegibles</t>
  </si>
  <si>
    <t>Nivel Académico</t>
  </si>
  <si>
    <t>Estado</t>
  </si>
  <si>
    <t>En proceso de AAC</t>
  </si>
  <si>
    <t>Renovaciones</t>
  </si>
  <si>
    <t>Nuevos</t>
  </si>
  <si>
    <t>En proceso renovación</t>
  </si>
  <si>
    <t>Acreditado a 2026</t>
  </si>
  <si>
    <t xml:space="preserve">Maestría en Biología </t>
  </si>
  <si>
    <t xml:space="preserve">Maestría en Ingeniería de Pavimentos </t>
  </si>
  <si>
    <r>
      <rPr>
        <b/>
        <sz val="10"/>
        <color theme="1"/>
        <rFont val="Arial Narrow"/>
      </rPr>
      <t xml:space="preserve">Sistema Integrado de Gestión para la Acreditación </t>
    </r>
    <r>
      <rPr>
        <b/>
        <sz val="10"/>
        <color rgb="FFC00000"/>
        <rFont val="Arial Narrow"/>
      </rPr>
      <t>SiGA</t>
    </r>
  </si>
  <si>
    <t>Matriz de Ruta Acreditación Alta Calidad</t>
  </si>
  <si>
    <t>Resolución
A.A.C.</t>
  </si>
  <si>
    <r>
      <rPr>
        <b/>
        <sz val="16"/>
        <color theme="0"/>
        <rFont val="Arial Narrow"/>
      </rPr>
      <t xml:space="preserve">SiGA </t>
    </r>
    <r>
      <rPr>
        <b/>
        <sz val="16"/>
        <color rgb="FFC00000"/>
        <rFont val="Arial Narrow"/>
      </rPr>
      <t>AAC</t>
    </r>
    <r>
      <rPr>
        <b/>
        <sz val="10"/>
        <color theme="0"/>
        <rFont val="Arial Narrow"/>
      </rPr>
      <t xml:space="preserve">
(14 meses antes)</t>
    </r>
  </si>
  <si>
    <r>
      <rPr>
        <b/>
        <sz val="10"/>
        <color theme="0"/>
        <rFont val="Arial Narrow"/>
      </rPr>
      <t>Plazo Radicación AAC
ante MinEducación</t>
    </r>
    <r>
      <rPr>
        <b/>
        <sz val="10"/>
        <color rgb="FFFFFFE7"/>
        <rFont val="Arial Narrow"/>
      </rPr>
      <t xml:space="preserve">
</t>
    </r>
    <r>
      <rPr>
        <b/>
        <sz val="10"/>
        <color rgb="FFFFFF00"/>
        <rFont val="Arial Narrow"/>
      </rPr>
      <t>(1 año antes)</t>
    </r>
  </si>
  <si>
    <t>1. CI</t>
  </si>
  <si>
    <t>2. Ins-CNA</t>
  </si>
  <si>
    <t>3. Crono</t>
  </si>
  <si>
    <t>4. PEP</t>
  </si>
  <si>
    <t>5. ModAE</t>
  </si>
  <si>
    <t>6. Pond</t>
  </si>
  <si>
    <t>7. AppIns</t>
  </si>
  <si>
    <t>8. Calif</t>
  </si>
  <si>
    <t>9. Análisis</t>
  </si>
  <si>
    <t>10. Social</t>
  </si>
  <si>
    <t>11. Informe</t>
  </si>
  <si>
    <t>12. PM</t>
  </si>
  <si>
    <t>13. SiGA</t>
  </si>
  <si>
    <t>14. CNA</t>
  </si>
  <si>
    <t>15. Visita</t>
  </si>
  <si>
    <t>16. InfPares</t>
  </si>
  <si>
    <t>17. EspRes</t>
  </si>
  <si>
    <t>18. MEN</t>
  </si>
  <si>
    <t>19. RecRep</t>
  </si>
  <si>
    <t>Etapa</t>
  </si>
  <si>
    <t>x</t>
  </si>
  <si>
    <t>Tecnología Agroindustrial</t>
  </si>
  <si>
    <t>Maestría en Ciencias Agroindustriales</t>
  </si>
  <si>
    <t>Especialización en Agroindustria</t>
  </si>
  <si>
    <t xml:space="preserve">Maestría en Gestión de Organizaciones y Proyectos </t>
  </si>
  <si>
    <t xml:space="preserve">Maestría en Contabilidad y Finanzas </t>
  </si>
  <si>
    <t>Maestría en Cooperación Internacional</t>
  </si>
  <si>
    <t>Especialización en Sistemas Integrados de la Calidad</t>
  </si>
  <si>
    <t>Tecnología en Gestión del Territorio y Organizaciones</t>
  </si>
  <si>
    <t>Gestión Territorial y Economía Social y Solidaris</t>
  </si>
  <si>
    <t xml:space="preserve">Especialización en Medicina Familiar </t>
  </si>
  <si>
    <t xml:space="preserve">Especialización en Neurorehabilitación </t>
  </si>
  <si>
    <t>Licenciatura en Lenguas Modernas, Inglés y Francés</t>
  </si>
  <si>
    <t>Licenciatura en Lingüística y Semiótica</t>
  </si>
  <si>
    <t>Maestría en Estudios Interculturales</t>
  </si>
  <si>
    <t>Maestría en Revitalización y Enseñanza de Lenguas Indígenas</t>
  </si>
  <si>
    <t>Maestría en Estudios de Riesgos de Desastres y Ordenamiento Territorial</t>
  </si>
  <si>
    <t>Especialización en Estudios de Riesgos de Desastres</t>
  </si>
  <si>
    <t>Lic. en Educación Física, Recreación y Deportes</t>
  </si>
  <si>
    <t xml:space="preserve">Especialización en Entrenamiento Deportivo </t>
  </si>
  <si>
    <t xml:space="preserve">Especialización en Actividad Física para la Salud </t>
  </si>
  <si>
    <t>Maestría en Educación</t>
  </si>
  <si>
    <t>Maestría en Educación (MP)</t>
  </si>
  <si>
    <t>Tecnología en Gestión Ambiental</t>
  </si>
  <si>
    <t>Especialización en Derecho Administrativo</t>
  </si>
  <si>
    <t>Maestría en Derecho Administrativo</t>
  </si>
  <si>
    <t>Especialización en Derecho Procesal Penal</t>
  </si>
  <si>
    <t xml:space="preserve">Especialización en Derecho Contractual Privado </t>
  </si>
  <si>
    <t>Maestría en Filosofía del Derecho</t>
  </si>
  <si>
    <t xml:space="preserve">Maestría en Derechos Humanos y Políticas Públicas para la Convivencia </t>
  </si>
  <si>
    <t xml:space="preserve">Especialización en Periodismo </t>
  </si>
  <si>
    <t>Maestría en Gobierno y Políticas Públicas</t>
  </si>
  <si>
    <t>Maestría en Comunicación y Procesos Organizativos</t>
  </si>
  <si>
    <t xml:space="preserve">Maestría en Gestión y Desarrollo Social </t>
  </si>
  <si>
    <t>Especialización en Ingeniería de la Construcción</t>
  </si>
  <si>
    <t xml:space="preserve">Maestría en Ingeniería de Tránsito </t>
  </si>
  <si>
    <t>Especialización en Telemática</t>
  </si>
  <si>
    <t>En Proceso</t>
  </si>
  <si>
    <r>
      <rPr>
        <b/>
        <sz val="10"/>
        <color theme="1"/>
        <rFont val="Arial Narrow"/>
      </rPr>
      <t xml:space="preserve">Sistema Integrado de Gestión para la Acreditación </t>
    </r>
    <r>
      <rPr>
        <b/>
        <sz val="10"/>
        <color rgb="FFC00000"/>
        <rFont val="Arial Narrow"/>
      </rPr>
      <t>SiGA</t>
    </r>
  </si>
  <si>
    <t>Programas</t>
  </si>
  <si>
    <t>9</t>
  </si>
  <si>
    <t>Síntesis Matriz de Ruta AAC</t>
  </si>
  <si>
    <t>AAC Vigente</t>
  </si>
  <si>
    <t xml:space="preserve">Facultad de Ciencias Agrarias </t>
  </si>
  <si>
    <t xml:space="preserve">Facultad de Ciencias de la Salud </t>
  </si>
  <si>
    <t>Número Programas Académicos en proceso de AAC</t>
  </si>
  <si>
    <t>Total Programas En Proceso</t>
  </si>
  <si>
    <t>NUEVOS</t>
  </si>
  <si>
    <r>
      <rPr>
        <b/>
        <sz val="10"/>
        <color theme="1"/>
        <rFont val="Arial Narrow"/>
      </rPr>
      <t>Sistema Interno de Gestión para la Acreditación</t>
    </r>
    <r>
      <rPr>
        <b/>
        <sz val="10"/>
        <color rgb="FFC00000"/>
        <rFont val="Arial Narrow"/>
      </rPr>
      <t xml:space="preserve"> SiGA</t>
    </r>
  </si>
  <si>
    <t>RENOVACIONES</t>
  </si>
  <si>
    <t>Reporte Programas Académicos en proceso de acreditación</t>
  </si>
  <si>
    <t xml:space="preserve">PROGRAMAS EN PROCESO DE ACREDITACIÓN </t>
  </si>
  <si>
    <t>TIPO</t>
  </si>
  <si>
    <t>Nivel Academico</t>
  </si>
  <si>
    <t>Fecha de actualización</t>
  </si>
  <si>
    <t xml:space="preserve"> ESTADO</t>
  </si>
  <si>
    <t>Derecho Popayán</t>
  </si>
  <si>
    <t>Primera Vez</t>
  </si>
  <si>
    <t>9. Informe</t>
  </si>
  <si>
    <t>5. Aplicación de instrumentos</t>
  </si>
  <si>
    <t>FILOSOF</t>
  </si>
  <si>
    <t>Derecho Santander de Quilichao</t>
  </si>
  <si>
    <t>3. Modelo de Autoevaluación</t>
  </si>
  <si>
    <t>12. Radicación CNA</t>
  </si>
  <si>
    <t>MEPP</t>
  </si>
  <si>
    <t>MEPSQ</t>
  </si>
  <si>
    <t>4. Ponderación</t>
  </si>
  <si>
    <t>CS</t>
  </si>
  <si>
    <t>LLMSQ</t>
  </si>
  <si>
    <t>GDRA</t>
  </si>
  <si>
    <t>CP</t>
  </si>
  <si>
    <t xml:space="preserve">18. Acreditación </t>
  </si>
  <si>
    <t>NA</t>
  </si>
  <si>
    <t>DCAA</t>
  </si>
  <si>
    <t>TURIS</t>
  </si>
  <si>
    <t>IAMB</t>
  </si>
  <si>
    <t>GEOT</t>
  </si>
  <si>
    <t>MIVT</t>
  </si>
  <si>
    <t>MIP</t>
  </si>
  <si>
    <t>1. Elaboración de cronograma</t>
  </si>
  <si>
    <t>EMF</t>
  </si>
  <si>
    <t>EGO</t>
  </si>
  <si>
    <t>ECG</t>
  </si>
  <si>
    <t>EMI</t>
  </si>
  <si>
    <t>PROGRAMAS ACREDITADOS CUBIERTOS A 2026</t>
  </si>
  <si>
    <r>
      <rPr>
        <b/>
        <sz val="12"/>
        <color theme="0"/>
        <rFont val="Arial Narrow"/>
      </rPr>
      <t>SiGA RRC</t>
    </r>
    <r>
      <rPr>
        <b/>
        <sz val="10"/>
        <color theme="0"/>
        <rFont val="Arial Narrow"/>
      </rPr>
      <t xml:space="preserve">
(14 meses antes)</t>
    </r>
  </si>
  <si>
    <t>Sistema Interno de Gestión para la Acreditación</t>
  </si>
  <si>
    <t>REGISTRO DE PROCESOS DE AUTOEVALUACIÓN DE PROGRAMA</t>
  </si>
  <si>
    <t xml:space="preserve">  Id   </t>
  </si>
  <si>
    <t>Autoevaluación
AÑO 2019</t>
  </si>
  <si>
    <t>Proceso</t>
  </si>
  <si>
    <t>Modelo</t>
  </si>
  <si>
    <t>Fecha
Radicado</t>
  </si>
  <si>
    <t>Formato</t>
  </si>
  <si>
    <t>Archivo</t>
  </si>
  <si>
    <t>Anexos</t>
  </si>
  <si>
    <r>
      <rPr>
        <b/>
        <sz val="16"/>
        <color theme="0"/>
        <rFont val="Arial Narrow"/>
      </rPr>
      <t>S</t>
    </r>
    <r>
      <rPr>
        <b/>
        <sz val="16"/>
        <color rgb="FFC00000"/>
        <rFont val="Arial Narrow"/>
      </rPr>
      <t>i</t>
    </r>
    <r>
      <rPr>
        <b/>
        <sz val="16"/>
        <color theme="0"/>
        <rFont val="Arial Narrow"/>
      </rPr>
      <t>GA</t>
    </r>
  </si>
  <si>
    <t>Autoevaluación
AÑO 2018</t>
  </si>
  <si>
    <r>
      <rPr>
        <b/>
        <sz val="16"/>
        <color theme="0"/>
        <rFont val="Arial Narrow"/>
      </rPr>
      <t>S</t>
    </r>
    <r>
      <rPr>
        <b/>
        <sz val="16"/>
        <color rgb="FFC00000"/>
        <rFont val="Arial Narrow"/>
      </rPr>
      <t>i</t>
    </r>
    <r>
      <rPr>
        <b/>
        <sz val="16"/>
        <color theme="0"/>
        <rFont val="Arial Narrow"/>
      </rPr>
      <t>GA</t>
    </r>
  </si>
  <si>
    <t>Autoevaluación
AÑO 2017</t>
  </si>
  <si>
    <r>
      <rPr>
        <b/>
        <sz val="16"/>
        <color theme="0"/>
        <rFont val="Arial Narrow"/>
      </rPr>
      <t>S</t>
    </r>
    <r>
      <rPr>
        <b/>
        <sz val="16"/>
        <color rgb="FFC00000"/>
        <rFont val="Arial Narrow"/>
      </rPr>
      <t>i</t>
    </r>
    <r>
      <rPr>
        <b/>
        <sz val="16"/>
        <color theme="0"/>
        <rFont val="Arial Narrow"/>
      </rPr>
      <t>GA</t>
    </r>
  </si>
  <si>
    <t>Autoevaluación
AÑO 2016</t>
  </si>
  <si>
    <r>
      <rPr>
        <b/>
        <sz val="16"/>
        <color theme="0"/>
        <rFont val="Arial Narrow"/>
      </rPr>
      <t>S</t>
    </r>
    <r>
      <rPr>
        <b/>
        <sz val="16"/>
        <color rgb="FFC00000"/>
        <rFont val="Arial Narrow"/>
      </rPr>
      <t>i</t>
    </r>
    <r>
      <rPr>
        <b/>
        <sz val="16"/>
        <color theme="0"/>
        <rFont val="Arial Narrow"/>
      </rPr>
      <t>GA</t>
    </r>
  </si>
  <si>
    <t>Autoevaluación
AÑO 2015</t>
  </si>
  <si>
    <r>
      <rPr>
        <b/>
        <sz val="16"/>
        <color theme="0"/>
        <rFont val="Arial Narrow"/>
      </rPr>
      <t>S</t>
    </r>
    <r>
      <rPr>
        <b/>
        <sz val="16"/>
        <color rgb="FFC00000"/>
        <rFont val="Arial Narrow"/>
      </rPr>
      <t>i</t>
    </r>
    <r>
      <rPr>
        <b/>
        <sz val="16"/>
        <color theme="0"/>
        <rFont val="Arial Narrow"/>
      </rPr>
      <t>GA</t>
    </r>
  </si>
  <si>
    <t>Autoevaluación
AÑO 2014</t>
  </si>
  <si>
    <r>
      <rPr>
        <b/>
        <sz val="16"/>
        <color theme="0"/>
        <rFont val="Arial Narrow"/>
      </rPr>
      <t>S</t>
    </r>
    <r>
      <rPr>
        <b/>
        <sz val="16"/>
        <color rgb="FFC00000"/>
        <rFont val="Arial Narrow"/>
      </rPr>
      <t>i</t>
    </r>
    <r>
      <rPr>
        <b/>
        <sz val="16"/>
        <color theme="0"/>
        <rFont val="Arial Narrow"/>
      </rPr>
      <t>GA</t>
    </r>
  </si>
  <si>
    <t>Autoevaluación
AÑO 2013</t>
  </si>
  <si>
    <r>
      <rPr>
        <b/>
        <sz val="16"/>
        <color theme="0"/>
        <rFont val="Arial Narrow"/>
      </rPr>
      <t>S</t>
    </r>
    <r>
      <rPr>
        <b/>
        <sz val="16"/>
        <color rgb="FFC00000"/>
        <rFont val="Arial Narrow"/>
      </rPr>
      <t>i</t>
    </r>
    <r>
      <rPr>
        <b/>
        <sz val="16"/>
        <color theme="0"/>
        <rFont val="Arial Narrow"/>
      </rPr>
      <t>GA</t>
    </r>
  </si>
  <si>
    <t>Autoevaluación
AÑO 2012</t>
  </si>
  <si>
    <r>
      <rPr>
        <b/>
        <sz val="16"/>
        <color theme="0"/>
        <rFont val="Arial Narrow"/>
      </rPr>
      <t>S</t>
    </r>
    <r>
      <rPr>
        <b/>
        <sz val="16"/>
        <color rgb="FFC00000"/>
        <rFont val="Arial Narrow"/>
      </rPr>
      <t>i</t>
    </r>
    <r>
      <rPr>
        <b/>
        <sz val="16"/>
        <color theme="0"/>
        <rFont val="Arial Narrow"/>
      </rPr>
      <t>GA</t>
    </r>
  </si>
  <si>
    <t>Autoevaluación
AÑO 2011</t>
  </si>
  <si>
    <r>
      <rPr>
        <b/>
        <sz val="16"/>
        <color theme="0"/>
        <rFont val="Arial Narrow"/>
      </rPr>
      <t>S</t>
    </r>
    <r>
      <rPr>
        <b/>
        <sz val="16"/>
        <color rgb="FFC00000"/>
        <rFont val="Arial Narrow"/>
      </rPr>
      <t>i</t>
    </r>
    <r>
      <rPr>
        <b/>
        <sz val="16"/>
        <color theme="0"/>
        <rFont val="Arial Narrow"/>
      </rPr>
      <t>GA</t>
    </r>
  </si>
  <si>
    <t>AAC</t>
  </si>
  <si>
    <t>CNA</t>
  </si>
  <si>
    <t>Digital</t>
  </si>
  <si>
    <t>CGC-AI</t>
  </si>
  <si>
    <t>Licenciatura en Música Santander de Quilichao</t>
  </si>
  <si>
    <t>Licenciatura en Música Popayán</t>
  </si>
  <si>
    <t>RC</t>
  </si>
  <si>
    <t>Digital-Impreso</t>
  </si>
  <si>
    <t>OTRO</t>
  </si>
  <si>
    <t>CGCAI</t>
  </si>
  <si>
    <t>Ingeniería Agroindustrial Santander de Quilichao</t>
  </si>
  <si>
    <t>Ingeniería Agroindustrial Popayán</t>
  </si>
  <si>
    <t>RC-AAC</t>
  </si>
  <si>
    <t>Contaduría Pública Santander de Quilichao</t>
  </si>
  <si>
    <t>Contaduría Pública Popayán</t>
  </si>
  <si>
    <t>Especialización en Contabilidad Pública</t>
  </si>
  <si>
    <t>Especialización en Gerencia de Proyectos Pasto</t>
  </si>
  <si>
    <t>Especialización en Gerencia de Proyectos Popayán</t>
  </si>
  <si>
    <t>Especialización en Revisoría Fiscal y Auditoría Internacional Popayán</t>
  </si>
  <si>
    <t>Especialización en Revisoría Fiscal y Auditoría Internacional Santander de Quilichao</t>
  </si>
  <si>
    <t>Especialización en Sistemas Integrados de la Calidad Santander de Quilichao</t>
  </si>
  <si>
    <t>Especialización en Sistemas Integrados de la Calidad Popayán</t>
  </si>
  <si>
    <t>Maestría en Estudios Interdisciplinarios del Desarrollo Pasto</t>
  </si>
  <si>
    <t>Especialización en Administración Hospitalaria</t>
  </si>
  <si>
    <t>Especialización en Auditoría Garantía de la Calidad</t>
  </si>
  <si>
    <t>Otro</t>
  </si>
  <si>
    <t>Central</t>
  </si>
  <si>
    <t xml:space="preserve">Licenciatura en Literatura y Lengua Casteñana  </t>
  </si>
  <si>
    <t>Licenciatura en Lenguas Modernas, Inglés y Francés Santander de Quilichao</t>
  </si>
  <si>
    <t>Licenciatura en Lingüística y Semiótica Popayan</t>
  </si>
  <si>
    <t>Licenciatura en Lingüística y Semiótica Santander de Quilichao</t>
  </si>
  <si>
    <t>Maestría en Antropología Popayan</t>
  </si>
  <si>
    <t>Maestría en Antropología Santander de Quilichao</t>
  </si>
  <si>
    <t>Parcialmente el CNA</t>
  </si>
  <si>
    <t>Otro modelo</t>
  </si>
  <si>
    <t>Licenciatura en Educación Infantil Popayán</t>
  </si>
  <si>
    <t>Licenciatura en Educación Infantil Santander de Quilichao</t>
  </si>
  <si>
    <t>Maestría en Educación Guadalajara de Buga</t>
  </si>
  <si>
    <t>Maestría en Educación Florencia</t>
  </si>
  <si>
    <t>Maestría en Educación Guapi</t>
  </si>
  <si>
    <t>Maestría en Educación Santander de Quilichao</t>
  </si>
  <si>
    <t>Maestría en Educación Pasto</t>
  </si>
  <si>
    <t>Maestría en Educación Tumaco</t>
  </si>
  <si>
    <t>Maestría en Educación Valle del Guamuez (La Hormiga)</t>
  </si>
  <si>
    <t>Maestría en Educación Mocoa</t>
  </si>
  <si>
    <t>Maestría en Educación Buenaventura</t>
  </si>
  <si>
    <t>Maestría en Educación (MI) Popayán</t>
  </si>
  <si>
    <t>Maestría en Educación (MP) Popayán</t>
  </si>
  <si>
    <t>Maestría en Educación Popular Popayán</t>
  </si>
  <si>
    <t>Maestría en Educación Popular Santander de Quilichao</t>
  </si>
  <si>
    <t>Maestría en Derecho Administrativo Popayán</t>
  </si>
  <si>
    <t>Maestría en Derecho Administrativo Nariño</t>
  </si>
  <si>
    <t>Impreso</t>
  </si>
  <si>
    <t>Ingeniería Civil Santander de Quilichao</t>
  </si>
  <si>
    <t>Ingeniería Civil Popayán</t>
  </si>
  <si>
    <t>Especialización en Redes y Servicios Telemáticos Cali</t>
  </si>
  <si>
    <t>Especialización en Redes y Servicios Telemáticos Popayán</t>
  </si>
  <si>
    <t>Ingeniería de Sistemas Popayán</t>
  </si>
  <si>
    <t>Ingeniería de Sistemas Santander de Quilichao</t>
  </si>
  <si>
    <r>
      <rPr>
        <b/>
        <sz val="10"/>
        <color theme="1"/>
        <rFont val="Arial Narrow"/>
      </rPr>
      <t xml:space="preserve">Sistema Interno de Gestión para la Acreditación </t>
    </r>
    <r>
      <rPr>
        <b/>
        <sz val="10"/>
        <color rgb="FFC00000"/>
        <rFont val="Arial Narrow"/>
      </rPr>
      <t>SiGA</t>
    </r>
  </si>
  <si>
    <t>Regionalización</t>
  </si>
  <si>
    <t>Centros de Tutorías
Regionalización</t>
  </si>
  <si>
    <t>Jornada
Regionalización</t>
  </si>
  <si>
    <t>Patía (El Bordo) - Santander de Quilichao</t>
  </si>
  <si>
    <t>Santander de Quilichao, Tambo, Miranda, Piendamó, Bordo, Silvia, Bolívar</t>
  </si>
  <si>
    <t>A Distancia</t>
  </si>
  <si>
    <t>Por extensión</t>
  </si>
  <si>
    <t>Miranda</t>
  </si>
  <si>
    <t>Gestión Territorial y Economía Social y Solidaria</t>
  </si>
  <si>
    <t>Licenciatura en Lenguas Modernas, Inglés - Francés</t>
  </si>
  <si>
    <t>Guapi - Silvia - Pitayó (Cauca)</t>
  </si>
  <si>
    <t>Buenaventura - Valle</t>
  </si>
  <si>
    <t>Buga - Valle</t>
  </si>
  <si>
    <t>Florencia - Caquetá</t>
  </si>
  <si>
    <t>Guapi - Cauca</t>
  </si>
  <si>
    <t>Mocoa - Putumayo</t>
  </si>
  <si>
    <t>Tumaco - Nariño</t>
  </si>
  <si>
    <t>Valle del Guamuez - La Hormiga - Putumayo</t>
  </si>
  <si>
    <t>Crecimiento del número de programas de pregrado y posgrado</t>
  </si>
  <si>
    <t>PROGRAMAS NUEVOS</t>
  </si>
  <si>
    <t>NÚMERO PROGRAMAS</t>
  </si>
  <si>
    <t>Listado de programas de pregrado y posgrado nuevos por año</t>
  </si>
  <si>
    <t>Popayán
Santander de Quilichao</t>
  </si>
  <si>
    <r>
      <rPr>
        <b/>
        <sz val="10"/>
        <color theme="1"/>
        <rFont val="Arial Narrow"/>
      </rPr>
      <t xml:space="preserve">Sistema Interno de Gestión para la Acreditación </t>
    </r>
    <r>
      <rPr>
        <b/>
        <sz val="10"/>
        <color rgb="FFC00000"/>
        <rFont val="Arial Narrow"/>
      </rPr>
      <t>SiGA</t>
    </r>
  </si>
  <si>
    <t>Procesos Registro Calificado</t>
  </si>
  <si>
    <t>En Espera de Revisión de Mineducación</t>
  </si>
  <si>
    <t>Observación</t>
  </si>
  <si>
    <t>Responsable</t>
  </si>
  <si>
    <t>Maestría En Diseño E Innovación Social</t>
  </si>
  <si>
    <t>Está en Comité Curricular Central</t>
  </si>
  <si>
    <t>Laura Sandoval</t>
  </si>
  <si>
    <t>Maestría En Curaduría e Historia del Arte</t>
  </si>
  <si>
    <t>José Heiner Calero,  Carlos Quintero</t>
  </si>
  <si>
    <t>Facultad Ciencias Contables, Económicas y Administrativas</t>
  </si>
  <si>
    <t>Maestría en Cooperación Internacional-Popayán</t>
  </si>
  <si>
    <t>Proceso de radicación en SACES</t>
  </si>
  <si>
    <t>Héctor Alejandro Sánchez</t>
  </si>
  <si>
    <t>Posdoctorado en Ciencias Humanas y Sociales</t>
  </si>
  <si>
    <t>Augusto Velasquez Forero</t>
  </si>
  <si>
    <t>Maestría en Planeación y Gestión del  Desarrollo Territorios en Paz</t>
  </si>
  <si>
    <t>Se devolvió a Vice Académica, No tiene aval de ninguna Facultad</t>
  </si>
  <si>
    <t>Aura Teresa Palacios</t>
  </si>
  <si>
    <t>Facultad Ciencias de la Salud</t>
  </si>
  <si>
    <t>Enfermería - Santander De Quilichao</t>
  </si>
  <si>
    <t>Pendiente respuesta Mineducación</t>
  </si>
  <si>
    <t>Centro de Regionalización</t>
  </si>
  <si>
    <t>Maestría en Ciencias Biomédicas</t>
  </si>
  <si>
    <t>Reinel Vásquez</t>
  </si>
  <si>
    <t>Facultad Ciencias Naturales, Exactas y de la Educación</t>
  </si>
  <si>
    <t xml:space="preserve">Doctorado en Educación </t>
  </si>
  <si>
    <t>Deibar René Huratdo</t>
  </si>
  <si>
    <t>Facultad Derecho, Ciencias Políticas y Sociales</t>
  </si>
  <si>
    <t>Maestría En Derecho Diferenciados En Legislación Para Comunidades Etnicas</t>
  </si>
  <si>
    <t>Aristides Obando Cabezas</t>
  </si>
  <si>
    <t>Doctorado En Derecho</t>
  </si>
  <si>
    <t>Llegó a Consejo Superior. Hicieron observaciones, pero no continuó con el trámite</t>
  </si>
  <si>
    <t>Maestría En Derecho Económico</t>
  </si>
  <si>
    <t>Entregó la primera versión. Acta 093 del 23 de mayo de 2016. A la fecha no han conitnuado con el trámite</t>
  </si>
  <si>
    <t>Alvaro Luis Palta, Julio César Piamba</t>
  </si>
  <si>
    <t>Especialización En Derecho Tributario</t>
  </si>
  <si>
    <t>No entregaron propuesta</t>
  </si>
  <si>
    <t>Listas desplegables</t>
  </si>
  <si>
    <t>Salas</t>
  </si>
  <si>
    <t>Sala de Admon de Empresas y Derecho</t>
  </si>
  <si>
    <t>Sala de Artes y Humanidades</t>
  </si>
  <si>
    <t>Sala de Ciencias Sociales, Periodismo e Información</t>
  </si>
  <si>
    <t>Sala de Ciencias Naturales, Matemáticas y Estadística</t>
  </si>
  <si>
    <t>Sala de Tecnologías de la Información y la Comunicación</t>
  </si>
  <si>
    <t>Sala de Ingeniería, Industria y Construcción</t>
  </si>
  <si>
    <t>Sala de Agricultura, Silvicultura, Pesca y Veterinaria</t>
  </si>
  <si>
    <t>Sala de Salud y Bienestar</t>
  </si>
  <si>
    <t>Sala de Trámites Institucionales</t>
  </si>
  <si>
    <t>Si/No</t>
  </si>
  <si>
    <t>Autoevaluacion</t>
  </si>
  <si>
    <t>1ra renovación</t>
  </si>
  <si>
    <t>2. PEP</t>
  </si>
  <si>
    <t>2da renovación</t>
  </si>
  <si>
    <t>3ra renovación</t>
  </si>
  <si>
    <t>4ta renovación</t>
  </si>
  <si>
    <t>6. Calificación</t>
  </si>
  <si>
    <t>7. Análisis</t>
  </si>
  <si>
    <t>8. Socialización del proceso</t>
  </si>
  <si>
    <t>10. Plan de Mejoramiento</t>
  </si>
  <si>
    <t>11.Entrega de documento</t>
  </si>
  <si>
    <t>13. Visita de Pres</t>
  </si>
  <si>
    <t>14. Informe de Pares</t>
  </si>
  <si>
    <t>15. Espera de Resolución</t>
  </si>
  <si>
    <t>16. En el MEN</t>
  </si>
  <si>
    <t>17. Recepción de respuesta</t>
  </si>
  <si>
    <t>Sin información de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</si>
</sst>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m/yyyy"/>
    <numFmt numFmtId="165" formatCode="[$-C0A]d\-mmm\-yy"/>
    <numFmt numFmtId="166" formatCode="0;[Red]0"/>
    <numFmt numFmtId="167" formatCode="[$-F400]h:mm:ss\ AM/PM"/>
    <numFmt numFmtId="168" formatCode="0.0"/>
  </numFmts>
  <fonts count="133" x14ac:knownFonts="1">
    <font>
      <sz val="10"/>
      <color rgb="FF000000"/>
      <name val="Arial"/>
      <scheme val="minor"/>
    </font>
    <font>
      <b/>
      <sz val="10"/>
      <color theme="1"/>
      <name val="Arial Narrow"/>
    </font>
    <font>
      <sz val="10"/>
      <name val="Arial"/>
    </font>
    <font>
      <sz val="10"/>
      <color theme="1"/>
      <name val="Arial"/>
    </font>
    <font>
      <b/>
      <u/>
      <sz val="10"/>
      <color rgb="FFC00000"/>
      <name val="Arial Narrow"/>
    </font>
    <font>
      <sz val="10"/>
      <color theme="0"/>
      <name val="Arial Black"/>
    </font>
    <font>
      <b/>
      <sz val="9"/>
      <color theme="0"/>
      <name val="Arial"/>
    </font>
    <font>
      <sz val="8"/>
      <color theme="1"/>
      <name val="Arial"/>
    </font>
    <font>
      <b/>
      <sz val="8"/>
      <color rgb="FF002060"/>
      <name val="Arial"/>
    </font>
    <font>
      <sz val="10"/>
      <color theme="1"/>
      <name val="Arial Narrow"/>
    </font>
    <font>
      <sz val="10"/>
      <color rgb="FF000000"/>
      <name val="Arial"/>
    </font>
    <font>
      <b/>
      <sz val="10"/>
      <color theme="1"/>
      <name val="Arial"/>
    </font>
    <font>
      <b/>
      <u/>
      <sz val="10"/>
      <color rgb="FFC00000"/>
      <name val="Arial Narrow"/>
    </font>
    <font>
      <b/>
      <sz val="10"/>
      <color theme="0"/>
      <name val="Arial Narrow"/>
    </font>
    <font>
      <b/>
      <sz val="10"/>
      <color rgb="FFDAEEF3"/>
      <name val="Arial Narrow"/>
    </font>
    <font>
      <b/>
      <sz val="10"/>
      <color rgb="FFFFFFE7"/>
      <name val="Arial Narrow"/>
    </font>
    <font>
      <b/>
      <sz val="10"/>
      <color rgb="FFFFFFFF"/>
      <name val="Arial Narrow"/>
    </font>
    <font>
      <u/>
      <sz val="9"/>
      <color theme="10"/>
      <name val="Arial"/>
    </font>
    <font>
      <b/>
      <sz val="10"/>
      <color rgb="FFC00000"/>
      <name val="Arial Narrow"/>
    </font>
    <font>
      <sz val="9"/>
      <color theme="1"/>
      <name val="Arial Narrow"/>
    </font>
    <font>
      <u/>
      <sz val="10"/>
      <color theme="10"/>
      <name val="Arial Narrow"/>
    </font>
    <font>
      <b/>
      <sz val="9"/>
      <color rgb="FFFFFFFF"/>
      <name val="Arial Narrow"/>
    </font>
    <font>
      <u/>
      <sz val="10"/>
      <color theme="10"/>
      <name val="Arial"/>
    </font>
    <font>
      <u/>
      <sz val="10"/>
      <color theme="10"/>
      <name val="Arial"/>
    </font>
    <font>
      <u/>
      <sz val="10"/>
      <color theme="10"/>
      <name val="Arial"/>
    </font>
    <font>
      <sz val="10"/>
      <color theme="10"/>
      <name val="Arial Narrow"/>
    </font>
    <font>
      <sz val="9"/>
      <color theme="10"/>
      <name val="Arial"/>
    </font>
    <font>
      <u/>
      <sz val="10"/>
      <color theme="10"/>
      <name val="Arial"/>
    </font>
    <font>
      <u/>
      <sz val="10"/>
      <color theme="10"/>
      <name val="Arial"/>
    </font>
    <font>
      <sz val="12"/>
      <color theme="1"/>
      <name val="Arial Narrow"/>
    </font>
    <font>
      <sz val="10"/>
      <color rgb="FFFF0000"/>
      <name val="Arial Narrow"/>
    </font>
    <font>
      <u/>
      <sz val="9"/>
      <color rgb="FF0000FF"/>
      <name val="Arial"/>
    </font>
    <font>
      <u/>
      <sz val="9"/>
      <color theme="10"/>
      <name val="Arial"/>
    </font>
    <font>
      <i/>
      <sz val="10"/>
      <color theme="1"/>
      <name val="Arial Narrow"/>
    </font>
    <font>
      <i/>
      <sz val="9"/>
      <color theme="1"/>
      <name val="Arial Narrow"/>
    </font>
    <font>
      <u/>
      <sz val="9"/>
      <color theme="10"/>
      <name val="Arial"/>
    </font>
    <font>
      <b/>
      <sz val="10"/>
      <color rgb="FFFF0000"/>
      <name val="Arial Narrow"/>
    </font>
    <font>
      <sz val="10"/>
      <color theme="1"/>
      <name val="Arial"/>
    </font>
    <font>
      <u/>
      <sz val="10"/>
      <color rgb="FF0000FF"/>
      <name val="Arial"/>
    </font>
    <font>
      <sz val="10"/>
      <color theme="1"/>
      <name val="Arial Narrow"/>
    </font>
    <font>
      <u/>
      <sz val="10"/>
      <color rgb="FF0000FF"/>
      <name val="Arial"/>
    </font>
    <font>
      <b/>
      <sz val="10"/>
      <color rgb="FFC00000"/>
      <name val="Arial Narrow"/>
    </font>
    <font>
      <u/>
      <sz val="10"/>
      <color rgb="FF0000FF"/>
      <name val="Arial"/>
    </font>
    <font>
      <u/>
      <sz val="10"/>
      <color rgb="FF0000FF"/>
      <name val="Arial"/>
    </font>
    <font>
      <b/>
      <sz val="9"/>
      <color rgb="FFFF0000"/>
      <name val="Arial Narrow"/>
    </font>
    <font>
      <sz val="10"/>
      <color rgb="FF000000"/>
      <name val="Arial Narrow"/>
    </font>
    <font>
      <sz val="10"/>
      <color rgb="FF0000FF"/>
      <name val="Arial Narrow"/>
    </font>
    <font>
      <b/>
      <u/>
      <sz val="10"/>
      <color rgb="FFC00000"/>
      <name val="Arial Narrow"/>
    </font>
    <font>
      <u/>
      <sz val="10"/>
      <color theme="10"/>
      <name val="Arial"/>
    </font>
    <font>
      <u/>
      <sz val="9"/>
      <color rgb="FF0000FF"/>
      <name val="Arial"/>
    </font>
    <font>
      <b/>
      <sz val="10"/>
      <color rgb="FF980000"/>
      <name val="Arial Narrow"/>
    </font>
    <font>
      <b/>
      <sz val="9"/>
      <color rgb="FFC00000"/>
      <name val="Arial Narrow"/>
    </font>
    <font>
      <u/>
      <sz val="9"/>
      <color rgb="FF0000FF"/>
      <name val="Arial"/>
    </font>
    <font>
      <u/>
      <sz val="8"/>
      <color theme="10"/>
      <name val="Arial"/>
    </font>
    <font>
      <sz val="10"/>
      <color rgb="FF002060"/>
      <name val="Arial Narrow"/>
    </font>
    <font>
      <b/>
      <sz val="9"/>
      <color theme="1"/>
      <name val="Arial Narrow"/>
    </font>
    <font>
      <u/>
      <sz val="9"/>
      <color theme="10"/>
      <name val="Arial"/>
    </font>
    <font>
      <u/>
      <sz val="10"/>
      <color theme="10"/>
      <name val="Arial Narrow"/>
    </font>
    <font>
      <u/>
      <sz val="10"/>
      <color theme="10"/>
      <name val="Arial"/>
    </font>
    <font>
      <u/>
      <sz val="9"/>
      <color theme="10"/>
      <name val="Arial"/>
    </font>
    <font>
      <u/>
      <sz val="10"/>
      <color theme="10"/>
      <name val="Arial"/>
    </font>
    <font>
      <u/>
      <sz val="9"/>
      <color theme="10"/>
      <name val="Arial"/>
    </font>
    <font>
      <b/>
      <sz val="12"/>
      <color theme="0"/>
      <name val="Arial"/>
    </font>
    <font>
      <b/>
      <sz val="12"/>
      <color rgb="FFFFFFFF"/>
      <name val="Arial"/>
    </font>
    <font>
      <sz val="10"/>
      <color theme="1"/>
      <name val="Arial"/>
      <scheme val="minor"/>
    </font>
    <font>
      <b/>
      <sz val="10"/>
      <color rgb="FF000000"/>
      <name val="Arial Narrow"/>
    </font>
    <font>
      <b/>
      <sz val="10"/>
      <color rgb="FF002060"/>
      <name val="Arial Narrow"/>
    </font>
    <font>
      <b/>
      <sz val="10"/>
      <color rgb="FF244061"/>
      <name val="Arial Narrow"/>
    </font>
    <font>
      <b/>
      <u/>
      <sz val="10"/>
      <color rgb="FF000000"/>
      <name val="Arial Narrow"/>
    </font>
    <font>
      <b/>
      <u/>
      <sz val="10"/>
      <color rgb="FF000000"/>
      <name val="Arial Narrow"/>
    </font>
    <font>
      <b/>
      <u/>
      <sz val="10"/>
      <color rgb="FF000000"/>
      <name val="Arial Narrow"/>
    </font>
    <font>
      <b/>
      <u/>
      <sz val="10"/>
      <color rgb="FF000000"/>
      <name val="Arial Narrow"/>
    </font>
    <font>
      <b/>
      <u/>
      <sz val="10"/>
      <color rgb="FF000000"/>
      <name val="Arial Narrow"/>
    </font>
    <font>
      <b/>
      <sz val="14"/>
      <color theme="0"/>
      <name val="Arial Narrow"/>
    </font>
    <font>
      <b/>
      <u/>
      <sz val="10"/>
      <color rgb="FFC00000"/>
      <name val="Arial Narrow"/>
    </font>
    <font>
      <sz val="10"/>
      <color theme="0"/>
      <name val="Arial Narrow"/>
    </font>
    <font>
      <b/>
      <sz val="12"/>
      <color theme="0"/>
      <name val="Arial Narrow"/>
    </font>
    <font>
      <b/>
      <sz val="12"/>
      <color theme="1"/>
      <name val="Arial Narrow"/>
    </font>
    <font>
      <b/>
      <sz val="10"/>
      <color rgb="FFFFC000"/>
      <name val="Arial Narrow"/>
    </font>
    <font>
      <b/>
      <u/>
      <sz val="10"/>
      <color rgb="FFC00000"/>
      <name val="Arial Narrow"/>
    </font>
    <font>
      <b/>
      <u/>
      <sz val="10"/>
      <color rgb="FFC00000"/>
      <name val="Arial Narrow"/>
    </font>
    <font>
      <b/>
      <u/>
      <sz val="10"/>
      <color rgb="FFC00000"/>
      <name val="Arial Narrow"/>
    </font>
    <font>
      <u/>
      <sz val="10"/>
      <color theme="10"/>
      <name val="Arial Narrow"/>
    </font>
    <font>
      <u/>
      <sz val="10"/>
      <color theme="10"/>
      <name val="Arial Narrow"/>
    </font>
    <font>
      <b/>
      <u/>
      <sz val="10"/>
      <color rgb="FFC00000"/>
      <name val="Arial Narrow"/>
    </font>
    <font>
      <u/>
      <sz val="10"/>
      <color rgb="FF0000FF"/>
      <name val="Arial Narrow"/>
    </font>
    <font>
      <u/>
      <sz val="10"/>
      <color theme="10"/>
      <name val="Arial"/>
    </font>
    <font>
      <sz val="10"/>
      <color theme="0"/>
      <name val="Arial"/>
    </font>
    <font>
      <u/>
      <sz val="10"/>
      <color theme="10"/>
      <name val="Arial"/>
    </font>
    <font>
      <u/>
      <sz val="10"/>
      <color theme="10"/>
      <name val="Arial Narrow"/>
    </font>
    <font>
      <b/>
      <u/>
      <sz val="10"/>
      <color rgb="FFC00000"/>
      <name val="Arial Narrow"/>
    </font>
    <font>
      <u/>
      <sz val="10"/>
      <color theme="10"/>
      <name val="Arial Narrow"/>
    </font>
    <font>
      <sz val="11"/>
      <color theme="1"/>
      <name val="Calibri"/>
    </font>
    <font>
      <b/>
      <u/>
      <sz val="12"/>
      <color theme="0"/>
      <name val="Arial Narrow"/>
    </font>
    <font>
      <b/>
      <u/>
      <sz val="10"/>
      <color rgb="FFC00000"/>
      <name val="Arial Narrow"/>
    </font>
    <font>
      <u/>
      <sz val="10"/>
      <color rgb="FF0000FF"/>
      <name val="Arial Narrow"/>
    </font>
    <font>
      <b/>
      <u/>
      <sz val="10"/>
      <color rgb="FFC00000"/>
      <name val="Arial Narrow"/>
    </font>
    <font>
      <u/>
      <sz val="10"/>
      <color rgb="FF0000FF"/>
      <name val="Arial Narrow"/>
    </font>
    <font>
      <u/>
      <sz val="10"/>
      <color theme="10"/>
      <name val="Arial Narrow"/>
    </font>
    <font>
      <u/>
      <sz val="10"/>
      <color theme="10"/>
      <name val="Arial Narrow"/>
    </font>
    <font>
      <u/>
      <sz val="10"/>
      <color theme="10"/>
      <name val="Arial Narrow"/>
    </font>
    <font>
      <u/>
      <sz val="10"/>
      <color theme="10"/>
      <name val="Arial Narrow"/>
    </font>
    <font>
      <u/>
      <sz val="10"/>
      <color theme="10"/>
      <name val="Arial Narrow"/>
    </font>
    <font>
      <u/>
      <sz val="10"/>
      <color theme="10"/>
      <name val="Arial Narrow"/>
    </font>
    <font>
      <b/>
      <u/>
      <sz val="10"/>
      <color rgb="FFC00000"/>
      <name val="Arial Narrow"/>
    </font>
    <font>
      <b/>
      <u/>
      <sz val="10"/>
      <color rgb="FFC00000"/>
      <name val="Arial Narrow"/>
    </font>
    <font>
      <b/>
      <sz val="10"/>
      <color theme="0"/>
      <name val="Arial"/>
    </font>
    <font>
      <b/>
      <sz val="9"/>
      <color theme="0"/>
      <name val="Arial Narrow"/>
    </font>
    <font>
      <u/>
      <sz val="10"/>
      <color theme="1"/>
      <name val="Arial Narrow"/>
    </font>
    <font>
      <b/>
      <sz val="10"/>
      <color rgb="FFFFFF00"/>
      <name val="Arial Narrow"/>
    </font>
    <font>
      <b/>
      <sz val="12"/>
      <color theme="1"/>
      <name val="Arial"/>
    </font>
    <font>
      <u/>
      <sz val="10"/>
      <color theme="1"/>
      <name val="Arial Narrow"/>
    </font>
    <font>
      <b/>
      <u/>
      <sz val="10"/>
      <color rgb="FFC00000"/>
      <name val="Arial Narrow"/>
    </font>
    <font>
      <b/>
      <u/>
      <sz val="10"/>
      <color rgb="FFC00000"/>
      <name val="Arial Narrow"/>
    </font>
    <font>
      <u/>
      <sz val="10"/>
      <color theme="1"/>
      <name val="Arial Narrow"/>
    </font>
    <font>
      <b/>
      <u/>
      <sz val="10"/>
      <color rgb="FF0000FF"/>
      <name val="Arial Narrow"/>
    </font>
    <font>
      <sz val="9"/>
      <color theme="0"/>
      <name val="Arial Narrow"/>
    </font>
    <font>
      <b/>
      <u/>
      <sz val="10"/>
      <color rgb="FFC00000"/>
      <name val="Arial Narrow"/>
    </font>
    <font>
      <u/>
      <sz val="10"/>
      <color theme="10"/>
      <name val="Arial"/>
    </font>
    <font>
      <u/>
      <sz val="10"/>
      <color theme="10"/>
      <name val="Arial"/>
    </font>
    <font>
      <u/>
      <sz val="10"/>
      <color rgb="FF0000FF"/>
      <name val="Arial Narrow"/>
    </font>
    <font>
      <b/>
      <sz val="10"/>
      <color rgb="FF548DD4"/>
      <name val="Arial Narrow"/>
    </font>
    <font>
      <b/>
      <sz val="10"/>
      <color rgb="FF00B0F0"/>
      <name val="Arial Narrow"/>
    </font>
    <font>
      <b/>
      <sz val="10"/>
      <color rgb="FF00B050"/>
      <name val="Arial Narrow"/>
    </font>
    <font>
      <b/>
      <sz val="10"/>
      <color rgb="FFED78F0"/>
      <name val="Arial Narrow"/>
    </font>
    <font>
      <b/>
      <sz val="10"/>
      <color rgb="FFC4BD97"/>
      <name val="Arial Narrow"/>
    </font>
    <font>
      <b/>
      <sz val="16"/>
      <color theme="0"/>
      <name val="Arial Narrow"/>
    </font>
    <font>
      <b/>
      <sz val="10"/>
      <color rgb="FFFFFFEF"/>
      <name val="Arial Narrow"/>
    </font>
    <font>
      <u/>
      <sz val="10"/>
      <color rgb="FFC00000"/>
      <name val="Arial"/>
    </font>
    <font>
      <b/>
      <sz val="16"/>
      <color rgb="FF002060"/>
      <name val="Arial Narrow"/>
    </font>
    <font>
      <u/>
      <sz val="10"/>
      <color rgb="FF1155CC"/>
      <name val="Arial"/>
    </font>
    <font>
      <b/>
      <sz val="12"/>
      <color rgb="FFFFFFFF"/>
      <name val="Arial Narrow"/>
    </font>
    <font>
      <b/>
      <sz val="16"/>
      <color rgb="FFC00000"/>
      <name val="Arial Narrow"/>
    </font>
  </fonts>
  <fills count="50">
    <fill>
      <patternFill patternType="none"/>
    </fill>
    <fill>
      <patternFill patternType="gray125"/>
    </fill>
    <fill>
      <patternFill patternType="solid">
        <fgColor rgb="FFFEFEFE"/>
        <bgColor rgb="FFFEFEFE"/>
      </patternFill>
    </fill>
    <fill>
      <patternFill patternType="solid">
        <fgColor rgb="FF002060"/>
        <bgColor rgb="FF002060"/>
      </patternFill>
    </fill>
    <fill>
      <patternFill patternType="solid">
        <fgColor rgb="FFC00000"/>
        <bgColor rgb="FFC00000"/>
      </patternFill>
    </fill>
    <fill>
      <patternFill patternType="solid">
        <fgColor rgb="FFF2F2F2"/>
        <bgColor rgb="FFF2F2F2"/>
      </patternFill>
    </fill>
    <fill>
      <patternFill patternType="solid">
        <fgColor rgb="FFFFFF00"/>
        <bgColor rgb="FFFFFF00"/>
      </patternFill>
    </fill>
    <fill>
      <patternFill patternType="solid">
        <fgColor theme="0"/>
        <bgColor theme="0"/>
      </patternFill>
    </fill>
    <fill>
      <patternFill patternType="solid">
        <fgColor rgb="FFFFC000"/>
        <bgColor rgb="FFFFC000"/>
      </patternFill>
    </fill>
    <fill>
      <patternFill patternType="solid">
        <fgColor rgb="FFCC00CC"/>
        <bgColor rgb="FFCC00CC"/>
      </patternFill>
    </fill>
    <fill>
      <patternFill patternType="solid">
        <fgColor rgb="FFEFF9FF"/>
        <bgColor rgb="FFEFF9FF"/>
      </patternFill>
    </fill>
    <fill>
      <patternFill patternType="solid">
        <fgColor rgb="FFFFFFE7"/>
        <bgColor rgb="FFFFFFE7"/>
      </patternFill>
    </fill>
    <fill>
      <patternFill patternType="solid">
        <fgColor rgb="FFFDFDFD"/>
        <bgColor rgb="FFFDFDFD"/>
      </patternFill>
    </fill>
    <fill>
      <patternFill patternType="solid">
        <fgColor rgb="FF00B050"/>
        <bgColor rgb="FF00B050"/>
      </patternFill>
    </fill>
    <fill>
      <patternFill patternType="solid">
        <fgColor rgb="FFFFFFFF"/>
        <bgColor rgb="FFFFFFFF"/>
      </patternFill>
    </fill>
    <fill>
      <patternFill patternType="solid">
        <fgColor rgb="FFF50F0F"/>
        <bgColor rgb="FFF50F0F"/>
      </patternFill>
    </fill>
    <fill>
      <patternFill patternType="solid">
        <fgColor rgb="FF00B0F0"/>
        <bgColor rgb="FF00B0F0"/>
      </patternFill>
    </fill>
    <fill>
      <patternFill patternType="solid">
        <fgColor rgb="FFFDE9D9"/>
        <bgColor rgb="FFFDE9D9"/>
      </patternFill>
    </fill>
    <fill>
      <patternFill patternType="solid">
        <fgColor rgb="FFFFE101"/>
        <bgColor rgb="FFFFE101"/>
      </patternFill>
    </fill>
    <fill>
      <patternFill patternType="solid">
        <fgColor rgb="FFD99594"/>
        <bgColor rgb="FFD99594"/>
      </patternFill>
    </fill>
    <fill>
      <patternFill patternType="solid">
        <fgColor rgb="FFF8EFD4"/>
        <bgColor rgb="FFF8EFD4"/>
      </patternFill>
    </fill>
    <fill>
      <patternFill patternType="solid">
        <fgColor rgb="FF366092"/>
        <bgColor rgb="FF366092"/>
      </patternFill>
    </fill>
    <fill>
      <patternFill patternType="solid">
        <fgColor rgb="FFD9EAD3"/>
        <bgColor rgb="FFD9EAD3"/>
      </patternFill>
    </fill>
    <fill>
      <patternFill patternType="solid">
        <fgColor rgb="FFF2B67A"/>
        <bgColor rgb="FFF2B67A"/>
      </patternFill>
    </fill>
    <fill>
      <patternFill patternType="solid">
        <fgColor rgb="FF9CEECD"/>
        <bgColor rgb="FF9CEECD"/>
      </patternFill>
    </fill>
    <fill>
      <patternFill patternType="solid">
        <fgColor theme="1"/>
        <bgColor theme="1"/>
      </patternFill>
    </fill>
    <fill>
      <patternFill patternType="solid">
        <fgColor rgb="FFE5DFEC"/>
        <bgColor rgb="FFE5DFEC"/>
      </patternFill>
    </fill>
    <fill>
      <patternFill patternType="solid">
        <fgColor rgb="FFF9F6BF"/>
        <bgColor rgb="FFF9F6BF"/>
      </patternFill>
    </fill>
    <fill>
      <patternFill patternType="solid">
        <fgColor rgb="FFC2D69B"/>
        <bgColor rgb="FFC2D69B"/>
      </patternFill>
    </fill>
    <fill>
      <patternFill patternType="solid">
        <fgColor rgb="FFDBE5F1"/>
        <bgColor rgb="FFDBE5F1"/>
      </patternFill>
    </fill>
    <fill>
      <patternFill patternType="solid">
        <fgColor rgb="FF7F7F7F"/>
        <bgColor rgb="FF7F7F7F"/>
      </patternFill>
    </fill>
    <fill>
      <patternFill patternType="solid">
        <fgColor rgb="FF0070C0"/>
        <bgColor rgb="FF0070C0"/>
      </patternFill>
    </fill>
    <fill>
      <patternFill patternType="solid">
        <fgColor rgb="FFCC9900"/>
        <bgColor rgb="FFCC9900"/>
      </patternFill>
    </fill>
    <fill>
      <patternFill patternType="solid">
        <fgColor rgb="FFD8D8D8"/>
        <bgColor rgb="FFD8D8D8"/>
      </patternFill>
    </fill>
    <fill>
      <patternFill patternType="solid">
        <fgColor rgb="FF92D050"/>
        <bgColor rgb="FF92D050"/>
      </patternFill>
    </fill>
    <fill>
      <patternFill patternType="solid">
        <fgColor rgb="FFE36C09"/>
        <bgColor rgb="FFE36C09"/>
      </patternFill>
    </fill>
    <fill>
      <patternFill patternType="solid">
        <fgColor rgb="FFFF0000"/>
        <bgColor rgb="FFFF0000"/>
      </patternFill>
    </fill>
    <fill>
      <patternFill patternType="solid">
        <fgColor theme="7"/>
        <bgColor theme="7"/>
      </patternFill>
    </fill>
    <fill>
      <patternFill patternType="solid">
        <fgColor rgb="FF7030A0"/>
        <bgColor rgb="FF7030A0"/>
      </patternFill>
    </fill>
    <fill>
      <patternFill patternType="solid">
        <fgColor theme="4"/>
        <bgColor theme="4"/>
      </patternFill>
    </fill>
    <fill>
      <patternFill patternType="solid">
        <fgColor rgb="FFD6E3BC"/>
        <bgColor rgb="FFD6E3BC"/>
      </patternFill>
    </fill>
    <fill>
      <patternFill patternType="solid">
        <fgColor rgb="FFB6DDE8"/>
        <bgColor rgb="FFB6DDE8"/>
      </patternFill>
    </fill>
    <fill>
      <patternFill patternType="solid">
        <fgColor rgb="FFB2A1C7"/>
        <bgColor rgb="FFB2A1C7"/>
      </patternFill>
    </fill>
    <fill>
      <patternFill patternType="solid">
        <fgColor rgb="FF548DD4"/>
        <bgColor rgb="FF548DD4"/>
      </patternFill>
    </fill>
    <fill>
      <patternFill patternType="solid">
        <fgColor rgb="FFD298F6"/>
        <bgColor rgb="FFD298F6"/>
      </patternFill>
    </fill>
    <fill>
      <patternFill patternType="solid">
        <fgColor rgb="FFC9F490"/>
        <bgColor rgb="FFC9F490"/>
      </patternFill>
    </fill>
    <fill>
      <patternFill patternType="solid">
        <fgColor rgb="FF8AE4EE"/>
        <bgColor rgb="FF8AE4EE"/>
      </patternFill>
    </fill>
    <fill>
      <patternFill patternType="solid">
        <fgColor rgb="FFFBD4B4"/>
        <bgColor rgb="FFFBD4B4"/>
      </patternFill>
    </fill>
    <fill>
      <patternFill patternType="solid">
        <fgColor rgb="FFBFBFBF"/>
        <bgColor rgb="FFBFBFBF"/>
      </patternFill>
    </fill>
    <fill>
      <patternFill patternType="solid">
        <fgColor rgb="FFFFFFEF"/>
        <bgColor rgb="FFFFFFEF"/>
      </patternFill>
    </fill>
  </fills>
  <borders count="161">
    <border>
      <left/>
      <right/>
      <top/>
      <bottom/>
      <diagonal/>
    </border>
    <border>
      <left style="thin">
        <color theme="0"/>
      </left>
      <right/>
      <top/>
      <bottom/>
      <diagonal/>
    </border>
    <border>
      <left/>
      <right style="thin">
        <color theme="0"/>
      </right>
      <top/>
      <bottom/>
      <diagonal/>
    </border>
    <border>
      <left/>
      <right/>
      <top/>
      <bottom/>
      <diagonal/>
    </border>
    <border>
      <left/>
      <right/>
      <top/>
      <bottom/>
      <diagonal/>
    </border>
    <border>
      <left/>
      <right/>
      <top/>
      <bottom/>
      <diagonal/>
    </border>
    <border>
      <left/>
      <right/>
      <top/>
      <bottom style="thin">
        <color theme="0"/>
      </bottom>
      <diagonal/>
    </border>
    <border>
      <left/>
      <right/>
      <top/>
      <bottom style="thin">
        <color theme="0"/>
      </bottom>
      <diagonal/>
    </border>
    <border>
      <left style="medium">
        <color rgb="FFA5A5A5"/>
      </left>
      <right/>
      <top/>
      <bottom/>
      <diagonal/>
    </border>
    <border>
      <left/>
      <right/>
      <top/>
      <bottom/>
      <diagonal/>
    </border>
    <border>
      <left/>
      <right style="medium">
        <color rgb="FFA5A5A5"/>
      </right>
      <top/>
      <bottom/>
      <diagonal/>
    </border>
    <border>
      <left style="medium">
        <color rgb="FFA5A5A5"/>
      </left>
      <right/>
      <top/>
      <bottom/>
      <diagonal/>
    </border>
    <border>
      <left/>
      <right/>
      <top/>
      <bottom/>
      <diagonal/>
    </border>
    <border>
      <left/>
      <right style="medium">
        <color rgb="FFA5A5A5"/>
      </right>
      <top/>
      <bottom/>
      <diagonal/>
    </border>
    <border>
      <left style="medium">
        <color rgb="FFA5A5A5"/>
      </left>
      <right/>
      <top/>
      <bottom/>
      <diagonal/>
    </border>
    <border>
      <left/>
      <right style="medium">
        <color rgb="FFA5A5A5"/>
      </right>
      <top/>
      <bottom/>
      <diagonal/>
    </border>
    <border>
      <left style="medium">
        <color rgb="FFA5A5A5"/>
      </left>
      <right/>
      <top/>
      <bottom/>
      <diagonal/>
    </border>
    <border>
      <left/>
      <right style="medium">
        <color rgb="FFA5A5A5"/>
      </right>
      <top/>
      <bottom/>
      <diagonal/>
    </border>
    <border>
      <left style="medium">
        <color rgb="FFA5A5A5"/>
      </left>
      <right/>
      <top/>
      <bottom style="medium">
        <color rgb="FFA5A5A5"/>
      </bottom>
      <diagonal/>
    </border>
    <border>
      <left/>
      <right/>
      <top/>
      <bottom style="medium">
        <color rgb="FFA5A5A5"/>
      </bottom>
      <diagonal/>
    </border>
    <border>
      <left/>
      <right style="medium">
        <color rgb="FFA5A5A5"/>
      </right>
      <top/>
      <bottom style="medium">
        <color rgb="FFA5A5A5"/>
      </bottom>
      <diagonal/>
    </border>
    <border>
      <left style="thin">
        <color rgb="FFBFBFBF"/>
      </left>
      <right style="thin">
        <color rgb="FFBFBFBF"/>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
      <left style="thin">
        <color rgb="FFA5A5A5"/>
      </left>
      <right style="thin">
        <color rgb="FFA5A5A5"/>
      </right>
      <top/>
      <bottom/>
      <diagonal/>
    </border>
    <border>
      <left style="thin">
        <color rgb="FFBFBFBF"/>
      </left>
      <right style="thin">
        <color rgb="FFBFBFBF"/>
      </right>
      <top style="thin">
        <color rgb="FFBFBFBF"/>
      </top>
      <bottom/>
      <diagonal/>
    </border>
    <border>
      <left style="medium">
        <color rgb="FF002060"/>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A5A5A5"/>
      </left>
      <right style="thin">
        <color rgb="FFA5A5A5"/>
      </right>
      <top style="thin">
        <color rgb="FFA5A5A5"/>
      </top>
      <bottom style="thin">
        <color rgb="FFA5A5A5"/>
      </bottom>
      <diagonal/>
    </border>
    <border>
      <left style="thin">
        <color rgb="FFBFBFBF"/>
      </left>
      <right style="medium">
        <color rgb="FF000000"/>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000000"/>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style="thin">
        <color rgb="FFBFBFBF"/>
      </top>
      <bottom/>
      <diagonal/>
    </border>
    <border>
      <left style="thin">
        <color rgb="FFA5A5A5"/>
      </left>
      <right style="thin">
        <color rgb="FFA5A5A5"/>
      </right>
      <top style="thin">
        <color rgb="FFA5A5A5"/>
      </top>
      <bottom/>
      <diagonal/>
    </border>
    <border>
      <left style="thin">
        <color rgb="FFBFBFBF"/>
      </left>
      <right style="medium">
        <color rgb="FF000000"/>
      </right>
      <top style="thin">
        <color rgb="FFBFBFBF"/>
      </top>
      <bottom/>
      <diagonal/>
    </border>
    <border>
      <left style="thin">
        <color rgb="FFB7B7B7"/>
      </left>
      <right style="thin">
        <color rgb="FFB7B7B7"/>
      </right>
      <top style="thin">
        <color rgb="FFB7B7B7"/>
      </top>
      <bottom style="thin">
        <color rgb="FFB7B7B7"/>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medium">
        <color rgb="FFA5A5A5"/>
      </bottom>
      <diagonal/>
    </border>
    <border>
      <left/>
      <right/>
      <top style="medium">
        <color rgb="FFA5A5A5"/>
      </top>
      <bottom/>
      <diagonal/>
    </border>
    <border>
      <left/>
      <right style="thin">
        <color rgb="FFA5A5A5"/>
      </right>
      <top/>
      <bottom style="thin">
        <color rgb="FFA5A5A5"/>
      </bottom>
      <diagonal/>
    </border>
    <border>
      <left/>
      <right style="thin">
        <color rgb="FFA5A5A5"/>
      </right>
      <top/>
      <bottom style="thin">
        <color rgb="FFA5A5A5"/>
      </bottom>
      <diagonal/>
    </border>
    <border>
      <left/>
      <right/>
      <top/>
      <bottom style="thin">
        <color rgb="FFA5A5A5"/>
      </bottom>
      <diagonal/>
    </border>
    <border>
      <left style="thin">
        <color rgb="FFA5A5A5"/>
      </left>
      <right/>
      <top style="thin">
        <color theme="0"/>
      </top>
      <bottom style="thin">
        <color theme="0"/>
      </bottom>
      <diagonal/>
    </border>
    <border>
      <left/>
      <right/>
      <top style="thin">
        <color theme="0"/>
      </top>
      <bottom style="thin">
        <color theme="0"/>
      </bottom>
      <diagonal/>
    </border>
    <border>
      <left/>
      <right/>
      <top style="thin">
        <color theme="0"/>
      </top>
      <bottom style="thin">
        <color rgb="FFA5A5A5"/>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right/>
      <top style="thin">
        <color rgb="FFA5A5A5"/>
      </top>
      <bottom/>
      <diagonal/>
    </border>
    <border>
      <left style="thin">
        <color theme="0"/>
      </left>
      <right style="thin">
        <color theme="0"/>
      </right>
      <top/>
      <bottom style="thin">
        <color theme="0"/>
      </bottom>
      <diagonal/>
    </border>
    <border>
      <left style="thin">
        <color theme="0"/>
      </left>
      <right/>
      <top style="thin">
        <color rgb="FFBFBFBF"/>
      </top>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0"/>
      </left>
      <right/>
      <top style="thin">
        <color rgb="FFBFBFBF"/>
      </top>
      <bottom style="thin">
        <color theme="0"/>
      </bottom>
      <diagonal/>
    </border>
    <border>
      <left/>
      <right/>
      <top style="thin">
        <color rgb="FFBFBFBF"/>
      </top>
      <bottom style="thin">
        <color theme="0"/>
      </bottom>
      <diagonal/>
    </border>
    <border>
      <left/>
      <right style="thin">
        <color theme="0"/>
      </right>
      <top style="thin">
        <color rgb="FFBFBFBF"/>
      </top>
      <bottom style="thin">
        <color theme="0"/>
      </bottom>
      <diagonal/>
    </border>
    <border>
      <left/>
      <right/>
      <top style="thin">
        <color theme="0"/>
      </top>
      <bottom/>
      <diagonal/>
    </border>
    <border>
      <left style="thin">
        <color rgb="FFBFBFBF"/>
      </left>
      <right style="thin">
        <color rgb="FFBFBFBF"/>
      </right>
      <top/>
      <bottom style="thin">
        <color rgb="FFBFBFBF"/>
      </bottom>
      <diagonal/>
    </border>
    <border>
      <left style="thin">
        <color rgb="FF000000"/>
      </left>
      <right/>
      <top style="thin">
        <color theme="0"/>
      </top>
      <bottom style="thin">
        <color theme="0"/>
      </bottom>
      <diagonal/>
    </border>
    <border>
      <left/>
      <right style="thin">
        <color rgb="FF000000"/>
      </right>
      <top style="thin">
        <color theme="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rgb="FF000000"/>
      </right>
      <top style="thin">
        <color theme="0"/>
      </top>
      <bottom/>
      <diagonal/>
    </border>
    <border>
      <left style="thin">
        <color rgb="FFA5A5A5"/>
      </left>
      <right style="thin">
        <color rgb="FFA5A5A5"/>
      </right>
      <top style="thin">
        <color rgb="FFA5A5A5"/>
      </top>
      <bottom style="medium">
        <color rgb="FF000000"/>
      </bottom>
      <diagonal/>
    </border>
    <border>
      <left/>
      <right/>
      <top style="medium">
        <color rgb="FF000000"/>
      </top>
      <bottom/>
      <diagonal/>
    </border>
    <border>
      <left style="thin">
        <color rgb="FFA5A5A5"/>
      </left>
      <right style="thin">
        <color rgb="FFA5A5A5"/>
      </right>
      <top style="medium">
        <color rgb="FF000000"/>
      </top>
      <bottom style="thin">
        <color rgb="FFA5A5A5"/>
      </bottom>
      <diagonal/>
    </border>
    <border>
      <left style="thin">
        <color rgb="FFA5A5A5"/>
      </left>
      <right style="thin">
        <color rgb="FFA5A5A5"/>
      </right>
      <top/>
      <bottom style="thin">
        <color rgb="FFA5A5A5"/>
      </bottom>
      <diagonal/>
    </border>
    <border>
      <left/>
      <right/>
      <top/>
      <bottom style="medium">
        <color rgb="FF000000"/>
      </bottom>
      <diagonal/>
    </border>
    <border>
      <left style="thin">
        <color rgb="FFA5A5A5"/>
      </left>
      <right style="thin">
        <color rgb="FFA5A5A5"/>
      </right>
      <top/>
      <bottom/>
      <diagonal/>
    </border>
    <border>
      <left style="thin">
        <color rgb="FFA5A5A5"/>
      </left>
      <right style="thin">
        <color rgb="FFA5A5A5"/>
      </right>
      <top/>
      <bottom style="medium">
        <color rgb="FF000000"/>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A5A5A5"/>
      </top>
      <bottom style="thin">
        <color rgb="FFA5A5A5"/>
      </bottom>
      <diagonal/>
    </border>
    <border>
      <left style="thin">
        <color rgb="FF999999"/>
      </left>
      <right style="thin">
        <color rgb="FF999999"/>
      </right>
      <top style="thin">
        <color rgb="FF999999"/>
      </top>
      <bottom style="thick">
        <color rgb="FF000000"/>
      </bottom>
      <diagonal/>
    </border>
    <border>
      <left/>
      <right/>
      <top style="thin">
        <color rgb="FFA5A5A5"/>
      </top>
      <bottom style="thick">
        <color rgb="FF000000"/>
      </bottom>
      <diagonal/>
    </border>
    <border>
      <left style="thin">
        <color rgb="FFBFBFBF"/>
      </left>
      <right style="thin">
        <color rgb="FFBFBFBF"/>
      </right>
      <top/>
      <bottom/>
      <diagonal/>
    </border>
    <border>
      <left style="thin">
        <color rgb="FFA5A5A5"/>
      </left>
      <right/>
      <top/>
      <bottom/>
      <diagonal/>
    </border>
    <border>
      <left/>
      <right style="thin">
        <color rgb="FFA5A5A5"/>
      </right>
      <top/>
      <bottom/>
      <diagonal/>
    </border>
    <border>
      <left style="thin">
        <color rgb="FFBFBFBF"/>
      </left>
      <right style="thin">
        <color rgb="FFBFBFBF"/>
      </right>
      <top style="medium">
        <color rgb="FF000000"/>
      </top>
      <bottom/>
      <diagonal/>
    </border>
    <border>
      <left style="thin">
        <color rgb="FFBFBFBF"/>
      </left>
      <right style="thin">
        <color rgb="FFBFBFBF"/>
      </right>
      <top style="medium">
        <color rgb="FF000000"/>
      </top>
      <bottom style="thin">
        <color rgb="FFBFBFBF"/>
      </bottom>
      <diagonal/>
    </border>
    <border>
      <left/>
      <right/>
      <top style="thin">
        <color rgb="FFA5A5A5"/>
      </top>
      <bottom/>
      <diagonal/>
    </border>
    <border>
      <left/>
      <right/>
      <top style="thin">
        <color rgb="FFA5A5A5"/>
      </top>
      <bottom/>
      <diagonal/>
    </border>
    <border>
      <left style="thin">
        <color rgb="FFBFBFBF"/>
      </left>
      <right/>
      <top/>
      <bottom/>
      <diagonal/>
    </border>
    <border>
      <left style="thin">
        <color rgb="FFD8D8D8"/>
      </left>
      <right style="thin">
        <color rgb="FFD8D8D8"/>
      </right>
      <top style="thin">
        <color rgb="FFD8D8D8"/>
      </top>
      <bottom/>
      <diagonal/>
    </border>
    <border>
      <left style="thin">
        <color rgb="FFD8D8D8"/>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medium">
        <color rgb="FF000000"/>
      </left>
      <right style="thin">
        <color rgb="FFBFBFBF"/>
      </right>
      <top style="medium">
        <color rgb="FF000000"/>
      </top>
      <bottom/>
      <diagonal/>
    </border>
    <border>
      <left style="thin">
        <color rgb="FFBFBFBF"/>
      </left>
      <right style="thin">
        <color rgb="FFBFBFBF"/>
      </right>
      <top style="medium">
        <color rgb="FF000000"/>
      </top>
      <bottom/>
      <diagonal/>
    </border>
    <border>
      <left style="thin">
        <color rgb="FFBFBFBF"/>
      </left>
      <right style="medium">
        <color rgb="FF002060"/>
      </right>
      <top style="medium">
        <color rgb="FF000000"/>
      </top>
      <bottom/>
      <diagonal/>
    </border>
    <border>
      <left style="thin">
        <color rgb="FFBFBFBF"/>
      </left>
      <right style="medium">
        <color rgb="FF000000"/>
      </right>
      <top style="medium">
        <color rgb="FF000000"/>
      </top>
      <bottom/>
      <diagonal/>
    </border>
    <border>
      <left/>
      <right style="medium">
        <color rgb="FF000000"/>
      </right>
      <top/>
      <bottom/>
      <diagonal/>
    </border>
    <border>
      <left style="thin">
        <color rgb="FFBFBFBF"/>
      </left>
      <right style="medium">
        <color rgb="FF000000"/>
      </right>
      <top/>
      <bottom style="thin">
        <color rgb="FFBFBFBF"/>
      </bottom>
      <diagonal/>
    </border>
    <border>
      <left style="medium">
        <color rgb="FF000000"/>
      </left>
      <right style="thin">
        <color rgb="FFBFBFBF"/>
      </right>
      <top style="thin">
        <color rgb="FFBFBFBF"/>
      </top>
      <bottom style="medium">
        <color rgb="FF000000"/>
      </bottom>
      <diagonal/>
    </border>
    <border>
      <left style="thin">
        <color rgb="FFBFBFBF"/>
      </left>
      <right style="thin">
        <color rgb="FFBFBFBF"/>
      </right>
      <top style="thin">
        <color rgb="FFBFBFBF"/>
      </top>
      <bottom style="medium">
        <color rgb="FF000000"/>
      </bottom>
      <diagonal/>
    </border>
    <border>
      <left style="thin">
        <color rgb="FFBFBFBF"/>
      </left>
      <right/>
      <top style="thin">
        <color rgb="FFBFBFBF"/>
      </top>
      <bottom style="medium">
        <color rgb="FF000000"/>
      </bottom>
      <diagonal/>
    </border>
    <border>
      <left style="thin">
        <color rgb="FFBFBFBF"/>
      </left>
      <right style="medium">
        <color rgb="FF000000"/>
      </right>
      <top/>
      <bottom style="medium">
        <color rgb="FF000000"/>
      </bottom>
      <diagonal/>
    </border>
    <border>
      <left style="thin">
        <color rgb="FFA5A5A5"/>
      </left>
      <right style="thin">
        <color theme="0"/>
      </right>
      <top style="thin">
        <color theme="0"/>
      </top>
      <bottom style="thin">
        <color theme="0"/>
      </bottom>
      <diagonal/>
    </border>
    <border>
      <left style="thin">
        <color rgb="FFBFBFBF"/>
      </left>
      <right style="thin">
        <color theme="0"/>
      </right>
      <top style="thin">
        <color theme="0"/>
      </top>
      <bottom style="thin">
        <color theme="0"/>
      </bottom>
      <diagonal/>
    </border>
    <border>
      <left style="thin">
        <color theme="0"/>
      </left>
      <right/>
      <top/>
      <bottom style="thin">
        <color theme="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2060"/>
      </left>
      <right/>
      <top/>
      <bottom/>
      <diagonal/>
    </border>
    <border>
      <left style="medium">
        <color rgb="FF000000"/>
      </left>
      <right style="thin">
        <color rgb="FFF2F2F2"/>
      </right>
      <top style="medium">
        <color rgb="FF000000"/>
      </top>
      <bottom/>
      <diagonal/>
    </border>
    <border>
      <left style="thin">
        <color rgb="FFF2F2F2"/>
      </left>
      <right style="thin">
        <color rgb="FFF2F2F2"/>
      </right>
      <top style="medium">
        <color rgb="FF000000"/>
      </top>
      <bottom/>
      <diagonal/>
    </border>
    <border>
      <left style="thin">
        <color rgb="FFF2F2F2"/>
      </left>
      <right/>
      <top style="medium">
        <color rgb="FF000000"/>
      </top>
      <bottom style="thin">
        <color rgb="FFD8D8D8"/>
      </bottom>
      <diagonal/>
    </border>
    <border>
      <left/>
      <right style="thin">
        <color rgb="FFF2F2F2"/>
      </right>
      <top style="medium">
        <color rgb="FF000000"/>
      </top>
      <bottom/>
      <diagonal/>
    </border>
    <border>
      <left style="thin">
        <color rgb="FFF2F2F2"/>
      </left>
      <right style="medium">
        <color rgb="FF000000"/>
      </right>
      <top style="medium">
        <color rgb="FF000000"/>
      </top>
      <bottom/>
      <diagonal/>
    </border>
    <border>
      <left style="medium">
        <color rgb="FF000000"/>
      </left>
      <right style="thin">
        <color rgb="FFD8D8D8"/>
      </right>
      <top style="thin">
        <color rgb="FFD8D8D8"/>
      </top>
      <bottom style="thin">
        <color rgb="FFD8D8D8"/>
      </bottom>
      <diagonal/>
    </border>
    <border>
      <left style="thin">
        <color rgb="FFD8D8D8"/>
      </left>
      <right style="medium">
        <color rgb="FF000000"/>
      </right>
      <top style="thin">
        <color rgb="FFD8D8D8"/>
      </top>
      <bottom style="thin">
        <color rgb="FFD8D8D8"/>
      </bottom>
      <diagonal/>
    </border>
    <border>
      <left style="thin">
        <color rgb="FFD8D8D8"/>
      </left>
      <right/>
      <top style="thin">
        <color rgb="FFD8D8D8"/>
      </top>
      <bottom style="thin">
        <color rgb="FFD8D8D8"/>
      </bottom>
      <diagonal/>
    </border>
    <border>
      <left style="medium">
        <color rgb="FF000000"/>
      </left>
      <right style="thin">
        <color rgb="FFD8D8D8"/>
      </right>
      <top style="thin">
        <color rgb="FFD8D8D8"/>
      </top>
      <bottom style="medium">
        <color rgb="FF000000"/>
      </bottom>
      <diagonal/>
    </border>
    <border>
      <left style="thin">
        <color rgb="FFD8D8D8"/>
      </left>
      <right style="thin">
        <color rgb="FFD8D8D8"/>
      </right>
      <top style="thin">
        <color rgb="FFD8D8D8"/>
      </top>
      <bottom style="medium">
        <color rgb="FF000000"/>
      </bottom>
      <diagonal/>
    </border>
    <border>
      <left style="thin">
        <color rgb="FFD8D8D8"/>
      </left>
      <right/>
      <top style="thin">
        <color rgb="FFD8D8D8"/>
      </top>
      <bottom style="medium">
        <color rgb="FF000000"/>
      </bottom>
      <diagonal/>
    </border>
    <border>
      <left style="thin">
        <color rgb="FFD8D8D8"/>
      </left>
      <right style="medium">
        <color rgb="FF000000"/>
      </right>
      <top style="thin">
        <color rgb="FFD8D8D8"/>
      </top>
      <bottom style="medium">
        <color rgb="FF000000"/>
      </bottom>
      <diagonal/>
    </border>
    <border>
      <left style="thin">
        <color rgb="FFD8D8D8"/>
      </left>
      <right style="thin">
        <color rgb="FFD8D8D8"/>
      </right>
      <top/>
      <bottom style="thin">
        <color rgb="FFD8D8D8"/>
      </bottom>
      <diagonal/>
    </border>
    <border>
      <left style="thin">
        <color rgb="FFD8D8D8"/>
      </left>
      <right style="thin">
        <color rgb="FFD8D8D8"/>
      </right>
      <top style="thin">
        <color rgb="FFD8D8D8"/>
      </top>
      <bottom/>
      <diagonal/>
    </border>
    <border>
      <left style="medium">
        <color rgb="FFA5A5A5"/>
      </left>
      <right style="medium">
        <color rgb="FFA5A5A5"/>
      </right>
      <top style="medium">
        <color rgb="FFA5A5A5"/>
      </top>
      <bottom/>
      <diagonal/>
    </border>
    <border>
      <left style="medium">
        <color rgb="FFA5A5A5"/>
      </left>
      <right style="medium">
        <color rgb="FFA5A5A5"/>
      </right>
      <top style="thin">
        <color rgb="FFA5A5A5"/>
      </top>
      <bottom style="thin">
        <color rgb="FFA5A5A5"/>
      </bottom>
      <diagonal/>
    </border>
    <border>
      <left style="medium">
        <color rgb="FFA5A5A5"/>
      </left>
      <right style="medium">
        <color rgb="FFA5A5A5"/>
      </right>
      <top style="thin">
        <color rgb="FFA5A5A5"/>
      </top>
      <bottom/>
      <diagonal/>
    </border>
    <border>
      <left style="medium">
        <color rgb="FFA5A5A5"/>
      </left>
      <right style="medium">
        <color rgb="FFA5A5A5"/>
      </right>
      <top style="thin">
        <color rgb="FFA5A5A5"/>
      </top>
      <bottom style="medium">
        <color rgb="FFA5A5A5"/>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828">
    <xf numFmtId="0" fontId="0" fillId="0" borderId="0" xfId="0"/>
    <xf numFmtId="0" fontId="3" fillId="2" borderId="5" xfId="0" applyFont="1" applyFill="1" applyBorder="1" applyAlignment="1">
      <alignment horizontal="center"/>
    </xf>
    <xf numFmtId="0" fontId="3" fillId="2" borderId="16" xfId="0" applyFont="1" applyFill="1" applyBorder="1" applyAlignment="1">
      <alignment horizontal="center"/>
    </xf>
    <xf numFmtId="0" fontId="7" fillId="2" borderId="5" xfId="0" applyFont="1" applyFill="1" applyBorder="1" applyAlignment="1">
      <alignment horizontal="left"/>
    </xf>
    <xf numFmtId="0" fontId="7" fillId="2" borderId="5"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0" fontId="7" fillId="2" borderId="19" xfId="0" applyFont="1" applyFill="1" applyBorder="1" applyAlignment="1">
      <alignment horizontal="left"/>
    </xf>
    <xf numFmtId="0" fontId="3" fillId="2" borderId="19" xfId="0" applyFont="1" applyFill="1" applyBorder="1" applyAlignment="1">
      <alignment horizontal="center"/>
    </xf>
    <xf numFmtId="0" fontId="3" fillId="2" borderId="20" xfId="0" applyFont="1" applyFill="1" applyBorder="1" applyAlignment="1">
      <alignment horizontal="center"/>
    </xf>
    <xf numFmtId="0" fontId="3" fillId="5" borderId="5" xfId="0" applyFont="1" applyFill="1" applyBorder="1"/>
    <xf numFmtId="0" fontId="8" fillId="6" borderId="5" xfId="0" applyFont="1" applyFill="1" applyBorder="1"/>
    <xf numFmtId="0" fontId="3" fillId="6" borderId="5" xfId="0" applyFont="1" applyFill="1" applyBorder="1"/>
    <xf numFmtId="0" fontId="9"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xf>
    <xf numFmtId="0" fontId="10" fillId="7" borderId="5" xfId="0" applyFont="1" applyFill="1" applyBorder="1"/>
    <xf numFmtId="0" fontId="10" fillId="0" borderId="0" xfId="0" applyFont="1" applyAlignment="1">
      <alignment horizontal="center" vertical="center"/>
    </xf>
    <xf numFmtId="0" fontId="11" fillId="0" borderId="0" xfId="0" applyFont="1"/>
    <xf numFmtId="0" fontId="3" fillId="0" borderId="0" xfId="0" applyFont="1"/>
    <xf numFmtId="164" fontId="10" fillId="0" borderId="0" xfId="0" applyNumberFormat="1" applyFont="1"/>
    <xf numFmtId="0" fontId="1" fillId="0" borderId="0" xfId="0" applyFont="1" applyAlignment="1">
      <alignment vertical="center"/>
    </xf>
    <xf numFmtId="0" fontId="1" fillId="7" borderId="5" xfId="0" applyFont="1" applyFill="1" applyBorder="1" applyAlignment="1">
      <alignment vertical="center"/>
    </xf>
    <xf numFmtId="0" fontId="12" fillId="0" borderId="0" xfId="0" applyFont="1" applyAlignment="1">
      <alignment horizontal="center" vertical="center"/>
    </xf>
    <xf numFmtId="165" fontId="1" fillId="0" borderId="0" xfId="0" applyNumberFormat="1" applyFont="1" applyAlignment="1">
      <alignment horizontal="center" vertical="center"/>
    </xf>
    <xf numFmtId="164" fontId="1" fillId="0" borderId="0" xfId="0" applyNumberFormat="1" applyFont="1" applyAlignment="1">
      <alignment vertical="center"/>
    </xf>
    <xf numFmtId="0" fontId="3" fillId="0" borderId="0" xfId="0" applyFont="1" applyAlignment="1">
      <alignment vertical="center"/>
    </xf>
    <xf numFmtId="0" fontId="3" fillId="7" borderId="5" xfId="0" applyFont="1" applyFill="1" applyBorder="1" applyAlignment="1">
      <alignment horizontal="center" vertical="center"/>
    </xf>
    <xf numFmtId="0" fontId="11" fillId="0" borderId="0" xfId="0" applyFont="1" applyAlignment="1">
      <alignment vertical="center"/>
    </xf>
    <xf numFmtId="164" fontId="3" fillId="0" borderId="0" xfId="0" applyNumberFormat="1" applyFont="1" applyAlignment="1">
      <alignment vertical="center"/>
    </xf>
    <xf numFmtId="0" fontId="13" fillId="3" borderId="21"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5" fillId="3" borderId="22"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6" fillId="4" borderId="21" xfId="0" applyFont="1" applyFill="1" applyBorder="1" applyAlignment="1">
      <alignment horizontal="center" vertical="center" wrapText="1"/>
    </xf>
    <xf numFmtId="1" fontId="16" fillId="4" borderId="21" xfId="0" applyNumberFormat="1" applyFont="1" applyFill="1" applyBorder="1" applyAlignment="1">
      <alignment horizontal="center" vertical="center" wrapText="1"/>
    </xf>
    <xf numFmtId="166" fontId="13" fillId="8" borderId="21" xfId="0" applyNumberFormat="1" applyFont="1" applyFill="1" applyBorder="1" applyAlignment="1">
      <alignment horizontal="center" vertical="center" wrapText="1"/>
    </xf>
    <xf numFmtId="166" fontId="15" fillId="4" borderId="21" xfId="0" applyNumberFormat="1" applyFont="1" applyFill="1" applyBorder="1" applyAlignment="1">
      <alignment horizontal="center" vertical="center" wrapText="1"/>
    </xf>
    <xf numFmtId="15" fontId="13" fillId="4" borderId="21" xfId="0" applyNumberFormat="1" applyFont="1" applyFill="1" applyBorder="1" applyAlignment="1">
      <alignment horizontal="center" vertical="center" wrapText="1"/>
    </xf>
    <xf numFmtId="164" fontId="13" fillId="4" borderId="21" xfId="0" applyNumberFormat="1" applyFont="1" applyFill="1" applyBorder="1" applyAlignment="1">
      <alignment horizontal="center" vertical="center" wrapText="1"/>
    </xf>
    <xf numFmtId="0" fontId="13" fillId="8" borderId="21"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9" borderId="27"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0" fontId="9" fillId="0" borderId="28" xfId="0" applyFont="1" applyBorder="1" applyAlignment="1">
      <alignment horizontal="center" vertical="center" wrapText="1"/>
    </xf>
    <xf numFmtId="0" fontId="9" fillId="10" borderId="23" xfId="0" applyFont="1" applyFill="1" applyBorder="1" applyAlignment="1">
      <alignment horizontal="center" vertical="center" wrapText="1"/>
    </xf>
    <xf numFmtId="0" fontId="9" fillId="11" borderId="29" xfId="0" applyFont="1" applyFill="1" applyBorder="1" applyAlignment="1">
      <alignment horizontal="center" vertical="center" wrapText="1"/>
    </xf>
    <xf numFmtId="9" fontId="9" fillId="7" borderId="23" xfId="0" applyNumberFormat="1" applyFont="1" applyFill="1" applyBorder="1" applyAlignment="1">
      <alignment horizontal="center" vertical="center" wrapText="1"/>
    </xf>
    <xf numFmtId="0" fontId="9" fillId="0" borderId="30" xfId="0" applyFont="1" applyBorder="1" applyAlignment="1">
      <alignment horizontal="center" vertical="center"/>
    </xf>
    <xf numFmtId="0" fontId="17" fillId="5" borderId="23" xfId="0" applyFont="1" applyFill="1" applyBorder="1" applyAlignment="1">
      <alignment horizontal="center" vertical="center" wrapText="1"/>
    </xf>
    <xf numFmtId="1" fontId="18" fillId="5" borderId="23" xfId="0" applyNumberFormat="1" applyFont="1" applyFill="1" applyBorder="1" applyAlignment="1">
      <alignment horizontal="center" vertical="center" wrapText="1"/>
    </xf>
    <xf numFmtId="15" fontId="18" fillId="5" borderId="23" xfId="0" applyNumberFormat="1" applyFont="1" applyFill="1" applyBorder="1" applyAlignment="1">
      <alignment horizontal="center" vertical="center" wrapText="1"/>
    </xf>
    <xf numFmtId="15" fontId="18" fillId="11" borderId="23" xfId="0" applyNumberFormat="1" applyFont="1" applyFill="1" applyBorder="1" applyAlignment="1">
      <alignment horizontal="center" vertical="center" wrapText="1"/>
    </xf>
    <xf numFmtId="0" fontId="9" fillId="12" borderId="23" xfId="0" applyFont="1" applyFill="1" applyBorder="1" applyAlignment="1">
      <alignment horizontal="center" vertical="center" wrapText="1"/>
    </xf>
    <xf numFmtId="0" fontId="19" fillId="5" borderId="23" xfId="0" applyFont="1" applyFill="1" applyBorder="1" applyAlignment="1">
      <alignment horizontal="center" vertical="center" wrapText="1"/>
    </xf>
    <xf numFmtId="164" fontId="9" fillId="5" borderId="23" xfId="0" applyNumberFormat="1" applyFont="1" applyFill="1" applyBorder="1" applyAlignment="1">
      <alignment horizontal="center" vertical="center" wrapText="1"/>
    </xf>
    <xf numFmtId="0" fontId="9" fillId="5" borderId="23" xfId="0" applyFont="1" applyFill="1" applyBorder="1" applyAlignment="1">
      <alignment horizontal="center" vertical="center" wrapText="1"/>
    </xf>
    <xf numFmtId="164" fontId="18" fillId="11" borderId="23" xfId="0" applyNumberFormat="1" applyFont="1" applyFill="1" applyBorder="1" applyAlignment="1">
      <alignment horizontal="center" vertical="center" wrapText="1"/>
    </xf>
    <xf numFmtId="49" fontId="9" fillId="0" borderId="31" xfId="0" applyNumberFormat="1" applyFont="1" applyBorder="1" applyAlignment="1">
      <alignment horizontal="center" vertical="center" wrapText="1"/>
    </xf>
    <xf numFmtId="0" fontId="9" fillId="0" borderId="32" xfId="0" applyFont="1" applyBorder="1" applyAlignment="1">
      <alignment horizontal="center" vertical="center" wrapText="1"/>
    </xf>
    <xf numFmtId="164" fontId="18" fillId="5" borderId="23" xfId="0" applyNumberFormat="1" applyFont="1" applyFill="1" applyBorder="1" applyAlignment="1">
      <alignment horizontal="center" vertical="center" wrapText="1"/>
    </xf>
    <xf numFmtId="0" fontId="9" fillId="12" borderId="23" xfId="0" applyFont="1" applyFill="1" applyBorder="1" applyAlignment="1">
      <alignment vertical="center"/>
    </xf>
    <xf numFmtId="0" fontId="9" fillId="12" borderId="23" xfId="0" applyFont="1" applyFill="1" applyBorder="1" applyAlignment="1">
      <alignment horizontal="center" vertical="center"/>
    </xf>
    <xf numFmtId="0" fontId="9" fillId="0" borderId="31" xfId="0" applyFont="1" applyBorder="1" applyAlignment="1">
      <alignment horizontal="center" vertical="center"/>
    </xf>
    <xf numFmtId="0" fontId="9" fillId="0" borderId="23" xfId="0" applyFont="1" applyBorder="1" applyAlignment="1">
      <alignment horizontal="center" vertical="center"/>
    </xf>
    <xf numFmtId="0" fontId="20" fillId="11" borderId="29"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 fillId="12" borderId="23" xfId="0" applyFont="1" applyFill="1" applyBorder="1" applyAlignment="1">
      <alignment horizontal="center" vertical="center"/>
    </xf>
    <xf numFmtId="0" fontId="3" fillId="0" borderId="23" xfId="0" applyFont="1" applyBorder="1"/>
    <xf numFmtId="49" fontId="9" fillId="12" borderId="23" xfId="0" applyNumberFormat="1" applyFont="1" applyFill="1" applyBorder="1" applyAlignment="1">
      <alignment horizontal="center" vertical="center" wrapText="1"/>
    </xf>
    <xf numFmtId="0" fontId="1" fillId="7" borderId="31" xfId="0" applyFont="1" applyFill="1" applyBorder="1" applyAlignment="1">
      <alignment horizontal="center" vertical="center" wrapText="1"/>
    </xf>
    <xf numFmtId="0" fontId="9" fillId="7" borderId="32" xfId="0" applyFont="1" applyFill="1" applyBorder="1" applyAlignment="1">
      <alignment horizontal="center" vertical="center"/>
    </xf>
    <xf numFmtId="0" fontId="21" fillId="13" borderId="27" xfId="0" applyFont="1" applyFill="1" applyBorder="1" applyAlignment="1">
      <alignment horizontal="center" vertical="center" wrapText="1"/>
    </xf>
    <xf numFmtId="0" fontId="22" fillId="0" borderId="23" xfId="0" applyFont="1" applyBorder="1" applyAlignment="1">
      <alignment horizontal="left" vertical="center" wrapText="1"/>
    </xf>
    <xf numFmtId="0" fontId="23" fillId="11" borderId="29" xfId="0" applyFont="1" applyFill="1" applyBorder="1" applyAlignment="1">
      <alignment horizontal="center" vertical="center" wrapText="1"/>
    </xf>
    <xf numFmtId="0" fontId="24" fillId="0" borderId="31" xfId="0" applyFont="1" applyBorder="1" applyAlignment="1">
      <alignment horizontal="center" vertical="center" wrapText="1"/>
    </xf>
    <xf numFmtId="0" fontId="9" fillId="0" borderId="0" xfId="0" applyFont="1" applyAlignment="1">
      <alignment horizontal="center" vertical="center" wrapText="1"/>
    </xf>
    <xf numFmtId="0" fontId="9" fillId="11" borderId="23" xfId="0" applyFont="1" applyFill="1" applyBorder="1" applyAlignment="1">
      <alignment horizontal="center" vertical="center" wrapText="1"/>
    </xf>
    <xf numFmtId="0" fontId="9" fillId="0" borderId="28" xfId="0" applyFont="1" applyBorder="1" applyAlignment="1">
      <alignment horizontal="left" vertical="center" wrapText="1"/>
    </xf>
    <xf numFmtId="0" fontId="9" fillId="12" borderId="31" xfId="0" applyFont="1" applyFill="1" applyBorder="1" applyAlignment="1">
      <alignment vertical="center"/>
    </xf>
    <xf numFmtId="0" fontId="9" fillId="14" borderId="33" xfId="0" applyFont="1" applyFill="1" applyBorder="1" applyAlignment="1">
      <alignment horizontal="center" vertical="center"/>
    </xf>
    <xf numFmtId="0" fontId="25" fillId="11" borderId="29" xfId="0" applyFont="1" applyFill="1" applyBorder="1" applyAlignment="1">
      <alignment horizontal="center" vertical="center" wrapText="1"/>
    </xf>
    <xf numFmtId="0" fontId="26" fillId="5" borderId="23" xfId="0" applyFont="1" applyFill="1" applyBorder="1" applyAlignment="1">
      <alignment horizontal="center" vertical="center" wrapText="1"/>
    </xf>
    <xf numFmtId="49" fontId="9" fillId="0" borderId="23" xfId="0" applyNumberFormat="1" applyFont="1" applyBorder="1" applyAlignment="1">
      <alignment horizontal="center" vertical="center" wrapText="1"/>
    </xf>
    <xf numFmtId="164" fontId="9" fillId="11" borderId="23" xfId="0" applyNumberFormat="1" applyFont="1" applyFill="1" applyBorder="1" applyAlignment="1">
      <alignment horizontal="center" vertical="center" wrapText="1"/>
    </xf>
    <xf numFmtId="0" fontId="9" fillId="5" borderId="23" xfId="0" applyFont="1" applyFill="1" applyBorder="1" applyAlignment="1">
      <alignment horizontal="right" vertical="center" wrapText="1"/>
    </xf>
    <xf numFmtId="0" fontId="27" fillId="5" borderId="23" xfId="0" applyFont="1" applyFill="1" applyBorder="1" applyAlignment="1">
      <alignment horizontal="center" vertical="center" wrapText="1"/>
    </xf>
    <xf numFmtId="1" fontId="28" fillId="5" borderId="23" xfId="0" applyNumberFormat="1" applyFont="1" applyFill="1" applyBorder="1" applyAlignment="1">
      <alignment horizontal="center" vertical="center" wrapText="1"/>
    </xf>
    <xf numFmtId="0" fontId="29" fillId="0" borderId="23" xfId="0" applyFont="1" applyBorder="1" applyAlignment="1">
      <alignment horizontal="center" vertical="center" wrapText="1"/>
    </xf>
    <xf numFmtId="0" fontId="21" fillId="15" borderId="27" xfId="0" applyFont="1" applyFill="1" applyBorder="1" applyAlignment="1">
      <alignment horizontal="center" vertical="center" wrapText="1"/>
    </xf>
    <xf numFmtId="0" fontId="30" fillId="11" borderId="23" xfId="0" applyFont="1" applyFill="1" applyBorder="1" applyAlignment="1">
      <alignment horizontal="center" vertical="center" wrapText="1"/>
    </xf>
    <xf numFmtId="9" fontId="9" fillId="6" borderId="23" xfId="0" applyNumberFormat="1" applyFont="1" applyFill="1" applyBorder="1" applyAlignment="1">
      <alignment horizontal="center" vertical="center" wrapText="1"/>
    </xf>
    <xf numFmtId="0" fontId="31" fillId="6" borderId="23" xfId="0" applyFont="1" applyFill="1" applyBorder="1" applyAlignment="1">
      <alignment horizontal="center" vertical="center"/>
    </xf>
    <xf numFmtId="15" fontId="18" fillId="6" borderId="23" xfId="0" applyNumberFormat="1" applyFont="1" applyFill="1" applyBorder="1" applyAlignment="1">
      <alignment horizontal="center" vertical="center" wrapText="1"/>
    </xf>
    <xf numFmtId="0" fontId="9" fillId="6" borderId="23" xfId="0" applyFont="1" applyFill="1" applyBorder="1" applyAlignment="1">
      <alignment horizontal="center" vertical="center" wrapText="1"/>
    </xf>
    <xf numFmtId="0" fontId="21" fillId="15" borderId="33"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1" fillId="0" borderId="31" xfId="0" applyFont="1" applyBorder="1" applyAlignment="1">
      <alignment horizontal="center" vertical="center" wrapText="1"/>
    </xf>
    <xf numFmtId="0" fontId="9" fillId="5" borderId="23" xfId="0" applyFont="1" applyFill="1" applyBorder="1" applyAlignment="1">
      <alignment horizontal="left" vertical="center" wrapText="1"/>
    </xf>
    <xf numFmtId="0" fontId="33" fillId="10" borderId="23" xfId="0" applyFont="1" applyFill="1" applyBorder="1" applyAlignment="1">
      <alignment horizontal="center" vertical="center" wrapText="1"/>
    </xf>
    <xf numFmtId="0" fontId="33" fillId="0" borderId="23" xfId="0" applyFont="1" applyBorder="1" applyAlignment="1">
      <alignment horizontal="center" vertical="center" wrapText="1"/>
    </xf>
    <xf numFmtId="0" fontId="34" fillId="5" borderId="23" xfId="0" applyFont="1" applyFill="1" applyBorder="1" applyAlignment="1">
      <alignment horizontal="center" vertical="center" wrapText="1"/>
    </xf>
    <xf numFmtId="164" fontId="33" fillId="5" borderId="23" xfId="0" applyNumberFormat="1" applyFont="1" applyFill="1" applyBorder="1" applyAlignment="1">
      <alignment horizontal="center" vertical="center" wrapText="1"/>
    </xf>
    <xf numFmtId="0" fontId="33" fillId="5" borderId="23" xfId="0" applyFont="1" applyFill="1" applyBorder="1" applyAlignment="1">
      <alignment horizontal="center" vertical="center" wrapText="1"/>
    </xf>
    <xf numFmtId="0" fontId="33" fillId="11" borderId="23" xfId="0" applyFont="1" applyFill="1" applyBorder="1" applyAlignment="1">
      <alignment horizontal="center" vertical="center" wrapText="1"/>
    </xf>
    <xf numFmtId="0" fontId="33" fillId="12" borderId="23" xfId="0" applyFont="1" applyFill="1" applyBorder="1" applyAlignment="1">
      <alignment vertical="center"/>
    </xf>
    <xf numFmtId="0" fontId="33" fillId="12" borderId="23" xfId="0" applyFont="1" applyFill="1" applyBorder="1" applyAlignment="1">
      <alignment horizontal="center" vertical="center"/>
    </xf>
    <xf numFmtId="0" fontId="9" fillId="0" borderId="31" xfId="0" applyFont="1" applyBorder="1" applyAlignment="1">
      <alignment horizontal="left" vertical="center" wrapText="1"/>
    </xf>
    <xf numFmtId="0" fontId="33" fillId="0" borderId="32" xfId="0" applyFont="1" applyBorder="1" applyAlignment="1">
      <alignment horizontal="center" vertical="center" wrapText="1"/>
    </xf>
    <xf numFmtId="0" fontId="9" fillId="12" borderId="23" xfId="0" applyFont="1" applyFill="1" applyBorder="1" applyAlignment="1">
      <alignment horizontal="left" vertical="center" wrapText="1"/>
    </xf>
    <xf numFmtId="0" fontId="1" fillId="12" borderId="23" xfId="0" applyFont="1" applyFill="1" applyBorder="1" applyAlignment="1">
      <alignment horizontal="center" vertical="center" wrapText="1"/>
    </xf>
    <xf numFmtId="0" fontId="21" fillId="16" borderId="33" xfId="0" applyFont="1" applyFill="1" applyBorder="1" applyAlignment="1">
      <alignment horizontal="center" vertical="center" wrapText="1"/>
    </xf>
    <xf numFmtId="0" fontId="30" fillId="11" borderId="29" xfId="0" applyFont="1" applyFill="1" applyBorder="1" applyAlignment="1">
      <alignment horizontal="center" vertical="center" wrapText="1"/>
    </xf>
    <xf numFmtId="1" fontId="35" fillId="5" borderId="23" xfId="0" applyNumberFormat="1" applyFont="1" applyFill="1" applyBorder="1" applyAlignment="1">
      <alignment horizontal="center" vertical="center" wrapText="1"/>
    </xf>
    <xf numFmtId="0" fontId="9" fillId="12" borderId="23" xfId="0" applyFont="1" applyFill="1" applyBorder="1" applyAlignment="1">
      <alignment vertical="center" wrapText="1"/>
    </xf>
    <xf numFmtId="0" fontId="9" fillId="7" borderId="31" xfId="0" applyFont="1" applyFill="1" applyBorder="1" applyAlignment="1">
      <alignment horizontal="center" vertical="center"/>
    </xf>
    <xf numFmtId="0" fontId="9" fillId="14" borderId="23" xfId="0" applyFont="1" applyFill="1" applyBorder="1" applyAlignment="1">
      <alignment horizontal="center" vertical="center"/>
    </xf>
    <xf numFmtId="15" fontId="18" fillId="17" borderId="23" xfId="0" applyNumberFormat="1" applyFont="1" applyFill="1" applyBorder="1" applyAlignment="1">
      <alignment horizontal="center" vertical="center" wrapText="1"/>
    </xf>
    <xf numFmtId="164" fontId="36" fillId="5" borderId="23" xfId="0" applyNumberFormat="1" applyFont="1" applyFill="1" applyBorder="1" applyAlignment="1">
      <alignment horizontal="center" vertical="center" wrapText="1"/>
    </xf>
    <xf numFmtId="0" fontId="36" fillId="5" borderId="23" xfId="0" applyFont="1" applyFill="1" applyBorder="1" applyAlignment="1">
      <alignment horizontal="center" vertical="center" wrapText="1"/>
    </xf>
    <xf numFmtId="0" fontId="9" fillId="12" borderId="31" xfId="0" applyFont="1" applyFill="1" applyBorder="1" applyAlignment="1">
      <alignment horizontal="center" vertical="center" wrapText="1"/>
    </xf>
    <xf numFmtId="49" fontId="9" fillId="0" borderId="0" xfId="0" applyNumberFormat="1" applyFont="1" applyAlignment="1">
      <alignment horizontal="center" vertical="center" wrapText="1"/>
    </xf>
    <xf numFmtId="0" fontId="9" fillId="12" borderId="5" xfId="0" applyFont="1" applyFill="1" applyBorder="1" applyAlignment="1">
      <alignment horizontal="center" vertical="center" wrapText="1"/>
    </xf>
    <xf numFmtId="0" fontId="9" fillId="0" borderId="31" xfId="0" applyFont="1" applyBorder="1" applyAlignment="1">
      <alignment horizontal="center" vertical="center" wrapText="1"/>
    </xf>
    <xf numFmtId="15" fontId="18" fillId="7" borderId="23" xfId="0" applyNumberFormat="1" applyFont="1" applyFill="1" applyBorder="1" applyAlignment="1">
      <alignment horizontal="center" vertical="center" wrapText="1"/>
    </xf>
    <xf numFmtId="0" fontId="37" fillId="0" borderId="0" xfId="0" applyFont="1" applyAlignment="1">
      <alignment wrapText="1"/>
    </xf>
    <xf numFmtId="9" fontId="9" fillId="0" borderId="23" xfId="0" applyNumberFormat="1" applyFont="1" applyBorder="1" applyAlignment="1">
      <alignment horizontal="center" vertical="center" wrapText="1"/>
    </xf>
    <xf numFmtId="0" fontId="38" fillId="5" borderId="23" xfId="0" applyFont="1" applyFill="1" applyBorder="1" applyAlignment="1">
      <alignment horizontal="center" vertical="center" wrapText="1"/>
    </xf>
    <xf numFmtId="15" fontId="18" fillId="0" borderId="23" xfId="0" applyNumberFormat="1" applyFont="1" applyBorder="1" applyAlignment="1">
      <alignment horizontal="center" vertical="center" wrapText="1"/>
    </xf>
    <xf numFmtId="0" fontId="1" fillId="18" borderId="34" xfId="0" applyFont="1" applyFill="1" applyBorder="1" applyAlignment="1">
      <alignment horizontal="center" vertical="center" wrapText="1"/>
    </xf>
    <xf numFmtId="164" fontId="9" fillId="12" borderId="23" xfId="0" applyNumberFormat="1" applyFont="1" applyFill="1" applyBorder="1" applyAlignment="1">
      <alignment horizontal="center" vertical="center" wrapText="1"/>
    </xf>
    <xf numFmtId="0" fontId="30" fillId="0" borderId="31" xfId="0" applyFont="1" applyBorder="1" applyAlignment="1">
      <alignment horizontal="center" vertical="center"/>
    </xf>
    <xf numFmtId="167" fontId="19" fillId="5" borderId="23" xfId="0" applyNumberFormat="1" applyFont="1" applyFill="1" applyBorder="1" applyAlignment="1">
      <alignment horizontal="center" vertical="center" wrapText="1"/>
    </xf>
    <xf numFmtId="167" fontId="9" fillId="5" borderId="23" xfId="0" applyNumberFormat="1" applyFont="1" applyFill="1" applyBorder="1" applyAlignment="1">
      <alignment horizontal="center" vertical="center" wrapText="1"/>
    </xf>
    <xf numFmtId="0" fontId="1" fillId="0" borderId="31" xfId="0" applyFont="1" applyBorder="1" applyAlignment="1">
      <alignment horizontal="center" vertical="center"/>
    </xf>
    <xf numFmtId="0" fontId="30" fillId="5" borderId="23" xfId="0" applyFont="1" applyFill="1" applyBorder="1" applyAlignment="1">
      <alignment horizontal="left" vertical="center" wrapText="1"/>
    </xf>
    <xf numFmtId="15" fontId="18" fillId="19" borderId="23" xfId="0" applyNumberFormat="1" applyFont="1" applyFill="1" applyBorder="1" applyAlignment="1">
      <alignment horizontal="center" vertical="center" wrapText="1"/>
    </xf>
    <xf numFmtId="0" fontId="39" fillId="0" borderId="23" xfId="0" applyFont="1" applyBorder="1" applyAlignment="1">
      <alignment horizontal="center" vertical="center" wrapText="1"/>
    </xf>
    <xf numFmtId="0" fontId="39" fillId="0" borderId="23" xfId="0" applyFont="1" applyBorder="1" applyAlignment="1">
      <alignment vertical="center" wrapText="1"/>
    </xf>
    <xf numFmtId="0" fontId="39" fillId="0" borderId="28" xfId="0" applyFont="1" applyBorder="1" applyAlignment="1">
      <alignment horizontal="center" vertical="center" wrapText="1"/>
    </xf>
    <xf numFmtId="0" fontId="37" fillId="0" borderId="23" xfId="0" applyFont="1" applyBorder="1" applyAlignment="1">
      <alignment vertical="center"/>
    </xf>
    <xf numFmtId="0" fontId="37" fillId="10" borderId="23" xfId="0" applyFont="1" applyFill="1" applyBorder="1" applyAlignment="1">
      <alignment vertical="center"/>
    </xf>
    <xf numFmtId="0" fontId="37" fillId="11" borderId="29" xfId="0" applyFont="1" applyFill="1" applyBorder="1" applyAlignment="1">
      <alignment vertical="center"/>
    </xf>
    <xf numFmtId="9" fontId="37" fillId="14" borderId="23" xfId="0" applyNumberFormat="1" applyFont="1" applyFill="1" applyBorder="1" applyAlignment="1">
      <alignment vertical="center"/>
    </xf>
    <xf numFmtId="0" fontId="39" fillId="0" borderId="30" xfId="0" applyFont="1" applyBorder="1" applyAlignment="1">
      <alignment horizontal="center" vertical="center"/>
    </xf>
    <xf numFmtId="0" fontId="40" fillId="5" borderId="23" xfId="0" applyFont="1" applyFill="1" applyBorder="1" applyAlignment="1">
      <alignment horizontal="center" vertical="center" wrapText="1"/>
    </xf>
    <xf numFmtId="1" fontId="41" fillId="5" borderId="23" xfId="0" applyNumberFormat="1" applyFont="1" applyFill="1" applyBorder="1" applyAlignment="1">
      <alignment horizontal="center" vertical="center" wrapText="1"/>
    </xf>
    <xf numFmtId="15" fontId="41" fillId="5" borderId="23" xfId="0" applyNumberFormat="1" applyFont="1" applyFill="1" applyBorder="1" applyAlignment="1">
      <alignment horizontal="center" vertical="center" wrapText="1"/>
    </xf>
    <xf numFmtId="15" fontId="41" fillId="11" borderId="23" xfId="0" applyNumberFormat="1" applyFont="1" applyFill="1" applyBorder="1" applyAlignment="1">
      <alignment horizontal="center" vertical="center" wrapText="1"/>
    </xf>
    <xf numFmtId="15" fontId="37" fillId="5" borderId="23" xfId="0" applyNumberFormat="1" applyFont="1" applyFill="1" applyBorder="1" applyAlignment="1">
      <alignment vertical="center"/>
    </xf>
    <xf numFmtId="0" fontId="39" fillId="12" borderId="23" xfId="0" applyFont="1" applyFill="1" applyBorder="1" applyAlignment="1">
      <alignment horizontal="center" vertical="center" wrapText="1"/>
    </xf>
    <xf numFmtId="0" fontId="37" fillId="12" borderId="23" xfId="0" applyFont="1" applyFill="1" applyBorder="1" applyAlignment="1">
      <alignment vertical="center"/>
    </xf>
    <xf numFmtId="0" fontId="37" fillId="12" borderId="0" xfId="0" applyFont="1" applyFill="1" applyAlignment="1">
      <alignment vertical="center"/>
    </xf>
    <xf numFmtId="0" fontId="37" fillId="5" borderId="23" xfId="0" applyFont="1" applyFill="1" applyBorder="1" applyAlignment="1">
      <alignment vertical="center"/>
    </xf>
    <xf numFmtId="164" fontId="37" fillId="5" borderId="23" xfId="0" applyNumberFormat="1" applyFont="1" applyFill="1" applyBorder="1" applyAlignment="1">
      <alignment vertical="center"/>
    </xf>
    <xf numFmtId="164" fontId="37" fillId="11" borderId="23" xfId="0" applyNumberFormat="1" applyFont="1" applyFill="1" applyBorder="1" applyAlignment="1">
      <alignment vertical="center"/>
    </xf>
    <xf numFmtId="0" fontId="37" fillId="0" borderId="31" xfId="0" applyFont="1" applyBorder="1" applyAlignment="1">
      <alignment vertical="center"/>
    </xf>
    <xf numFmtId="0" fontId="37" fillId="0" borderId="32" xfId="0" applyFont="1" applyBorder="1" applyAlignment="1">
      <alignment vertical="center"/>
    </xf>
    <xf numFmtId="0" fontId="37" fillId="0" borderId="0" xfId="0" applyFont="1" applyAlignment="1">
      <alignment vertical="center"/>
    </xf>
    <xf numFmtId="0" fontId="1" fillId="20" borderId="34" xfId="0" applyFont="1" applyFill="1" applyBorder="1" applyAlignment="1">
      <alignment horizontal="center" vertical="center" wrapText="1"/>
    </xf>
    <xf numFmtId="0" fontId="42" fillId="0" borderId="23" xfId="0" applyFont="1" applyBorder="1" applyAlignment="1">
      <alignment horizontal="center" vertical="center" wrapText="1"/>
    </xf>
    <xf numFmtId="0" fontId="9" fillId="12" borderId="0" xfId="0" applyFont="1" applyFill="1" applyAlignment="1">
      <alignment horizontal="center" vertical="center" wrapText="1"/>
    </xf>
    <xf numFmtId="0" fontId="1" fillId="12" borderId="0" xfId="0" applyFont="1" applyFill="1" applyAlignment="1">
      <alignment horizontal="center" vertical="center"/>
    </xf>
    <xf numFmtId="0" fontId="43" fillId="0" borderId="23" xfId="0" applyFont="1" applyBorder="1" applyAlignment="1">
      <alignment horizontal="center" vertical="center" wrapText="1"/>
    </xf>
    <xf numFmtId="0" fontId="3" fillId="0" borderId="31" xfId="0" applyFont="1" applyBorder="1" applyAlignment="1">
      <alignment horizontal="center" vertical="center"/>
    </xf>
    <xf numFmtId="164" fontId="9" fillId="0" borderId="31" xfId="0" applyNumberFormat="1" applyFont="1" applyBorder="1" applyAlignment="1">
      <alignment horizontal="center" vertical="center"/>
    </xf>
    <xf numFmtId="0" fontId="44" fillId="5" borderId="23" xfId="0" applyFont="1" applyFill="1" applyBorder="1" applyAlignment="1">
      <alignment horizontal="center" vertical="center" wrapText="1"/>
    </xf>
    <xf numFmtId="1" fontId="18" fillId="5" borderId="33" xfId="0" applyNumberFormat="1" applyFont="1" applyFill="1" applyBorder="1" applyAlignment="1">
      <alignment horizontal="center" vertical="center" wrapText="1"/>
    </xf>
    <xf numFmtId="0" fontId="45" fillId="0" borderId="31" xfId="0" applyFont="1" applyBorder="1" applyAlignment="1">
      <alignment horizontal="center" vertical="center"/>
    </xf>
    <xf numFmtId="0" fontId="46" fillId="0" borderId="31" xfId="0" applyFont="1" applyBorder="1" applyAlignment="1">
      <alignment horizontal="center" vertical="center"/>
    </xf>
    <xf numFmtId="0" fontId="1" fillId="7" borderId="31" xfId="0" applyFont="1" applyFill="1" applyBorder="1" applyAlignment="1">
      <alignment horizontal="center" vertical="center"/>
    </xf>
    <xf numFmtId="1" fontId="47" fillId="5" borderId="23" xfId="0" applyNumberFormat="1" applyFont="1" applyFill="1" applyBorder="1" applyAlignment="1">
      <alignment horizontal="center" vertical="center" wrapText="1"/>
    </xf>
    <xf numFmtId="0" fontId="48" fillId="0" borderId="23" xfId="0" applyFont="1" applyBorder="1" applyAlignment="1">
      <alignment horizontal="center" vertical="center"/>
    </xf>
    <xf numFmtId="0" fontId="9" fillId="0" borderId="23" xfId="0" applyFont="1" applyBorder="1" applyAlignment="1">
      <alignment vertical="center" wrapText="1"/>
    </xf>
    <xf numFmtId="0" fontId="16" fillId="21" borderId="34" xfId="0" applyFont="1" applyFill="1" applyBorder="1" applyAlignment="1">
      <alignment horizontal="center" vertical="center" wrapText="1"/>
    </xf>
    <xf numFmtId="0" fontId="49" fillId="5" borderId="23" xfId="0" applyFont="1" applyFill="1" applyBorder="1" applyAlignment="1">
      <alignment horizontal="center" vertical="center" wrapText="1"/>
    </xf>
    <xf numFmtId="1" fontId="50" fillId="5" borderId="23" xfId="0" applyNumberFormat="1" applyFont="1" applyFill="1" applyBorder="1" applyAlignment="1">
      <alignment horizontal="center" vertical="center" wrapText="1"/>
    </xf>
    <xf numFmtId="0" fontId="51" fillId="5" borderId="23" xfId="0" applyFont="1" applyFill="1" applyBorder="1" applyAlignment="1">
      <alignment horizontal="center" vertical="center" wrapText="1"/>
    </xf>
    <xf numFmtId="0" fontId="9" fillId="14" borderId="31" xfId="0" applyFont="1" applyFill="1" applyBorder="1" applyAlignment="1">
      <alignment horizontal="center" vertical="center"/>
    </xf>
    <xf numFmtId="0" fontId="52" fillId="5" borderId="23" xfId="0" applyFont="1" applyFill="1" applyBorder="1" applyAlignment="1">
      <alignment horizontal="center" vertical="center" wrapText="1"/>
    </xf>
    <xf numFmtId="0" fontId="9" fillId="22" borderId="23" xfId="0" applyFont="1" applyFill="1" applyBorder="1" applyAlignment="1">
      <alignment horizontal="center" vertical="center" wrapText="1"/>
    </xf>
    <xf numFmtId="0" fontId="16" fillId="23" borderId="34" xfId="0" applyFont="1" applyFill="1" applyBorder="1" applyAlignment="1">
      <alignment horizontal="center" vertical="center" wrapText="1"/>
    </xf>
    <xf numFmtId="0" fontId="9" fillId="5" borderId="23" xfId="0" applyFont="1" applyFill="1" applyBorder="1" applyAlignment="1">
      <alignment horizontal="left" vertical="center"/>
    </xf>
    <xf numFmtId="0" fontId="1" fillId="12" borderId="23" xfId="0" applyFont="1" applyFill="1" applyBorder="1" applyAlignment="1">
      <alignment vertical="center"/>
    </xf>
    <xf numFmtId="0" fontId="53" fillId="5" borderId="23" xfId="0" applyFont="1" applyFill="1" applyBorder="1" applyAlignment="1">
      <alignment horizontal="center" vertical="center" wrapText="1"/>
    </xf>
    <xf numFmtId="0" fontId="9" fillId="0" borderId="23" xfId="0" applyFont="1" applyBorder="1" applyAlignment="1">
      <alignment vertical="center"/>
    </xf>
    <xf numFmtId="0" fontId="54" fillId="12" borderId="23" xfId="0" applyFont="1" applyFill="1" applyBorder="1" applyAlignment="1">
      <alignment horizontal="center" vertical="center" wrapText="1"/>
    </xf>
    <xf numFmtId="0" fontId="55" fillId="5" borderId="23" xfId="0" applyFont="1" applyFill="1" applyBorder="1" applyAlignment="1">
      <alignment horizontal="center" vertical="center" wrapText="1"/>
    </xf>
    <xf numFmtId="164" fontId="1" fillId="5" borderId="23" xfId="0" applyNumberFormat="1"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24" borderId="34" xfId="0" applyFont="1" applyFill="1" applyBorder="1" applyAlignment="1">
      <alignment horizontal="center" vertical="center" wrapText="1"/>
    </xf>
    <xf numFmtId="0" fontId="46" fillId="12" borderId="23" xfId="0" applyFont="1" applyFill="1" applyBorder="1" applyAlignment="1">
      <alignment vertical="center"/>
    </xf>
    <xf numFmtId="0" fontId="46" fillId="12" borderId="23" xfId="0" applyFont="1" applyFill="1" applyBorder="1" applyAlignment="1">
      <alignment horizontal="center" vertical="center"/>
    </xf>
    <xf numFmtId="9" fontId="9" fillId="0" borderId="23" xfId="0" applyNumberFormat="1" applyFont="1" applyBorder="1" applyAlignment="1">
      <alignment horizontal="center" vertical="center"/>
    </xf>
    <xf numFmtId="0" fontId="56" fillId="5" borderId="23" xfId="0" applyFont="1" applyFill="1" applyBorder="1" applyAlignment="1">
      <alignment horizontal="center" vertical="center"/>
    </xf>
    <xf numFmtId="0" fontId="57" fillId="11" borderId="35" xfId="0" applyFont="1" applyFill="1" applyBorder="1" applyAlignment="1">
      <alignment horizontal="center" vertical="center" wrapText="1"/>
    </xf>
    <xf numFmtId="0" fontId="9" fillId="11" borderId="35" xfId="0" applyFont="1" applyFill="1" applyBorder="1" applyAlignment="1">
      <alignment horizontal="center" vertical="center" wrapText="1"/>
    </xf>
    <xf numFmtId="0" fontId="9" fillId="11" borderId="29" xfId="0" applyFont="1" applyFill="1" applyBorder="1" applyAlignment="1">
      <alignment horizontal="center" vertical="center"/>
    </xf>
    <xf numFmtId="0" fontId="9" fillId="0" borderId="30"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left"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10" borderId="36" xfId="0" applyFont="1" applyFill="1" applyBorder="1" applyAlignment="1">
      <alignment horizontal="center" vertical="center" wrapText="1"/>
    </xf>
    <xf numFmtId="0" fontId="9" fillId="11" borderId="39" xfId="0" applyFont="1" applyFill="1" applyBorder="1" applyAlignment="1">
      <alignment horizontal="center" vertical="center" wrapText="1"/>
    </xf>
    <xf numFmtId="9" fontId="9" fillId="7" borderId="36" xfId="0" applyNumberFormat="1" applyFont="1" applyFill="1" applyBorder="1" applyAlignment="1">
      <alignment horizontal="center" vertical="center" wrapText="1"/>
    </xf>
    <xf numFmtId="0" fontId="9" fillId="0" borderId="38" xfId="0" applyFont="1" applyBorder="1" applyAlignment="1">
      <alignment horizontal="center" vertical="center"/>
    </xf>
    <xf numFmtId="0" fontId="58" fillId="5" borderId="36" xfId="0" applyFont="1" applyFill="1" applyBorder="1" applyAlignment="1">
      <alignment horizontal="center" vertical="center" wrapText="1"/>
    </xf>
    <xf numFmtId="1" fontId="18" fillId="5" borderId="36" xfId="0" applyNumberFormat="1" applyFont="1" applyFill="1" applyBorder="1" applyAlignment="1">
      <alignment horizontal="center" vertical="center" wrapText="1"/>
    </xf>
    <xf numFmtId="15" fontId="18" fillId="5" borderId="36" xfId="0" applyNumberFormat="1" applyFont="1" applyFill="1" applyBorder="1" applyAlignment="1">
      <alignment horizontal="center" vertical="center" wrapText="1"/>
    </xf>
    <xf numFmtId="15" fontId="18" fillId="11" borderId="36" xfId="0" applyNumberFormat="1" applyFont="1" applyFill="1" applyBorder="1" applyAlignment="1">
      <alignment horizontal="center" vertical="center" wrapText="1"/>
    </xf>
    <xf numFmtId="0" fontId="9" fillId="12" borderId="36" xfId="0" applyFont="1" applyFill="1" applyBorder="1" applyAlignment="1">
      <alignment horizontal="center" vertical="center" wrapText="1"/>
    </xf>
    <xf numFmtId="0" fontId="59" fillId="5" borderId="36" xfId="0" applyFont="1" applyFill="1" applyBorder="1" applyAlignment="1">
      <alignment horizontal="center" vertical="center" wrapText="1"/>
    </xf>
    <xf numFmtId="164" fontId="18" fillId="5" borderId="36" xfId="0" applyNumberFormat="1" applyFont="1" applyFill="1" applyBorder="1" applyAlignment="1">
      <alignment horizontal="center" vertical="center" wrapText="1"/>
    </xf>
    <xf numFmtId="0" fontId="18" fillId="5" borderId="36" xfId="0" applyFont="1" applyFill="1" applyBorder="1" applyAlignment="1">
      <alignment horizontal="center" vertical="center" wrapText="1"/>
    </xf>
    <xf numFmtId="164" fontId="18" fillId="11" borderId="36" xfId="0" applyNumberFormat="1" applyFont="1" applyFill="1" applyBorder="1" applyAlignment="1">
      <alignment horizontal="center" vertical="center" wrapText="1"/>
    </xf>
    <xf numFmtId="0" fontId="1" fillId="12" borderId="36" xfId="0" applyFont="1" applyFill="1" applyBorder="1" applyAlignment="1">
      <alignment horizontal="center" vertical="center" wrapText="1"/>
    </xf>
    <xf numFmtId="0" fontId="1" fillId="0" borderId="40" xfId="0" applyFont="1" applyBorder="1" applyAlignment="1">
      <alignment horizontal="center" vertical="center"/>
    </xf>
    <xf numFmtId="0" fontId="9" fillId="0" borderId="41"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42" xfId="0" applyFont="1" applyBorder="1" applyAlignment="1">
      <alignment horizontal="left" vertical="center" wrapText="1"/>
    </xf>
    <xf numFmtId="0" fontId="9" fillId="10" borderId="42" xfId="0" applyFont="1" applyFill="1" applyBorder="1" applyAlignment="1">
      <alignment horizontal="center" vertical="center" wrapText="1"/>
    </xf>
    <xf numFmtId="0" fontId="9" fillId="11" borderId="42" xfId="0" applyFont="1" applyFill="1" applyBorder="1" applyAlignment="1">
      <alignment horizontal="center" vertical="center" wrapText="1"/>
    </xf>
    <xf numFmtId="9" fontId="9" fillId="7" borderId="42" xfId="0" applyNumberFormat="1" applyFont="1" applyFill="1" applyBorder="1" applyAlignment="1">
      <alignment horizontal="center" vertical="center" wrapText="1"/>
    </xf>
    <xf numFmtId="0" fontId="9" fillId="0" borderId="42" xfId="0" applyFont="1" applyBorder="1" applyAlignment="1">
      <alignment horizontal="center" vertical="center"/>
    </xf>
    <xf numFmtId="0" fontId="60" fillId="5" borderId="42" xfId="0" applyFont="1" applyFill="1" applyBorder="1" applyAlignment="1">
      <alignment horizontal="center" vertical="center" wrapText="1"/>
    </xf>
    <xf numFmtId="1" fontId="18" fillId="5" borderId="42" xfId="0" applyNumberFormat="1" applyFont="1" applyFill="1" applyBorder="1" applyAlignment="1">
      <alignment horizontal="center" vertical="center" wrapText="1"/>
    </xf>
    <xf numFmtId="15" fontId="18" fillId="5" borderId="42" xfId="0" applyNumberFormat="1" applyFont="1" applyFill="1" applyBorder="1" applyAlignment="1">
      <alignment horizontal="center" vertical="center" wrapText="1"/>
    </xf>
    <xf numFmtId="15" fontId="18" fillId="11" borderId="42" xfId="0" applyNumberFormat="1" applyFont="1" applyFill="1" applyBorder="1" applyAlignment="1">
      <alignment horizontal="center" vertical="center" wrapText="1"/>
    </xf>
    <xf numFmtId="0" fontId="9" fillId="12" borderId="42" xfId="0" applyFont="1" applyFill="1" applyBorder="1" applyAlignment="1">
      <alignment horizontal="center" vertical="center" wrapText="1"/>
    </xf>
    <xf numFmtId="164" fontId="18" fillId="5" borderId="42" xfId="0" applyNumberFormat="1" applyFont="1" applyFill="1" applyBorder="1" applyAlignment="1">
      <alignment horizontal="center" vertical="center" wrapText="1"/>
    </xf>
    <xf numFmtId="0" fontId="18" fillId="5" borderId="42" xfId="0" applyFont="1" applyFill="1" applyBorder="1" applyAlignment="1">
      <alignment horizontal="center" vertical="center" wrapText="1"/>
    </xf>
    <xf numFmtId="164" fontId="18" fillId="11" borderId="42" xfId="0" applyNumberFormat="1" applyFont="1" applyFill="1" applyBorder="1" applyAlignment="1">
      <alignment horizontal="center" vertical="center" wrapText="1"/>
    </xf>
    <xf numFmtId="0" fontId="1" fillId="12" borderId="42" xfId="0" applyFont="1" applyFill="1" applyBorder="1" applyAlignment="1">
      <alignment horizontal="center" vertical="center" wrapText="1"/>
    </xf>
    <xf numFmtId="49" fontId="9" fillId="0" borderId="42" xfId="0" applyNumberFormat="1" applyFont="1" applyBorder="1" applyAlignment="1">
      <alignment horizontal="center" vertical="center" wrapText="1"/>
    </xf>
    <xf numFmtId="0" fontId="61" fillId="5" borderId="42" xfId="0" applyFont="1" applyFill="1" applyBorder="1" applyAlignment="1">
      <alignment horizontal="center" vertical="center" wrapText="1"/>
    </xf>
    <xf numFmtId="0" fontId="9" fillId="12" borderId="42" xfId="0" applyFont="1" applyFill="1" applyBorder="1" applyAlignment="1">
      <alignment horizontal="center" vertical="center"/>
    </xf>
    <xf numFmtId="0" fontId="33" fillId="0" borderId="42" xfId="0" applyFont="1" applyBorder="1" applyAlignment="1">
      <alignment horizontal="center" vertical="center" wrapText="1"/>
    </xf>
    <xf numFmtId="0" fontId="10" fillId="7" borderId="43" xfId="0" applyFont="1" applyFill="1" applyBorder="1"/>
    <xf numFmtId="0" fontId="62" fillId="25" borderId="44" xfId="0" applyFont="1" applyFill="1" applyBorder="1" applyAlignment="1">
      <alignment horizontal="center" vertical="center" wrapText="1"/>
    </xf>
    <xf numFmtId="0" fontId="62" fillId="3" borderId="44" xfId="0" applyFont="1" applyFill="1" applyBorder="1" applyAlignment="1">
      <alignment horizontal="center" vertical="center" wrapText="1"/>
    </xf>
    <xf numFmtId="15" fontId="62" fillId="3" borderId="45" xfId="0" applyNumberFormat="1" applyFont="1" applyFill="1" applyBorder="1" applyAlignment="1">
      <alignment horizontal="center" vertical="center" wrapText="1"/>
    </xf>
    <xf numFmtId="0" fontId="62" fillId="3" borderId="46" xfId="0" applyFont="1" applyFill="1" applyBorder="1" applyAlignment="1">
      <alignment horizontal="center" vertical="center" wrapText="1"/>
    </xf>
    <xf numFmtId="0" fontId="62" fillId="3" borderId="47" xfId="0" applyFont="1" applyFill="1" applyBorder="1" applyAlignment="1">
      <alignment horizontal="center" vertical="center" wrapText="1"/>
    </xf>
    <xf numFmtId="0" fontId="63" fillId="3" borderId="48" xfId="0" applyFont="1" applyFill="1" applyBorder="1" applyAlignment="1">
      <alignment horizontal="center" vertical="center" wrapText="1"/>
    </xf>
    <xf numFmtId="0" fontId="63" fillId="3" borderId="49" xfId="0" applyFont="1" applyFill="1" applyBorder="1" applyAlignment="1">
      <alignment horizontal="center" vertical="center" wrapText="1"/>
    </xf>
    <xf numFmtId="0" fontId="62" fillId="3" borderId="48" xfId="0" applyFont="1" applyFill="1" applyBorder="1" applyAlignment="1">
      <alignment horizontal="center" vertical="center" wrapText="1"/>
    </xf>
    <xf numFmtId="0" fontId="10" fillId="0" borderId="50" xfId="0" applyFont="1" applyBorder="1" applyAlignment="1">
      <alignment horizontal="center" vertical="center"/>
    </xf>
    <xf numFmtId="0" fontId="10" fillId="0" borderId="50" xfId="0" applyFont="1" applyBorder="1" applyAlignment="1">
      <alignment horizontal="left" vertical="center"/>
    </xf>
    <xf numFmtId="15" fontId="10" fillId="26" borderId="48" xfId="0" applyNumberFormat="1" applyFont="1" applyFill="1" applyBorder="1" applyAlignment="1">
      <alignment horizontal="center" vertical="center"/>
    </xf>
    <xf numFmtId="0" fontId="10" fillId="26" borderId="51" xfId="0" applyFont="1" applyFill="1" applyBorder="1" applyAlignment="1">
      <alignment horizontal="center" vertical="center"/>
    </xf>
    <xf numFmtId="0" fontId="10" fillId="0" borderId="48" xfId="0" applyFont="1" applyBorder="1" applyAlignment="1">
      <alignment horizontal="center" vertical="center"/>
    </xf>
    <xf numFmtId="15" fontId="10" fillId="27" borderId="48" xfId="0" applyNumberFormat="1" applyFont="1" applyFill="1" applyBorder="1" applyAlignment="1">
      <alignment horizontal="center" vertical="center"/>
    </xf>
    <xf numFmtId="0" fontId="10" fillId="27" borderId="48" xfId="0" applyFont="1" applyFill="1" applyBorder="1" applyAlignment="1">
      <alignment horizontal="center" vertical="center"/>
    </xf>
    <xf numFmtId="0" fontId="10" fillId="0" borderId="48" xfId="0" applyFont="1" applyBorder="1" applyAlignment="1">
      <alignment wrapText="1"/>
    </xf>
    <xf numFmtId="0" fontId="10" fillId="27" borderId="52" xfId="0" applyFont="1" applyFill="1" applyBorder="1" applyAlignment="1">
      <alignment horizontal="center" vertical="center"/>
    </xf>
    <xf numFmtId="0" fontId="63" fillId="25" borderId="44" xfId="0" applyFont="1" applyFill="1" applyBorder="1" applyAlignment="1">
      <alignment horizontal="center" vertical="center" wrapText="1"/>
    </xf>
    <xf numFmtId="0" fontId="63" fillId="3" borderId="45" xfId="0" applyFont="1" applyFill="1" applyBorder="1" applyAlignment="1">
      <alignment horizontal="center" vertical="center" wrapText="1"/>
    </xf>
    <xf numFmtId="0" fontId="63" fillId="3" borderId="46" xfId="0" applyFont="1" applyFill="1" applyBorder="1" applyAlignment="1">
      <alignment horizontal="center" vertical="center" wrapText="1"/>
    </xf>
    <xf numFmtId="0" fontId="63" fillId="3" borderId="47" xfId="0" applyFont="1" applyFill="1" applyBorder="1" applyAlignment="1">
      <alignment horizontal="center" vertical="center" wrapText="1"/>
    </xf>
    <xf numFmtId="0" fontId="64" fillId="0" borderId="0" xfId="0" applyFont="1" applyAlignment="1">
      <alignment wrapText="1"/>
    </xf>
    <xf numFmtId="0" fontId="1" fillId="0" borderId="53" xfId="0" applyFont="1" applyBorder="1" applyAlignment="1">
      <alignment vertical="center" wrapText="1"/>
    </xf>
    <xf numFmtId="0" fontId="1" fillId="0" borderId="54" xfId="0" applyFont="1" applyBorder="1" applyAlignment="1">
      <alignment vertical="center" wrapText="1"/>
    </xf>
    <xf numFmtId="0" fontId="1" fillId="0" borderId="53" xfId="0" applyFont="1" applyBorder="1" applyAlignment="1">
      <alignment wrapText="1"/>
    </xf>
    <xf numFmtId="0" fontId="1" fillId="0" borderId="55" xfId="0" applyFont="1" applyBorder="1" applyAlignment="1">
      <alignment wrapText="1"/>
    </xf>
    <xf numFmtId="0" fontId="13" fillId="3" borderId="56" xfId="0" applyFont="1" applyFill="1" applyBorder="1" applyAlignment="1">
      <alignment horizontal="center" vertical="center" wrapText="1"/>
    </xf>
    <xf numFmtId="0" fontId="16" fillId="3" borderId="57" xfId="0" applyFont="1" applyFill="1" applyBorder="1" applyAlignment="1">
      <alignment horizontal="center" vertical="center" wrapText="1"/>
    </xf>
    <xf numFmtId="0" fontId="13" fillId="4" borderId="58" xfId="0" applyFont="1" applyFill="1" applyBorder="1" applyAlignment="1">
      <alignment horizontal="center" vertical="center" wrapText="1"/>
    </xf>
    <xf numFmtId="0" fontId="16" fillId="4" borderId="58" xfId="0" applyFont="1" applyFill="1" applyBorder="1" applyAlignment="1">
      <alignment horizontal="center" vertical="center" wrapText="1"/>
    </xf>
    <xf numFmtId="0" fontId="13" fillId="4" borderId="59" xfId="0" applyFont="1" applyFill="1" applyBorder="1" applyAlignment="1">
      <alignment horizontal="center" vertical="center" wrapText="1"/>
    </xf>
    <xf numFmtId="0" fontId="13" fillId="4" borderId="48" xfId="0" applyFont="1" applyFill="1" applyBorder="1" applyAlignment="1">
      <alignment horizontal="center" vertical="center" wrapText="1"/>
    </xf>
    <xf numFmtId="0" fontId="65" fillId="17" borderId="48" xfId="0" applyFont="1" applyFill="1" applyBorder="1" applyAlignment="1">
      <alignment horizontal="center" vertical="center" wrapText="1"/>
    </xf>
    <xf numFmtId="0" fontId="65" fillId="28" borderId="48" xfId="0" applyFont="1" applyFill="1" applyBorder="1" applyAlignment="1">
      <alignment horizontal="center" vertical="center" wrapText="1"/>
    </xf>
    <xf numFmtId="0" fontId="65" fillId="10" borderId="48" xfId="0" applyFont="1" applyFill="1" applyBorder="1" applyAlignment="1">
      <alignment horizontal="center" vertical="center" wrapText="1"/>
    </xf>
    <xf numFmtId="0" fontId="68" fillId="10" borderId="48" xfId="0" applyFont="1" applyFill="1" applyBorder="1" applyAlignment="1">
      <alignment horizontal="center" vertical="center" wrapText="1"/>
    </xf>
    <xf numFmtId="0" fontId="65" fillId="5" borderId="48" xfId="0" applyFont="1" applyFill="1" applyBorder="1" applyAlignment="1">
      <alignment horizontal="center" vertical="center" wrapText="1"/>
    </xf>
    <xf numFmtId="0" fontId="69" fillId="5" borderId="48" xfId="0" applyFont="1" applyFill="1" applyBorder="1" applyAlignment="1">
      <alignment horizontal="center" vertical="center" wrapText="1"/>
    </xf>
    <xf numFmtId="0" fontId="1" fillId="17" borderId="48" xfId="0" applyFont="1" applyFill="1" applyBorder="1" applyAlignment="1">
      <alignment horizontal="center" wrapText="1"/>
    </xf>
    <xf numFmtId="0" fontId="70" fillId="17" borderId="48" xfId="0" applyFont="1" applyFill="1" applyBorder="1" applyAlignment="1">
      <alignment horizontal="center" vertical="center" wrapText="1"/>
    </xf>
    <xf numFmtId="0" fontId="65" fillId="11" borderId="48" xfId="0" applyFont="1" applyFill="1" applyBorder="1" applyAlignment="1">
      <alignment horizontal="center" vertical="center" wrapText="1"/>
    </xf>
    <xf numFmtId="0" fontId="71" fillId="11" borderId="48" xfId="0" applyFont="1" applyFill="1" applyBorder="1" applyAlignment="1">
      <alignment horizontal="center" vertical="center" wrapText="1"/>
    </xf>
    <xf numFmtId="0" fontId="72" fillId="28" borderId="48" xfId="0" applyFont="1" applyFill="1" applyBorder="1" applyAlignment="1">
      <alignment horizontal="center" vertical="center" wrapText="1"/>
    </xf>
    <xf numFmtId="0" fontId="65" fillId="29" borderId="48" xfId="0" applyFont="1" applyFill="1" applyBorder="1" applyAlignment="1">
      <alignment horizontal="center" vertical="center" wrapText="1"/>
    </xf>
    <xf numFmtId="0" fontId="18" fillId="30" borderId="65" xfId="0" applyFont="1" applyFill="1" applyBorder="1" applyAlignment="1">
      <alignment horizontal="center" vertical="center" wrapText="1"/>
    </xf>
    <xf numFmtId="0" fontId="13" fillId="30" borderId="66" xfId="0" applyFont="1" applyFill="1" applyBorder="1" applyAlignment="1">
      <alignment horizontal="center" vertical="center" wrapText="1"/>
    </xf>
    <xf numFmtId="0" fontId="13" fillId="30" borderId="67" xfId="0" applyFont="1" applyFill="1" applyBorder="1" applyAlignment="1">
      <alignment horizontal="center" vertical="center" wrapText="1"/>
    </xf>
    <xf numFmtId="0" fontId="13" fillId="30" borderId="48" xfId="0" applyFont="1" applyFill="1" applyBorder="1" applyAlignment="1">
      <alignment horizontal="center" vertical="center" wrapText="1"/>
    </xf>
    <xf numFmtId="0" fontId="73" fillId="4" borderId="48" xfId="0" applyFont="1" applyFill="1" applyBorder="1" applyAlignment="1">
      <alignment horizontal="center" vertical="center" wrapText="1"/>
    </xf>
    <xf numFmtId="0" fontId="1" fillId="0" borderId="68" xfId="0" applyFont="1" applyBorder="1" applyAlignment="1">
      <alignment vertical="center"/>
    </xf>
    <xf numFmtId="0" fontId="1" fillId="0" borderId="69" xfId="0" applyFont="1" applyBorder="1" applyAlignment="1">
      <alignment vertical="center"/>
    </xf>
    <xf numFmtId="0" fontId="1" fillId="0" borderId="68" xfId="0" applyFont="1" applyBorder="1" applyAlignment="1">
      <alignment horizontal="center" vertical="center"/>
    </xf>
    <xf numFmtId="0" fontId="18" fillId="0" borderId="69" xfId="0" applyFont="1" applyBorder="1" applyAlignment="1">
      <alignment vertical="center"/>
    </xf>
    <xf numFmtId="0" fontId="74" fillId="0" borderId="69" xfId="0" applyFont="1" applyBorder="1" applyAlignment="1">
      <alignment horizontal="center" vertical="center"/>
    </xf>
    <xf numFmtId="0" fontId="3" fillId="0" borderId="70" xfId="0" applyFont="1" applyBorder="1"/>
    <xf numFmtId="0" fontId="13" fillId="3" borderId="31" xfId="0" applyFont="1" applyFill="1" applyBorder="1" applyAlignment="1">
      <alignment horizontal="center" vertical="center" wrapText="1"/>
    </xf>
    <xf numFmtId="0" fontId="13" fillId="4" borderId="31" xfId="0" applyFont="1" applyFill="1" applyBorder="1" applyAlignment="1">
      <alignment horizontal="center" vertical="center" wrapText="1"/>
    </xf>
    <xf numFmtId="0" fontId="75" fillId="9" borderId="31" xfId="0" applyFont="1" applyFill="1" applyBorder="1" applyAlignment="1">
      <alignment horizontal="center" vertical="center" wrapText="1"/>
    </xf>
    <xf numFmtId="0" fontId="9" fillId="5" borderId="31" xfId="0" applyFont="1" applyFill="1" applyBorder="1" applyAlignment="1">
      <alignment horizontal="left" vertical="center" wrapText="1"/>
    </xf>
    <xf numFmtId="0" fontId="9" fillId="5" borderId="31" xfId="0" applyFont="1" applyFill="1" applyBorder="1" applyAlignment="1">
      <alignment horizontal="center" vertical="center" wrapText="1"/>
    </xf>
    <xf numFmtId="0" fontId="13" fillId="9" borderId="31" xfId="0" applyFont="1" applyFill="1" applyBorder="1" applyAlignment="1">
      <alignment horizontal="center" vertical="center" wrapText="1"/>
    </xf>
    <xf numFmtId="0" fontId="75" fillId="13" borderId="31" xfId="0" applyFont="1" applyFill="1" applyBorder="1" applyAlignment="1">
      <alignment horizontal="center" vertical="center" wrapText="1"/>
    </xf>
    <xf numFmtId="0" fontId="13" fillId="13" borderId="31" xfId="0" applyFont="1" applyFill="1" applyBorder="1" applyAlignment="1">
      <alignment horizontal="center" vertical="center" wrapText="1"/>
    </xf>
    <xf numFmtId="0" fontId="75" fillId="15" borderId="31" xfId="0" applyFont="1" applyFill="1" applyBorder="1" applyAlignment="1">
      <alignment horizontal="center" vertical="center" wrapText="1"/>
    </xf>
    <xf numFmtId="0" fontId="13" fillId="15" borderId="31" xfId="0" applyFont="1" applyFill="1" applyBorder="1" applyAlignment="1">
      <alignment horizontal="center" vertical="center" wrapText="1"/>
    </xf>
    <xf numFmtId="0" fontId="9" fillId="20" borderId="31" xfId="0" applyFont="1" applyFill="1" applyBorder="1" applyAlignment="1">
      <alignment horizontal="center" vertical="center" wrapText="1"/>
    </xf>
    <xf numFmtId="0" fontId="1" fillId="20" borderId="31" xfId="0" applyFont="1" applyFill="1" applyBorder="1" applyAlignment="1">
      <alignment horizontal="center" vertical="center" wrapText="1"/>
    </xf>
    <xf numFmtId="0" fontId="9" fillId="18" borderId="31" xfId="0" applyFont="1" applyFill="1" applyBorder="1" applyAlignment="1">
      <alignment horizontal="center" vertical="center" wrapText="1"/>
    </xf>
    <xf numFmtId="0" fontId="1" fillId="18" borderId="31" xfId="0" applyFont="1" applyFill="1" applyBorder="1" applyAlignment="1">
      <alignment horizontal="center" vertical="center" wrapText="1"/>
    </xf>
    <xf numFmtId="0" fontId="75" fillId="16" borderId="31" xfId="0" applyFont="1" applyFill="1" applyBorder="1" applyAlignment="1">
      <alignment horizontal="center" vertical="center" wrapText="1"/>
    </xf>
    <xf numFmtId="0" fontId="13" fillId="16" borderId="31" xfId="0" applyFont="1" applyFill="1" applyBorder="1" applyAlignment="1">
      <alignment horizontal="center" vertical="center" wrapText="1"/>
    </xf>
    <xf numFmtId="0" fontId="9" fillId="7" borderId="31" xfId="0" applyFont="1" applyFill="1" applyBorder="1" applyAlignment="1">
      <alignment horizontal="center" vertical="center" wrapText="1"/>
    </xf>
    <xf numFmtId="0" fontId="75" fillId="31" borderId="31" xfId="0" applyFont="1" applyFill="1" applyBorder="1" applyAlignment="1">
      <alignment horizontal="center" vertical="center" wrapText="1"/>
    </xf>
    <xf numFmtId="0" fontId="13" fillId="31" borderId="31" xfId="0" applyFont="1" applyFill="1" applyBorder="1" applyAlignment="1">
      <alignment horizontal="center" vertical="center" wrapText="1"/>
    </xf>
    <xf numFmtId="0" fontId="75" fillId="32" borderId="31" xfId="0" applyFont="1" applyFill="1" applyBorder="1" applyAlignment="1">
      <alignment horizontal="center" vertical="center" wrapText="1"/>
    </xf>
    <xf numFmtId="0" fontId="13" fillId="32" borderId="31" xfId="0" applyFont="1" applyFill="1" applyBorder="1" applyAlignment="1">
      <alignment horizontal="center" vertical="center" wrapText="1"/>
    </xf>
    <xf numFmtId="0" fontId="9" fillId="24" borderId="31" xfId="0" applyFont="1" applyFill="1" applyBorder="1" applyAlignment="1">
      <alignment horizontal="center" vertical="center" wrapText="1"/>
    </xf>
    <xf numFmtId="0" fontId="1" fillId="24" borderId="31" xfId="0" applyFont="1" applyFill="1" applyBorder="1" applyAlignment="1">
      <alignment horizontal="center" vertical="center" wrapText="1"/>
    </xf>
    <xf numFmtId="0" fontId="76" fillId="4" borderId="31" xfId="0" applyFont="1" applyFill="1" applyBorder="1" applyAlignment="1">
      <alignment horizontal="center" vertical="center" wrapText="1"/>
    </xf>
    <xf numFmtId="0" fontId="76" fillId="3" borderId="31" xfId="0" applyFont="1" applyFill="1" applyBorder="1" applyAlignment="1">
      <alignment horizontal="center" vertical="center" wrapText="1"/>
    </xf>
    <xf numFmtId="0" fontId="9" fillId="0" borderId="73" xfId="0" applyFont="1" applyBorder="1" applyAlignment="1">
      <alignment horizontal="center"/>
    </xf>
    <xf numFmtId="0" fontId="1" fillId="0" borderId="73" xfId="0" applyFont="1" applyBorder="1"/>
    <xf numFmtId="0" fontId="9" fillId="0" borderId="0" xfId="0" applyFont="1"/>
    <xf numFmtId="0" fontId="9" fillId="0" borderId="0" xfId="0" applyFont="1" applyAlignment="1">
      <alignment horizontal="center"/>
    </xf>
    <xf numFmtId="9" fontId="77" fillId="5" borderId="5" xfId="0" applyNumberFormat="1" applyFont="1" applyFill="1" applyBorder="1" applyAlignment="1">
      <alignment horizontal="center" vertical="center"/>
    </xf>
    <xf numFmtId="9" fontId="77" fillId="33" borderId="5" xfId="0" applyNumberFormat="1" applyFont="1" applyFill="1" applyBorder="1" applyAlignment="1">
      <alignment horizontal="center" vertical="center"/>
    </xf>
    <xf numFmtId="0" fontId="9" fillId="0" borderId="54" xfId="0" applyFont="1" applyBorder="1" applyAlignment="1">
      <alignment vertical="center"/>
    </xf>
    <xf numFmtId="0" fontId="9" fillId="0" borderId="54" xfId="0" applyFont="1" applyBorder="1" applyAlignment="1">
      <alignment horizontal="center" vertical="center"/>
    </xf>
    <xf numFmtId="0" fontId="9" fillId="0" borderId="74" xfId="0" applyFont="1" applyBorder="1" applyAlignment="1">
      <alignment vertical="center"/>
    </xf>
    <xf numFmtId="0" fontId="9" fillId="0" borderId="75" xfId="0" applyFont="1" applyBorder="1" applyAlignment="1">
      <alignment horizontal="center" vertical="center"/>
    </xf>
    <xf numFmtId="9" fontId="13" fillId="3" borderId="26" xfId="0" applyNumberFormat="1" applyFont="1" applyFill="1" applyBorder="1" applyAlignment="1">
      <alignment horizontal="center" vertical="center"/>
    </xf>
    <xf numFmtId="9" fontId="78" fillId="3" borderId="26" xfId="0" applyNumberFormat="1" applyFont="1" applyFill="1" applyBorder="1" applyAlignment="1">
      <alignment horizontal="center" vertical="center"/>
    </xf>
    <xf numFmtId="0" fontId="9" fillId="0" borderId="54" xfId="0" applyFont="1" applyBorder="1"/>
    <xf numFmtId="0" fontId="1" fillId="0" borderId="54" xfId="0" applyFont="1" applyBorder="1" applyAlignment="1">
      <alignment vertical="center"/>
    </xf>
    <xf numFmtId="0" fontId="1" fillId="0" borderId="54" xfId="0" applyFont="1" applyBorder="1" applyAlignment="1">
      <alignment horizontal="center" vertical="center"/>
    </xf>
    <xf numFmtId="0" fontId="1" fillId="0" borderId="76" xfId="0" applyFont="1" applyBorder="1" applyAlignment="1">
      <alignment vertical="center"/>
    </xf>
    <xf numFmtId="0" fontId="18" fillId="0" borderId="48" xfId="0" applyFont="1" applyBorder="1" applyAlignment="1">
      <alignment horizontal="center" vertical="center"/>
    </xf>
    <xf numFmtId="0" fontId="66" fillId="5" borderId="48" xfId="0" applyFont="1" applyFill="1" applyBorder="1" applyAlignment="1">
      <alignment horizontal="center" vertical="center"/>
    </xf>
    <xf numFmtId="1" fontId="66" fillId="5" borderId="48" xfId="0" applyNumberFormat="1" applyFont="1" applyFill="1" applyBorder="1" applyAlignment="1">
      <alignment horizontal="center" vertical="center"/>
    </xf>
    <xf numFmtId="9" fontId="18" fillId="8" borderId="48" xfId="0" applyNumberFormat="1" applyFont="1" applyFill="1" applyBorder="1" applyAlignment="1">
      <alignment horizontal="center" vertical="center"/>
    </xf>
    <xf numFmtId="1" fontId="66" fillId="5" borderId="48" xfId="0" applyNumberFormat="1" applyFont="1" applyFill="1" applyBorder="1" applyAlignment="1">
      <alignment horizontal="center"/>
    </xf>
    <xf numFmtId="9" fontId="18" fillId="8" borderId="48" xfId="0" applyNumberFormat="1" applyFont="1" applyFill="1" applyBorder="1" applyAlignment="1">
      <alignment horizontal="center"/>
    </xf>
    <xf numFmtId="0" fontId="79" fillId="0" borderId="54" xfId="0" applyFont="1" applyBorder="1" applyAlignment="1">
      <alignment horizontal="center" vertical="center"/>
    </xf>
    <xf numFmtId="0" fontId="1" fillId="0" borderId="77" xfId="0" applyFont="1" applyBorder="1" applyAlignment="1">
      <alignment vertical="center"/>
    </xf>
    <xf numFmtId="0" fontId="9" fillId="0" borderId="77" xfId="0" applyFont="1" applyBorder="1"/>
    <xf numFmtId="0" fontId="80" fillId="0" borderId="77" xfId="0" applyFont="1" applyBorder="1" applyAlignment="1">
      <alignment horizontal="center" vertical="center"/>
    </xf>
    <xf numFmtId="0" fontId="1" fillId="0" borderId="77" xfId="0" applyFont="1" applyBorder="1" applyAlignment="1">
      <alignment horizontal="center" vertical="center"/>
    </xf>
    <xf numFmtId="0" fontId="1" fillId="0" borderId="78" xfId="0" applyFont="1" applyBorder="1" applyAlignment="1">
      <alignment vertical="center"/>
    </xf>
    <xf numFmtId="0" fontId="18" fillId="0" borderId="60" xfId="0" applyFont="1" applyBorder="1" applyAlignment="1">
      <alignment horizontal="center" vertical="center"/>
    </xf>
    <xf numFmtId="1" fontId="66" fillId="5" borderId="52" xfId="0" applyNumberFormat="1" applyFont="1" applyFill="1" applyBorder="1" applyAlignment="1">
      <alignment horizontal="center"/>
    </xf>
    <xf numFmtId="0" fontId="66" fillId="5" borderId="52" xfId="0" applyFont="1" applyFill="1" applyBorder="1" applyAlignment="1">
      <alignment horizontal="center" vertical="center"/>
    </xf>
    <xf numFmtId="1" fontId="66" fillId="5" borderId="52" xfId="0" applyNumberFormat="1" applyFont="1" applyFill="1" applyBorder="1" applyAlignment="1">
      <alignment horizontal="center" vertical="center"/>
    </xf>
    <xf numFmtId="9" fontId="18" fillId="8" borderId="52" xfId="0" applyNumberFormat="1" applyFont="1" applyFill="1" applyBorder="1" applyAlignment="1">
      <alignment horizontal="center"/>
    </xf>
    <xf numFmtId="9" fontId="1" fillId="34" borderId="48" xfId="0" applyNumberFormat="1" applyFont="1" applyFill="1" applyBorder="1" applyAlignment="1">
      <alignment horizontal="center"/>
    </xf>
    <xf numFmtId="0" fontId="3" fillId="0" borderId="77" xfId="0" applyFont="1" applyBorder="1"/>
    <xf numFmtId="0" fontId="3" fillId="0" borderId="77" xfId="0" applyFont="1" applyBorder="1" applyAlignment="1">
      <alignment horizontal="center" vertical="center"/>
    </xf>
    <xf numFmtId="0" fontId="3" fillId="0" borderId="54" xfId="0" applyFont="1" applyBorder="1"/>
    <xf numFmtId="0" fontId="13" fillId="3" borderId="23" xfId="0" applyFont="1" applyFill="1" applyBorder="1" applyAlignment="1">
      <alignment horizontal="center" vertical="center" wrapText="1"/>
    </xf>
    <xf numFmtId="166" fontId="13" fillId="8" borderId="23" xfId="0" applyNumberFormat="1" applyFont="1" applyFill="1" applyBorder="1" applyAlignment="1">
      <alignment horizontal="center" vertical="center" wrapText="1"/>
    </xf>
    <xf numFmtId="0" fontId="3" fillId="0" borderId="69" xfId="0" applyFont="1" applyBorder="1"/>
    <xf numFmtId="0" fontId="9" fillId="9" borderId="23" xfId="0" applyFont="1" applyFill="1" applyBorder="1" applyAlignment="1">
      <alignment horizontal="center" vertical="center" wrapText="1"/>
    </xf>
    <xf numFmtId="0" fontId="81" fillId="5" borderId="23" xfId="0" applyFont="1" applyFill="1" applyBorder="1" applyAlignment="1">
      <alignment horizontal="center" vertical="center" wrapText="1"/>
    </xf>
    <xf numFmtId="0" fontId="82" fillId="5" borderId="23" xfId="0" applyFont="1" applyFill="1" applyBorder="1" applyAlignment="1">
      <alignment horizontal="center" vertical="center" wrapText="1"/>
    </xf>
    <xf numFmtId="165" fontId="9" fillId="5" borderId="23" xfId="0" applyNumberFormat="1" applyFont="1" applyFill="1" applyBorder="1" applyAlignment="1">
      <alignment horizontal="center" vertical="center" wrapText="1"/>
    </xf>
    <xf numFmtId="165" fontId="1" fillId="5" borderId="23" xfId="0" applyNumberFormat="1" applyFont="1" applyFill="1" applyBorder="1" applyAlignment="1">
      <alignment horizontal="center" vertical="center" wrapText="1"/>
    </xf>
    <xf numFmtId="0" fontId="75" fillId="9" borderId="23" xfId="0" applyFont="1" applyFill="1" applyBorder="1" applyAlignment="1">
      <alignment horizontal="center" vertical="center" wrapText="1"/>
    </xf>
    <xf numFmtId="0" fontId="75" fillId="13" borderId="23" xfId="0" applyFont="1" applyFill="1" applyBorder="1" applyAlignment="1">
      <alignment horizontal="center" vertical="center" wrapText="1"/>
    </xf>
    <xf numFmtId="0" fontId="83" fillId="5" borderId="5" xfId="0" applyFont="1" applyFill="1" applyBorder="1" applyAlignment="1">
      <alignment horizontal="center" vertical="center" wrapText="1"/>
    </xf>
    <xf numFmtId="0" fontId="75" fillId="15" borderId="23" xfId="0" applyFont="1" applyFill="1" applyBorder="1" applyAlignment="1">
      <alignment horizontal="center" vertical="center" wrapText="1"/>
    </xf>
    <xf numFmtId="0" fontId="75" fillId="16" borderId="23" xfId="0" applyFont="1" applyFill="1" applyBorder="1" applyAlignment="1">
      <alignment horizontal="center" vertical="center" wrapText="1"/>
    </xf>
    <xf numFmtId="0" fontId="9" fillId="13" borderId="23" xfId="0" applyFont="1" applyFill="1" applyBorder="1" applyAlignment="1">
      <alignment horizontal="center" vertical="center" wrapText="1"/>
    </xf>
    <xf numFmtId="0" fontId="9" fillId="28" borderId="23" xfId="0" applyFont="1" applyFill="1" applyBorder="1" applyAlignment="1">
      <alignment horizontal="center" vertical="center" wrapText="1"/>
    </xf>
    <xf numFmtId="0" fontId="9" fillId="35" borderId="23" xfId="0" applyFont="1" applyFill="1" applyBorder="1" applyAlignment="1">
      <alignment horizontal="center" vertical="center" wrapText="1"/>
    </xf>
    <xf numFmtId="0" fontId="9" fillId="7" borderId="23" xfId="0" applyFont="1" applyFill="1" applyBorder="1" applyAlignment="1">
      <alignment horizontal="center" vertical="center" wrapText="1"/>
    </xf>
    <xf numFmtId="0" fontId="84" fillId="5" borderId="21" xfId="0" applyFont="1" applyFill="1" applyBorder="1" applyAlignment="1">
      <alignment horizontal="center" vertical="center" wrapText="1"/>
    </xf>
    <xf numFmtId="0" fontId="85" fillId="5" borderId="23" xfId="0" applyFont="1" applyFill="1" applyBorder="1" applyAlignment="1">
      <alignment horizontal="center" vertical="center" wrapText="1"/>
    </xf>
    <xf numFmtId="0" fontId="9" fillId="5" borderId="21" xfId="0" applyFont="1" applyFill="1" applyBorder="1" applyAlignment="1">
      <alignment horizontal="center" vertical="center" wrapText="1"/>
    </xf>
    <xf numFmtId="165" fontId="9" fillId="5" borderId="21" xfId="0" applyNumberFormat="1" applyFont="1" applyFill="1" applyBorder="1" applyAlignment="1">
      <alignment horizontal="center" vertical="center" wrapText="1"/>
    </xf>
    <xf numFmtId="0" fontId="75" fillId="31" borderId="23" xfId="0" applyFont="1" applyFill="1" applyBorder="1" applyAlignment="1">
      <alignment horizontal="center" vertical="center" wrapText="1"/>
    </xf>
    <xf numFmtId="0" fontId="9" fillId="36" borderId="23" xfId="0" applyFont="1" applyFill="1" applyBorder="1" applyAlignment="1">
      <alignment horizontal="center" vertical="center" wrapText="1"/>
    </xf>
    <xf numFmtId="0" fontId="9" fillId="37" borderId="23" xfId="0" applyFont="1" applyFill="1" applyBorder="1" applyAlignment="1">
      <alignment horizontal="center" vertical="center" wrapText="1"/>
    </xf>
    <xf numFmtId="0" fontId="9" fillId="16" borderId="23" xfId="0" applyFont="1" applyFill="1" applyBorder="1" applyAlignment="1">
      <alignment horizontal="center" vertical="center" wrapText="1"/>
    </xf>
    <xf numFmtId="0" fontId="9" fillId="24" borderId="23" xfId="0" applyFont="1" applyFill="1" applyBorder="1" applyAlignment="1">
      <alignment horizontal="center" vertical="center" wrapText="1"/>
    </xf>
    <xf numFmtId="0" fontId="3" fillId="0" borderId="53" xfId="0" applyFont="1" applyBorder="1"/>
    <xf numFmtId="0" fontId="13" fillId="4" borderId="23" xfId="0" applyFont="1" applyFill="1" applyBorder="1" applyAlignment="1">
      <alignment vertical="center" wrapText="1"/>
    </xf>
    <xf numFmtId="0" fontId="13" fillId="4" borderId="23" xfId="0" applyFont="1" applyFill="1" applyBorder="1" applyAlignment="1">
      <alignment horizontal="center" vertical="center" wrapText="1"/>
    </xf>
    <xf numFmtId="0" fontId="76" fillId="4" borderId="23" xfId="0" applyFont="1" applyFill="1" applyBorder="1" applyAlignment="1">
      <alignment horizontal="center" vertical="center" wrapText="1"/>
    </xf>
    <xf numFmtId="0" fontId="86" fillId="5" borderId="23" xfId="0" applyFont="1" applyFill="1" applyBorder="1" applyAlignment="1">
      <alignment horizontal="center" vertical="center"/>
    </xf>
    <xf numFmtId="0" fontId="9" fillId="0" borderId="54" xfId="0" applyFont="1" applyBorder="1" applyAlignment="1">
      <alignment horizontal="center"/>
    </xf>
    <xf numFmtId="0" fontId="3" fillId="0" borderId="54" xfId="0" applyFont="1" applyBorder="1" applyAlignment="1">
      <alignment horizontal="center"/>
    </xf>
    <xf numFmtId="0" fontId="3" fillId="0" borderId="76" xfId="0" applyFont="1" applyBorder="1"/>
    <xf numFmtId="0" fontId="9" fillId="0" borderId="54" xfId="0" applyFont="1" applyBorder="1" applyAlignment="1">
      <alignment horizontal="left" vertical="center" wrapText="1"/>
    </xf>
    <xf numFmtId="0" fontId="3" fillId="0" borderId="84" xfId="0" applyFont="1" applyBorder="1"/>
    <xf numFmtId="0" fontId="88" fillId="5" borderId="5" xfId="0" applyFont="1" applyFill="1" applyBorder="1" applyAlignment="1">
      <alignment horizontal="center" vertical="center"/>
    </xf>
    <xf numFmtId="0" fontId="9" fillId="38" borderId="23" xfId="0" applyFont="1" applyFill="1" applyBorder="1" applyAlignment="1">
      <alignment horizontal="center" vertical="center" wrapText="1"/>
    </xf>
    <xf numFmtId="0" fontId="9" fillId="39" borderId="23" xfId="0" applyFont="1" applyFill="1" applyBorder="1" applyAlignment="1">
      <alignment horizontal="center" vertical="center" wrapText="1"/>
    </xf>
    <xf numFmtId="0" fontId="89" fillId="5" borderId="36" xfId="0" applyFont="1" applyFill="1" applyBorder="1" applyAlignment="1">
      <alignment horizontal="center" vertical="center" wrapText="1"/>
    </xf>
    <xf numFmtId="0" fontId="90" fillId="5" borderId="28" xfId="0" applyFont="1" applyFill="1" applyBorder="1" applyAlignment="1">
      <alignment horizontal="center" vertical="center" wrapText="1"/>
    </xf>
    <xf numFmtId="165" fontId="9" fillId="5" borderId="30" xfId="0" applyNumberFormat="1" applyFont="1" applyFill="1" applyBorder="1" applyAlignment="1">
      <alignment horizontal="center" vertical="center" wrapText="1"/>
    </xf>
    <xf numFmtId="0" fontId="91" fillId="5" borderId="85" xfId="0" applyFont="1" applyFill="1" applyBorder="1" applyAlignment="1">
      <alignment horizontal="center" vertical="center" wrapText="1"/>
    </xf>
    <xf numFmtId="15" fontId="9" fillId="5" borderId="5" xfId="0" applyNumberFormat="1" applyFont="1" applyFill="1" applyBorder="1" applyAlignment="1">
      <alignment horizontal="center" vertical="center"/>
    </xf>
    <xf numFmtId="164" fontId="9" fillId="5" borderId="5" xfId="0" applyNumberFormat="1" applyFont="1" applyFill="1" applyBorder="1" applyAlignment="1">
      <alignment horizontal="center" vertical="center"/>
    </xf>
    <xf numFmtId="0" fontId="76" fillId="3" borderId="23" xfId="0" applyFont="1" applyFill="1" applyBorder="1" applyAlignment="1">
      <alignment horizontal="center" vertical="center" wrapText="1"/>
    </xf>
    <xf numFmtId="1" fontId="13" fillId="3" borderId="23" xfId="0" applyNumberFormat="1" applyFont="1" applyFill="1" applyBorder="1" applyAlignment="1">
      <alignment horizontal="center" vertical="center" wrapText="1"/>
    </xf>
    <xf numFmtId="0" fontId="13" fillId="3" borderId="5" xfId="0" applyFont="1" applyFill="1" applyBorder="1" applyAlignment="1">
      <alignment wrapText="1"/>
    </xf>
    <xf numFmtId="0" fontId="45" fillId="0" borderId="0" xfId="0" applyFont="1"/>
    <xf numFmtId="0" fontId="13" fillId="3" borderId="88" xfId="0" applyFont="1" applyFill="1" applyBorder="1" applyAlignment="1">
      <alignment horizontal="center" vertical="center" wrapText="1"/>
    </xf>
    <xf numFmtId="0" fontId="13" fillId="3" borderId="89" xfId="0" applyFont="1" applyFill="1" applyBorder="1" applyAlignment="1">
      <alignment wrapText="1"/>
    </xf>
    <xf numFmtId="0" fontId="13" fillId="3" borderId="90" xfId="0" applyFont="1" applyFill="1" applyBorder="1" applyAlignment="1">
      <alignment wrapText="1"/>
    </xf>
    <xf numFmtId="164" fontId="9" fillId="0" borderId="31" xfId="0" applyNumberFormat="1" applyFont="1" applyBorder="1" applyAlignment="1">
      <alignment wrapText="1"/>
    </xf>
    <xf numFmtId="0" fontId="9" fillId="0" borderId="31" xfId="0" applyFont="1" applyBorder="1" applyAlignment="1">
      <alignment wrapText="1"/>
    </xf>
    <xf numFmtId="0" fontId="1" fillId="0" borderId="31" xfId="0" applyFont="1" applyBorder="1" applyAlignment="1">
      <alignment horizontal="left" vertical="center" wrapText="1"/>
    </xf>
    <xf numFmtId="164" fontId="1" fillId="0" borderId="31" xfId="0" applyNumberFormat="1" applyFont="1" applyBorder="1" applyAlignment="1">
      <alignment wrapText="1"/>
    </xf>
    <xf numFmtId="0" fontId="1" fillId="0" borderId="31" xfId="0" applyFont="1" applyBorder="1" applyAlignment="1">
      <alignment wrapText="1"/>
    </xf>
    <xf numFmtId="0" fontId="9" fillId="0" borderId="91" xfId="0" applyFont="1" applyBorder="1" applyAlignment="1">
      <alignment horizontal="left" vertical="center" wrapText="1"/>
    </xf>
    <xf numFmtId="164" fontId="9" fillId="0" borderId="91" xfId="0" applyNumberFormat="1" applyFont="1" applyBorder="1" applyAlignment="1">
      <alignment wrapText="1"/>
    </xf>
    <xf numFmtId="0" fontId="9" fillId="0" borderId="91" xfId="0" applyFont="1" applyBorder="1" applyAlignment="1">
      <alignment wrapText="1"/>
    </xf>
    <xf numFmtId="0" fontId="9" fillId="0" borderId="92" xfId="0" applyFont="1" applyBorder="1" applyAlignment="1">
      <alignment horizontal="left" vertical="center" wrapText="1"/>
    </xf>
    <xf numFmtId="164" fontId="9" fillId="0" borderId="93" xfId="0" applyNumberFormat="1" applyFont="1" applyBorder="1" applyAlignment="1">
      <alignment wrapText="1"/>
    </xf>
    <xf numFmtId="0" fontId="9" fillId="0" borderId="93" xfId="0" applyFont="1" applyBorder="1" applyAlignment="1">
      <alignment wrapText="1"/>
    </xf>
    <xf numFmtId="0" fontId="9" fillId="0" borderId="94" xfId="0" applyFont="1" applyBorder="1" applyAlignment="1">
      <alignment wrapText="1"/>
    </xf>
    <xf numFmtId="0" fontId="1" fillId="0" borderId="0" xfId="0" applyFont="1" applyAlignment="1">
      <alignment horizontal="left" vertical="center" wrapText="1"/>
    </xf>
    <xf numFmtId="0" fontId="9" fillId="0" borderId="0" xfId="0" applyFont="1" applyAlignment="1">
      <alignment horizontal="left" vertical="center" wrapText="1"/>
    </xf>
    <xf numFmtId="0" fontId="9" fillId="0" borderId="95" xfId="0" applyFont="1" applyBorder="1" applyAlignment="1">
      <alignment horizontal="left" vertical="center" wrapText="1"/>
    </xf>
    <xf numFmtId="0" fontId="9" fillId="0" borderId="93" xfId="0" applyFont="1" applyBorder="1" applyAlignment="1">
      <alignment horizontal="left" vertical="center" wrapText="1"/>
    </xf>
    <xf numFmtId="0" fontId="1" fillId="0" borderId="91" xfId="0" applyFont="1" applyBorder="1" applyAlignment="1">
      <alignment horizontal="left" vertical="center" wrapText="1"/>
    </xf>
    <xf numFmtId="164" fontId="1" fillId="0" borderId="91" xfId="0" applyNumberFormat="1" applyFont="1" applyBorder="1" applyAlignment="1">
      <alignment wrapText="1"/>
    </xf>
    <xf numFmtId="0" fontId="1" fillId="0" borderId="91" xfId="0" applyFont="1" applyBorder="1" applyAlignment="1">
      <alignment wrapText="1"/>
    </xf>
    <xf numFmtId="0" fontId="9" fillId="0" borderId="94" xfId="0" applyFont="1" applyBorder="1" applyAlignment="1">
      <alignment horizontal="left" vertical="center" wrapText="1"/>
    </xf>
    <xf numFmtId="164" fontId="9" fillId="0" borderId="94" xfId="0" applyNumberFormat="1" applyFont="1" applyBorder="1" applyAlignment="1">
      <alignment wrapText="1"/>
    </xf>
    <xf numFmtId="0" fontId="9" fillId="0" borderId="96" xfId="0" applyFont="1" applyBorder="1" applyAlignment="1">
      <alignment horizontal="left" vertical="center" wrapText="1"/>
    </xf>
    <xf numFmtId="164" fontId="9" fillId="0" borderId="0" xfId="0" applyNumberFormat="1" applyFont="1"/>
    <xf numFmtId="0" fontId="9" fillId="0" borderId="97" xfId="0" applyFont="1" applyBorder="1" applyAlignment="1">
      <alignment horizontal="left" vertical="center" wrapText="1"/>
    </xf>
    <xf numFmtId="164" fontId="9" fillId="0" borderId="95" xfId="0" applyNumberFormat="1" applyFont="1" applyBorder="1"/>
    <xf numFmtId="0" fontId="1" fillId="0" borderId="96" xfId="0" applyFont="1" applyBorder="1" applyAlignment="1">
      <alignment horizontal="left" vertical="center" wrapText="1"/>
    </xf>
    <xf numFmtId="164" fontId="1" fillId="0" borderId="0" xfId="0" applyNumberFormat="1" applyFont="1"/>
    <xf numFmtId="0" fontId="1" fillId="0" borderId="97" xfId="0" applyFont="1" applyBorder="1" applyAlignment="1">
      <alignment horizontal="left" vertical="center" wrapText="1"/>
    </xf>
    <xf numFmtId="164" fontId="1" fillId="0" borderId="95" xfId="0" applyNumberFormat="1" applyFont="1" applyBorder="1"/>
    <xf numFmtId="164" fontId="45" fillId="0" borderId="0" xfId="0" applyNumberFormat="1" applyFont="1"/>
    <xf numFmtId="164" fontId="45" fillId="0" borderId="95" xfId="0" applyNumberFormat="1" applyFont="1" applyBorder="1"/>
    <xf numFmtId="0" fontId="9" fillId="0" borderId="97" xfId="0" applyFont="1" applyBorder="1" applyAlignment="1">
      <alignment wrapText="1"/>
    </xf>
    <xf numFmtId="0" fontId="9" fillId="0" borderId="98" xfId="0" applyFont="1" applyBorder="1" applyAlignment="1">
      <alignment horizontal="left" vertical="center" wrapText="1"/>
    </xf>
    <xf numFmtId="164" fontId="45" fillId="0" borderId="98" xfId="0" applyNumberFormat="1" applyFont="1" applyBorder="1"/>
    <xf numFmtId="0" fontId="9" fillId="0" borderId="72" xfId="0" applyFont="1" applyBorder="1" applyAlignment="1">
      <alignment wrapText="1"/>
    </xf>
    <xf numFmtId="0" fontId="45" fillId="0" borderId="99" xfId="0" applyFont="1" applyBorder="1"/>
    <xf numFmtId="164" fontId="45" fillId="0" borderId="99" xfId="0" applyNumberFormat="1" applyFont="1" applyBorder="1"/>
    <xf numFmtId="0" fontId="9" fillId="0" borderId="40" xfId="0" applyFont="1" applyBorder="1" applyAlignment="1">
      <alignment wrapText="1"/>
    </xf>
    <xf numFmtId="0" fontId="9" fillId="0" borderId="100" xfId="0" applyFont="1" applyBorder="1" applyAlignment="1">
      <alignment wrapText="1"/>
    </xf>
    <xf numFmtId="0" fontId="45" fillId="0" borderId="101" xfId="0" applyFont="1" applyBorder="1"/>
    <xf numFmtId="164" fontId="45" fillId="0" borderId="101" xfId="0" applyNumberFormat="1" applyFont="1" applyBorder="1"/>
    <xf numFmtId="0" fontId="9" fillId="0" borderId="102" xfId="0" applyFont="1" applyBorder="1" applyAlignment="1">
      <alignment wrapText="1"/>
    </xf>
    <xf numFmtId="0" fontId="45" fillId="0" borderId="62" xfId="0" applyFont="1" applyBorder="1"/>
    <xf numFmtId="14" fontId="45" fillId="0" borderId="62" xfId="0" applyNumberFormat="1" applyFont="1" applyBorder="1"/>
    <xf numFmtId="0" fontId="45" fillId="0" borderId="48" xfId="0" applyFont="1" applyBorder="1"/>
    <xf numFmtId="0" fontId="92" fillId="0" borderId="0" xfId="0" applyFont="1"/>
    <xf numFmtId="0" fontId="9" fillId="35" borderId="48" xfId="0" applyFont="1" applyFill="1" applyBorder="1" applyAlignment="1">
      <alignment horizontal="center" vertical="center"/>
    </xf>
    <xf numFmtId="0" fontId="9" fillId="16" borderId="5" xfId="0" applyFont="1" applyFill="1" applyBorder="1" applyAlignment="1">
      <alignment horizontal="center"/>
    </xf>
    <xf numFmtId="15" fontId="9" fillId="0" borderId="0" xfId="0" applyNumberFormat="1" applyFont="1"/>
    <xf numFmtId="0" fontId="13" fillId="13" borderId="21" xfId="0" applyFont="1" applyFill="1" applyBorder="1" applyAlignment="1">
      <alignment horizontal="center" vertical="center" wrapText="1"/>
    </xf>
    <xf numFmtId="0" fontId="9" fillId="6" borderId="23" xfId="0" applyFont="1" applyFill="1" applyBorder="1" applyAlignment="1">
      <alignment horizontal="left" vertical="center" wrapText="1"/>
    </xf>
    <xf numFmtId="1" fontId="9" fillId="6" borderId="23" xfId="0" applyNumberFormat="1" applyFont="1" applyFill="1" applyBorder="1" applyAlignment="1">
      <alignment horizontal="center" vertical="center" wrapText="1"/>
    </xf>
    <xf numFmtId="15" fontId="9" fillId="6" borderId="23" xfId="0" applyNumberFormat="1" applyFont="1" applyFill="1" applyBorder="1" applyAlignment="1">
      <alignment horizontal="center" vertical="center" wrapText="1"/>
    </xf>
    <xf numFmtId="168" fontId="9" fillId="6" borderId="5" xfId="0" applyNumberFormat="1" applyFont="1" applyFill="1" applyBorder="1" applyAlignment="1">
      <alignment horizontal="center" vertical="center"/>
    </xf>
    <xf numFmtId="0" fontId="9" fillId="35" borderId="23" xfId="0" applyFont="1" applyFill="1" applyBorder="1" applyAlignment="1">
      <alignment horizontal="left" vertical="center" wrapText="1"/>
    </xf>
    <xf numFmtId="1" fontId="9" fillId="35" borderId="23" xfId="0" applyNumberFormat="1" applyFont="1" applyFill="1" applyBorder="1" applyAlignment="1">
      <alignment horizontal="center" vertical="center" wrapText="1"/>
    </xf>
    <xf numFmtId="15" fontId="9" fillId="35" borderId="23" xfId="0" applyNumberFormat="1" applyFont="1" applyFill="1" applyBorder="1" applyAlignment="1">
      <alignment horizontal="center" vertical="center" wrapText="1"/>
    </xf>
    <xf numFmtId="168" fontId="9" fillId="35" borderId="5" xfId="0" applyNumberFormat="1" applyFont="1" applyFill="1" applyBorder="1" applyAlignment="1">
      <alignment horizontal="center" vertical="center"/>
    </xf>
    <xf numFmtId="0" fontId="9" fillId="0" borderId="0" xfId="0" applyFont="1" applyAlignment="1">
      <alignment vertical="center" wrapText="1"/>
    </xf>
    <xf numFmtId="1" fontId="9" fillId="0" borderId="0" xfId="0" applyNumberFormat="1" applyFont="1" applyAlignment="1">
      <alignment horizontal="center" vertical="center" wrapText="1"/>
    </xf>
    <xf numFmtId="15" fontId="9" fillId="0" borderId="0" xfId="0" applyNumberFormat="1" applyFont="1" applyAlignment="1">
      <alignment horizontal="center" vertical="center" wrapText="1"/>
    </xf>
    <xf numFmtId="168" fontId="9" fillId="0" borderId="0" xfId="0" applyNumberFormat="1" applyFont="1" applyAlignment="1">
      <alignment horizontal="center" vertical="center"/>
    </xf>
    <xf numFmtId="15" fontId="9" fillId="0" borderId="103" xfId="0" applyNumberFormat="1" applyFont="1" applyBorder="1" applyAlignment="1">
      <alignment horizontal="center" vertical="center" wrapText="1"/>
    </xf>
    <xf numFmtId="0" fontId="9" fillId="40" borderId="23" xfId="0" applyFont="1" applyFill="1" applyBorder="1" applyAlignment="1">
      <alignment horizontal="left" vertical="center" wrapText="1"/>
    </xf>
    <xf numFmtId="1" fontId="9" fillId="0" borderId="23" xfId="0" applyNumberFormat="1" applyFont="1" applyBorder="1" applyAlignment="1">
      <alignment horizontal="center" vertical="center" wrapText="1"/>
    </xf>
    <xf numFmtId="15" fontId="9" fillId="0" borderId="23" xfId="0" applyNumberFormat="1" applyFont="1" applyBorder="1" applyAlignment="1">
      <alignment horizontal="center" vertical="center" wrapText="1"/>
    </xf>
    <xf numFmtId="0" fontId="9" fillId="42" borderId="23" xfId="0" applyFont="1" applyFill="1" applyBorder="1" applyAlignment="1">
      <alignment horizontal="center" vertical="center" wrapText="1"/>
    </xf>
    <xf numFmtId="0" fontId="9" fillId="42" borderId="23" xfId="0" applyFont="1" applyFill="1" applyBorder="1" applyAlignment="1">
      <alignment horizontal="left" vertical="center" wrapText="1"/>
    </xf>
    <xf numFmtId="1" fontId="9" fillId="42" borderId="23" xfId="0" applyNumberFormat="1" applyFont="1" applyFill="1" applyBorder="1" applyAlignment="1">
      <alignment horizontal="center" vertical="center" wrapText="1"/>
    </xf>
    <xf numFmtId="15" fontId="9" fillId="42" borderId="23" xfId="0" applyNumberFormat="1" applyFont="1" applyFill="1" applyBorder="1" applyAlignment="1">
      <alignment horizontal="center" vertical="center" wrapText="1"/>
    </xf>
    <xf numFmtId="168" fontId="9" fillId="42" borderId="5" xfId="0" applyNumberFormat="1" applyFont="1" applyFill="1" applyBorder="1" applyAlignment="1">
      <alignment horizontal="center" vertical="center"/>
    </xf>
    <xf numFmtId="0" fontId="9" fillId="16" borderId="23" xfId="0" applyFont="1" applyFill="1" applyBorder="1" applyAlignment="1">
      <alignment horizontal="left" vertical="center" wrapText="1"/>
    </xf>
    <xf numFmtId="1" fontId="9" fillId="16" borderId="23" xfId="0" applyNumberFormat="1" applyFont="1" applyFill="1" applyBorder="1" applyAlignment="1">
      <alignment horizontal="center" vertical="center" wrapText="1"/>
    </xf>
    <xf numFmtId="15" fontId="9" fillId="16" borderId="23" xfId="0" applyNumberFormat="1" applyFont="1" applyFill="1" applyBorder="1" applyAlignment="1">
      <alignment horizontal="center" vertical="center" wrapText="1"/>
    </xf>
    <xf numFmtId="168" fontId="9" fillId="16" borderId="5" xfId="0" applyNumberFormat="1" applyFont="1" applyFill="1" applyBorder="1" applyAlignment="1">
      <alignment horizontal="center" vertical="center"/>
    </xf>
    <xf numFmtId="0" fontId="13" fillId="43" borderId="21" xfId="0" applyFont="1" applyFill="1" applyBorder="1" applyAlignment="1">
      <alignment horizontal="center" vertical="center" wrapText="1"/>
    </xf>
    <xf numFmtId="0" fontId="9" fillId="41" borderId="23" xfId="0" applyFont="1" applyFill="1" applyBorder="1" applyAlignment="1">
      <alignment horizontal="left" vertical="center" wrapText="1"/>
    </xf>
    <xf numFmtId="0" fontId="9" fillId="7" borderId="23" xfId="0" applyFont="1" applyFill="1" applyBorder="1" applyAlignment="1">
      <alignment horizontal="left" vertical="center" wrapText="1"/>
    </xf>
    <xf numFmtId="0" fontId="13" fillId="3" borderId="48" xfId="0" applyFont="1" applyFill="1" applyBorder="1" applyAlignment="1">
      <alignment horizontal="center" vertical="center" wrapText="1"/>
    </xf>
    <xf numFmtId="0" fontId="9" fillId="0" borderId="48" xfId="0" applyFont="1" applyBorder="1" applyAlignment="1">
      <alignment horizontal="center" vertical="center" wrapText="1"/>
    </xf>
    <xf numFmtId="0" fontId="9" fillId="7" borderId="48" xfId="0" applyFont="1" applyFill="1" applyBorder="1" applyAlignment="1">
      <alignment horizontal="left" vertical="center" wrapText="1"/>
    </xf>
    <xf numFmtId="0" fontId="94" fillId="7" borderId="48" xfId="0" applyFont="1" applyFill="1" applyBorder="1" applyAlignment="1">
      <alignment horizontal="center" vertical="center" wrapText="1"/>
    </xf>
    <xf numFmtId="0" fontId="95" fillId="7" borderId="48" xfId="0" applyFont="1" applyFill="1" applyBorder="1" applyAlignment="1">
      <alignment horizontal="center" vertical="center" wrapText="1"/>
    </xf>
    <xf numFmtId="165" fontId="9" fillId="7" borderId="48" xfId="0" applyNumberFormat="1" applyFont="1" applyFill="1" applyBorder="1" applyAlignment="1">
      <alignment horizontal="center" vertical="center" wrapText="1"/>
    </xf>
    <xf numFmtId="0" fontId="9" fillId="7" borderId="48" xfId="0" applyFont="1" applyFill="1" applyBorder="1" applyAlignment="1">
      <alignment horizontal="center" vertical="center" wrapText="1"/>
    </xf>
    <xf numFmtId="0" fontId="45" fillId="0" borderId="48" xfId="0" applyFont="1" applyBorder="1" applyAlignment="1">
      <alignment horizontal="center" vertical="center"/>
    </xf>
    <xf numFmtId="0" fontId="9" fillId="34" borderId="48" xfId="0" applyFont="1" applyFill="1" applyBorder="1" applyAlignment="1">
      <alignment horizontal="center" vertical="center" wrapText="1"/>
    </xf>
    <xf numFmtId="0" fontId="9" fillId="34" borderId="48" xfId="0" applyFont="1" applyFill="1" applyBorder="1" applyAlignment="1">
      <alignment horizontal="left" vertical="center" wrapText="1"/>
    </xf>
    <xf numFmtId="0" fontId="96" fillId="34" borderId="48" xfId="0" applyFont="1" applyFill="1" applyBorder="1" applyAlignment="1">
      <alignment horizontal="center" vertical="center" wrapText="1"/>
    </xf>
    <xf numFmtId="0" fontId="97" fillId="34" borderId="48" xfId="0" applyFont="1" applyFill="1" applyBorder="1" applyAlignment="1">
      <alignment horizontal="center" vertical="center" wrapText="1"/>
    </xf>
    <xf numFmtId="165" fontId="9" fillId="34" borderId="48" xfId="0" applyNumberFormat="1" applyFont="1" applyFill="1" applyBorder="1" applyAlignment="1">
      <alignment horizontal="center" vertical="center" wrapText="1"/>
    </xf>
    <xf numFmtId="0" fontId="98" fillId="0" borderId="48" xfId="0" applyFont="1" applyBorder="1" applyAlignment="1">
      <alignment horizontal="center" vertical="center"/>
    </xf>
    <xf numFmtId="0" fontId="99" fillId="0" borderId="48" xfId="0" applyFont="1" applyBorder="1" applyAlignment="1">
      <alignment horizontal="center" vertical="center" wrapText="1"/>
    </xf>
    <xf numFmtId="0" fontId="100" fillId="7" borderId="48" xfId="0" applyFont="1" applyFill="1" applyBorder="1" applyAlignment="1">
      <alignment horizontal="center" vertical="center"/>
    </xf>
    <xf numFmtId="0" fontId="101" fillId="7" borderId="48" xfId="0" applyFont="1" applyFill="1" applyBorder="1" applyAlignment="1">
      <alignment horizontal="center" vertical="center" wrapText="1"/>
    </xf>
    <xf numFmtId="0" fontId="102" fillId="34" borderId="48" xfId="0" applyFont="1" applyFill="1" applyBorder="1" applyAlignment="1">
      <alignment horizontal="center" vertical="center" wrapText="1"/>
    </xf>
    <xf numFmtId="0" fontId="103" fillId="34" borderId="48" xfId="0" applyFont="1" applyFill="1" applyBorder="1" applyAlignment="1">
      <alignment horizontal="center" vertical="center"/>
    </xf>
    <xf numFmtId="0" fontId="104" fillId="7" borderId="48" xfId="0" applyFont="1" applyFill="1" applyBorder="1" applyAlignment="1">
      <alignment horizontal="center" vertical="center"/>
    </xf>
    <xf numFmtId="164" fontId="9" fillId="7" borderId="48" xfId="0" applyNumberFormat="1" applyFont="1" applyFill="1" applyBorder="1" applyAlignment="1">
      <alignment horizontal="center" vertical="center"/>
    </xf>
    <xf numFmtId="15" fontId="9" fillId="7" borderId="48" xfId="0" applyNumberFormat="1" applyFont="1" applyFill="1" applyBorder="1" applyAlignment="1">
      <alignment horizontal="center" vertical="center"/>
    </xf>
    <xf numFmtId="165" fontId="1" fillId="7" borderId="48" xfId="0" applyNumberFormat="1" applyFont="1" applyFill="1" applyBorder="1" applyAlignment="1">
      <alignment horizontal="center" vertical="center" wrapText="1"/>
    </xf>
    <xf numFmtId="164" fontId="45" fillId="0" borderId="48" xfId="0" applyNumberFormat="1" applyFont="1" applyBorder="1" applyAlignment="1">
      <alignment horizontal="center" vertical="center"/>
    </xf>
    <xf numFmtId="0" fontId="1" fillId="0" borderId="104" xfId="0" applyFont="1" applyBorder="1" applyAlignment="1">
      <alignment horizontal="center" vertical="center"/>
    </xf>
    <xf numFmtId="0" fontId="9" fillId="0" borderId="0" xfId="0" applyFont="1" applyAlignment="1">
      <alignment vertical="center"/>
    </xf>
    <xf numFmtId="0" fontId="13" fillId="3" borderId="31" xfId="0" applyFont="1" applyFill="1" applyBorder="1" applyAlignment="1">
      <alignment horizontal="center" vertical="center"/>
    </xf>
    <xf numFmtId="9" fontId="13" fillId="3" borderId="31" xfId="0" applyNumberFormat="1" applyFont="1" applyFill="1" applyBorder="1" applyAlignment="1">
      <alignment horizontal="center" vertical="center"/>
    </xf>
    <xf numFmtId="0" fontId="18" fillId="0" borderId="0" xfId="0" applyFont="1" applyAlignment="1">
      <alignment horizontal="left"/>
    </xf>
    <xf numFmtId="0" fontId="18" fillId="5" borderId="31" xfId="0" applyFont="1" applyFill="1" applyBorder="1" applyAlignment="1">
      <alignment horizontal="center" vertical="center"/>
    </xf>
    <xf numFmtId="1" fontId="66" fillId="0" borderId="31" xfId="0" applyNumberFormat="1" applyFont="1" applyBorder="1" applyAlignment="1">
      <alignment horizontal="center" vertical="center"/>
    </xf>
    <xf numFmtId="0" fontId="66" fillId="0" borderId="31" xfId="0" applyFont="1" applyBorder="1" applyAlignment="1">
      <alignment horizontal="center" vertical="center"/>
    </xf>
    <xf numFmtId="0" fontId="66" fillId="0" borderId="0" xfId="0" applyFont="1" applyAlignment="1">
      <alignment horizontal="left"/>
    </xf>
    <xf numFmtId="0" fontId="66" fillId="5" borderId="31" xfId="0" applyFont="1" applyFill="1" applyBorder="1" applyAlignment="1">
      <alignment horizontal="center" vertical="center"/>
    </xf>
    <xf numFmtId="1" fontId="66" fillId="8" borderId="31" xfId="0" applyNumberFormat="1" applyFont="1" applyFill="1" applyBorder="1" applyAlignment="1">
      <alignment horizontal="center" vertical="center"/>
    </xf>
    <xf numFmtId="0" fontId="1" fillId="0" borderId="0" xfId="0" applyFont="1" applyAlignment="1">
      <alignment horizontal="center"/>
    </xf>
    <xf numFmtId="0" fontId="54" fillId="0" borderId="0" xfId="0" applyFont="1"/>
    <xf numFmtId="0" fontId="1" fillId="0" borderId="0" xfId="0" applyFont="1"/>
    <xf numFmtId="0" fontId="13" fillId="3" borderId="105" xfId="0" applyFont="1" applyFill="1" applyBorder="1" applyAlignment="1">
      <alignment horizontal="center" vertical="center" wrapText="1"/>
    </xf>
    <xf numFmtId="0" fontId="75" fillId="9" borderId="27" xfId="0" applyFont="1" applyFill="1" applyBorder="1" applyAlignment="1">
      <alignment horizontal="center" vertical="center" wrapText="1"/>
    </xf>
    <xf numFmtId="0" fontId="9" fillId="0" borderId="106" xfId="0" applyFont="1" applyBorder="1" applyAlignment="1">
      <alignment horizontal="center" vertical="center" wrapText="1"/>
    </xf>
    <xf numFmtId="0" fontId="9" fillId="0" borderId="107" xfId="0" applyFont="1" applyBorder="1" applyAlignment="1">
      <alignment horizontal="left" vertical="center" wrapText="1"/>
    </xf>
    <xf numFmtId="0" fontId="9" fillId="0" borderId="107" xfId="0" applyFont="1" applyBorder="1" applyAlignment="1">
      <alignment horizontal="center" vertical="center" wrapText="1"/>
    </xf>
    <xf numFmtId="0" fontId="9" fillId="0" borderId="103" xfId="0" applyFont="1" applyBorder="1" applyAlignment="1">
      <alignment horizontal="center" vertical="center" wrapText="1"/>
    </xf>
    <xf numFmtId="0" fontId="9" fillId="0" borderId="85" xfId="0" applyFont="1" applyBorder="1" applyAlignment="1">
      <alignment horizontal="center" vertical="center" wrapText="1"/>
    </xf>
    <xf numFmtId="0" fontId="75" fillId="13" borderId="27" xfId="0" applyFont="1" applyFill="1" applyBorder="1" applyAlignment="1">
      <alignment horizontal="center" vertical="center" wrapText="1"/>
    </xf>
    <xf numFmtId="0" fontId="75" fillId="15" borderId="33" xfId="0" applyFont="1" applyFill="1" applyBorder="1" applyAlignment="1">
      <alignment horizontal="center" vertical="center" wrapText="1"/>
    </xf>
    <xf numFmtId="0" fontId="75" fillId="15" borderId="27" xfId="0" applyFont="1" applyFill="1" applyBorder="1" applyAlignment="1">
      <alignment horizontal="center" vertical="center" wrapText="1"/>
    </xf>
    <xf numFmtId="0" fontId="75" fillId="16" borderId="33" xfId="0" applyFont="1" applyFill="1" applyBorder="1" applyAlignment="1">
      <alignment horizontal="center" vertical="center" wrapText="1"/>
    </xf>
    <xf numFmtId="0" fontId="9" fillId="18" borderId="33" xfId="0" applyFont="1" applyFill="1" applyBorder="1" applyAlignment="1">
      <alignment horizontal="center" vertical="center" wrapText="1"/>
    </xf>
    <xf numFmtId="0" fontId="9" fillId="20" borderId="33" xfId="0" applyFont="1" applyFill="1" applyBorder="1" applyAlignment="1">
      <alignment horizontal="center" vertical="center" wrapText="1"/>
    </xf>
    <xf numFmtId="0" fontId="9" fillId="0" borderId="110" xfId="0" applyFont="1" applyBorder="1" applyAlignment="1">
      <alignment horizontal="center" vertical="center" wrapText="1"/>
    </xf>
    <xf numFmtId="0" fontId="75" fillId="31" borderId="33" xfId="0" applyFont="1" applyFill="1" applyBorder="1" applyAlignment="1">
      <alignment horizontal="center" vertical="center" wrapText="1"/>
    </xf>
    <xf numFmtId="0" fontId="75" fillId="23" borderId="33" xfId="0" applyFont="1" applyFill="1" applyBorder="1" applyAlignment="1">
      <alignment horizontal="center" vertical="center" wrapText="1"/>
    </xf>
    <xf numFmtId="0" fontId="9" fillId="24" borderId="33" xfId="0" applyFont="1" applyFill="1" applyBorder="1" applyAlignment="1">
      <alignment horizontal="center" vertical="center" wrapText="1"/>
    </xf>
    <xf numFmtId="0" fontId="9" fillId="7" borderId="33" xfId="0" applyFont="1" applyFill="1" applyBorder="1" applyAlignment="1">
      <alignment horizontal="left" vertical="center" wrapText="1"/>
    </xf>
    <xf numFmtId="0" fontId="9" fillId="24" borderId="33" xfId="0" applyFont="1" applyFill="1" applyBorder="1" applyAlignment="1">
      <alignment horizontal="left" vertical="center" wrapText="1"/>
    </xf>
    <xf numFmtId="0" fontId="9" fillId="0" borderId="112" xfId="0" applyFont="1" applyBorder="1" applyAlignment="1">
      <alignment vertical="center"/>
    </xf>
    <xf numFmtId="0" fontId="9" fillId="0" borderId="112" xfId="0" applyFont="1" applyBorder="1" applyAlignment="1">
      <alignment horizontal="center" vertical="center"/>
    </xf>
    <xf numFmtId="0" fontId="9" fillId="0" borderId="113" xfId="0" applyFont="1" applyBorder="1" applyAlignment="1">
      <alignment horizontal="center" vertical="center"/>
    </xf>
    <xf numFmtId="0" fontId="9" fillId="0" borderId="112" xfId="0" applyFont="1" applyBorder="1"/>
    <xf numFmtId="0" fontId="1" fillId="0" borderId="112" xfId="0" applyFont="1" applyBorder="1" applyAlignment="1">
      <alignment horizontal="center" vertical="center"/>
    </xf>
    <xf numFmtId="0" fontId="18" fillId="0" borderId="0" xfId="0" applyFont="1" applyAlignment="1">
      <alignment horizontal="right"/>
    </xf>
    <xf numFmtId="0" fontId="105" fillId="0" borderId="112" xfId="0" applyFont="1" applyBorder="1" applyAlignment="1">
      <alignment horizontal="center" vertical="center"/>
    </xf>
    <xf numFmtId="0" fontId="66" fillId="0" borderId="0" xfId="0" applyFont="1" applyAlignment="1">
      <alignment horizontal="right"/>
    </xf>
    <xf numFmtId="0" fontId="13" fillId="3" borderId="48" xfId="0" applyFont="1" applyFill="1" applyBorder="1" applyAlignment="1">
      <alignment horizontal="center" vertical="center"/>
    </xf>
    <xf numFmtId="0" fontId="9" fillId="9" borderId="48" xfId="0" applyFont="1" applyFill="1" applyBorder="1" applyAlignment="1">
      <alignment horizontal="center" vertical="center" wrapText="1"/>
    </xf>
    <xf numFmtId="0" fontId="10" fillId="7" borderId="48" xfId="0" applyFont="1" applyFill="1" applyBorder="1" applyAlignment="1">
      <alignment horizontal="center" vertical="center" wrapText="1"/>
    </xf>
    <xf numFmtId="0" fontId="10" fillId="44" borderId="48" xfId="0" applyFont="1" applyFill="1" applyBorder="1" applyAlignment="1">
      <alignment horizontal="center" vertical="center"/>
    </xf>
    <xf numFmtId="0" fontId="10" fillId="45" borderId="48" xfId="0" applyFont="1" applyFill="1" applyBorder="1" applyAlignment="1">
      <alignment horizontal="center" vertical="center"/>
    </xf>
    <xf numFmtId="0" fontId="10" fillId="46" borderId="48" xfId="0" applyFont="1" applyFill="1" applyBorder="1" applyAlignment="1">
      <alignment horizontal="center" vertical="center"/>
    </xf>
    <xf numFmtId="0" fontId="9" fillId="7" borderId="48" xfId="0" applyFont="1" applyFill="1" applyBorder="1" applyAlignment="1">
      <alignment horizontal="center" vertical="center"/>
    </xf>
    <xf numFmtId="0" fontId="10" fillId="6" borderId="48" xfId="0" applyFont="1" applyFill="1" applyBorder="1" applyAlignment="1">
      <alignment horizontal="center" vertical="center"/>
    </xf>
    <xf numFmtId="0" fontId="10" fillId="47" borderId="48" xfId="0" applyFont="1" applyFill="1" applyBorder="1" applyAlignment="1">
      <alignment horizontal="center"/>
    </xf>
    <xf numFmtId="0" fontId="107" fillId="13" borderId="48" xfId="0" applyFont="1" applyFill="1" applyBorder="1" applyAlignment="1">
      <alignment horizontal="center" vertical="center" wrapText="1"/>
    </xf>
    <xf numFmtId="0" fontId="108" fillId="7" borderId="48" xfId="0" applyFont="1" applyFill="1" applyBorder="1" applyAlignment="1">
      <alignment horizontal="center" vertical="center" wrapText="1"/>
    </xf>
    <xf numFmtId="0" fontId="107" fillId="15" borderId="48" xfId="0" applyFont="1" applyFill="1" applyBorder="1" applyAlignment="1">
      <alignment horizontal="center" vertical="center" wrapText="1"/>
    </xf>
    <xf numFmtId="0" fontId="107" fillId="16" borderId="48" xfId="0" applyFont="1" applyFill="1" applyBorder="1" applyAlignment="1">
      <alignment horizontal="center" vertical="center" wrapText="1"/>
    </xf>
    <xf numFmtId="0" fontId="1" fillId="18" borderId="48" xfId="0" applyFont="1" applyFill="1" applyBorder="1" applyAlignment="1">
      <alignment horizontal="center" vertical="center" wrapText="1"/>
    </xf>
    <xf numFmtId="0" fontId="11" fillId="0" borderId="0" xfId="0" applyFont="1" applyAlignment="1">
      <alignment horizontal="center" vertical="center"/>
    </xf>
    <xf numFmtId="0" fontId="13" fillId="3" borderId="115" xfId="0" applyFont="1" applyFill="1" applyBorder="1" applyAlignment="1">
      <alignment horizontal="center" vertical="center" wrapText="1"/>
    </xf>
    <xf numFmtId="0" fontId="13" fillId="3" borderId="116" xfId="0" applyFont="1" applyFill="1" applyBorder="1" applyAlignment="1">
      <alignment horizontal="center" vertical="center" wrapText="1"/>
    </xf>
    <xf numFmtId="0" fontId="13" fillId="4" borderId="116" xfId="0" applyFont="1" applyFill="1" applyBorder="1" applyAlignment="1">
      <alignment horizontal="center" vertical="center" wrapText="1"/>
    </xf>
    <xf numFmtId="0" fontId="13" fillId="8" borderId="116" xfId="0" applyFont="1" applyFill="1" applyBorder="1" applyAlignment="1">
      <alignment horizontal="center" vertical="center" wrapText="1"/>
    </xf>
    <xf numFmtId="0" fontId="15" fillId="4" borderId="116" xfId="0" applyFont="1" applyFill="1" applyBorder="1" applyAlignment="1">
      <alignment horizontal="center" vertical="center" wrapText="1"/>
    </xf>
    <xf numFmtId="0" fontId="13" fillId="3" borderId="117" xfId="0" applyFont="1" applyFill="1" applyBorder="1" applyAlignment="1">
      <alignment horizontal="center" vertical="center" wrapText="1"/>
    </xf>
    <xf numFmtId="0" fontId="109" fillId="4" borderId="118" xfId="0" applyFont="1" applyFill="1" applyBorder="1" applyAlignment="1">
      <alignment horizontal="center" vertical="center" wrapText="1"/>
    </xf>
    <xf numFmtId="0" fontId="13" fillId="9" borderId="34" xfId="0" applyFont="1" applyFill="1" applyBorder="1" applyAlignment="1">
      <alignment horizontal="center" vertical="center" wrapText="1"/>
    </xf>
    <xf numFmtId="0" fontId="18" fillId="5" borderId="107" xfId="0" applyFont="1" applyFill="1" applyBorder="1" applyAlignment="1">
      <alignment horizontal="center" vertical="center" wrapText="1"/>
    </xf>
    <xf numFmtId="164" fontId="18" fillId="5" borderId="107" xfId="0" applyNumberFormat="1" applyFont="1" applyFill="1" applyBorder="1" applyAlignment="1">
      <alignment horizontal="center" vertical="center" wrapText="1"/>
    </xf>
    <xf numFmtId="0" fontId="110" fillId="0" borderId="107" xfId="0" applyFont="1" applyBorder="1" applyAlignment="1">
      <alignment horizontal="center" vertical="center" wrapText="1"/>
    </xf>
    <xf numFmtId="0" fontId="110" fillId="0" borderId="0" xfId="0" applyFont="1" applyAlignment="1">
      <alignment horizontal="center" vertical="center" wrapText="1"/>
    </xf>
    <xf numFmtId="0" fontId="1" fillId="0" borderId="119" xfId="0" applyFont="1" applyBorder="1" applyAlignment="1">
      <alignment horizontal="center" vertical="center" wrapText="1"/>
    </xf>
    <xf numFmtId="0" fontId="110" fillId="0" borderId="23" xfId="0" applyFont="1" applyBorder="1" applyAlignment="1">
      <alignment horizontal="center" vertical="center" wrapText="1"/>
    </xf>
    <xf numFmtId="0" fontId="1" fillId="0" borderId="120" xfId="0" applyFont="1" applyBorder="1" applyAlignment="1">
      <alignment horizontal="center" vertical="center" wrapText="1"/>
    </xf>
    <xf numFmtId="0" fontId="9" fillId="0" borderId="30" xfId="0" applyFont="1" applyBorder="1" applyAlignment="1">
      <alignment horizontal="left" vertical="center" wrapText="1"/>
    </xf>
    <xf numFmtId="0" fontId="107" fillId="13" borderId="34" xfId="0" applyFont="1" applyFill="1" applyBorder="1" applyAlignment="1">
      <alignment horizontal="center" vertical="center" wrapText="1"/>
    </xf>
    <xf numFmtId="0" fontId="107" fillId="15" borderId="34" xfId="0" applyFont="1" applyFill="1" applyBorder="1" applyAlignment="1">
      <alignment horizontal="center" vertical="center" wrapText="1"/>
    </xf>
    <xf numFmtId="0" fontId="107" fillId="16" borderId="34" xfId="0" applyFont="1" applyFill="1" applyBorder="1" applyAlignment="1">
      <alignment horizontal="center" vertical="center" wrapText="1"/>
    </xf>
    <xf numFmtId="0" fontId="111" fillId="5" borderId="23" xfId="0" applyFont="1" applyFill="1" applyBorder="1" applyAlignment="1">
      <alignment horizontal="center" vertical="center" wrapText="1"/>
    </xf>
    <xf numFmtId="167" fontId="18" fillId="5" borderId="23" xfId="0" applyNumberFormat="1" applyFont="1" applyFill="1" applyBorder="1" applyAlignment="1">
      <alignment horizontal="center" vertical="center" wrapText="1"/>
    </xf>
    <xf numFmtId="167" fontId="112" fillId="5" borderId="23" xfId="0" applyNumberFormat="1" applyFont="1" applyFill="1" applyBorder="1" applyAlignment="1">
      <alignment horizontal="center" vertical="center" wrapText="1"/>
    </xf>
    <xf numFmtId="0" fontId="11" fillId="0" borderId="23" xfId="0" applyFont="1" applyBorder="1" applyAlignment="1">
      <alignment horizontal="center" vertical="center"/>
    </xf>
    <xf numFmtId="0" fontId="13" fillId="31" borderId="34" xfId="0" applyFont="1" applyFill="1" applyBorder="1" applyAlignment="1">
      <alignment horizontal="center" vertical="center" wrapText="1"/>
    </xf>
    <xf numFmtId="0" fontId="13" fillId="23" borderId="34" xfId="0" applyFont="1" applyFill="1" applyBorder="1" applyAlignment="1">
      <alignment horizontal="center" vertical="center" wrapText="1"/>
    </xf>
    <xf numFmtId="0" fontId="110" fillId="0" borderId="23" xfId="0" applyFont="1" applyBorder="1" applyAlignment="1">
      <alignment horizontal="center" vertical="center"/>
    </xf>
    <xf numFmtId="0" fontId="113" fillId="5" borderId="26" xfId="0" applyFont="1" applyFill="1" applyBorder="1" applyAlignment="1">
      <alignment horizontal="center" vertical="center" wrapText="1"/>
    </xf>
    <xf numFmtId="164" fontId="18" fillId="5" borderId="26" xfId="0" applyNumberFormat="1" applyFont="1" applyFill="1" applyBorder="1" applyAlignment="1">
      <alignment horizontal="center" vertical="center" wrapText="1"/>
    </xf>
    <xf numFmtId="0" fontId="18" fillId="5" borderId="26" xfId="0" applyFont="1" applyFill="1" applyBorder="1" applyAlignment="1">
      <alignment horizontal="center" vertical="center" wrapText="1"/>
    </xf>
    <xf numFmtId="0" fontId="110" fillId="0" borderId="36" xfId="0" applyFont="1" applyBorder="1" applyAlignment="1">
      <alignment horizontal="center" vertical="center" wrapText="1"/>
    </xf>
    <xf numFmtId="0" fontId="114" fillId="5" borderId="26" xfId="0" applyFont="1" applyFill="1" applyBorder="1" applyAlignment="1">
      <alignment horizontal="center" vertical="center" wrapText="1"/>
    </xf>
    <xf numFmtId="164" fontId="9" fillId="5" borderId="26" xfId="0" applyNumberFormat="1" applyFont="1" applyFill="1" applyBorder="1" applyAlignment="1">
      <alignment horizontal="center" vertical="center" wrapText="1"/>
    </xf>
    <xf numFmtId="0" fontId="9" fillId="5" borderId="26" xfId="0" applyFont="1" applyFill="1" applyBorder="1" applyAlignment="1">
      <alignment horizontal="center" vertical="center" wrapText="1"/>
    </xf>
    <xf numFmtId="0" fontId="1" fillId="24" borderId="121" xfId="0" applyFont="1" applyFill="1" applyBorder="1" applyAlignment="1">
      <alignment horizontal="center" vertical="center" wrapText="1"/>
    </xf>
    <xf numFmtId="0" fontId="9" fillId="0" borderId="122" xfId="0" applyFont="1" applyBorder="1" applyAlignment="1">
      <alignment horizontal="left" vertical="center" wrapText="1"/>
    </xf>
    <xf numFmtId="0" fontId="9" fillId="0" borderId="122" xfId="0" applyFont="1" applyBorder="1" applyAlignment="1">
      <alignment horizontal="center" vertical="center"/>
    </xf>
    <xf numFmtId="0" fontId="18" fillId="5" borderId="122" xfId="0" applyFont="1" applyFill="1" applyBorder="1" applyAlignment="1">
      <alignment horizontal="center" vertical="center" wrapText="1"/>
    </xf>
    <xf numFmtId="164" fontId="18" fillId="11" borderId="122" xfId="0" applyNumberFormat="1" applyFont="1" applyFill="1" applyBorder="1" applyAlignment="1">
      <alignment horizontal="center" vertical="center" wrapText="1"/>
    </xf>
    <xf numFmtId="164" fontId="18" fillId="5" borderId="122" xfId="0" applyNumberFormat="1" applyFont="1" applyFill="1" applyBorder="1" applyAlignment="1">
      <alignment horizontal="center" vertical="center" wrapText="1"/>
    </xf>
    <xf numFmtId="0" fontId="110" fillId="0" borderId="122" xfId="0" applyFont="1" applyBorder="1" applyAlignment="1">
      <alignment horizontal="center" vertical="center" wrapText="1"/>
    </xf>
    <xf numFmtId="0" fontId="9" fillId="0" borderId="123" xfId="0" applyFont="1" applyBorder="1" applyAlignment="1">
      <alignment horizontal="center" vertical="center" wrapText="1"/>
    </xf>
    <xf numFmtId="0" fontId="1" fillId="0" borderId="124" xfId="0" applyFont="1" applyBorder="1" applyAlignment="1">
      <alignment horizontal="center" vertical="center" wrapText="1"/>
    </xf>
    <xf numFmtId="0" fontId="13" fillId="4" borderId="25" xfId="0" applyFont="1" applyFill="1" applyBorder="1" applyAlignment="1">
      <alignment horizontal="center" vertical="center"/>
    </xf>
    <xf numFmtId="9" fontId="13" fillId="4" borderId="25" xfId="0" applyNumberFormat="1" applyFont="1" applyFill="1" applyBorder="1" applyAlignment="1">
      <alignment horizontal="center" vertical="center"/>
    </xf>
    <xf numFmtId="0" fontId="9" fillId="0" borderId="125" xfId="0" applyFont="1" applyBorder="1" applyAlignment="1">
      <alignment horizontal="center" vertical="center"/>
    </xf>
    <xf numFmtId="0" fontId="1" fillId="0" borderId="53" xfId="0" applyFont="1" applyBorder="1" applyAlignment="1">
      <alignment vertical="center"/>
    </xf>
    <xf numFmtId="0" fontId="66" fillId="5" borderId="26" xfId="0" applyFont="1" applyFill="1" applyBorder="1" applyAlignment="1">
      <alignment horizontal="left"/>
    </xf>
    <xf numFmtId="0" fontId="66" fillId="0" borderId="36" xfId="0" applyFont="1" applyBorder="1" applyAlignment="1">
      <alignment horizontal="center" vertical="center"/>
    </xf>
    <xf numFmtId="0" fontId="115" fillId="0" borderId="36" xfId="0" applyFont="1" applyBorder="1" applyAlignment="1">
      <alignment horizontal="center" vertical="center"/>
    </xf>
    <xf numFmtId="0" fontId="9" fillId="0" borderId="126" xfId="0" applyFont="1" applyBorder="1" applyAlignment="1">
      <alignment horizontal="center" vertical="center"/>
    </xf>
    <xf numFmtId="0" fontId="66" fillId="0" borderId="127" xfId="0" applyFont="1" applyBorder="1" applyAlignment="1">
      <alignment horizontal="left"/>
    </xf>
    <xf numFmtId="0" fontId="66" fillId="0" borderId="127" xfId="0" applyFont="1" applyBorder="1" applyAlignment="1">
      <alignment horizontal="center" vertical="center"/>
    </xf>
    <xf numFmtId="1" fontId="66" fillId="0" borderId="127" xfId="0" applyNumberFormat="1" applyFont="1" applyBorder="1" applyAlignment="1">
      <alignment horizontal="center" vertical="center"/>
    </xf>
    <xf numFmtId="0" fontId="1" fillId="0" borderId="127" xfId="0" applyFont="1" applyBorder="1" applyAlignment="1">
      <alignment vertical="center"/>
    </xf>
    <xf numFmtId="0" fontId="9" fillId="0" borderId="74" xfId="0" applyFont="1" applyBorder="1"/>
    <xf numFmtId="0" fontId="13" fillId="3" borderId="112" xfId="0" applyFont="1" applyFill="1" applyBorder="1" applyAlignment="1">
      <alignment horizontal="center" vertical="center" wrapText="1"/>
    </xf>
    <xf numFmtId="0" fontId="1" fillId="0" borderId="112" xfId="0" applyFont="1" applyBorder="1" applyAlignment="1">
      <alignment horizontal="left" vertical="center" wrapText="1"/>
    </xf>
    <xf numFmtId="0" fontId="9" fillId="0" borderId="112" xfId="0" applyFont="1" applyBorder="1" applyAlignment="1">
      <alignment horizontal="center" vertical="center" wrapText="1"/>
    </xf>
    <xf numFmtId="0" fontId="116" fillId="13" borderId="27" xfId="0" applyFont="1" applyFill="1" applyBorder="1" applyAlignment="1">
      <alignment horizontal="center" vertical="center" wrapText="1"/>
    </xf>
    <xf numFmtId="0" fontId="116" fillId="15" borderId="27" xfId="0" applyFont="1" applyFill="1" applyBorder="1" applyAlignment="1">
      <alignment horizontal="center" vertical="center" wrapText="1"/>
    </xf>
    <xf numFmtId="0" fontId="116" fillId="16" borderId="33" xfId="0" applyFont="1" applyFill="1" applyBorder="1" applyAlignment="1">
      <alignment horizontal="center" vertical="center" wrapText="1"/>
    </xf>
    <xf numFmtId="0" fontId="18" fillId="0" borderId="112" xfId="0" applyFont="1" applyBorder="1" applyAlignment="1">
      <alignment horizontal="right" vertical="center"/>
    </xf>
    <xf numFmtId="0" fontId="13" fillId="4" borderId="112" xfId="0" applyFont="1" applyFill="1" applyBorder="1" applyAlignment="1">
      <alignment horizontal="center" vertical="center" wrapText="1"/>
    </xf>
    <xf numFmtId="9" fontId="1" fillId="5" borderId="112" xfId="0" applyNumberFormat="1" applyFont="1" applyFill="1" applyBorder="1" applyAlignment="1">
      <alignment horizontal="center" vertical="center"/>
    </xf>
    <xf numFmtId="0" fontId="9" fillId="0" borderId="112" xfId="0" applyFont="1" applyBorder="1" applyAlignment="1">
      <alignment horizontal="center"/>
    </xf>
    <xf numFmtId="0" fontId="9" fillId="0" borderId="128" xfId="0" applyFont="1" applyBorder="1"/>
    <xf numFmtId="0" fontId="13" fillId="3" borderId="129" xfId="0" applyFont="1" applyFill="1" applyBorder="1"/>
    <xf numFmtId="9" fontId="13" fillId="3" borderId="129" xfId="0" applyNumberFormat="1" applyFont="1" applyFill="1" applyBorder="1"/>
    <xf numFmtId="9" fontId="13" fillId="3" borderId="130" xfId="0" applyNumberFormat="1" applyFont="1" applyFill="1" applyBorder="1" applyAlignment="1">
      <alignment wrapText="1"/>
    </xf>
    <xf numFmtId="0" fontId="9" fillId="0" borderId="0" xfId="0" applyFont="1" applyAlignment="1">
      <alignment horizontal="right"/>
    </xf>
    <xf numFmtId="0" fontId="1" fillId="0" borderId="112" xfId="0" applyFont="1" applyBorder="1" applyAlignment="1">
      <alignment horizontal="center"/>
    </xf>
    <xf numFmtId="0" fontId="18" fillId="5" borderId="131" xfId="0" applyFont="1" applyFill="1" applyBorder="1"/>
    <xf numFmtId="0" fontId="9" fillId="0" borderId="132" xfId="0" applyFont="1" applyBorder="1"/>
    <xf numFmtId="0" fontId="9" fillId="0" borderId="133" xfId="0" applyFont="1" applyBorder="1"/>
    <xf numFmtId="0" fontId="117" fillId="0" borderId="112" xfId="0" applyFont="1" applyBorder="1" applyAlignment="1">
      <alignment horizontal="center"/>
    </xf>
    <xf numFmtId="0" fontId="3" fillId="0" borderId="111" xfId="0" applyFont="1" applyBorder="1"/>
    <xf numFmtId="0" fontId="3" fillId="0" borderId="111" xfId="0" applyFont="1" applyBorder="1" applyAlignment="1">
      <alignment horizontal="center"/>
    </xf>
    <xf numFmtId="0" fontId="13" fillId="3" borderId="48" xfId="0" applyFont="1" applyFill="1" applyBorder="1" applyAlignment="1">
      <alignment wrapText="1"/>
    </xf>
    <xf numFmtId="0" fontId="13" fillId="3" borderId="48" xfId="0" applyFont="1" applyFill="1" applyBorder="1" applyAlignment="1">
      <alignment horizontal="center" wrapText="1"/>
    </xf>
    <xf numFmtId="0" fontId="13" fillId="3" borderId="136" xfId="0" applyFont="1" applyFill="1" applyBorder="1" applyAlignment="1">
      <alignment wrapText="1"/>
    </xf>
    <xf numFmtId="0" fontId="13" fillId="3" borderId="45" xfId="0" applyFont="1" applyFill="1" applyBorder="1" applyAlignment="1">
      <alignment wrapText="1"/>
    </xf>
    <xf numFmtId="0" fontId="3" fillId="0" borderId="0" xfId="0" applyFont="1" applyAlignment="1">
      <alignment horizontal="right"/>
    </xf>
    <xf numFmtId="0" fontId="3" fillId="0" borderId="48" xfId="0" applyFont="1" applyBorder="1"/>
    <xf numFmtId="0" fontId="3" fillId="0" borderId="48" xfId="0" applyFont="1" applyBorder="1" applyAlignment="1">
      <alignment horizontal="center"/>
    </xf>
    <xf numFmtId="164" fontId="3" fillId="0" borderId="48" xfId="0" applyNumberFormat="1" applyFont="1" applyBorder="1"/>
    <xf numFmtId="164" fontId="3" fillId="0" borderId="48" xfId="0" applyNumberFormat="1" applyFont="1" applyBorder="1" applyAlignment="1">
      <alignment horizontal="right"/>
    </xf>
    <xf numFmtId="0" fontId="3" fillId="0" borderId="48" xfId="0" applyFont="1" applyBorder="1" applyAlignment="1">
      <alignment horizontal="right"/>
    </xf>
    <xf numFmtId="164" fontId="118" fillId="0" borderId="48" xfId="0" applyNumberFormat="1" applyFont="1" applyBorder="1" applyAlignment="1">
      <alignment horizontal="right"/>
    </xf>
    <xf numFmtId="0" fontId="3" fillId="0" borderId="48" xfId="0" applyFont="1" applyBorder="1" applyAlignment="1">
      <alignment horizontal="right" vertical="center"/>
    </xf>
    <xf numFmtId="0" fontId="3" fillId="0" borderId="48" xfId="0" applyFont="1" applyBorder="1" applyAlignment="1">
      <alignment horizontal="left" vertical="center"/>
    </xf>
    <xf numFmtId="0" fontId="3" fillId="0" borderId="48" xfId="0" applyFont="1" applyBorder="1" applyAlignment="1">
      <alignment horizontal="center" vertical="center"/>
    </xf>
    <xf numFmtId="164" fontId="3" fillId="0" borderId="48" xfId="0" applyNumberFormat="1" applyFont="1" applyBorder="1" applyAlignment="1">
      <alignment horizontal="right" vertical="center"/>
    </xf>
    <xf numFmtId="164" fontId="119" fillId="0" borderId="48" xfId="0" applyNumberFormat="1" applyFont="1" applyBorder="1" applyAlignment="1">
      <alignment horizontal="right" vertical="center"/>
    </xf>
    <xf numFmtId="0" fontId="10" fillId="0" borderId="0" xfId="0" applyFont="1" applyAlignment="1">
      <alignment horizontal="left" vertical="center"/>
    </xf>
    <xf numFmtId="0" fontId="3" fillId="0" borderId="0" xfId="0" applyFont="1" applyAlignment="1">
      <alignment horizontal="left" vertical="center"/>
    </xf>
    <xf numFmtId="0" fontId="3" fillId="0" borderId="48" xfId="0" applyFont="1" applyBorder="1" applyAlignment="1">
      <alignment wrapText="1"/>
    </xf>
    <xf numFmtId="0" fontId="3" fillId="47" borderId="48" xfId="0" applyFont="1" applyFill="1" applyBorder="1"/>
    <xf numFmtId="0" fontId="3" fillId="48" borderId="48" xfId="0" applyFont="1" applyFill="1" applyBorder="1"/>
    <xf numFmtId="0" fontId="10" fillId="0" borderId="0" xfId="0" applyFont="1" applyAlignment="1">
      <alignment horizontal="right"/>
    </xf>
    <xf numFmtId="0" fontId="3" fillId="0" borderId="0" xfId="0" applyFont="1" applyAlignment="1">
      <alignment horizontal="center"/>
    </xf>
    <xf numFmtId="0" fontId="13" fillId="3" borderId="23" xfId="0" applyFont="1" applyFill="1" applyBorder="1" applyAlignment="1">
      <alignment wrapText="1"/>
    </xf>
    <xf numFmtId="0" fontId="13" fillId="3" borderId="23" xfId="0" applyFont="1" applyFill="1" applyBorder="1" applyAlignment="1">
      <alignment horizontal="center" wrapText="1"/>
    </xf>
    <xf numFmtId="0" fontId="13" fillId="3" borderId="26" xfId="0" applyFont="1" applyFill="1" applyBorder="1" applyAlignment="1">
      <alignment wrapText="1"/>
    </xf>
    <xf numFmtId="0" fontId="13" fillId="3" borderId="35" xfId="0" applyFont="1" applyFill="1" applyBorder="1" applyAlignment="1">
      <alignment wrapText="1"/>
    </xf>
    <xf numFmtId="0" fontId="9" fillId="0" borderId="48" xfId="0" applyFont="1" applyBorder="1" applyAlignment="1">
      <alignment wrapText="1"/>
    </xf>
    <xf numFmtId="0" fontId="9" fillId="0" borderId="48" xfId="0" applyFont="1" applyBorder="1" applyAlignment="1">
      <alignment horizontal="center" wrapText="1"/>
    </xf>
    <xf numFmtId="165" fontId="9" fillId="0" borderId="48" xfId="0" applyNumberFormat="1" applyFont="1" applyBorder="1" applyAlignment="1">
      <alignment wrapText="1"/>
    </xf>
    <xf numFmtId="165" fontId="9" fillId="0" borderId="79" xfId="0" applyNumberFormat="1" applyFont="1" applyBorder="1" applyAlignment="1">
      <alignment wrapText="1"/>
    </xf>
    <xf numFmtId="0" fontId="120" fillId="0" borderId="48" xfId="0" applyFont="1" applyBorder="1" applyAlignment="1">
      <alignment wrapText="1"/>
    </xf>
    <xf numFmtId="0" fontId="10" fillId="0" borderId="0" xfId="0" applyFont="1" applyAlignment="1">
      <alignment horizontal="center"/>
    </xf>
    <xf numFmtId="0" fontId="55" fillId="0" borderId="139" xfId="0" applyFont="1" applyBorder="1" applyAlignment="1">
      <alignment horizontal="center" vertical="center"/>
    </xf>
    <xf numFmtId="15" fontId="121" fillId="0" borderId="0" xfId="0" applyNumberFormat="1" applyFont="1" applyAlignment="1">
      <alignment horizontal="left" vertical="center" wrapText="1"/>
    </xf>
    <xf numFmtId="15" fontId="122" fillId="0" borderId="0" xfId="0" applyNumberFormat="1" applyFont="1" applyAlignment="1">
      <alignment horizontal="left" vertical="center" wrapText="1"/>
    </xf>
    <xf numFmtId="15" fontId="123" fillId="0" borderId="0" xfId="0" applyNumberFormat="1" applyFont="1" applyAlignment="1">
      <alignment horizontal="left" vertical="center" wrapText="1"/>
    </xf>
    <xf numFmtId="15" fontId="124" fillId="0" borderId="0" xfId="0" applyNumberFormat="1" applyFont="1" applyAlignment="1">
      <alignment horizontal="left" vertical="center" wrapText="1"/>
    </xf>
    <xf numFmtId="0" fontId="51" fillId="0" borderId="139" xfId="0" applyFont="1" applyBorder="1" applyAlignment="1">
      <alignment horizontal="center" vertical="center"/>
    </xf>
    <xf numFmtId="15" fontId="36" fillId="0" borderId="0" xfId="0" applyNumberFormat="1" applyFont="1" applyAlignment="1">
      <alignment horizontal="left" vertical="center" wrapText="1"/>
    </xf>
    <xf numFmtId="15" fontId="125" fillId="0" borderId="0" xfId="0" applyNumberFormat="1" applyFont="1" applyAlignment="1">
      <alignment horizontal="left" vertical="center" wrapText="1"/>
    </xf>
    <xf numFmtId="0" fontId="19" fillId="0" borderId="139" xfId="0" applyFont="1" applyBorder="1" applyAlignment="1">
      <alignment horizontal="center" vertical="center"/>
    </xf>
    <xf numFmtId="0" fontId="9" fillId="0" borderId="36" xfId="0" applyFont="1" applyBorder="1" applyAlignment="1">
      <alignment vertical="center"/>
    </xf>
    <xf numFmtId="0" fontId="107" fillId="3" borderId="140" xfId="0" applyFont="1" applyFill="1" applyBorder="1" applyAlignment="1">
      <alignment horizontal="center" vertical="center" wrapText="1"/>
    </xf>
    <xf numFmtId="0" fontId="13" fillId="3" borderId="141" xfId="0" applyFont="1" applyFill="1" applyBorder="1" applyAlignment="1">
      <alignment horizontal="center" vertical="center" wrapText="1"/>
    </xf>
    <xf numFmtId="0" fontId="18" fillId="11" borderId="141" xfId="0" applyFont="1" applyFill="1" applyBorder="1" applyAlignment="1">
      <alignment horizontal="center" vertical="center" wrapText="1"/>
    </xf>
    <xf numFmtId="0" fontId="13" fillId="4" borderId="141" xfId="0" applyFont="1" applyFill="1" applyBorder="1" applyAlignment="1">
      <alignment horizontal="center" vertical="center" wrapText="1"/>
    </xf>
    <xf numFmtId="15" fontId="13" fillId="4" borderId="141" xfId="0" applyNumberFormat="1" applyFont="1" applyFill="1" applyBorder="1" applyAlignment="1">
      <alignment horizontal="center" vertical="center" wrapText="1"/>
    </xf>
    <xf numFmtId="15" fontId="126" fillId="8" borderId="141" xfId="0" applyNumberFormat="1" applyFont="1" applyFill="1" applyBorder="1" applyAlignment="1">
      <alignment horizontal="center" vertical="center" wrapText="1"/>
    </xf>
    <xf numFmtId="1" fontId="18" fillId="11" borderId="141" xfId="0" applyNumberFormat="1" applyFont="1" applyFill="1" applyBorder="1" applyAlignment="1">
      <alignment horizontal="center" vertical="center" wrapText="1"/>
    </xf>
    <xf numFmtId="15" fontId="126" fillId="8" borderId="142" xfId="0" applyNumberFormat="1" applyFont="1" applyFill="1" applyBorder="1" applyAlignment="1">
      <alignment horizontal="center" vertical="center" wrapText="1"/>
    </xf>
    <xf numFmtId="0" fontId="18" fillId="11" borderId="143" xfId="0" applyFont="1" applyFill="1" applyBorder="1" applyAlignment="1">
      <alignment horizontal="center" vertical="center" wrapText="1"/>
    </xf>
    <xf numFmtId="15" fontId="126" fillId="8" borderId="144" xfId="0" applyNumberFormat="1" applyFont="1" applyFill="1" applyBorder="1" applyAlignment="1">
      <alignment horizontal="center" vertical="center" wrapText="1"/>
    </xf>
    <xf numFmtId="0" fontId="116" fillId="9" borderId="145" xfId="0" applyFont="1" applyFill="1" applyBorder="1" applyAlignment="1">
      <alignment horizontal="center" vertical="center" wrapText="1"/>
    </xf>
    <xf numFmtId="0" fontId="9" fillId="0" borderId="112" xfId="0" applyFont="1" applyBorder="1" applyAlignment="1">
      <alignment horizontal="left" vertical="center" wrapText="1"/>
    </xf>
    <xf numFmtId="0" fontId="18" fillId="5" borderId="112" xfId="0" applyFont="1" applyFill="1" applyBorder="1" applyAlignment="1">
      <alignment horizontal="center" vertical="center" wrapText="1"/>
    </xf>
    <xf numFmtId="15" fontId="18" fillId="5" borderId="112" xfId="0" applyNumberFormat="1" applyFont="1" applyFill="1" applyBorder="1" applyAlignment="1">
      <alignment horizontal="center" vertical="center" wrapText="1"/>
    </xf>
    <xf numFmtId="15" fontId="127" fillId="49" borderId="112" xfId="0" applyNumberFormat="1" applyFont="1" applyFill="1" applyBorder="1" applyAlignment="1">
      <alignment horizontal="center" vertical="center" wrapText="1"/>
    </xf>
    <xf numFmtId="15" fontId="127" fillId="49" borderId="146" xfId="0" applyNumberFormat="1" applyFont="1" applyFill="1" applyBorder="1" applyAlignment="1">
      <alignment horizontal="center" vertical="center" wrapText="1"/>
    </xf>
    <xf numFmtId="1" fontId="18" fillId="5" borderId="112" xfId="0" applyNumberFormat="1" applyFont="1" applyFill="1" applyBorder="1" applyAlignment="1">
      <alignment horizontal="center" vertical="center" wrapText="1"/>
    </xf>
    <xf numFmtId="15" fontId="127" fillId="49" borderId="147" xfId="0" applyNumberFormat="1" applyFont="1" applyFill="1" applyBorder="1" applyAlignment="1">
      <alignment horizontal="center" vertical="center" wrapText="1"/>
    </xf>
    <xf numFmtId="0" fontId="116" fillId="13" borderId="145" xfId="0" applyFont="1" applyFill="1" applyBorder="1" applyAlignment="1">
      <alignment horizontal="center" vertical="center" wrapText="1"/>
    </xf>
    <xf numFmtId="0" fontId="116" fillId="15" borderId="145" xfId="0" applyFont="1" applyFill="1" applyBorder="1" applyAlignment="1">
      <alignment horizontal="center" vertical="center" wrapText="1"/>
    </xf>
    <xf numFmtId="15" fontId="18" fillId="0" borderId="112" xfId="0" applyNumberFormat="1" applyFont="1" applyBorder="1" applyAlignment="1">
      <alignment horizontal="center" vertical="center" wrapText="1"/>
    </xf>
    <xf numFmtId="0" fontId="116" fillId="16" borderId="145" xfId="0" applyFont="1" applyFill="1" applyBorder="1" applyAlignment="1">
      <alignment horizontal="center" vertical="center" wrapText="1"/>
    </xf>
    <xf numFmtId="0" fontId="19" fillId="18" borderId="145" xfId="0" applyFont="1" applyFill="1" applyBorder="1" applyAlignment="1">
      <alignment horizontal="center" vertical="center" wrapText="1"/>
    </xf>
    <xf numFmtId="0" fontId="19" fillId="20" borderId="145" xfId="0" applyFont="1" applyFill="1" applyBorder="1" applyAlignment="1">
      <alignment horizontal="center" vertical="center" wrapText="1"/>
    </xf>
    <xf numFmtId="0" fontId="116" fillId="31" borderId="145" xfId="0" applyFont="1" applyFill="1" applyBorder="1" applyAlignment="1">
      <alignment horizontal="center" vertical="center" wrapText="1"/>
    </xf>
    <xf numFmtId="0" fontId="116" fillId="23" borderId="145" xfId="0" applyFont="1" applyFill="1" applyBorder="1" applyAlignment="1">
      <alignment horizontal="center" vertical="center" wrapText="1"/>
    </xf>
    <xf numFmtId="15" fontId="1" fillId="49" borderId="112" xfId="0" applyNumberFormat="1" applyFont="1" applyFill="1" applyBorder="1" applyAlignment="1">
      <alignment horizontal="center" vertical="center" wrapText="1"/>
    </xf>
    <xf numFmtId="0" fontId="19" fillId="24" borderId="145" xfId="0" applyFont="1" applyFill="1" applyBorder="1" applyAlignment="1">
      <alignment horizontal="center" vertical="center" wrapText="1"/>
    </xf>
    <xf numFmtId="164" fontId="18" fillId="5" borderId="112" xfId="0" applyNumberFormat="1" applyFont="1" applyFill="1" applyBorder="1" applyAlignment="1">
      <alignment horizontal="center" vertical="center" wrapText="1"/>
    </xf>
    <xf numFmtId="0" fontId="19" fillId="24" borderId="148" xfId="0" applyFont="1" applyFill="1" applyBorder="1" applyAlignment="1">
      <alignment horizontal="center" vertical="center" wrapText="1"/>
    </xf>
    <xf numFmtId="0" fontId="9" fillId="0" borderId="149" xfId="0" applyFont="1" applyBorder="1" applyAlignment="1">
      <alignment horizontal="left" vertical="center" wrapText="1"/>
    </xf>
    <xf numFmtId="0" fontId="9" fillId="0" borderId="149" xfId="0" applyFont="1" applyBorder="1" applyAlignment="1">
      <alignment horizontal="center" vertical="center" wrapText="1"/>
    </xf>
    <xf numFmtId="0" fontId="18" fillId="5" borderId="149" xfId="0" applyFont="1" applyFill="1" applyBorder="1" applyAlignment="1">
      <alignment horizontal="center" vertical="center" wrapText="1"/>
    </xf>
    <xf numFmtId="15" fontId="18" fillId="5" borderId="149" xfId="0" applyNumberFormat="1" applyFont="1" applyFill="1" applyBorder="1" applyAlignment="1">
      <alignment horizontal="center" vertical="center" wrapText="1"/>
    </xf>
    <xf numFmtId="15" fontId="127" fillId="49" borderId="149" xfId="0" applyNumberFormat="1" applyFont="1" applyFill="1" applyBorder="1" applyAlignment="1">
      <alignment horizontal="center" vertical="center" wrapText="1"/>
    </xf>
    <xf numFmtId="1" fontId="18" fillId="5" borderId="149" xfId="0" applyNumberFormat="1" applyFont="1" applyFill="1" applyBorder="1" applyAlignment="1">
      <alignment horizontal="center" vertical="center" wrapText="1"/>
    </xf>
    <xf numFmtId="15" fontId="127" fillId="49" borderId="150" xfId="0" applyNumberFormat="1" applyFont="1" applyFill="1" applyBorder="1" applyAlignment="1">
      <alignment horizontal="center" vertical="center" wrapText="1"/>
    </xf>
    <xf numFmtId="15" fontId="127" fillId="49" borderId="151" xfId="0" applyNumberFormat="1" applyFont="1" applyFill="1" applyBorder="1" applyAlignment="1">
      <alignment horizontal="center" vertical="center" wrapText="1"/>
    </xf>
    <xf numFmtId="0" fontId="9" fillId="10" borderId="23" xfId="0" applyFont="1" applyFill="1" applyBorder="1" applyAlignment="1">
      <alignment horizontal="left" vertical="center" wrapText="1"/>
    </xf>
    <xf numFmtId="0" fontId="1" fillId="0" borderId="23" xfId="0" applyFont="1" applyBorder="1" applyAlignment="1">
      <alignment horizontal="center" vertical="center" wrapText="1"/>
    </xf>
    <xf numFmtId="0" fontId="1" fillId="0" borderId="103" xfId="0" applyFont="1" applyBorder="1" applyAlignment="1">
      <alignment horizontal="center" vertical="center" wrapText="1"/>
    </xf>
    <xf numFmtId="0" fontId="128" fillId="0" borderId="0" xfId="0" applyFont="1"/>
    <xf numFmtId="0" fontId="65" fillId="0" borderId="111" xfId="0" applyFont="1" applyBorder="1" applyAlignment="1">
      <alignment horizontal="center" vertical="center" wrapText="1"/>
    </xf>
    <xf numFmtId="0" fontId="45" fillId="0" borderId="112" xfId="0" applyFont="1" applyBorder="1" applyAlignment="1">
      <alignment vertical="center" wrapText="1"/>
    </xf>
    <xf numFmtId="0" fontId="45" fillId="0" borderId="112" xfId="0" applyFont="1" applyBorder="1" applyAlignment="1">
      <alignment horizontal="center" vertical="center" wrapText="1"/>
    </xf>
    <xf numFmtId="0" fontId="9" fillId="0" borderId="112" xfId="0" applyFont="1" applyBorder="1" applyAlignment="1">
      <alignment vertical="center" wrapText="1"/>
    </xf>
    <xf numFmtId="0" fontId="65" fillId="20" borderId="153" xfId="0" applyFont="1" applyFill="1" applyBorder="1" applyAlignment="1">
      <alignment horizontal="center" vertical="center" wrapText="1"/>
    </xf>
    <xf numFmtId="0" fontId="11" fillId="0" borderId="0" xfId="0" applyFont="1" applyAlignment="1">
      <alignment horizontal="center"/>
    </xf>
    <xf numFmtId="0" fontId="13" fillId="3" borderId="154" xfId="0" applyFont="1" applyFill="1" applyBorder="1" applyAlignment="1">
      <alignment horizontal="center"/>
    </xf>
    <xf numFmtId="0" fontId="9" fillId="0" borderId="155" xfId="0" applyFont="1" applyBorder="1" applyAlignment="1">
      <alignment horizontal="center" vertical="center"/>
    </xf>
    <xf numFmtId="0" fontId="9" fillId="0" borderId="156" xfId="0" applyFont="1" applyBorder="1" applyAlignment="1">
      <alignment horizontal="center" vertical="center"/>
    </xf>
    <xf numFmtId="0" fontId="9" fillId="0" borderId="157" xfId="0" applyFont="1" applyBorder="1" applyAlignment="1">
      <alignment horizontal="center" vertical="center"/>
    </xf>
    <xf numFmtId="0" fontId="9" fillId="0" borderId="155" xfId="0" applyFont="1" applyBorder="1" applyAlignment="1">
      <alignment horizontal="left" vertical="center"/>
    </xf>
    <xf numFmtId="0" fontId="87" fillId="15" borderId="158" xfId="0" applyFont="1" applyFill="1" applyBorder="1"/>
    <xf numFmtId="0" fontId="3" fillId="0" borderId="159" xfId="0" applyFont="1" applyBorder="1"/>
    <xf numFmtId="0" fontId="3" fillId="0" borderId="160" xfId="0" applyFont="1" applyBorder="1"/>
    <xf numFmtId="0" fontId="87" fillId="36" borderId="158" xfId="0" applyFont="1" applyFill="1" applyBorder="1"/>
    <xf numFmtId="0" fontId="10" fillId="0" borderId="0" xfId="0" applyFont="1"/>
    <xf numFmtId="0" fontId="6" fillId="4" borderId="9" xfId="0" applyFont="1" applyFill="1" applyBorder="1" applyAlignment="1">
      <alignment horizontal="center" vertical="center" wrapText="1"/>
    </xf>
    <xf numFmtId="0" fontId="2" fillId="0" borderId="12" xfId="0" applyFont="1" applyBorder="1"/>
    <xf numFmtId="0" fontId="6" fillId="3" borderId="9" xfId="0" applyFont="1" applyFill="1" applyBorder="1" applyAlignment="1">
      <alignment horizontal="center" vertical="center" wrapText="1"/>
    </xf>
    <xf numFmtId="0" fontId="3" fillId="2" borderId="10" xfId="0" applyFont="1" applyFill="1" applyBorder="1" applyAlignment="1">
      <alignment horizontal="center"/>
    </xf>
    <xf numFmtId="0" fontId="2" fillId="0" borderId="13" xfId="0" applyFont="1" applyBorder="1"/>
    <xf numFmtId="0" fontId="1" fillId="0" borderId="1" xfId="0" applyFont="1" applyBorder="1" applyAlignment="1">
      <alignment horizontal="center" vertical="center"/>
    </xf>
    <xf numFmtId="0" fontId="0" fillId="0" borderId="0" xfId="0"/>
    <xf numFmtId="0" fontId="2" fillId="0" borderId="2" xfId="0" applyFont="1" applyBorder="1"/>
    <xf numFmtId="0" fontId="1" fillId="2" borderId="3" xfId="0" applyFont="1" applyFill="1" applyBorder="1" applyAlignment="1">
      <alignment horizontal="center"/>
    </xf>
    <xf numFmtId="0" fontId="2" fillId="0" borderId="4" xfId="0" applyFont="1" applyBorder="1"/>
    <xf numFmtId="0" fontId="4" fillId="2" borderId="6" xfId="0" applyFont="1" applyFill="1" applyBorder="1" applyAlignment="1">
      <alignment horizontal="center"/>
    </xf>
    <xf numFmtId="0" fontId="2" fillId="0" borderId="7" xfId="0" applyFont="1" applyBorder="1"/>
    <xf numFmtId="0" fontId="3" fillId="2" borderId="8" xfId="0" applyFont="1" applyFill="1" applyBorder="1" applyAlignment="1">
      <alignment horizontal="center"/>
    </xf>
    <xf numFmtId="0" fontId="2" fillId="0" borderId="11" xfId="0" applyFont="1" applyBorder="1"/>
    <xf numFmtId="0" fontId="5" fillId="3" borderId="9" xfId="0" applyFont="1" applyFill="1" applyBorder="1" applyAlignment="1">
      <alignment horizontal="center" vertical="center" wrapText="1"/>
    </xf>
    <xf numFmtId="0" fontId="3" fillId="2" borderId="14" xfId="0" applyFont="1" applyFill="1" applyBorder="1" applyAlignment="1">
      <alignment horizontal="center"/>
    </xf>
    <xf numFmtId="0" fontId="2" fillId="0" borderId="15" xfId="0" applyFont="1" applyBorder="1"/>
    <xf numFmtId="0" fontId="9" fillId="0" borderId="0" xfId="0" applyFont="1" applyAlignment="1">
      <alignment horizontal="center" vertical="center"/>
    </xf>
    <xf numFmtId="0" fontId="3" fillId="0" borderId="0" xfId="0" applyFont="1"/>
    <xf numFmtId="0" fontId="65" fillId="11" borderId="60" xfId="0" applyFont="1" applyFill="1" applyBorder="1" applyAlignment="1">
      <alignment horizontal="center" vertical="center" wrapText="1"/>
    </xf>
    <xf numFmtId="0" fontId="2" fillId="0" borderId="61" xfId="0" applyFont="1" applyBorder="1"/>
    <xf numFmtId="0" fontId="2" fillId="0" borderId="62" xfId="0" applyFont="1" applyBorder="1"/>
    <xf numFmtId="0" fontId="65" fillId="28" borderId="60" xfId="0" applyFont="1" applyFill="1" applyBorder="1" applyAlignment="1">
      <alignment horizontal="center" vertical="center" wrapText="1"/>
    </xf>
    <xf numFmtId="0" fontId="65" fillId="29" borderId="60" xfId="0" applyFont="1" applyFill="1" applyBorder="1" applyAlignment="1">
      <alignment horizontal="center" vertical="center" wrapText="1"/>
    </xf>
    <xf numFmtId="0" fontId="66" fillId="17" borderId="60" xfId="0" applyFont="1" applyFill="1" applyBorder="1" applyAlignment="1">
      <alignment horizontal="center" vertical="center" wrapText="1"/>
    </xf>
    <xf numFmtId="0" fontId="67" fillId="17" borderId="60" xfId="0" applyFont="1" applyFill="1" applyBorder="1" applyAlignment="1">
      <alignment horizontal="center" vertical="center" wrapText="1"/>
    </xf>
    <xf numFmtId="0" fontId="65" fillId="10" borderId="60" xfId="0" applyFont="1" applyFill="1" applyBorder="1" applyAlignment="1">
      <alignment horizontal="center" vertical="center" wrapText="1"/>
    </xf>
    <xf numFmtId="0" fontId="65" fillId="5" borderId="60" xfId="0" applyFont="1" applyFill="1" applyBorder="1" applyAlignment="1">
      <alignment horizontal="center" vertical="center" wrapText="1"/>
    </xf>
    <xf numFmtId="0" fontId="65" fillId="17" borderId="60" xfId="0" applyFont="1" applyFill="1" applyBorder="1" applyAlignment="1">
      <alignment horizontal="center" vertical="center" wrapText="1"/>
    </xf>
    <xf numFmtId="0" fontId="65" fillId="11" borderId="64" xfId="0" applyFont="1" applyFill="1" applyBorder="1" applyAlignment="1">
      <alignment horizontal="center" vertical="center" wrapText="1"/>
    </xf>
    <xf numFmtId="0" fontId="65" fillId="29" borderId="64" xfId="0" applyFont="1" applyFill="1" applyBorder="1" applyAlignment="1">
      <alignment horizontal="center" vertical="center" wrapText="1"/>
    </xf>
    <xf numFmtId="0" fontId="2" fillId="0" borderId="63" xfId="0" applyFont="1" applyBorder="1"/>
    <xf numFmtId="0" fontId="65" fillId="5" borderId="0" xfId="0" applyFont="1" applyFill="1" applyAlignment="1">
      <alignment horizontal="center" vertical="center" wrapText="1"/>
    </xf>
    <xf numFmtId="0" fontId="65" fillId="17" borderId="64" xfId="0" applyFont="1" applyFill="1" applyBorder="1" applyAlignment="1">
      <alignment horizontal="center" vertical="center" wrapText="1"/>
    </xf>
    <xf numFmtId="0" fontId="65" fillId="28" borderId="64" xfId="0" applyFont="1" applyFill="1" applyBorder="1" applyAlignment="1">
      <alignment horizontal="center" vertical="center" wrapText="1"/>
    </xf>
    <xf numFmtId="0" fontId="13" fillId="4" borderId="71" xfId="0" applyFont="1" applyFill="1" applyBorder="1" applyAlignment="1">
      <alignment horizontal="center" vertical="center" wrapText="1"/>
    </xf>
    <xf numFmtId="0" fontId="2" fillId="0" borderId="72" xfId="0" applyFont="1" applyBorder="1"/>
    <xf numFmtId="0" fontId="9" fillId="0" borderId="0" xfId="0" applyFont="1" applyAlignment="1">
      <alignment horizontal="left" vertical="top" wrapText="1"/>
    </xf>
    <xf numFmtId="1" fontId="66" fillId="5" borderId="79" xfId="0" applyNumberFormat="1" applyFont="1" applyFill="1" applyBorder="1" applyAlignment="1">
      <alignment horizontal="center"/>
    </xf>
    <xf numFmtId="0" fontId="2" fillId="0" borderId="80" xfId="0" applyFont="1" applyBorder="1"/>
    <xf numFmtId="0" fontId="2" fillId="0" borderId="50" xfId="0" applyFont="1" applyBorder="1"/>
    <xf numFmtId="0" fontId="87" fillId="4" borderId="81" xfId="0" applyFont="1" applyFill="1" applyBorder="1" applyAlignment="1">
      <alignment horizontal="center"/>
    </xf>
    <xf numFmtId="0" fontId="2" fillId="0" borderId="82" xfId="0" applyFont="1" applyBorder="1"/>
    <xf numFmtId="0" fontId="2" fillId="0" borderId="83" xfId="0" applyFont="1" applyBorder="1"/>
    <xf numFmtId="0" fontId="13" fillId="3" borderId="28" xfId="0" applyFont="1" applyFill="1" applyBorder="1" applyAlignment="1">
      <alignment horizontal="center" vertical="center" wrapText="1"/>
    </xf>
    <xf numFmtId="0" fontId="2" fillId="0" borderId="30" xfId="0" applyFont="1" applyBorder="1"/>
    <xf numFmtId="0" fontId="13" fillId="3" borderId="76" xfId="0" applyFont="1" applyFill="1" applyBorder="1" applyAlignment="1">
      <alignment horizontal="center" vertical="center" wrapText="1"/>
    </xf>
    <xf numFmtId="0" fontId="2" fillId="0" borderId="69" xfId="0" applyFont="1" applyBorder="1"/>
    <xf numFmtId="0" fontId="2" fillId="0" borderId="53" xfId="0" applyFont="1" applyBorder="1"/>
    <xf numFmtId="0" fontId="13" fillId="3" borderId="86" xfId="0" applyFont="1" applyFill="1" applyBorder="1" applyAlignment="1">
      <alignment horizontal="center" vertical="center" wrapText="1"/>
    </xf>
    <xf numFmtId="0" fontId="2" fillId="0" borderId="87" xfId="0" applyFont="1" applyBorder="1"/>
    <xf numFmtId="0" fontId="9" fillId="6" borderId="79" xfId="0" applyFont="1" applyFill="1" applyBorder="1" applyAlignment="1">
      <alignment horizontal="center" vertical="center"/>
    </xf>
    <xf numFmtId="0" fontId="9" fillId="40" borderId="79" xfId="0" applyFont="1" applyFill="1" applyBorder="1" applyAlignment="1">
      <alignment horizontal="center"/>
    </xf>
    <xf numFmtId="0" fontId="9" fillId="41" borderId="79" xfId="0" applyFont="1" applyFill="1" applyBorder="1" applyAlignment="1">
      <alignment horizontal="center"/>
    </xf>
    <xf numFmtId="0" fontId="9" fillId="42" borderId="79" xfId="0" applyFont="1" applyFill="1" applyBorder="1" applyAlignment="1">
      <alignment horizontal="center"/>
    </xf>
    <xf numFmtId="0" fontId="93" fillId="3" borderId="3" xfId="0" applyFont="1" applyFill="1" applyBorder="1" applyAlignment="1">
      <alignment horizontal="center"/>
    </xf>
    <xf numFmtId="0" fontId="1" fillId="0" borderId="0" xfId="0" applyFont="1" applyAlignment="1">
      <alignment horizontal="center" vertical="center"/>
    </xf>
    <xf numFmtId="0" fontId="12" fillId="0" borderId="0" xfId="0" applyFont="1" applyAlignment="1">
      <alignment horizontal="center" vertical="center"/>
    </xf>
    <xf numFmtId="0" fontId="13" fillId="4" borderId="108" xfId="0" applyFont="1" applyFill="1" applyBorder="1" applyAlignment="1">
      <alignment horizontal="center"/>
    </xf>
    <xf numFmtId="0" fontId="2" fillId="0" borderId="109" xfId="0" applyFont="1" applyBorder="1"/>
    <xf numFmtId="0" fontId="9" fillId="0" borderId="111" xfId="0" applyFont="1" applyBorder="1" applyAlignment="1">
      <alignment horizontal="center" vertical="center"/>
    </xf>
    <xf numFmtId="0" fontId="2" fillId="0" borderId="114" xfId="0" applyFont="1" applyBorder="1"/>
    <xf numFmtId="0" fontId="10" fillId="0" borderId="113" xfId="0" applyFont="1" applyBorder="1" applyAlignment="1">
      <alignment horizontal="center"/>
    </xf>
    <xf numFmtId="0" fontId="2" fillId="0" borderId="113" xfId="0" applyFont="1" applyBorder="1"/>
    <xf numFmtId="0" fontId="106" fillId="3" borderId="79" xfId="0" applyFont="1" applyFill="1" applyBorder="1" applyAlignment="1">
      <alignment horizontal="center" vertical="center"/>
    </xf>
    <xf numFmtId="0" fontId="13" fillId="3" borderId="134" xfId="0" applyFont="1" applyFill="1" applyBorder="1" applyAlignment="1">
      <alignment wrapText="1"/>
    </xf>
    <xf numFmtId="0" fontId="2" fillId="0" borderId="135" xfId="0" applyFont="1" applyBorder="1"/>
    <xf numFmtId="0" fontId="13" fillId="3" borderId="137" xfId="0" applyFont="1" applyFill="1" applyBorder="1" applyAlignment="1">
      <alignment wrapText="1"/>
    </xf>
    <xf numFmtId="0" fontId="2" fillId="0" borderId="138" xfId="0" applyFont="1" applyBorder="1"/>
    <xf numFmtId="0" fontId="18" fillId="0" borderId="0" xfId="0" applyFont="1" applyAlignment="1">
      <alignment horizontal="center" vertical="center"/>
    </xf>
    <xf numFmtId="0" fontId="65" fillId="9" borderId="111" xfId="0" applyFont="1" applyFill="1" applyBorder="1" applyAlignment="1">
      <alignment horizontal="center" vertical="center" wrapText="1"/>
    </xf>
    <xf numFmtId="0" fontId="2" fillId="0" borderId="152" xfId="0" applyFont="1" applyBorder="1"/>
    <xf numFmtId="0" fontId="65" fillId="0" borderId="111" xfId="0" applyFont="1" applyBorder="1" applyAlignment="1">
      <alignment horizontal="center" vertical="center" wrapText="1"/>
    </xf>
    <xf numFmtId="0" fontId="65" fillId="36" borderId="111" xfId="0" applyFont="1" applyFill="1" applyBorder="1" applyAlignment="1">
      <alignment horizontal="center" vertical="center" wrapText="1"/>
    </xf>
    <xf numFmtId="0" fontId="65" fillId="16" borderId="111" xfId="0" applyFont="1" applyFill="1" applyBorder="1" applyAlignment="1">
      <alignment horizontal="center" vertical="center" wrapText="1"/>
    </xf>
    <xf numFmtId="0" fontId="65" fillId="31" borderId="111" xfId="0" applyFont="1" applyFill="1" applyBorder="1" applyAlignment="1">
      <alignment horizontal="center" vertical="center" wrapText="1"/>
    </xf>
  </cellXfs>
  <cellStyles count="1">
    <cellStyle name="Normal" xfId="0" builtinId="0"/>
  </cellStyles>
  <dxfs count="21">
    <dxf>
      <fill>
        <patternFill patternType="solid">
          <fgColor rgb="FFF8696B"/>
          <bgColor rgb="FFF8696B"/>
        </patternFill>
      </fill>
    </dxf>
    <dxf>
      <fill>
        <patternFill patternType="solid">
          <fgColor rgb="FFF8786D"/>
          <bgColor rgb="FFF8786D"/>
        </patternFill>
      </fill>
    </dxf>
    <dxf>
      <fill>
        <patternFill patternType="solid">
          <fgColor rgb="FFF98770"/>
          <bgColor rgb="FFF98770"/>
        </patternFill>
      </fill>
    </dxf>
    <dxf>
      <fill>
        <patternFill patternType="solid">
          <fgColor rgb="FFFA9673"/>
          <bgColor rgb="FFFA9673"/>
        </patternFill>
      </fill>
    </dxf>
    <dxf>
      <fill>
        <patternFill patternType="solid">
          <fgColor rgb="FFFBA676"/>
          <bgColor rgb="FFFBA676"/>
        </patternFill>
      </fill>
    </dxf>
    <dxf>
      <fill>
        <patternFill patternType="solid">
          <fgColor rgb="FFFCB579"/>
          <bgColor rgb="FFFCB579"/>
        </patternFill>
      </fill>
    </dxf>
    <dxf>
      <fill>
        <patternFill patternType="solid">
          <fgColor rgb="FFFCC47C"/>
          <bgColor rgb="FFFCC47C"/>
        </patternFill>
      </fill>
    </dxf>
    <dxf>
      <fill>
        <patternFill patternType="solid">
          <fgColor rgb="FFFDD47F"/>
          <bgColor rgb="FFFDD47F"/>
        </patternFill>
      </fill>
    </dxf>
    <dxf>
      <fill>
        <patternFill patternType="solid">
          <fgColor rgb="FFFEE382"/>
          <bgColor rgb="FFFEE382"/>
        </patternFill>
      </fill>
    </dxf>
    <dxf>
      <fill>
        <patternFill patternType="solid">
          <fgColor rgb="FFF6E984"/>
          <bgColor rgb="FFF6E984"/>
        </patternFill>
      </fill>
    </dxf>
    <dxf>
      <fill>
        <patternFill patternType="solid">
          <fgColor rgb="FFE4E483"/>
          <bgColor rgb="FFE4E483"/>
        </patternFill>
      </fill>
    </dxf>
    <dxf>
      <fill>
        <patternFill patternType="solid">
          <fgColor rgb="FFD2DE82"/>
          <bgColor rgb="FFD2DE82"/>
        </patternFill>
      </fill>
    </dxf>
    <dxf>
      <fill>
        <patternFill patternType="solid">
          <fgColor rgb="FFD8D8D8"/>
          <bgColor rgb="FFD8D8D8"/>
        </patternFill>
      </fill>
    </dxf>
    <dxf>
      <fill>
        <patternFill patternType="solid">
          <fgColor rgb="FFC39BE1"/>
          <bgColor rgb="FFC39BE1"/>
        </patternFill>
      </fill>
    </dxf>
    <dxf>
      <fill>
        <patternFill patternType="solid">
          <fgColor rgb="FFC9F490"/>
          <bgColor rgb="FFC9F490"/>
        </patternFill>
      </fill>
    </dxf>
    <dxf>
      <fill>
        <patternFill patternType="solid">
          <fgColor rgb="FF8AE4EE"/>
          <bgColor rgb="FF8AE4EE"/>
        </patternFill>
      </fill>
    </dxf>
    <dxf>
      <fill>
        <patternFill patternType="solid">
          <fgColor rgb="FFFFFF00"/>
          <bgColor rgb="FFFFFF00"/>
        </patternFill>
      </fill>
    </dxf>
    <dxf>
      <fill>
        <patternFill patternType="solid">
          <fgColor rgb="FFFBD4B4"/>
          <bgColor rgb="FFFBD4B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Acreditables a 2026-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rgbClr val="757575"/>
                </a:solidFill>
                <a:latin typeface="Arial Narrow"/>
              </a:defRPr>
            </a:pPr>
            <a:r>
              <a:rPr sz="1100" b="1" i="0">
                <a:solidFill>
                  <a:srgbClr val="757575"/>
                </a:solidFill>
                <a:latin typeface="Arial Narrow"/>
              </a:rPr>
              <a:t>Programas académicos de pregrado y posgrado con Registro Calificado de la Universidad del Cauca</a:t>
            </a:r>
          </a:p>
        </c:rich>
      </c:tx>
      <c:overlay val="0"/>
    </c:title>
    <c:autoTitleDeleted val="0"/>
    <c:view3D>
      <c:rotX val="50"/>
      <c:rotY val="0"/>
      <c:rAngAx val="1"/>
    </c:view3D>
    <c:floor>
      <c:thickness val="0"/>
    </c:floor>
    <c:sideWall>
      <c:thickness val="0"/>
    </c:sideWall>
    <c:backWall>
      <c:thickness val="0"/>
    </c:backWall>
    <c:plotArea>
      <c:layout>
        <c:manualLayout>
          <c:xMode val="edge"/>
          <c:yMode val="edge"/>
          <c:x val="5.7322019989892524E-2"/>
          <c:y val="0.20039580588050004"/>
          <c:w val="0.64324518350453874"/>
          <c:h val="0.74833213416655209"/>
        </c:manualLayout>
      </c:layout>
      <c:pie3DChart>
        <c:varyColors val="1"/>
        <c:ser>
          <c:idx val="0"/>
          <c:order val="0"/>
          <c:dPt>
            <c:idx val="0"/>
            <c:bubble3D val="0"/>
            <c:spPr>
              <a:solidFill>
                <a:srgbClr val="4F81BD"/>
              </a:solidFill>
            </c:spPr>
            <c:extLst>
              <c:ext xmlns:c16="http://schemas.microsoft.com/office/drawing/2014/chart" uri="{C3380CC4-5D6E-409C-BE32-E72D297353CC}">
                <c16:uniqueId val="{00000001-8E5B-4EF0-A3B9-2D94ACB6F12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'Sintesis-Programas'!$I$17:$J$17</c:f>
              <c:strCache>
                <c:ptCount val="2"/>
                <c:pt idx="0">
                  <c:v>Pregrado</c:v>
                </c:pt>
                <c:pt idx="1">
                  <c:v>Posgrado</c:v>
                </c:pt>
              </c:strCache>
            </c:strRef>
          </c:cat>
          <c:val>
            <c:numRef>
              <c:f>'Sintesis-Programas'!$I$18:$J$18</c:f>
              <c:numCache>
                <c:formatCode>0%</c:formatCode>
                <c:ptCount val="2"/>
                <c:pt idx="0">
                  <c:v>0.39655172413793105</c:v>
                </c:pt>
                <c:pt idx="1">
                  <c:v>0.60344827586206895</c:v>
                </c:pt>
              </c:numCache>
            </c:numRef>
          </c:val>
          <c:extLst>
            <c:ext xmlns:c16="http://schemas.microsoft.com/office/drawing/2014/chart" uri="{C3380CC4-5D6E-409C-BE32-E72D297353CC}">
              <c16:uniqueId val="{00000002-8E5B-4EF0-A3B9-2D94ACB6F121}"/>
            </c:ext>
          </c:extLst>
        </c:ser>
        <c:dLbls>
          <c:showLegendKey val="0"/>
          <c:showVal val="0"/>
          <c:showCatName val="0"/>
          <c:showSerName val="0"/>
          <c:showPercent val="0"/>
          <c:showBubbleSize val="0"/>
          <c:showLeaderLines val="1"/>
        </c:dLbls>
      </c:pie3DChart>
    </c:plotArea>
    <c:legend>
      <c:legendPos val="r"/>
      <c:layout>
        <c:manualLayout>
          <c:xMode val="edge"/>
          <c:yMode val="edge"/>
          <c:x val="0.77305046968881153"/>
          <c:y val="0.44985052183967533"/>
        </c:manualLayout>
      </c:layout>
      <c:overlay val="0"/>
      <c:txPr>
        <a:bodyPr/>
        <a:lstStyle/>
        <a:p>
          <a:pPr lvl="0">
            <a:defRPr b="1" i="0">
              <a:solidFill>
                <a:srgbClr val="1A1A1A"/>
              </a:solidFill>
              <a:latin typeface="Arial Narrow"/>
            </a:defRPr>
          </a:pPr>
          <a:endParaRPr lang="es-C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rgbClr val="002060"/>
                </a:solidFill>
                <a:latin typeface="Arial Narrow"/>
              </a:defRPr>
            </a:pPr>
            <a:r>
              <a:rPr sz="1100" b="1" i="0">
                <a:solidFill>
                  <a:srgbClr val="002060"/>
                </a:solidFill>
                <a:latin typeface="Arial Narrow"/>
              </a:rPr>
              <a:t>Programas académicos con Registro Calificado de la Universidad del Cauca</a:t>
            </a:r>
          </a:p>
        </c:rich>
      </c:tx>
      <c:layout>
        <c:manualLayout>
          <c:xMode val="edge"/>
          <c:yMode val="edge"/>
          <c:x val="0.14681255468066493"/>
          <c:y val="2.089093247170706E-2"/>
        </c:manualLayout>
      </c:layout>
      <c:overlay val="0"/>
    </c:title>
    <c:autoTitleDeleted val="0"/>
    <c:view3D>
      <c:rotX val="50"/>
      <c:rotY val="0"/>
      <c:rAngAx val="1"/>
    </c:view3D>
    <c:floor>
      <c:thickness val="0"/>
    </c:floor>
    <c:sideWall>
      <c:thickness val="0"/>
    </c:sideWall>
    <c:backWall>
      <c:thickness val="0"/>
    </c:backWall>
    <c:plotArea>
      <c:layout>
        <c:manualLayout>
          <c:xMode val="edge"/>
          <c:yMode val="edge"/>
          <c:x val="5.2777777777777792E-2"/>
          <c:y val="0.14138096909101186"/>
          <c:w val="0.57473753280841755"/>
          <c:h val="0.85817105910134761"/>
        </c:manualLayout>
      </c:layout>
      <c:pie3DChart>
        <c:varyColors val="1"/>
        <c:ser>
          <c:idx val="0"/>
          <c:order val="0"/>
          <c:dPt>
            <c:idx val="0"/>
            <c:bubble3D val="0"/>
            <c:spPr>
              <a:solidFill>
                <a:srgbClr val="4F81BD"/>
              </a:solidFill>
            </c:spPr>
            <c:extLst>
              <c:ext xmlns:c16="http://schemas.microsoft.com/office/drawing/2014/chart" uri="{C3380CC4-5D6E-409C-BE32-E72D297353CC}">
                <c16:uniqueId val="{00000001-3239-4EC2-987E-E82B35CCE9B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'Sintesis-Programas'!$C$17:$H$17</c:f>
              <c:strCache>
                <c:ptCount val="6"/>
                <c:pt idx="0">
                  <c:v>Tecnologías</c:v>
                </c:pt>
                <c:pt idx="1">
                  <c:v>Profesional</c:v>
                </c:pt>
                <c:pt idx="2">
                  <c:v>Especializaciones</c:v>
                </c:pt>
                <c:pt idx="3">
                  <c:v>Esp. Médico Quirúrgicas</c:v>
                </c:pt>
                <c:pt idx="4">
                  <c:v>Maestrías</c:v>
                </c:pt>
                <c:pt idx="5">
                  <c:v>Doctorados</c:v>
                </c:pt>
              </c:strCache>
            </c:strRef>
          </c:cat>
          <c:val>
            <c:numRef>
              <c:f>'Sintesis-Programas'!$C$18:$H$18</c:f>
              <c:numCache>
                <c:formatCode>0%</c:formatCode>
                <c:ptCount val="6"/>
                <c:pt idx="0">
                  <c:v>1.7241379310344827E-2</c:v>
                </c:pt>
                <c:pt idx="1">
                  <c:v>0.37931034482758619</c:v>
                </c:pt>
                <c:pt idx="2">
                  <c:v>0.16379310344827586</c:v>
                </c:pt>
                <c:pt idx="3">
                  <c:v>5.1724137931034482E-2</c:v>
                </c:pt>
                <c:pt idx="4">
                  <c:v>0.29310344827586204</c:v>
                </c:pt>
                <c:pt idx="5">
                  <c:v>9.4827586206896547E-2</c:v>
                </c:pt>
              </c:numCache>
            </c:numRef>
          </c:val>
          <c:extLst>
            <c:ext xmlns:c16="http://schemas.microsoft.com/office/drawing/2014/chart" uri="{C3380CC4-5D6E-409C-BE32-E72D297353CC}">
              <c16:uniqueId val="{00000002-3239-4EC2-987E-E82B35CCE9B0}"/>
            </c:ext>
          </c:extLst>
        </c:ser>
        <c:dLbls>
          <c:showLegendKey val="0"/>
          <c:showVal val="0"/>
          <c:showCatName val="0"/>
          <c:showSerName val="0"/>
          <c:showPercent val="0"/>
          <c:showBubbleSize val="0"/>
          <c:showLeaderLines val="1"/>
        </c:dLbls>
      </c:pie3DChart>
    </c:plotArea>
    <c:legend>
      <c:legendPos val="r"/>
      <c:layout>
        <c:manualLayout>
          <c:xMode val="edge"/>
          <c:yMode val="edge"/>
          <c:x val="0.63607641962891492"/>
          <c:y val="0.35514402334688105"/>
        </c:manualLayout>
      </c:layout>
      <c:overlay val="0"/>
      <c:txPr>
        <a:bodyPr/>
        <a:lstStyle/>
        <a:p>
          <a:pPr lvl="0">
            <a:defRPr b="1" i="0">
              <a:solidFill>
                <a:srgbClr val="1A1A1A"/>
              </a:solidFill>
              <a:latin typeface="Arial Narrow"/>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rgbClr val="757575"/>
                </a:solidFill>
                <a:latin typeface="Arial Narrow"/>
              </a:defRPr>
            </a:pPr>
            <a:r>
              <a:rPr sz="1100" b="1" i="0">
                <a:solidFill>
                  <a:srgbClr val="757575"/>
                </a:solidFill>
                <a:latin typeface="Arial Narrow"/>
              </a:rPr>
              <a:t>Programas académicos de pregrado y posgrado con Registro Calificado por Facultad</a:t>
            </a:r>
          </a:p>
        </c:rich>
      </c:tx>
      <c:overlay val="0"/>
    </c:title>
    <c:autoTitleDeleted val="0"/>
    <c:plotArea>
      <c:layout>
        <c:manualLayout>
          <c:xMode val="edge"/>
          <c:yMode val="edge"/>
          <c:x val="0.40779477213089632"/>
          <c:y val="0.12470947310587782"/>
          <c:w val="0.48056834524353681"/>
          <c:h val="0.7191395876910226"/>
        </c:manualLayout>
      </c:layout>
      <c:barChart>
        <c:barDir val="bar"/>
        <c:grouping val="stacked"/>
        <c:varyColors val="1"/>
        <c:ser>
          <c:idx val="0"/>
          <c:order val="0"/>
          <c:tx>
            <c:v>Total
Pregrado</c:v>
          </c:tx>
          <c:spPr>
            <a:solidFill>
              <a:srgbClr val="4F81BD"/>
            </a:solidFill>
            <a:ln cmpd="sng">
              <a:solidFill>
                <a:srgbClr val="000000"/>
              </a:solidFill>
            </a:ln>
          </c:spPr>
          <c:invertIfNegative val="1"/>
          <c:dPt>
            <c:idx val="0"/>
            <c:invertIfNegative val="1"/>
            <c:bubble3D val="0"/>
            <c:spPr>
              <a:solidFill>
                <a:srgbClr val="CC00CC"/>
              </a:solidFill>
              <a:ln cmpd="sng">
                <a:solidFill>
                  <a:srgbClr val="000000"/>
                </a:solidFill>
              </a:ln>
            </c:spPr>
            <c:extLst>
              <c:ext xmlns:c16="http://schemas.microsoft.com/office/drawing/2014/chart" uri="{C3380CC4-5D6E-409C-BE32-E72D297353CC}">
                <c16:uniqueId val="{00000001-BDAF-4735-84A9-CE70959EA089}"/>
              </c:ext>
            </c:extLst>
          </c:dPt>
          <c:dPt>
            <c:idx val="1"/>
            <c:invertIfNegative val="1"/>
            <c:bubble3D val="0"/>
            <c:spPr>
              <a:solidFill>
                <a:srgbClr val="00B050"/>
              </a:solidFill>
              <a:ln cmpd="sng">
                <a:solidFill>
                  <a:srgbClr val="000000"/>
                </a:solidFill>
              </a:ln>
            </c:spPr>
            <c:extLst>
              <c:ext xmlns:c16="http://schemas.microsoft.com/office/drawing/2014/chart" uri="{C3380CC4-5D6E-409C-BE32-E72D297353CC}">
                <c16:uniqueId val="{00000003-BDAF-4735-84A9-CE70959EA089}"/>
              </c:ext>
            </c:extLst>
          </c:dPt>
          <c:dPt>
            <c:idx val="2"/>
            <c:invertIfNegative val="1"/>
            <c:bubble3D val="0"/>
            <c:spPr>
              <a:solidFill>
                <a:srgbClr val="FF0000"/>
              </a:solidFill>
              <a:ln cmpd="sng">
                <a:solidFill>
                  <a:srgbClr val="000000"/>
                </a:solidFill>
              </a:ln>
            </c:spPr>
            <c:extLst>
              <c:ext xmlns:c16="http://schemas.microsoft.com/office/drawing/2014/chart" uri="{C3380CC4-5D6E-409C-BE32-E72D297353CC}">
                <c16:uniqueId val="{00000005-BDAF-4735-84A9-CE70959EA089}"/>
              </c:ext>
            </c:extLst>
          </c:dPt>
          <c:dPt>
            <c:idx val="4"/>
            <c:invertIfNegative val="1"/>
            <c:bubble3D val="0"/>
            <c:spPr>
              <a:solidFill>
                <a:srgbClr val="FFE101"/>
              </a:solidFill>
              <a:ln cmpd="sng">
                <a:solidFill>
                  <a:srgbClr val="000000"/>
                </a:solidFill>
              </a:ln>
            </c:spPr>
            <c:extLst>
              <c:ext xmlns:c16="http://schemas.microsoft.com/office/drawing/2014/chart" uri="{C3380CC4-5D6E-409C-BE32-E72D297353CC}">
                <c16:uniqueId val="{00000007-BDAF-4735-84A9-CE70959EA089}"/>
              </c:ext>
            </c:extLst>
          </c:dPt>
          <c:dPt>
            <c:idx val="7"/>
            <c:invertIfNegative val="1"/>
            <c:bubble3D val="0"/>
            <c:spPr>
              <a:solidFill>
                <a:srgbClr val="CC9900"/>
              </a:solidFill>
              <a:ln cmpd="sng">
                <a:solidFill>
                  <a:srgbClr val="000000"/>
                </a:solidFill>
              </a:ln>
            </c:spPr>
            <c:extLst>
              <c:ext xmlns:c16="http://schemas.microsoft.com/office/drawing/2014/chart" uri="{C3380CC4-5D6E-409C-BE32-E72D297353CC}">
                <c16:uniqueId val="{00000009-BDAF-4735-84A9-CE70959EA089}"/>
              </c:ext>
            </c:extLst>
          </c:dPt>
          <c:dPt>
            <c:idx val="8"/>
            <c:invertIfNegative val="1"/>
            <c:bubble3D val="0"/>
            <c:spPr>
              <a:solidFill>
                <a:srgbClr val="9CEECD"/>
              </a:solidFill>
              <a:ln cmpd="sng">
                <a:solidFill>
                  <a:srgbClr val="000000"/>
                </a:solidFill>
              </a:ln>
            </c:spPr>
            <c:extLst>
              <c:ext xmlns:c16="http://schemas.microsoft.com/office/drawing/2014/chart" uri="{C3380CC4-5D6E-409C-BE32-E72D297353CC}">
                <c16:uniqueId val="{0000000B-BDAF-4735-84A9-CE70959EA089}"/>
              </c:ext>
            </c:extLst>
          </c:dPt>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'Sintesis-Programas'!$B$7:$B$15</c:f>
              <c:strCache>
                <c:ptCount val="9"/>
                <c:pt idx="0">
                  <c:v>Facultad de Artes</c:v>
                </c:pt>
                <c:pt idx="1">
                  <c:v>Facultad de Ciencias Agrarias</c:v>
                </c:pt>
                <c:pt idx="2">
                  <c:v>Facultad de Ciencias Contables, Económicas y Administrativas</c:v>
                </c:pt>
                <c:pt idx="3">
                  <c:v>Facultad de Ciencias Naturales, Exactas y de la Educación </c:v>
                </c:pt>
                <c:pt idx="4">
                  <c:v>Facultad de Ciencias Humanas y Sociales</c:v>
                </c:pt>
                <c:pt idx="5">
                  <c:v>Facultad de Ciencias de la Salud</c:v>
                </c:pt>
                <c:pt idx="6">
                  <c:v>Facultad de Derecho, Ciencias Políticas y Sociales</c:v>
                </c:pt>
                <c:pt idx="7">
                  <c:v>Facultad de Ingeniería Civil </c:v>
                </c:pt>
                <c:pt idx="8">
                  <c:v>Facultad de Ingeniería Electrónica y Telecomunicaciones </c:v>
                </c:pt>
              </c:strCache>
            </c:strRef>
          </c:cat>
          <c:val>
            <c:numRef>
              <c:f>'Sintesis-Programas'!$I$7:$I$15</c:f>
              <c:numCache>
                <c:formatCode>General</c:formatCode>
                <c:ptCount val="9"/>
                <c:pt idx="0">
                  <c:v>5</c:v>
                </c:pt>
                <c:pt idx="1">
                  <c:v>3</c:v>
                </c:pt>
                <c:pt idx="2">
                  <c:v>4</c:v>
                </c:pt>
                <c:pt idx="3">
                  <c:v>9</c:v>
                </c:pt>
                <c:pt idx="4">
                  <c:v>8</c:v>
                </c:pt>
                <c:pt idx="5">
                  <c:v>4</c:v>
                </c:pt>
                <c:pt idx="6">
                  <c:v>4</c:v>
                </c:pt>
                <c:pt idx="7">
                  <c:v>5</c:v>
                </c:pt>
                <c:pt idx="8">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BDAF-4735-84A9-CE70959EA089}"/>
            </c:ext>
          </c:extLst>
        </c:ser>
        <c:ser>
          <c:idx val="1"/>
          <c:order val="1"/>
          <c:tx>
            <c:v>Total
Posgrado</c:v>
          </c:tx>
          <c:spPr>
            <a:solidFill>
              <a:srgbClr val="C0504D"/>
            </a:solidFill>
            <a:ln cmpd="sng">
              <a:solidFill>
                <a:srgbClr val="000000"/>
              </a:solidFill>
            </a:ln>
          </c:spPr>
          <c:invertIfNegative val="1"/>
          <c:dPt>
            <c:idx val="0"/>
            <c:invertIfNegative val="1"/>
            <c:bubble3D val="0"/>
            <c:spPr>
              <a:solidFill>
                <a:srgbClr val="CC00CC">
                  <a:alpha val="27450"/>
                </a:srgbClr>
              </a:solidFill>
              <a:ln cmpd="sng">
                <a:solidFill>
                  <a:srgbClr val="000000"/>
                </a:solidFill>
              </a:ln>
            </c:spPr>
            <c:extLst>
              <c:ext xmlns:c16="http://schemas.microsoft.com/office/drawing/2014/chart" uri="{C3380CC4-5D6E-409C-BE32-E72D297353CC}">
                <c16:uniqueId val="{0000000E-BDAF-4735-84A9-CE70959EA089}"/>
              </c:ext>
            </c:extLst>
          </c:dPt>
          <c:dPt>
            <c:idx val="1"/>
            <c:invertIfNegative val="1"/>
            <c:bubble3D val="0"/>
            <c:spPr>
              <a:solidFill>
                <a:srgbClr val="00B050">
                  <a:alpha val="27450"/>
                </a:srgbClr>
              </a:solidFill>
              <a:ln cmpd="sng">
                <a:solidFill>
                  <a:srgbClr val="000000"/>
                </a:solidFill>
              </a:ln>
            </c:spPr>
            <c:extLst>
              <c:ext xmlns:c16="http://schemas.microsoft.com/office/drawing/2014/chart" uri="{C3380CC4-5D6E-409C-BE32-E72D297353CC}">
                <c16:uniqueId val="{00000010-BDAF-4735-84A9-CE70959EA089}"/>
              </c:ext>
            </c:extLst>
          </c:dPt>
          <c:dPt>
            <c:idx val="2"/>
            <c:invertIfNegative val="1"/>
            <c:bubble3D val="0"/>
            <c:spPr>
              <a:solidFill>
                <a:srgbClr val="FF0000">
                  <a:alpha val="27450"/>
                </a:srgbClr>
              </a:solidFill>
              <a:ln cmpd="sng">
                <a:solidFill>
                  <a:srgbClr val="000000"/>
                </a:solidFill>
              </a:ln>
            </c:spPr>
            <c:extLst>
              <c:ext xmlns:c16="http://schemas.microsoft.com/office/drawing/2014/chart" uri="{C3380CC4-5D6E-409C-BE32-E72D297353CC}">
                <c16:uniqueId val="{00000012-BDAF-4735-84A9-CE70959EA089}"/>
              </c:ext>
            </c:extLst>
          </c:dPt>
          <c:dPt>
            <c:idx val="3"/>
            <c:invertIfNegative val="1"/>
            <c:bubble3D val="0"/>
            <c:spPr>
              <a:solidFill>
                <a:srgbClr val="C4BD97">
                  <a:alpha val="27450"/>
                </a:srgbClr>
              </a:solidFill>
              <a:ln cmpd="sng">
                <a:solidFill>
                  <a:srgbClr val="000000"/>
                </a:solidFill>
              </a:ln>
            </c:spPr>
            <c:extLst>
              <c:ext xmlns:c16="http://schemas.microsoft.com/office/drawing/2014/chart" uri="{C3380CC4-5D6E-409C-BE32-E72D297353CC}">
                <c16:uniqueId val="{00000014-BDAF-4735-84A9-CE70959EA089}"/>
              </c:ext>
            </c:extLst>
          </c:dPt>
          <c:dPt>
            <c:idx val="4"/>
            <c:invertIfNegative val="1"/>
            <c:bubble3D val="0"/>
            <c:spPr>
              <a:solidFill>
                <a:srgbClr val="FFE101">
                  <a:alpha val="27450"/>
                </a:srgbClr>
              </a:solidFill>
              <a:ln cmpd="sng">
                <a:solidFill>
                  <a:srgbClr val="000000"/>
                </a:solidFill>
              </a:ln>
            </c:spPr>
            <c:extLst>
              <c:ext xmlns:c16="http://schemas.microsoft.com/office/drawing/2014/chart" uri="{C3380CC4-5D6E-409C-BE32-E72D297353CC}">
                <c16:uniqueId val="{00000016-BDAF-4735-84A9-CE70959EA089}"/>
              </c:ext>
            </c:extLst>
          </c:dPt>
          <c:dPt>
            <c:idx val="5"/>
            <c:invertIfNegative val="1"/>
            <c:bubble3D val="0"/>
            <c:spPr>
              <a:solidFill>
                <a:srgbClr val="8EB4E3">
                  <a:alpha val="27450"/>
                </a:srgbClr>
              </a:solidFill>
              <a:ln cmpd="sng">
                <a:solidFill>
                  <a:srgbClr val="000000"/>
                </a:solidFill>
              </a:ln>
            </c:spPr>
            <c:extLst>
              <c:ext xmlns:c16="http://schemas.microsoft.com/office/drawing/2014/chart" uri="{C3380CC4-5D6E-409C-BE32-E72D297353CC}">
                <c16:uniqueId val="{00000018-BDAF-4735-84A9-CE70959EA089}"/>
              </c:ext>
            </c:extLst>
          </c:dPt>
          <c:dPt>
            <c:idx val="6"/>
            <c:invertIfNegative val="1"/>
            <c:bubble3D val="0"/>
            <c:spPr>
              <a:solidFill>
                <a:srgbClr val="4F81BD">
                  <a:alpha val="27450"/>
                </a:srgbClr>
              </a:solidFill>
              <a:ln cmpd="sng">
                <a:solidFill>
                  <a:srgbClr val="000000"/>
                </a:solidFill>
              </a:ln>
            </c:spPr>
            <c:extLst>
              <c:ext xmlns:c16="http://schemas.microsoft.com/office/drawing/2014/chart" uri="{C3380CC4-5D6E-409C-BE32-E72D297353CC}">
                <c16:uniqueId val="{0000001A-BDAF-4735-84A9-CE70959EA089}"/>
              </c:ext>
            </c:extLst>
          </c:dPt>
          <c:dPt>
            <c:idx val="7"/>
            <c:invertIfNegative val="1"/>
            <c:bubble3D val="0"/>
            <c:spPr>
              <a:solidFill>
                <a:srgbClr val="CC9900">
                  <a:alpha val="27450"/>
                </a:srgbClr>
              </a:solidFill>
              <a:ln cmpd="sng">
                <a:solidFill>
                  <a:srgbClr val="000000"/>
                </a:solidFill>
              </a:ln>
            </c:spPr>
            <c:extLst>
              <c:ext xmlns:c16="http://schemas.microsoft.com/office/drawing/2014/chart" uri="{C3380CC4-5D6E-409C-BE32-E72D297353CC}">
                <c16:uniqueId val="{0000001C-BDAF-4735-84A9-CE70959EA089}"/>
              </c:ext>
            </c:extLst>
          </c:dPt>
          <c:dPt>
            <c:idx val="8"/>
            <c:invertIfNegative val="1"/>
            <c:bubble3D val="0"/>
            <c:spPr>
              <a:solidFill>
                <a:srgbClr val="9CEECD">
                  <a:alpha val="27450"/>
                </a:srgbClr>
              </a:solidFill>
              <a:ln cmpd="sng">
                <a:solidFill>
                  <a:srgbClr val="000000"/>
                </a:solidFill>
              </a:ln>
            </c:spPr>
            <c:extLst>
              <c:ext xmlns:c16="http://schemas.microsoft.com/office/drawing/2014/chart" uri="{C3380CC4-5D6E-409C-BE32-E72D297353CC}">
                <c16:uniqueId val="{0000001E-BDAF-4735-84A9-CE70959EA089}"/>
              </c:ext>
            </c:extLst>
          </c:dPt>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'Sintesis-Programas'!$B$7:$B$15</c:f>
              <c:strCache>
                <c:ptCount val="9"/>
                <c:pt idx="0">
                  <c:v>Facultad de Artes</c:v>
                </c:pt>
                <c:pt idx="1">
                  <c:v>Facultad de Ciencias Agrarias</c:v>
                </c:pt>
                <c:pt idx="2">
                  <c:v>Facultad de Ciencias Contables, Económicas y Administrativas</c:v>
                </c:pt>
                <c:pt idx="3">
                  <c:v>Facultad de Ciencias Naturales, Exactas y de la Educación </c:v>
                </c:pt>
                <c:pt idx="4">
                  <c:v>Facultad de Ciencias Humanas y Sociales</c:v>
                </c:pt>
                <c:pt idx="5">
                  <c:v>Facultad de Ciencias de la Salud</c:v>
                </c:pt>
                <c:pt idx="6">
                  <c:v>Facultad de Derecho, Ciencias Políticas y Sociales</c:v>
                </c:pt>
                <c:pt idx="7">
                  <c:v>Facultad de Ingeniería Civil </c:v>
                </c:pt>
                <c:pt idx="8">
                  <c:v>Facultad de Ingeniería Electrónica y Telecomunicaciones </c:v>
                </c:pt>
              </c:strCache>
            </c:strRef>
          </c:cat>
          <c:val>
            <c:numRef>
              <c:f>'Sintesis-Programas'!$J$7:$J$15</c:f>
              <c:numCache>
                <c:formatCode>General</c:formatCode>
                <c:ptCount val="9"/>
                <c:pt idx="0">
                  <c:v>1</c:v>
                </c:pt>
                <c:pt idx="1">
                  <c:v>4</c:v>
                </c:pt>
                <c:pt idx="2">
                  <c:v>9</c:v>
                </c:pt>
                <c:pt idx="3">
                  <c:v>18</c:v>
                </c:pt>
                <c:pt idx="4">
                  <c:v>5</c:v>
                </c:pt>
                <c:pt idx="5">
                  <c:v>9</c:v>
                </c:pt>
                <c:pt idx="6">
                  <c:v>3</c:v>
                </c:pt>
                <c:pt idx="7">
                  <c:v>10</c:v>
                </c:pt>
                <c:pt idx="8">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F-BDAF-4735-84A9-CE70959EA089}"/>
            </c:ext>
          </c:extLst>
        </c:ser>
        <c:dLbls>
          <c:showLegendKey val="0"/>
          <c:showVal val="0"/>
          <c:showCatName val="0"/>
          <c:showSerName val="0"/>
          <c:showPercent val="0"/>
          <c:showBubbleSize val="0"/>
        </c:dLbls>
        <c:gapWidth val="150"/>
        <c:overlap val="100"/>
        <c:axId val="994007090"/>
        <c:axId val="1099523983"/>
      </c:barChart>
      <c:catAx>
        <c:axId val="99400709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0"/>
        <c:majorTickMark val="none"/>
        <c:minorTickMark val="none"/>
        <c:tickLblPos val="nextTo"/>
        <c:txPr>
          <a:bodyPr/>
          <a:lstStyle/>
          <a:p>
            <a:pPr lvl="0">
              <a:defRPr b="1" i="0">
                <a:solidFill>
                  <a:srgbClr val="000000"/>
                </a:solidFill>
                <a:latin typeface="Arial Narrow"/>
              </a:defRPr>
            </a:pPr>
            <a:endParaRPr lang="es-CO"/>
          </a:p>
        </c:txPr>
        <c:crossAx val="1099523983"/>
        <c:crosses val="autoZero"/>
        <c:auto val="1"/>
        <c:lblAlgn val="ctr"/>
        <c:lblOffset val="100"/>
        <c:noMultiLvlLbl val="1"/>
      </c:catAx>
      <c:valAx>
        <c:axId val="1099523983"/>
        <c:scaling>
          <c:orientation val="minMax"/>
        </c:scaling>
        <c:delete val="0"/>
        <c:axPos val="b"/>
        <c:majorGridlines>
          <c:spPr>
            <a:ln>
              <a:solidFill>
                <a:srgbClr val="B7B7B7"/>
              </a:solidFill>
            </a:ln>
          </c:spPr>
        </c:majorGridlines>
        <c:title>
          <c:tx>
            <c:rich>
              <a:bodyPr/>
              <a:lstStyle/>
              <a:p>
                <a:pPr lvl="0">
                  <a:defRPr b="1" i="0">
                    <a:solidFill>
                      <a:srgbClr val="000000"/>
                    </a:solidFill>
                    <a:latin typeface="Arial Narrow"/>
                  </a:defRPr>
                </a:pPr>
                <a:r>
                  <a:rPr b="1" i="0">
                    <a:solidFill>
                      <a:srgbClr val="000000"/>
                    </a:solidFill>
                    <a:latin typeface="Arial Narrow"/>
                  </a:rPr>
                  <a:t>Cantidad  de programas académicos de pregrado y posgrado</a:t>
                </a:r>
              </a:p>
            </c:rich>
          </c:tx>
          <c:layout>
            <c:manualLayout>
              <c:xMode val="edge"/>
              <c:yMode val="edge"/>
              <c:x val="0.40086969312133791"/>
              <c:y val="0.91433387887588979"/>
            </c:manualLayout>
          </c:layout>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CO"/>
          </a:p>
        </c:txPr>
        <c:crossAx val="994007090"/>
        <c:crosses val="max"/>
        <c:crossBetween val="between"/>
      </c:valAx>
    </c:plotArea>
    <c:legend>
      <c:legendPos val="b"/>
      <c:layout>
        <c:manualLayout>
          <c:xMode val="edge"/>
          <c:yMode val="edge"/>
          <c:x val="0.75851979705252648"/>
          <c:y val="0.23122620594755749"/>
        </c:manualLayout>
      </c:layout>
      <c:overlay val="0"/>
      <c:txPr>
        <a:bodyPr/>
        <a:lstStyle/>
        <a:p>
          <a:pPr lvl="0">
            <a:defRPr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Programas Acreditados</a:t>
            </a:r>
          </a:p>
        </c:rich>
      </c:tx>
      <c:overlay val="0"/>
    </c:title>
    <c:autoTitleDeleted val="0"/>
    <c:plotArea>
      <c:layout/>
      <c:barChart>
        <c:barDir val="bar"/>
        <c:grouping val="clustered"/>
        <c:varyColors val="1"/>
        <c:ser>
          <c:idx val="0"/>
          <c:order val="0"/>
          <c:tx>
            <c:v>Tecnologías</c:v>
          </c:tx>
          <c:spPr>
            <a:solidFill>
              <a:srgbClr val="4F81BD"/>
            </a:solidFill>
            <a:ln cmpd="sng">
              <a:solidFill>
                <a:srgbClr val="000000"/>
              </a:solidFill>
            </a:ln>
          </c:spPr>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Acreditados!$M$10:$M$18</c:f>
              <c:numCache>
                <c:formatCode>General</c:formatCode>
                <c:ptCount val="9"/>
                <c:pt idx="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A6-451F-9E7A-6729663D081B}"/>
            </c:ext>
          </c:extLst>
        </c:ser>
        <c:ser>
          <c:idx val="1"/>
          <c:order val="1"/>
          <c:tx>
            <c:v>Pregado</c:v>
          </c:tx>
          <c:spPr>
            <a:solidFill>
              <a:srgbClr val="C0504D"/>
            </a:solidFill>
            <a:ln cmpd="sng">
              <a:solidFill>
                <a:srgbClr val="000000"/>
              </a:solidFill>
            </a:ln>
          </c:spPr>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Acreditados!$N$10:$N$18</c:f>
              <c:numCache>
                <c:formatCode>General</c:formatCode>
                <c:ptCount val="9"/>
                <c:pt idx="0">
                  <c:v>4</c:v>
                </c:pt>
                <c:pt idx="1">
                  <c:v>3</c:v>
                </c:pt>
                <c:pt idx="2">
                  <c:v>1</c:v>
                </c:pt>
                <c:pt idx="3">
                  <c:v>3</c:v>
                </c:pt>
                <c:pt idx="4">
                  <c:v>4</c:v>
                </c:pt>
                <c:pt idx="5">
                  <c:v>8</c:v>
                </c:pt>
                <c:pt idx="7">
                  <c:v>1</c:v>
                </c:pt>
                <c:pt idx="8">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A6-451F-9E7A-6729663D081B}"/>
            </c:ext>
          </c:extLst>
        </c:ser>
        <c:ser>
          <c:idx val="2"/>
          <c:order val="2"/>
          <c:spPr>
            <a:solidFill>
              <a:srgbClr val="8064A2"/>
            </a:solidFill>
            <a:ln cmpd="sng">
              <a:solidFill>
                <a:srgbClr val="000000"/>
              </a:solidFill>
            </a:ln>
          </c:spPr>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Acreditados!$P$10:$P$18</c:f>
              <c:numCache>
                <c:formatCode>General</c:formatCode>
                <c:ptCount val="9"/>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8A6-451F-9E7A-6729663D081B}"/>
            </c:ext>
          </c:extLst>
        </c:ser>
        <c:ser>
          <c:idx val="3"/>
          <c:order val="3"/>
          <c:spPr>
            <a:solidFill>
              <a:srgbClr val="4BACC6"/>
            </a:solidFill>
            <a:ln cmpd="sng">
              <a:solidFill>
                <a:srgbClr val="000000"/>
              </a:solidFill>
            </a:ln>
          </c:spPr>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Acreditados!$Q$10:$Q$18</c:f>
              <c:numCache>
                <c:formatCode>General</c:formatCode>
                <c:ptCount val="9"/>
                <c:pt idx="5">
                  <c:v>1</c:v>
                </c:pt>
                <c:pt idx="8">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8A6-451F-9E7A-6729663D081B}"/>
            </c:ext>
          </c:extLst>
        </c:ser>
        <c:ser>
          <c:idx val="4"/>
          <c:order val="4"/>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Acreditados!$R$10:$R$18</c:f>
              <c:numCache>
                <c:formatCode>General</c:formatCode>
                <c:ptCount val="9"/>
                <c:pt idx="5">
                  <c:v>2</c:v>
                </c:pt>
                <c:pt idx="8">
                  <c:v>2</c:v>
                </c:pt>
              </c:numCache>
            </c:numRef>
          </c:val>
          <c:extLst>
            <c:ext xmlns:c16="http://schemas.microsoft.com/office/drawing/2014/chart" uri="{C3380CC4-5D6E-409C-BE32-E72D297353CC}">
              <c16:uniqueId val="{00000004-88A6-451F-9E7A-6729663D081B}"/>
            </c:ext>
          </c:extLst>
        </c:ser>
        <c:ser>
          <c:idx val="5"/>
          <c:order val="5"/>
          <c:invertIfNegative val="1"/>
          <c:cat>
            <c:strRef>
              <c:f>Acreditados!$L$10:$L$18</c:f>
              <c:strCache>
                <c:ptCount val="9"/>
                <c:pt idx="0">
                  <c:v>Facultad de Artes</c:v>
                </c:pt>
                <c:pt idx="1">
                  <c:v>Facultad de Ciencias Agrarias</c:v>
                </c:pt>
                <c:pt idx="2">
                  <c:v>Facultad de Ciencias Contables, Económicas y Administrativas</c:v>
                </c:pt>
                <c:pt idx="3">
                  <c:v>Facultad de Ciencias de la Salud</c:v>
                </c:pt>
                <c:pt idx="4">
                  <c:v>Facultad de Ciencias Humanas y Sociales</c:v>
                </c:pt>
                <c:pt idx="5">
                  <c:v>Facultad de Ciencias Naturales, Exactas y de la Educación </c:v>
                </c:pt>
                <c:pt idx="6">
                  <c:v>Facultad de Derecho, Ciencias Políticas y Sociales</c:v>
                </c:pt>
                <c:pt idx="7">
                  <c:v>Facultad de Ingeniería Civíl</c:v>
                </c:pt>
                <c:pt idx="8">
                  <c:v>Facultad de Ingeniería Electrónica y Telecomunicaciones </c:v>
                </c:pt>
              </c:strCache>
            </c:strRef>
          </c:cat>
          <c:val>
            <c:numRef>
              <c:f>Acreditados!$O$10:$O$18</c:f>
              <c:numCache>
                <c:formatCode>General</c:formatCode>
                <c:ptCount val="9"/>
              </c:numCache>
            </c:numRef>
          </c:val>
          <c:extLst>
            <c:ext xmlns:c16="http://schemas.microsoft.com/office/drawing/2014/chart" uri="{C3380CC4-5D6E-409C-BE32-E72D297353CC}">
              <c16:uniqueId val="{00000005-88A6-451F-9E7A-6729663D081B}"/>
            </c:ext>
          </c:extLst>
        </c:ser>
        <c:dLbls>
          <c:showLegendKey val="0"/>
          <c:showVal val="0"/>
          <c:showCatName val="0"/>
          <c:showSerName val="0"/>
          <c:showPercent val="0"/>
          <c:showBubbleSize val="0"/>
        </c:dLbls>
        <c:gapWidth val="150"/>
        <c:axId val="156833859"/>
        <c:axId val="1757885590"/>
      </c:barChart>
      <c:catAx>
        <c:axId val="156833859"/>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s-CO"/>
          </a:p>
        </c:txPr>
        <c:crossAx val="1757885590"/>
        <c:crosses val="autoZero"/>
        <c:auto val="1"/>
        <c:lblAlgn val="ctr"/>
        <c:lblOffset val="100"/>
        <c:noMultiLvlLbl val="1"/>
      </c:catAx>
      <c:valAx>
        <c:axId val="175788559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s-CO"/>
          </a:p>
        </c:txPr>
        <c:crossAx val="156833859"/>
        <c:crosses val="max"/>
        <c:crossBetween val="between"/>
      </c:valAx>
    </c:plotArea>
    <c:legend>
      <c:legendPos val="b"/>
      <c:layout>
        <c:manualLayout>
          <c:xMode val="edge"/>
          <c:yMode val="edge"/>
          <c:x val="0.25267633516613341"/>
          <c:y val="0.92868747152327236"/>
        </c:manualLayout>
      </c:layout>
      <c:overlay val="0"/>
      <c:txPr>
        <a:bodyPr/>
        <a:lstStyle/>
        <a:p>
          <a:pPr lvl="0">
            <a:defRPr sz="900" b="0" i="0">
              <a:solidFill>
                <a:srgbClr val="1A1A1A"/>
              </a:solidFill>
              <a:latin typeface="Calibri"/>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100" b="1" i="0">
                <a:solidFill>
                  <a:srgbClr val="002060"/>
                </a:solidFill>
                <a:latin typeface="Calibri"/>
              </a:defRPr>
            </a:pPr>
            <a:r>
              <a:rPr sz="1100" b="1" i="0">
                <a:solidFill>
                  <a:srgbClr val="002060"/>
                </a:solidFill>
                <a:latin typeface="Calibri"/>
              </a:rPr>
              <a:t>Etapa Programa en proceso Renovación RC</a:t>
            </a:r>
          </a:p>
        </c:rich>
      </c:tx>
      <c:overlay val="0"/>
    </c:title>
    <c:autoTitleDeleted val="0"/>
    <c:plotArea>
      <c:layout>
        <c:manualLayout>
          <c:xMode val="edge"/>
          <c:yMode val="edge"/>
          <c:x val="7.0731034674418533E-2"/>
          <c:y val="0.19907407407407407"/>
          <c:w val="0.37254894770940916"/>
          <c:h val="0.70370370370370372"/>
        </c:manualLayout>
      </c:layout>
      <c:pieChart>
        <c:varyColors val="1"/>
        <c:ser>
          <c:idx val="0"/>
          <c:order val="0"/>
          <c:dPt>
            <c:idx val="0"/>
            <c:bubble3D val="0"/>
            <c:spPr>
              <a:solidFill>
                <a:srgbClr val="FF0000"/>
              </a:solidFill>
            </c:spPr>
            <c:extLst>
              <c:ext xmlns:c16="http://schemas.microsoft.com/office/drawing/2014/chart" uri="{C3380CC4-5D6E-409C-BE32-E72D297353CC}">
                <c16:uniqueId val="{00000001-2D75-4374-AA72-AFD68B5DD642}"/>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'Facultad-Ruta-AAC'!$C$17:$V$17</c:f>
              <c:strCache>
                <c:ptCount val="20"/>
                <c:pt idx="0">
                  <c:v>1. CI</c:v>
                </c:pt>
                <c:pt idx="1">
                  <c:v>2. Ins-CNA</c:v>
                </c:pt>
                <c:pt idx="2">
                  <c:v>3. Crono</c:v>
                </c:pt>
                <c:pt idx="3">
                  <c:v>4. PEP</c:v>
                </c:pt>
                <c:pt idx="4">
                  <c:v>5. ModAE</c:v>
                </c:pt>
                <c:pt idx="5">
                  <c:v>6. Pond</c:v>
                </c:pt>
                <c:pt idx="6">
                  <c:v>7. AppIns</c:v>
                </c:pt>
                <c:pt idx="7">
                  <c:v>8. Calif</c:v>
                </c:pt>
                <c:pt idx="8">
                  <c:v>9. Análisis</c:v>
                </c:pt>
                <c:pt idx="9">
                  <c:v>10. Social</c:v>
                </c:pt>
                <c:pt idx="10">
                  <c:v>11. Informe</c:v>
                </c:pt>
                <c:pt idx="11">
                  <c:v>12. PM</c:v>
                </c:pt>
                <c:pt idx="12">
                  <c:v>13. SiGA</c:v>
                </c:pt>
                <c:pt idx="13">
                  <c:v>14. CNA</c:v>
                </c:pt>
                <c:pt idx="14">
                  <c:v>15. Visita</c:v>
                </c:pt>
                <c:pt idx="15">
                  <c:v>16. InfPares</c:v>
                </c:pt>
                <c:pt idx="16">
                  <c:v>17. EspRes</c:v>
                </c:pt>
                <c:pt idx="17">
                  <c:v>18. MEN</c:v>
                </c:pt>
                <c:pt idx="18">
                  <c:v>19. RecRep</c:v>
                </c:pt>
                <c:pt idx="19">
                  <c:v>AAC Vigente</c:v>
                </c:pt>
              </c:strCache>
            </c:strRef>
          </c:cat>
          <c:val>
            <c:numRef>
              <c:f>'Facultad-Ruta-AAC'!$C$18:$V$18</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D75-4374-AA72-AFD68B5DD642}"/>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55584596343871995"/>
          <c:y val="0.13696959755030813"/>
        </c:manualLayout>
      </c:layout>
      <c:overlay val="0"/>
      <c:txPr>
        <a:bodyPr/>
        <a:lstStyle/>
        <a:p>
          <a:pPr lvl="0">
            <a:defRPr b="0" i="0">
              <a:solidFill>
                <a:srgbClr val="1A1A1A"/>
              </a:solidFill>
              <a:latin typeface="+mn-lt"/>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Arial Narrow"/>
              </a:defRPr>
            </a:pPr>
            <a:r>
              <a:rPr sz="1800" b="1" i="0">
                <a:solidFill>
                  <a:schemeClr val="dk1"/>
                </a:solidFill>
                <a:latin typeface="Arial Narrow"/>
              </a:rPr>
              <a:t>NÚMERO DE PROGRAMAS NUEVOS</a:t>
            </a:r>
          </a:p>
        </c:rich>
      </c:tx>
      <c:overlay val="0"/>
    </c:title>
    <c:autoTitleDeleted val="0"/>
    <c:plotArea>
      <c:layout/>
      <c:barChart>
        <c:barDir val="col"/>
        <c:grouping val="clustered"/>
        <c:varyColors val="1"/>
        <c:ser>
          <c:idx val="0"/>
          <c:order val="0"/>
          <c:tx>
            <c:v>Pregrado</c:v>
          </c:tx>
          <c:spPr>
            <a:solidFill>
              <a:srgbClr val="4F81BD"/>
            </a:solidFill>
            <a:ln cmpd="sng">
              <a:solidFill>
                <a:srgbClr val="000000"/>
              </a:solidFill>
            </a:ln>
          </c:spPr>
          <c:invertIfNegative val="1"/>
          <c:cat>
            <c:numRef>
              <c:f>'Histórico Programas'!$B$5:$K$5</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'Histórico Programas'!$B$6:$K$6</c:f>
              <c:numCache>
                <c:formatCode>General</c:formatCode>
                <c:ptCount val="10"/>
                <c:pt idx="0">
                  <c:v>4</c:v>
                </c:pt>
                <c:pt idx="1">
                  <c:v>1</c:v>
                </c:pt>
                <c:pt idx="2">
                  <c:v>4</c:v>
                </c:pt>
                <c:pt idx="3">
                  <c:v>1</c:v>
                </c:pt>
                <c:pt idx="4">
                  <c:v>2</c:v>
                </c:pt>
                <c:pt idx="5">
                  <c:v>3</c:v>
                </c:pt>
                <c:pt idx="6">
                  <c:v>4</c:v>
                </c:pt>
                <c:pt idx="7">
                  <c:v>0</c:v>
                </c:pt>
                <c:pt idx="8">
                  <c:v>1</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2E-441C-996C-E55A5E7BBB83}"/>
            </c:ext>
          </c:extLst>
        </c:ser>
        <c:ser>
          <c:idx val="1"/>
          <c:order val="1"/>
          <c:tx>
            <c:v>Posgrado</c:v>
          </c:tx>
          <c:spPr>
            <a:solidFill>
              <a:srgbClr val="C0504D"/>
            </a:solidFill>
            <a:ln cmpd="sng">
              <a:solidFill>
                <a:srgbClr val="000000"/>
              </a:solidFill>
            </a:ln>
          </c:spPr>
          <c:invertIfNegative val="1"/>
          <c:cat>
            <c:numRef>
              <c:f>'Histórico Programas'!$B$5:$K$5</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'Histórico Programas'!$B$7:$K$7</c:f>
              <c:numCache>
                <c:formatCode>General</c:formatCode>
                <c:ptCount val="10"/>
                <c:pt idx="0">
                  <c:v>2</c:v>
                </c:pt>
                <c:pt idx="1">
                  <c:v>1</c:v>
                </c:pt>
                <c:pt idx="2">
                  <c:v>14</c:v>
                </c:pt>
                <c:pt idx="3">
                  <c:v>31</c:v>
                </c:pt>
                <c:pt idx="4">
                  <c:v>14</c:v>
                </c:pt>
                <c:pt idx="5">
                  <c:v>4</c:v>
                </c:pt>
                <c:pt idx="6">
                  <c:v>0</c:v>
                </c:pt>
                <c:pt idx="7">
                  <c:v>2</c:v>
                </c:pt>
                <c:pt idx="8">
                  <c:v>1</c:v>
                </c:pt>
                <c:pt idx="9">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2E-441C-996C-E55A5E7BBB83}"/>
            </c:ext>
          </c:extLst>
        </c:ser>
        <c:dLbls>
          <c:showLegendKey val="0"/>
          <c:showVal val="0"/>
          <c:showCatName val="0"/>
          <c:showSerName val="0"/>
          <c:showPercent val="0"/>
          <c:showBubbleSize val="0"/>
        </c:dLbls>
        <c:gapWidth val="150"/>
        <c:axId val="1118700625"/>
        <c:axId val="615724524"/>
      </c:barChart>
      <c:catAx>
        <c:axId val="111870062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chemeClr val="dk1"/>
                </a:solidFill>
                <a:latin typeface="Arial Narrow"/>
              </a:defRPr>
            </a:pPr>
            <a:endParaRPr lang="es-CO"/>
          </a:p>
        </c:txPr>
        <c:crossAx val="615724524"/>
        <c:crosses val="autoZero"/>
        <c:auto val="1"/>
        <c:lblAlgn val="ctr"/>
        <c:lblOffset val="100"/>
        <c:noMultiLvlLbl val="1"/>
      </c:catAx>
      <c:valAx>
        <c:axId val="6157245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1" i="0">
                <a:solidFill>
                  <a:schemeClr val="dk1"/>
                </a:solidFill>
                <a:latin typeface="Arial Narrow"/>
              </a:defRPr>
            </a:pPr>
            <a:endParaRPr lang="es-CO"/>
          </a:p>
        </c:txPr>
        <c:crossAx val="1118700625"/>
        <c:crosses val="autoZero"/>
        <c:crossBetween val="between"/>
      </c:valAx>
    </c:plotArea>
    <c:legend>
      <c:legendPos val="b"/>
      <c:overlay val="0"/>
      <c:txPr>
        <a:bodyPr/>
        <a:lstStyle/>
        <a:p>
          <a:pPr lvl="0">
            <a:defRPr sz="900" b="0" i="0">
              <a:solidFill>
                <a:schemeClr val="dk1"/>
              </a:solidFill>
              <a:latin typeface="Arial Narrow"/>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Arial Narrow"/>
              </a:defRPr>
            </a:pPr>
            <a:r>
              <a:rPr sz="1800" b="1" i="0">
                <a:solidFill>
                  <a:schemeClr val="dk1"/>
                </a:solidFill>
                <a:latin typeface="Arial Narrow"/>
              </a:rPr>
              <a:t>NÚMERO DE PROGRAMAS NUEVOS</a:t>
            </a:r>
          </a:p>
        </c:rich>
      </c:tx>
      <c:overlay val="0"/>
    </c:title>
    <c:autoTitleDeleted val="0"/>
    <c:plotArea>
      <c:layout/>
      <c:lineChart>
        <c:grouping val="standard"/>
        <c:varyColors val="1"/>
        <c:ser>
          <c:idx val="0"/>
          <c:order val="0"/>
          <c:tx>
            <c:v>Pregrado</c:v>
          </c:tx>
          <c:spPr>
            <a:ln w="28575" cmpd="sng">
              <a:solidFill>
                <a:schemeClr val="accent1"/>
              </a:solidFill>
            </a:ln>
          </c:spPr>
          <c:marker>
            <c:symbol val="none"/>
          </c:marker>
          <c:cat>
            <c:numRef>
              <c:f>'Histórico Programas'!$B$5:$K$5</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'Histórico Programas'!$B$6:$K$6</c:f>
              <c:numCache>
                <c:formatCode>General</c:formatCode>
                <c:ptCount val="10"/>
                <c:pt idx="0">
                  <c:v>4</c:v>
                </c:pt>
                <c:pt idx="1">
                  <c:v>1</c:v>
                </c:pt>
                <c:pt idx="2">
                  <c:v>4</c:v>
                </c:pt>
                <c:pt idx="3">
                  <c:v>1</c:v>
                </c:pt>
                <c:pt idx="4">
                  <c:v>2</c:v>
                </c:pt>
                <c:pt idx="5">
                  <c:v>3</c:v>
                </c:pt>
                <c:pt idx="6">
                  <c:v>4</c:v>
                </c:pt>
                <c:pt idx="7">
                  <c:v>0</c:v>
                </c:pt>
                <c:pt idx="8">
                  <c:v>1</c:v>
                </c:pt>
                <c:pt idx="9">
                  <c:v>0</c:v>
                </c:pt>
              </c:numCache>
            </c:numRef>
          </c:val>
          <c:smooth val="0"/>
          <c:extLst>
            <c:ext xmlns:c16="http://schemas.microsoft.com/office/drawing/2014/chart" uri="{C3380CC4-5D6E-409C-BE32-E72D297353CC}">
              <c16:uniqueId val="{00000000-37B7-4A7A-9669-261D60682F3F}"/>
            </c:ext>
          </c:extLst>
        </c:ser>
        <c:ser>
          <c:idx val="1"/>
          <c:order val="1"/>
          <c:tx>
            <c:v>Posgrado</c:v>
          </c:tx>
          <c:spPr>
            <a:ln w="28575" cmpd="sng">
              <a:solidFill>
                <a:schemeClr val="accent2"/>
              </a:solidFill>
            </a:ln>
          </c:spPr>
          <c:marker>
            <c:symbol val="none"/>
          </c:marker>
          <c:cat>
            <c:numRef>
              <c:f>'Histórico Programas'!$B$5:$K$5</c:f>
              <c:numCache>
                <c:formatCode>General</c:formatCode>
                <c:ptCount val="10"/>
                <c:pt idx="0">
                  <c:v>2012</c:v>
                </c:pt>
                <c:pt idx="1">
                  <c:v>2013</c:v>
                </c:pt>
                <c:pt idx="2">
                  <c:v>2014</c:v>
                </c:pt>
                <c:pt idx="3">
                  <c:v>2015</c:v>
                </c:pt>
                <c:pt idx="4">
                  <c:v>2016</c:v>
                </c:pt>
                <c:pt idx="5">
                  <c:v>2017</c:v>
                </c:pt>
                <c:pt idx="6">
                  <c:v>2018</c:v>
                </c:pt>
                <c:pt idx="7">
                  <c:v>2019</c:v>
                </c:pt>
                <c:pt idx="8">
                  <c:v>2020</c:v>
                </c:pt>
                <c:pt idx="9">
                  <c:v>2021</c:v>
                </c:pt>
              </c:numCache>
            </c:numRef>
          </c:cat>
          <c:val>
            <c:numRef>
              <c:f>'Histórico Programas'!$B$7:$K$7</c:f>
              <c:numCache>
                <c:formatCode>General</c:formatCode>
                <c:ptCount val="10"/>
                <c:pt idx="0">
                  <c:v>2</c:v>
                </c:pt>
                <c:pt idx="1">
                  <c:v>1</c:v>
                </c:pt>
                <c:pt idx="2">
                  <c:v>14</c:v>
                </c:pt>
                <c:pt idx="3">
                  <c:v>31</c:v>
                </c:pt>
                <c:pt idx="4">
                  <c:v>14</c:v>
                </c:pt>
                <c:pt idx="5">
                  <c:v>4</c:v>
                </c:pt>
                <c:pt idx="6">
                  <c:v>0</c:v>
                </c:pt>
                <c:pt idx="7">
                  <c:v>2</c:v>
                </c:pt>
                <c:pt idx="8">
                  <c:v>1</c:v>
                </c:pt>
                <c:pt idx="9">
                  <c:v>2</c:v>
                </c:pt>
              </c:numCache>
            </c:numRef>
          </c:val>
          <c:smooth val="0"/>
          <c:extLst>
            <c:ext xmlns:c16="http://schemas.microsoft.com/office/drawing/2014/chart" uri="{C3380CC4-5D6E-409C-BE32-E72D297353CC}">
              <c16:uniqueId val="{00000001-37B7-4A7A-9669-261D60682F3F}"/>
            </c:ext>
          </c:extLst>
        </c:ser>
        <c:dLbls>
          <c:showLegendKey val="0"/>
          <c:showVal val="0"/>
          <c:showCatName val="0"/>
          <c:showSerName val="0"/>
          <c:showPercent val="0"/>
          <c:showBubbleSize val="0"/>
        </c:dLbls>
        <c:smooth val="0"/>
        <c:axId val="348927163"/>
        <c:axId val="2130874698"/>
      </c:lineChart>
      <c:catAx>
        <c:axId val="34892716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chemeClr val="dk1"/>
                </a:solidFill>
                <a:latin typeface="Arial Narrow"/>
              </a:defRPr>
            </a:pPr>
            <a:endParaRPr lang="es-CO"/>
          </a:p>
        </c:txPr>
        <c:crossAx val="2130874698"/>
        <c:crosses val="autoZero"/>
        <c:auto val="1"/>
        <c:lblAlgn val="ctr"/>
        <c:lblOffset val="100"/>
        <c:noMultiLvlLbl val="1"/>
      </c:catAx>
      <c:valAx>
        <c:axId val="213087469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1" i="0">
                <a:solidFill>
                  <a:schemeClr val="dk1"/>
                </a:solidFill>
                <a:latin typeface="Arial Narrow"/>
              </a:defRPr>
            </a:pPr>
            <a:endParaRPr lang="es-CO"/>
          </a:p>
        </c:txPr>
        <c:crossAx val="348927163"/>
        <c:crosses val="autoZero"/>
        <c:crossBetween val="between"/>
      </c:valAx>
    </c:plotArea>
    <c:legend>
      <c:legendPos val="b"/>
      <c:overlay val="0"/>
      <c:txPr>
        <a:bodyPr/>
        <a:lstStyle/>
        <a:p>
          <a:pPr lvl="0">
            <a:defRPr sz="900" b="0" i="0">
              <a:solidFill>
                <a:schemeClr val="dk1"/>
              </a:solidFill>
              <a:latin typeface="Arial Narrow"/>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Arial Narrow"/>
              </a:defRPr>
            </a:pPr>
            <a:r>
              <a:rPr sz="1800" b="1" i="0">
                <a:solidFill>
                  <a:schemeClr val="dk1"/>
                </a:solidFill>
                <a:latin typeface="Arial Narrow"/>
              </a:rPr>
              <a:t>NÚMERO DE PROGRAMAS</a:t>
            </a:r>
          </a:p>
        </c:rich>
      </c:tx>
      <c:overlay val="0"/>
    </c:title>
    <c:autoTitleDeleted val="0"/>
    <c:plotArea>
      <c:layout/>
      <c:barChart>
        <c:barDir val="col"/>
        <c:grouping val="clustered"/>
        <c:varyColors val="1"/>
        <c:ser>
          <c:idx val="0"/>
          <c:order val="0"/>
          <c:tx>
            <c:v>Pregrado</c:v>
          </c:tx>
          <c:spPr>
            <a:solidFill>
              <a:srgbClr val="4F81BD"/>
            </a:solidFill>
            <a:ln cmpd="sng">
              <a:solidFill>
                <a:srgbClr val="000000"/>
              </a:solidFill>
            </a:ln>
          </c:spPr>
          <c:invertIfNegative val="1"/>
          <c:cat>
            <c:numRef>
              <c:f>'Histórico Programas'!$B$10:$L$10</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'Histórico Programas'!$B$11:$L$11</c:f>
              <c:numCache>
                <c:formatCode>General</c:formatCode>
                <c:ptCount val="11"/>
                <c:pt idx="0">
                  <c:v>44</c:v>
                </c:pt>
                <c:pt idx="1">
                  <c:v>48</c:v>
                </c:pt>
                <c:pt idx="2">
                  <c:v>49</c:v>
                </c:pt>
                <c:pt idx="3">
                  <c:v>53</c:v>
                </c:pt>
                <c:pt idx="4">
                  <c:v>54</c:v>
                </c:pt>
                <c:pt idx="5">
                  <c:v>56</c:v>
                </c:pt>
                <c:pt idx="6">
                  <c:v>59</c:v>
                </c:pt>
                <c:pt idx="7">
                  <c:v>63</c:v>
                </c:pt>
                <c:pt idx="8">
                  <c:v>60</c:v>
                </c:pt>
                <c:pt idx="9">
                  <c:v>60</c:v>
                </c:pt>
                <c:pt idx="10">
                  <c:v>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E09-4DD4-91A7-840088782412}"/>
            </c:ext>
          </c:extLst>
        </c:ser>
        <c:ser>
          <c:idx val="1"/>
          <c:order val="1"/>
          <c:tx>
            <c:v>Posgrado</c:v>
          </c:tx>
          <c:spPr>
            <a:solidFill>
              <a:srgbClr val="C0504D"/>
            </a:solidFill>
            <a:ln cmpd="sng">
              <a:solidFill>
                <a:srgbClr val="000000"/>
              </a:solidFill>
            </a:ln>
          </c:spPr>
          <c:invertIfNegative val="1"/>
          <c:cat>
            <c:numRef>
              <c:f>'Histórico Programas'!$B$10:$L$10</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'Histórico Programas'!$B$12:$L$12</c:f>
              <c:numCache>
                <c:formatCode>General</c:formatCode>
                <c:ptCount val="11"/>
                <c:pt idx="0">
                  <c:v>43</c:v>
                </c:pt>
                <c:pt idx="1">
                  <c:v>45</c:v>
                </c:pt>
                <c:pt idx="2">
                  <c:v>46</c:v>
                </c:pt>
                <c:pt idx="3">
                  <c:v>60</c:v>
                </c:pt>
                <c:pt idx="4">
                  <c:v>91</c:v>
                </c:pt>
                <c:pt idx="5">
                  <c:v>105</c:v>
                </c:pt>
                <c:pt idx="6">
                  <c:v>109</c:v>
                </c:pt>
                <c:pt idx="7">
                  <c:v>109</c:v>
                </c:pt>
                <c:pt idx="8">
                  <c:v>110</c:v>
                </c:pt>
                <c:pt idx="9">
                  <c:v>108</c:v>
                </c:pt>
                <c:pt idx="10">
                  <c:v>101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E09-4DD4-91A7-840088782412}"/>
            </c:ext>
          </c:extLst>
        </c:ser>
        <c:dLbls>
          <c:showLegendKey val="0"/>
          <c:showVal val="0"/>
          <c:showCatName val="0"/>
          <c:showSerName val="0"/>
          <c:showPercent val="0"/>
          <c:showBubbleSize val="0"/>
        </c:dLbls>
        <c:gapWidth val="150"/>
        <c:axId val="836748952"/>
        <c:axId val="137030897"/>
      </c:barChart>
      <c:catAx>
        <c:axId val="8367489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chemeClr val="dk1"/>
                </a:solidFill>
                <a:latin typeface="Arial Narrow"/>
              </a:defRPr>
            </a:pPr>
            <a:endParaRPr lang="es-CO"/>
          </a:p>
        </c:txPr>
        <c:crossAx val="137030897"/>
        <c:crosses val="autoZero"/>
        <c:auto val="1"/>
        <c:lblAlgn val="ctr"/>
        <c:lblOffset val="100"/>
        <c:noMultiLvlLbl val="1"/>
      </c:catAx>
      <c:valAx>
        <c:axId val="1370308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1" i="0">
                <a:solidFill>
                  <a:schemeClr val="dk1"/>
                </a:solidFill>
                <a:latin typeface="Arial Narrow"/>
              </a:defRPr>
            </a:pPr>
            <a:endParaRPr lang="es-CO"/>
          </a:p>
        </c:txPr>
        <c:crossAx val="836748952"/>
        <c:crosses val="autoZero"/>
        <c:crossBetween val="between"/>
      </c:valAx>
    </c:plotArea>
    <c:legend>
      <c:legendPos val="b"/>
      <c:overlay val="0"/>
      <c:txPr>
        <a:bodyPr/>
        <a:lstStyle/>
        <a:p>
          <a:pPr lvl="0">
            <a:defRPr sz="900" b="0" i="0">
              <a:solidFill>
                <a:schemeClr val="dk1"/>
              </a:solidFill>
              <a:latin typeface="Arial Narrow"/>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800" b="1" i="0">
                <a:solidFill>
                  <a:schemeClr val="dk1"/>
                </a:solidFill>
                <a:latin typeface="Arial Narrow"/>
              </a:defRPr>
            </a:pPr>
            <a:r>
              <a:rPr sz="1800" b="1" i="0">
                <a:solidFill>
                  <a:schemeClr val="dk1"/>
                </a:solidFill>
                <a:latin typeface="Arial Narrow"/>
              </a:rPr>
              <a:t>NÚMERO DE PROGRAMAS</a:t>
            </a:r>
          </a:p>
        </c:rich>
      </c:tx>
      <c:overlay val="0"/>
    </c:title>
    <c:autoTitleDeleted val="0"/>
    <c:plotArea>
      <c:layout/>
      <c:lineChart>
        <c:grouping val="standard"/>
        <c:varyColors val="1"/>
        <c:ser>
          <c:idx val="0"/>
          <c:order val="0"/>
          <c:tx>
            <c:v>Pregrado</c:v>
          </c:tx>
          <c:spPr>
            <a:ln w="28575" cmpd="sng">
              <a:solidFill>
                <a:schemeClr val="accent1"/>
              </a:solidFill>
            </a:ln>
          </c:spPr>
          <c:marker>
            <c:symbol val="none"/>
          </c:marker>
          <c:cat>
            <c:numRef>
              <c:f>'Histórico Programas'!$B$10:$L$10</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'Histórico Programas'!$B$11:$L$11</c:f>
              <c:numCache>
                <c:formatCode>General</c:formatCode>
                <c:ptCount val="11"/>
                <c:pt idx="0">
                  <c:v>44</c:v>
                </c:pt>
                <c:pt idx="1">
                  <c:v>48</c:v>
                </c:pt>
                <c:pt idx="2">
                  <c:v>49</c:v>
                </c:pt>
                <c:pt idx="3">
                  <c:v>53</c:v>
                </c:pt>
                <c:pt idx="4">
                  <c:v>54</c:v>
                </c:pt>
                <c:pt idx="5">
                  <c:v>56</c:v>
                </c:pt>
                <c:pt idx="6">
                  <c:v>59</c:v>
                </c:pt>
                <c:pt idx="7">
                  <c:v>63</c:v>
                </c:pt>
                <c:pt idx="8">
                  <c:v>60</c:v>
                </c:pt>
                <c:pt idx="9">
                  <c:v>60</c:v>
                </c:pt>
                <c:pt idx="10">
                  <c:v>59</c:v>
                </c:pt>
              </c:numCache>
            </c:numRef>
          </c:val>
          <c:smooth val="0"/>
          <c:extLst>
            <c:ext xmlns:c16="http://schemas.microsoft.com/office/drawing/2014/chart" uri="{C3380CC4-5D6E-409C-BE32-E72D297353CC}">
              <c16:uniqueId val="{00000000-83BB-4BC4-8495-1B9B40734619}"/>
            </c:ext>
          </c:extLst>
        </c:ser>
        <c:ser>
          <c:idx val="1"/>
          <c:order val="1"/>
          <c:tx>
            <c:v>Posgrado</c:v>
          </c:tx>
          <c:spPr>
            <a:ln w="28575" cmpd="sng">
              <a:solidFill>
                <a:schemeClr val="accent2"/>
              </a:solidFill>
            </a:ln>
          </c:spPr>
          <c:marker>
            <c:symbol val="none"/>
          </c:marker>
          <c:cat>
            <c:numRef>
              <c:f>'Histórico Programas'!$B$10:$L$10</c:f>
              <c:numCache>
                <c:formatCode>General</c:formatCode>
                <c:ptCount val="11"/>
                <c:pt idx="0">
                  <c:v>2011</c:v>
                </c:pt>
                <c:pt idx="1">
                  <c:v>2012</c:v>
                </c:pt>
                <c:pt idx="2">
                  <c:v>2013</c:v>
                </c:pt>
                <c:pt idx="3">
                  <c:v>2014</c:v>
                </c:pt>
                <c:pt idx="4">
                  <c:v>2015</c:v>
                </c:pt>
                <c:pt idx="5">
                  <c:v>2016</c:v>
                </c:pt>
                <c:pt idx="6">
                  <c:v>2017</c:v>
                </c:pt>
                <c:pt idx="7">
                  <c:v>2018</c:v>
                </c:pt>
                <c:pt idx="8">
                  <c:v>2019</c:v>
                </c:pt>
                <c:pt idx="9">
                  <c:v>2020</c:v>
                </c:pt>
                <c:pt idx="10">
                  <c:v>2021</c:v>
                </c:pt>
              </c:numCache>
            </c:numRef>
          </c:cat>
          <c:val>
            <c:numRef>
              <c:f>'Histórico Programas'!$B$12:$L$12</c:f>
              <c:numCache>
                <c:formatCode>General</c:formatCode>
                <c:ptCount val="11"/>
                <c:pt idx="0">
                  <c:v>43</c:v>
                </c:pt>
                <c:pt idx="1">
                  <c:v>45</c:v>
                </c:pt>
                <c:pt idx="2">
                  <c:v>46</c:v>
                </c:pt>
                <c:pt idx="3">
                  <c:v>60</c:v>
                </c:pt>
                <c:pt idx="4">
                  <c:v>91</c:v>
                </c:pt>
                <c:pt idx="5">
                  <c:v>105</c:v>
                </c:pt>
                <c:pt idx="6">
                  <c:v>109</c:v>
                </c:pt>
                <c:pt idx="7">
                  <c:v>109</c:v>
                </c:pt>
                <c:pt idx="8">
                  <c:v>110</c:v>
                </c:pt>
                <c:pt idx="9">
                  <c:v>108</c:v>
                </c:pt>
                <c:pt idx="10">
                  <c:v>101</c:v>
                </c:pt>
              </c:numCache>
            </c:numRef>
          </c:val>
          <c:smooth val="0"/>
          <c:extLst>
            <c:ext xmlns:c16="http://schemas.microsoft.com/office/drawing/2014/chart" uri="{C3380CC4-5D6E-409C-BE32-E72D297353CC}">
              <c16:uniqueId val="{00000001-83BB-4BC4-8495-1B9B40734619}"/>
            </c:ext>
          </c:extLst>
        </c:ser>
        <c:dLbls>
          <c:showLegendKey val="0"/>
          <c:showVal val="0"/>
          <c:showCatName val="0"/>
          <c:showSerName val="0"/>
          <c:showPercent val="0"/>
          <c:showBubbleSize val="0"/>
        </c:dLbls>
        <c:smooth val="0"/>
        <c:axId val="752853242"/>
        <c:axId val="1265518785"/>
      </c:lineChart>
      <c:catAx>
        <c:axId val="75285324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chemeClr val="dk1"/>
                </a:solidFill>
                <a:latin typeface="Arial Narrow"/>
              </a:defRPr>
            </a:pPr>
            <a:endParaRPr lang="es-CO"/>
          </a:p>
        </c:txPr>
        <c:crossAx val="1265518785"/>
        <c:crosses val="autoZero"/>
        <c:auto val="1"/>
        <c:lblAlgn val="ctr"/>
        <c:lblOffset val="100"/>
        <c:noMultiLvlLbl val="1"/>
      </c:catAx>
      <c:valAx>
        <c:axId val="126551878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1" i="0">
                <a:solidFill>
                  <a:schemeClr val="dk1"/>
                </a:solidFill>
                <a:latin typeface="Arial Narrow"/>
              </a:defRPr>
            </a:pPr>
            <a:endParaRPr lang="es-CO"/>
          </a:p>
        </c:txPr>
        <c:crossAx val="752853242"/>
        <c:crosses val="autoZero"/>
        <c:crossBetween val="between"/>
      </c:valAx>
    </c:plotArea>
    <c:legend>
      <c:legendPos val="b"/>
      <c:overlay val="0"/>
      <c:txPr>
        <a:bodyPr/>
        <a:lstStyle/>
        <a:p>
          <a:pPr lvl="0">
            <a:defRPr sz="900" b="0" i="0">
              <a:solidFill>
                <a:schemeClr val="dk1"/>
              </a:solidFill>
              <a:latin typeface="Arial Narrow"/>
            </a:defRPr>
          </a:pPr>
          <a:endParaRPr lang="es-CO"/>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hyperlink" Target="https://drive.google.com/file/d/10eIEo3NVCyJjCDxmi60SlOiW18lr04C_/view?usp=sharing" TargetMode="External"/><Relationship Id="rId13" Type="http://schemas.openxmlformats.org/officeDocument/2006/relationships/hyperlink" Target="https://drive.google.com/file/d/1HgkZejrf9ymv38XZmWim1dPSUUp2FR0j/view?usp=sharing" TargetMode="External"/><Relationship Id="rId18" Type="http://schemas.openxmlformats.org/officeDocument/2006/relationships/hyperlink" Target="https://drive.google.com/file/d/1iskliAynp2Weod3EYNSLYFVlM-iyNNYi/view?usp=sharing" TargetMode="External"/><Relationship Id="rId3" Type="http://schemas.openxmlformats.org/officeDocument/2006/relationships/hyperlink" Target="https://drive.google.com/file/d/14EjR6gHHEKzc5D9-BRLxbglgqKMV5wQa/view?usp=sharing" TargetMode="External"/><Relationship Id="rId21" Type="http://schemas.openxmlformats.org/officeDocument/2006/relationships/hyperlink" Target="https://drive.google.com/file/d/1_-urkR_fgRAxn8x3n4_64xuFV054PE_A/view?usp=drive_link" TargetMode="External"/><Relationship Id="rId7" Type="http://schemas.openxmlformats.org/officeDocument/2006/relationships/hyperlink" Target="https://drive.google.com/file/d/1XE5lIVD6-m-xAd6q_iQI323ACDnUQwEq/view?usp=sharing" TargetMode="External"/><Relationship Id="rId12" Type="http://schemas.openxmlformats.org/officeDocument/2006/relationships/hyperlink" Target="https://drive.google.com/file/d/1vR-l3bm3HWVXMEpn_6ab2aC2xiyT1cgM/view?usp=sharing" TargetMode="External"/><Relationship Id="rId17" Type="http://schemas.openxmlformats.org/officeDocument/2006/relationships/hyperlink" Target="https://drive.google.com/file/d/19HqGbQox7C_zvYl3nh8gYisCmkJzTSxo/view?usp=sharing" TargetMode="External"/><Relationship Id="rId2" Type="http://schemas.openxmlformats.org/officeDocument/2006/relationships/hyperlink" Target="https://drive.google.com/file/d/1Nf5XHA6iKU_lwS444rpUsnudSrBccYiY/view?usp=sharing" TargetMode="External"/><Relationship Id="rId16" Type="http://schemas.openxmlformats.org/officeDocument/2006/relationships/hyperlink" Target="https://drive.google.com/file/d/1AbARnGF9gNEkXUSwuHBDWOjov2h41606/view?usp=sharing" TargetMode="External"/><Relationship Id="rId20" Type="http://schemas.openxmlformats.org/officeDocument/2006/relationships/hyperlink" Target="https://drive.google.com/file/d/1nKbY7jOEbXfMKaoXFcKBaLY9PcVrb1Rh/view?usp=sharing" TargetMode="External"/><Relationship Id="rId1" Type="http://schemas.openxmlformats.org/officeDocument/2006/relationships/hyperlink" Target="https://drive.google.com/file/d/1cvPEtsfAM24vewi5zvo8rYJnTEnYybSv/view?usp=sharing" TargetMode="External"/><Relationship Id="rId6" Type="http://schemas.openxmlformats.org/officeDocument/2006/relationships/hyperlink" Target="https://drive.google.com/file/d/1MN3nDJp3rkYXsQ4h9KYEHE-M54pVCXFN/view?usp=sharing" TargetMode="External"/><Relationship Id="rId11" Type="http://schemas.openxmlformats.org/officeDocument/2006/relationships/hyperlink" Target="https://drive.google.com/file/d/1hBZinVfYELW8eJ1p8-TBk2s3KOxWnFEG/view?usp=sharing" TargetMode="External"/><Relationship Id="rId5" Type="http://schemas.openxmlformats.org/officeDocument/2006/relationships/hyperlink" Target="https://drive.google.com/file/d/1yDhgVuDCUYyS2ksiOkRgPl0PugZ-ENr8/view?usp=sharing" TargetMode="External"/><Relationship Id="rId15" Type="http://schemas.openxmlformats.org/officeDocument/2006/relationships/hyperlink" Target="https://drive.google.com/file/d/1Lgom_f9d2V1FaizlkHFm6aSSrxUvgKvD/view?usp=sharing" TargetMode="External"/><Relationship Id="rId23" Type="http://schemas.openxmlformats.org/officeDocument/2006/relationships/image" Target="../media/image1.jpg"/><Relationship Id="rId10" Type="http://schemas.openxmlformats.org/officeDocument/2006/relationships/hyperlink" Target="https://drive.google.com/file/d/1BPxVh70NrryHN-73jLaBdUff8SS5QHnW/view?usp=sharing" TargetMode="External"/><Relationship Id="rId19" Type="http://schemas.openxmlformats.org/officeDocument/2006/relationships/hyperlink" Target="https://drive.google.com/file/d/1Idur_k1JUglTJ1mluFSxbyXPE9NVbqCK/view?usp=sharing" TargetMode="External"/><Relationship Id="rId4" Type="http://schemas.openxmlformats.org/officeDocument/2006/relationships/hyperlink" Target="https://drive.google.com/file/d/1jjT3V0K7N1wo92GRFF5bCGg04o7_VMab/view?usp=sharing" TargetMode="External"/><Relationship Id="rId9" Type="http://schemas.openxmlformats.org/officeDocument/2006/relationships/hyperlink" Target="https://drive.google.com/file/d/1kADqiSkGyylkw73ZKsrhehRFGYhXW9r1/view?usp=sharing" TargetMode="External"/><Relationship Id="rId14" Type="http://schemas.openxmlformats.org/officeDocument/2006/relationships/hyperlink" Target="https://drive.google.com/file/d/1WfY4sFjqCBKkanEB6_L46fboIoI8LMmo/view?usp=sharing" TargetMode="External"/><Relationship Id="rId22" Type="http://schemas.openxmlformats.org/officeDocument/2006/relationships/hyperlink" Target="https://drive.google.com/file/d/1J53A0lbFKpnKOc4I-cdwmFHiMSj5Zb4V/view?usp=drive_link"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723900</xdr:colOff>
      <xdr:row>11</xdr:row>
      <xdr:rowOff>28575</xdr:rowOff>
    </xdr:from>
    <xdr:ext cx="628650" cy="638175"/>
    <xdr:pic>
      <xdr:nvPicPr>
        <xdr:cNvPr id="2" name="image1.jpg" descr="Logo Original Universidad del Cauca.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219075</xdr:colOff>
      <xdr:row>12</xdr:row>
      <xdr:rowOff>57150</xdr:rowOff>
    </xdr:from>
    <xdr:ext cx="723900" cy="352425"/>
    <xdr:pic>
      <xdr:nvPicPr>
        <xdr:cNvPr id="3" name="image2.jpg" descr="SiGA.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533400</xdr:colOff>
      <xdr:row>46</xdr:row>
      <xdr:rowOff>0</xdr:rowOff>
    </xdr:from>
    <xdr:ext cx="533400" cy="2571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5084063" y="3656175"/>
          <a:ext cx="5238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533400</xdr:colOff>
      <xdr:row>46</xdr:row>
      <xdr:rowOff>0</xdr:rowOff>
    </xdr:from>
    <xdr:ext cx="533400" cy="257175"/>
    <xdr:sp macro="" textlink="">
      <xdr:nvSpPr>
        <xdr:cNvPr id="2" name="Shape 3">
          <a:extLst>
            <a:ext uri="{FF2B5EF4-FFF2-40B4-BE49-F238E27FC236}">
              <a16:creationId xmlns:a16="http://schemas.microsoft.com/office/drawing/2014/main" id="{00000000-0008-0000-0100-000002000000}"/>
            </a:ext>
          </a:extLst>
        </xdr:cNvPr>
        <xdr:cNvSpPr txBox="1"/>
      </xdr:nvSpPr>
      <xdr:spPr>
        <a:xfrm>
          <a:off x="5084063" y="3656175"/>
          <a:ext cx="5238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533400</xdr:colOff>
      <xdr:row>46</xdr:row>
      <xdr:rowOff>0</xdr:rowOff>
    </xdr:from>
    <xdr:ext cx="533400" cy="257175"/>
    <xdr:sp macro="" textlink="">
      <xdr:nvSpPr>
        <xdr:cNvPr id="4" name="Shape 3">
          <a:extLst>
            <a:ext uri="{FF2B5EF4-FFF2-40B4-BE49-F238E27FC236}">
              <a16:creationId xmlns:a16="http://schemas.microsoft.com/office/drawing/2014/main" id="{00000000-0008-0000-0100-000004000000}"/>
            </a:ext>
          </a:extLst>
        </xdr:cNvPr>
        <xdr:cNvSpPr txBox="1"/>
      </xdr:nvSpPr>
      <xdr:spPr>
        <a:xfrm>
          <a:off x="5084063" y="3656175"/>
          <a:ext cx="5238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533400</xdr:colOff>
      <xdr:row>46</xdr:row>
      <xdr:rowOff>0</xdr:rowOff>
    </xdr:from>
    <xdr:ext cx="533400" cy="257175"/>
    <xdr:sp macro="" textlink="">
      <xdr:nvSpPr>
        <xdr:cNvPr id="5" name="Shape 3">
          <a:extLst>
            <a:ext uri="{FF2B5EF4-FFF2-40B4-BE49-F238E27FC236}">
              <a16:creationId xmlns:a16="http://schemas.microsoft.com/office/drawing/2014/main" id="{00000000-0008-0000-0100-000005000000}"/>
            </a:ext>
          </a:extLst>
        </xdr:cNvPr>
        <xdr:cNvSpPr txBox="1"/>
      </xdr:nvSpPr>
      <xdr:spPr>
        <a:xfrm>
          <a:off x="5084063" y="3656175"/>
          <a:ext cx="5238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85725</xdr:colOff>
      <xdr:row>12</xdr:row>
      <xdr:rowOff>19050</xdr:rowOff>
    </xdr:from>
    <xdr:ext cx="1552575" cy="209550"/>
    <xdr:sp macro="" textlink="">
      <xdr:nvSpPr>
        <xdr:cNvPr id="6" name="Shape 4">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74475" y="3679988"/>
          <a:ext cx="1543050" cy="2000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85725</xdr:colOff>
      <xdr:row>12</xdr:row>
      <xdr:rowOff>190500</xdr:rowOff>
    </xdr:from>
    <xdr:ext cx="1552575" cy="200025"/>
    <xdr:sp macro="" textlink="">
      <xdr:nvSpPr>
        <xdr:cNvPr id="7" name="Shape 5">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85725</xdr:colOff>
      <xdr:row>12</xdr:row>
      <xdr:rowOff>352425</xdr:rowOff>
    </xdr:from>
    <xdr:ext cx="1552575" cy="200025"/>
    <xdr:sp macro="" textlink="">
      <xdr:nvSpPr>
        <xdr:cNvPr id="8" name="Shape 6">
          <a:hlinkClick xmlns:r="http://schemas.openxmlformats.org/officeDocument/2006/relationships" r:id="rId3"/>
          <a:extLst>
            <a:ext uri="{FF2B5EF4-FFF2-40B4-BE49-F238E27FC236}">
              <a16:creationId xmlns:a16="http://schemas.microsoft.com/office/drawing/2014/main" id="{00000000-0008-0000-0100-000008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76200</xdr:colOff>
      <xdr:row>18</xdr:row>
      <xdr:rowOff>228600</xdr:rowOff>
    </xdr:from>
    <xdr:ext cx="1552575" cy="171450"/>
    <xdr:sp macro="" textlink="">
      <xdr:nvSpPr>
        <xdr:cNvPr id="9" name="Shape 7">
          <a:hlinkClick xmlns:r="http://schemas.openxmlformats.org/officeDocument/2006/relationships" r:id="rId4"/>
          <a:extLst>
            <a:ext uri="{FF2B5EF4-FFF2-40B4-BE49-F238E27FC236}">
              <a16:creationId xmlns:a16="http://schemas.microsoft.com/office/drawing/2014/main" id="{00000000-0008-0000-0100-000009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66675</xdr:colOff>
      <xdr:row>18</xdr:row>
      <xdr:rowOff>66675</xdr:rowOff>
    </xdr:from>
    <xdr:ext cx="1552575" cy="171450"/>
    <xdr:sp macro="" textlink="">
      <xdr:nvSpPr>
        <xdr:cNvPr id="10" name="Shape 8">
          <a:hlinkClick xmlns:r="http://schemas.openxmlformats.org/officeDocument/2006/relationships" r:id="rId1"/>
          <a:extLst>
            <a:ext uri="{FF2B5EF4-FFF2-40B4-BE49-F238E27FC236}">
              <a16:creationId xmlns:a16="http://schemas.microsoft.com/office/drawing/2014/main" id="{00000000-0008-0000-0100-00000A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solidFill>
              <a:srgbClr val="FFFF00"/>
            </a:solidFill>
          </a:endParaRPr>
        </a:p>
      </xdr:txBody>
    </xdr:sp>
    <xdr:clientData fLocksWithSheet="0"/>
  </xdr:oneCellAnchor>
  <xdr:oneCellAnchor>
    <xdr:from>
      <xdr:col>24</xdr:col>
      <xdr:colOff>95250</xdr:colOff>
      <xdr:row>19</xdr:row>
      <xdr:rowOff>57150</xdr:rowOff>
    </xdr:from>
    <xdr:ext cx="1552575" cy="200025"/>
    <xdr:sp macro="" textlink="">
      <xdr:nvSpPr>
        <xdr:cNvPr id="11" name="Shape 9">
          <a:hlinkClick xmlns:r="http://schemas.openxmlformats.org/officeDocument/2006/relationships" r:id="rId5"/>
          <a:extLst>
            <a:ext uri="{FF2B5EF4-FFF2-40B4-BE49-F238E27FC236}">
              <a16:creationId xmlns:a16="http://schemas.microsoft.com/office/drawing/2014/main" id="{00000000-0008-0000-0100-00000B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38100</xdr:colOff>
      <xdr:row>19</xdr:row>
      <xdr:rowOff>38100</xdr:rowOff>
    </xdr:from>
    <xdr:ext cx="1790700" cy="219075"/>
    <xdr:sp macro="" textlink="">
      <xdr:nvSpPr>
        <xdr:cNvPr id="12" name="Shape 10">
          <a:hlinkClick xmlns:r="http://schemas.openxmlformats.org/officeDocument/2006/relationships" r:id="rId6"/>
          <a:extLst>
            <a:ext uri="{FF2B5EF4-FFF2-40B4-BE49-F238E27FC236}">
              <a16:creationId xmlns:a16="http://schemas.microsoft.com/office/drawing/2014/main" id="{00000000-0008-0000-0100-00000C000000}"/>
            </a:ext>
          </a:extLst>
        </xdr:cNvPr>
        <xdr:cNvSpPr/>
      </xdr:nvSpPr>
      <xdr:spPr>
        <a:xfrm>
          <a:off x="4455413" y="3675225"/>
          <a:ext cx="1781175" cy="20955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38100</xdr:colOff>
      <xdr:row>19</xdr:row>
      <xdr:rowOff>228600</xdr:rowOff>
    </xdr:from>
    <xdr:ext cx="1790700" cy="219075"/>
    <xdr:sp macro="" textlink="">
      <xdr:nvSpPr>
        <xdr:cNvPr id="13" name="Shape 11">
          <a:hlinkClick xmlns:r="http://schemas.openxmlformats.org/officeDocument/2006/relationships" r:id="rId7"/>
          <a:extLst>
            <a:ext uri="{FF2B5EF4-FFF2-40B4-BE49-F238E27FC236}">
              <a16:creationId xmlns:a16="http://schemas.microsoft.com/office/drawing/2014/main" id="{00000000-0008-0000-0100-00000D000000}"/>
            </a:ext>
          </a:extLst>
        </xdr:cNvPr>
        <xdr:cNvSpPr/>
      </xdr:nvSpPr>
      <xdr:spPr>
        <a:xfrm>
          <a:off x="4455413" y="3675225"/>
          <a:ext cx="1781175" cy="20955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66675</xdr:colOff>
      <xdr:row>59</xdr:row>
      <xdr:rowOff>266700</xdr:rowOff>
    </xdr:from>
    <xdr:ext cx="1552575" cy="200025"/>
    <xdr:sp macro="" textlink="">
      <xdr:nvSpPr>
        <xdr:cNvPr id="14" name="Shape 12">
          <a:hlinkClick xmlns:r="http://schemas.openxmlformats.org/officeDocument/2006/relationships" r:id="rId8"/>
          <a:extLst>
            <a:ext uri="{FF2B5EF4-FFF2-40B4-BE49-F238E27FC236}">
              <a16:creationId xmlns:a16="http://schemas.microsoft.com/office/drawing/2014/main" id="{00000000-0008-0000-0100-00000E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66675</xdr:colOff>
      <xdr:row>59</xdr:row>
      <xdr:rowOff>95250</xdr:rowOff>
    </xdr:from>
    <xdr:ext cx="1552575" cy="200025"/>
    <xdr:sp macro="" textlink="">
      <xdr:nvSpPr>
        <xdr:cNvPr id="15" name="Shape 13">
          <a:hlinkClick xmlns:r="http://schemas.openxmlformats.org/officeDocument/2006/relationships" r:id="rId9"/>
          <a:extLst>
            <a:ext uri="{FF2B5EF4-FFF2-40B4-BE49-F238E27FC236}">
              <a16:creationId xmlns:a16="http://schemas.microsoft.com/office/drawing/2014/main" id="{00000000-0008-0000-0100-00000F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95250</xdr:colOff>
      <xdr:row>71</xdr:row>
      <xdr:rowOff>228600</xdr:rowOff>
    </xdr:from>
    <xdr:ext cx="1552575" cy="171450"/>
    <xdr:sp macro="" textlink="">
      <xdr:nvSpPr>
        <xdr:cNvPr id="16" name="Shape 14">
          <a:hlinkClick xmlns:r="http://schemas.openxmlformats.org/officeDocument/2006/relationships" r:id="rId10"/>
          <a:extLst>
            <a:ext uri="{FF2B5EF4-FFF2-40B4-BE49-F238E27FC236}">
              <a16:creationId xmlns:a16="http://schemas.microsoft.com/office/drawing/2014/main" id="{00000000-0008-0000-0100-000010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0</xdr:colOff>
      <xdr:row>62</xdr:row>
      <xdr:rowOff>66675</xdr:rowOff>
    </xdr:from>
    <xdr:ext cx="1752600" cy="180975"/>
    <xdr:sp macro="" textlink="">
      <xdr:nvSpPr>
        <xdr:cNvPr id="17" name="Shape 15">
          <a:hlinkClick xmlns:r="http://schemas.openxmlformats.org/officeDocument/2006/relationships" r:id="rId11"/>
          <a:extLst>
            <a:ext uri="{FF2B5EF4-FFF2-40B4-BE49-F238E27FC236}">
              <a16:creationId xmlns:a16="http://schemas.microsoft.com/office/drawing/2014/main" id="{00000000-0008-0000-0100-000011000000}"/>
            </a:ext>
          </a:extLst>
        </xdr:cNvPr>
        <xdr:cNvSpPr/>
      </xdr:nvSpPr>
      <xdr:spPr>
        <a:xfrm>
          <a:off x="4474463" y="3694275"/>
          <a:ext cx="1743075" cy="17145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85725</xdr:colOff>
      <xdr:row>62</xdr:row>
      <xdr:rowOff>228600</xdr:rowOff>
    </xdr:from>
    <xdr:ext cx="1552575" cy="171450"/>
    <xdr:sp macro="" textlink="">
      <xdr:nvSpPr>
        <xdr:cNvPr id="18" name="Shape 16">
          <a:hlinkClick xmlns:r="http://schemas.openxmlformats.org/officeDocument/2006/relationships" r:id="rId12"/>
          <a:extLst>
            <a:ext uri="{FF2B5EF4-FFF2-40B4-BE49-F238E27FC236}">
              <a16:creationId xmlns:a16="http://schemas.microsoft.com/office/drawing/2014/main" id="{00000000-0008-0000-0100-000012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71</xdr:row>
      <xdr:rowOff>219075</xdr:rowOff>
    </xdr:from>
    <xdr:ext cx="1552575" cy="200025"/>
    <xdr:sp macro="" textlink="">
      <xdr:nvSpPr>
        <xdr:cNvPr id="19" name="Shape 17">
          <a:hlinkClick xmlns:r="http://schemas.openxmlformats.org/officeDocument/2006/relationships" r:id="rId13"/>
          <a:extLst>
            <a:ext uri="{FF2B5EF4-FFF2-40B4-BE49-F238E27FC236}">
              <a16:creationId xmlns:a16="http://schemas.microsoft.com/office/drawing/2014/main" id="{00000000-0008-0000-0100-000013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71</xdr:row>
      <xdr:rowOff>57150</xdr:rowOff>
    </xdr:from>
    <xdr:ext cx="1552575" cy="200025"/>
    <xdr:sp macro="" textlink="">
      <xdr:nvSpPr>
        <xdr:cNvPr id="20" name="Shape 18">
          <a:hlinkClick xmlns:r="http://schemas.openxmlformats.org/officeDocument/2006/relationships" r:id="rId14"/>
          <a:extLst>
            <a:ext uri="{FF2B5EF4-FFF2-40B4-BE49-F238E27FC236}">
              <a16:creationId xmlns:a16="http://schemas.microsoft.com/office/drawing/2014/main" id="{00000000-0008-0000-0100-000014000000}"/>
            </a:ext>
          </a:extLst>
        </xdr:cNvPr>
        <xdr:cNvSpPr/>
      </xdr:nvSpPr>
      <xdr:spPr>
        <a:xfrm>
          <a:off x="4574475" y="3684750"/>
          <a:ext cx="1543050" cy="190500"/>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76200</xdr:colOff>
      <xdr:row>107</xdr:row>
      <xdr:rowOff>66675</xdr:rowOff>
    </xdr:from>
    <xdr:ext cx="1552575" cy="171450"/>
    <xdr:sp macro="" textlink="">
      <xdr:nvSpPr>
        <xdr:cNvPr id="21" name="Shape 19">
          <a:hlinkClick xmlns:r="http://schemas.openxmlformats.org/officeDocument/2006/relationships" r:id="rId15"/>
          <a:extLst>
            <a:ext uri="{FF2B5EF4-FFF2-40B4-BE49-F238E27FC236}">
              <a16:creationId xmlns:a16="http://schemas.microsoft.com/office/drawing/2014/main" id="{00000000-0008-0000-0100-000015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85725</xdr:colOff>
      <xdr:row>107</xdr:row>
      <xdr:rowOff>228600</xdr:rowOff>
    </xdr:from>
    <xdr:ext cx="1552575" cy="171450"/>
    <xdr:sp macro="" textlink="">
      <xdr:nvSpPr>
        <xdr:cNvPr id="22" name="Shape 20">
          <a:hlinkClick xmlns:r="http://schemas.openxmlformats.org/officeDocument/2006/relationships" r:id="rId16"/>
          <a:extLst>
            <a:ext uri="{FF2B5EF4-FFF2-40B4-BE49-F238E27FC236}">
              <a16:creationId xmlns:a16="http://schemas.microsoft.com/office/drawing/2014/main" id="{00000000-0008-0000-0100-000016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123</xdr:row>
      <xdr:rowOff>228600</xdr:rowOff>
    </xdr:from>
    <xdr:ext cx="1552575" cy="171450"/>
    <xdr:sp macro="" textlink="">
      <xdr:nvSpPr>
        <xdr:cNvPr id="23" name="Shape 21">
          <a:hlinkClick xmlns:r="http://schemas.openxmlformats.org/officeDocument/2006/relationships" r:id="rId17"/>
          <a:extLst>
            <a:ext uri="{FF2B5EF4-FFF2-40B4-BE49-F238E27FC236}">
              <a16:creationId xmlns:a16="http://schemas.microsoft.com/office/drawing/2014/main" id="{00000000-0008-0000-0100-000017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0</xdr:colOff>
      <xdr:row>112</xdr:row>
      <xdr:rowOff>123825</xdr:rowOff>
    </xdr:from>
    <xdr:ext cx="1971675" cy="361950"/>
    <xdr:sp macro="" textlink="">
      <xdr:nvSpPr>
        <xdr:cNvPr id="24" name="Shape 22">
          <a:hlinkClick xmlns:r="http://schemas.openxmlformats.org/officeDocument/2006/relationships" r:id="rId18"/>
          <a:extLst>
            <a:ext uri="{FF2B5EF4-FFF2-40B4-BE49-F238E27FC236}">
              <a16:creationId xmlns:a16="http://schemas.microsoft.com/office/drawing/2014/main" id="{00000000-0008-0000-0100-000018000000}"/>
            </a:ext>
          </a:extLst>
        </xdr:cNvPr>
        <xdr:cNvSpPr/>
      </xdr:nvSpPr>
      <xdr:spPr>
        <a:xfrm>
          <a:off x="4364925" y="3603788"/>
          <a:ext cx="1962150" cy="3524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123</xdr:row>
      <xdr:rowOff>390525</xdr:rowOff>
    </xdr:from>
    <xdr:ext cx="1552575" cy="171450"/>
    <xdr:sp macro="" textlink="">
      <xdr:nvSpPr>
        <xdr:cNvPr id="25" name="Shape 23">
          <a:hlinkClick xmlns:r="http://schemas.openxmlformats.org/officeDocument/2006/relationships" r:id="rId19"/>
          <a:extLst>
            <a:ext uri="{FF2B5EF4-FFF2-40B4-BE49-F238E27FC236}">
              <a16:creationId xmlns:a16="http://schemas.microsoft.com/office/drawing/2014/main" id="{00000000-0008-0000-0100-000019000000}"/>
            </a:ext>
          </a:extLst>
        </xdr:cNvPr>
        <xdr:cNvSpPr/>
      </xdr:nvSpPr>
      <xdr:spPr>
        <a:xfrm>
          <a:off x="4574475" y="3699038"/>
          <a:ext cx="1543050" cy="1619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0</xdr:colOff>
      <xdr:row>112</xdr:row>
      <xdr:rowOff>0</xdr:rowOff>
    </xdr:from>
    <xdr:ext cx="1971675" cy="190500"/>
    <xdr:sp macro="" textlink="">
      <xdr:nvSpPr>
        <xdr:cNvPr id="26" name="Shape 24">
          <a:hlinkClick xmlns:r="http://schemas.openxmlformats.org/officeDocument/2006/relationships" r:id="rId20"/>
          <a:extLst>
            <a:ext uri="{FF2B5EF4-FFF2-40B4-BE49-F238E27FC236}">
              <a16:creationId xmlns:a16="http://schemas.microsoft.com/office/drawing/2014/main" id="{00000000-0008-0000-0100-00001A000000}"/>
            </a:ext>
          </a:extLst>
        </xdr:cNvPr>
        <xdr:cNvSpPr/>
      </xdr:nvSpPr>
      <xdr:spPr>
        <a:xfrm>
          <a:off x="4364925" y="3689513"/>
          <a:ext cx="1962150" cy="18097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66675</xdr:colOff>
      <xdr:row>114</xdr:row>
      <xdr:rowOff>19050</xdr:rowOff>
    </xdr:from>
    <xdr:ext cx="1695450" cy="228600"/>
    <xdr:sp macro="" textlink="">
      <xdr:nvSpPr>
        <xdr:cNvPr id="27" name="Shape 25">
          <a:hlinkClick xmlns:r="http://schemas.openxmlformats.org/officeDocument/2006/relationships" r:id="rId21"/>
          <a:extLst>
            <a:ext uri="{FF2B5EF4-FFF2-40B4-BE49-F238E27FC236}">
              <a16:creationId xmlns:a16="http://schemas.microsoft.com/office/drawing/2014/main" id="{00000000-0008-0000-0100-00001B000000}"/>
            </a:ext>
          </a:extLst>
        </xdr:cNvPr>
        <xdr:cNvSpPr/>
      </xdr:nvSpPr>
      <xdr:spPr>
        <a:xfrm>
          <a:off x="4503038" y="3670463"/>
          <a:ext cx="1685925" cy="21907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76200</xdr:colOff>
      <xdr:row>114</xdr:row>
      <xdr:rowOff>238125</xdr:rowOff>
    </xdr:from>
    <xdr:ext cx="1685925" cy="209550"/>
    <xdr:sp macro="" textlink="">
      <xdr:nvSpPr>
        <xdr:cNvPr id="28" name="Shape 26">
          <a:hlinkClick xmlns:r="http://schemas.openxmlformats.org/officeDocument/2006/relationships" r:id="rId22"/>
          <a:extLst>
            <a:ext uri="{FF2B5EF4-FFF2-40B4-BE49-F238E27FC236}">
              <a16:creationId xmlns:a16="http://schemas.microsoft.com/office/drawing/2014/main" id="{00000000-0008-0000-0100-00001C000000}"/>
            </a:ext>
          </a:extLst>
        </xdr:cNvPr>
        <xdr:cNvSpPr/>
      </xdr:nvSpPr>
      <xdr:spPr>
        <a:xfrm>
          <a:off x="4507800" y="3679988"/>
          <a:ext cx="1676400" cy="200025"/>
        </a:xfrm>
        <a:prstGeom prst="rect">
          <a:avLst/>
        </a:prstGeom>
        <a:noFill/>
        <a:ln>
          <a:noFill/>
        </a:ln>
      </xdr:spPr>
      <xdr:txBody>
        <a:bodyPr spcFirstLastPara="1" wrap="square" lIns="18275" tIns="0" rIns="0" bIns="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xdr:row>
      <xdr:rowOff>123825</xdr:rowOff>
    </xdr:from>
    <xdr:ext cx="771525" cy="781050"/>
    <xdr:pic>
      <xdr:nvPicPr>
        <xdr:cNvPr id="29" name="image1.jpg" descr="Logo Original Universidad del Cauca.jpg">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533400</xdr:colOff>
      <xdr:row>0</xdr:row>
      <xdr:rowOff>47625</xdr:rowOff>
    </xdr:from>
    <xdr:ext cx="466725" cy="676275"/>
    <xdr:pic>
      <xdr:nvPicPr>
        <xdr:cNvPr id="2" name="image1.jpg" descr="Logo Original Universidad del Cauca.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1581150</xdr:colOff>
      <xdr:row>1</xdr:row>
      <xdr:rowOff>76200</xdr:rowOff>
    </xdr:from>
    <xdr:ext cx="723900" cy="381000"/>
    <xdr:pic>
      <xdr:nvPicPr>
        <xdr:cNvPr id="3" name="image2.jpg" descr="SiGA.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333375</xdr:colOff>
      <xdr:row>20</xdr:row>
      <xdr:rowOff>95250</xdr:rowOff>
    </xdr:from>
    <xdr:ext cx="4600575" cy="3028950"/>
    <xdr:graphicFrame macro="">
      <xdr:nvGraphicFramePr>
        <xdr:cNvPr id="1445327278" name="Chart 1">
          <a:extLst>
            <a:ext uri="{FF2B5EF4-FFF2-40B4-BE49-F238E27FC236}">
              <a16:creationId xmlns:a16="http://schemas.microsoft.com/office/drawing/2014/main" id="{00000000-0008-0000-0500-0000AEF12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114300</xdr:colOff>
      <xdr:row>20</xdr:row>
      <xdr:rowOff>133350</xdr:rowOff>
    </xdr:from>
    <xdr:ext cx="5095875" cy="3009900"/>
    <xdr:graphicFrame macro="">
      <xdr:nvGraphicFramePr>
        <xdr:cNvPr id="1267706520" name="Chart 2">
          <a:extLst>
            <a:ext uri="{FF2B5EF4-FFF2-40B4-BE49-F238E27FC236}">
              <a16:creationId xmlns:a16="http://schemas.microsoft.com/office/drawing/2014/main" id="{00000000-0008-0000-0500-000098AA8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123825</xdr:colOff>
      <xdr:row>40</xdr:row>
      <xdr:rowOff>47625</xdr:rowOff>
    </xdr:from>
    <xdr:ext cx="9820275" cy="3924300"/>
    <xdr:graphicFrame macro="">
      <xdr:nvGraphicFramePr>
        <xdr:cNvPr id="166200753" name="Chart 3">
          <a:extLst>
            <a:ext uri="{FF2B5EF4-FFF2-40B4-BE49-F238E27FC236}">
              <a16:creationId xmlns:a16="http://schemas.microsoft.com/office/drawing/2014/main" id="{00000000-0008-0000-0500-0000B105E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676275</xdr:colOff>
      <xdr:row>0</xdr:row>
      <xdr:rowOff>133350</xdr:rowOff>
    </xdr:from>
    <xdr:ext cx="390525" cy="542925"/>
    <xdr:pic>
      <xdr:nvPicPr>
        <xdr:cNvPr id="2" name="image1.jpg" descr="Logo Original Universidad del Cauca.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28575</xdr:colOff>
      <xdr:row>20</xdr:row>
      <xdr:rowOff>266700</xdr:rowOff>
    </xdr:from>
    <xdr:ext cx="9334500" cy="3895725"/>
    <xdr:graphicFrame macro="">
      <xdr:nvGraphicFramePr>
        <xdr:cNvPr id="767590249" name="Chart 4">
          <a:extLst>
            <a:ext uri="{FF2B5EF4-FFF2-40B4-BE49-F238E27FC236}">
              <a16:creationId xmlns:a16="http://schemas.microsoft.com/office/drawing/2014/main" id="{00000000-0008-0000-0600-0000697FC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609600</xdr:colOff>
      <xdr:row>0</xdr:row>
      <xdr:rowOff>133350</xdr:rowOff>
    </xdr:from>
    <xdr:ext cx="371475" cy="523875"/>
    <xdr:pic>
      <xdr:nvPicPr>
        <xdr:cNvPr id="2" name="image1.jpg" descr="Logo Original Universidad del Cauca.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342900</xdr:colOff>
      <xdr:row>1</xdr:row>
      <xdr:rowOff>66675</xdr:rowOff>
    </xdr:from>
    <xdr:ext cx="876300" cy="361950"/>
    <xdr:pic>
      <xdr:nvPicPr>
        <xdr:cNvPr id="3" name="image2.jpg" descr="SiGA.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533400</xdr:colOff>
      <xdr:row>31</xdr:row>
      <xdr:rowOff>0</xdr:rowOff>
    </xdr:from>
    <xdr:ext cx="323850" cy="257175"/>
    <xdr:sp macro="" textlink="">
      <xdr:nvSpPr>
        <xdr:cNvPr id="27" name="Shape 27">
          <a:extLst>
            <a:ext uri="{FF2B5EF4-FFF2-40B4-BE49-F238E27FC236}">
              <a16:creationId xmlns:a16="http://schemas.microsoft.com/office/drawing/2014/main" id="{00000000-0008-0000-0A00-00001B000000}"/>
            </a:ext>
          </a:extLst>
        </xdr:cNvPr>
        <xdr:cNvSpPr txBox="1"/>
      </xdr:nvSpPr>
      <xdr:spPr>
        <a:xfrm>
          <a:off x="5188838" y="3656175"/>
          <a:ext cx="3143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533400</xdr:colOff>
      <xdr:row>31</xdr:row>
      <xdr:rowOff>0</xdr:rowOff>
    </xdr:from>
    <xdr:ext cx="323850" cy="257175"/>
    <xdr:sp macro="" textlink="">
      <xdr:nvSpPr>
        <xdr:cNvPr id="2" name="Shape 27">
          <a:extLst>
            <a:ext uri="{FF2B5EF4-FFF2-40B4-BE49-F238E27FC236}">
              <a16:creationId xmlns:a16="http://schemas.microsoft.com/office/drawing/2014/main" id="{00000000-0008-0000-0A00-000002000000}"/>
            </a:ext>
          </a:extLst>
        </xdr:cNvPr>
        <xdr:cNvSpPr txBox="1"/>
      </xdr:nvSpPr>
      <xdr:spPr>
        <a:xfrm>
          <a:off x="5188838" y="3656175"/>
          <a:ext cx="3143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533400</xdr:colOff>
      <xdr:row>31</xdr:row>
      <xdr:rowOff>0</xdr:rowOff>
    </xdr:from>
    <xdr:ext cx="323850" cy="257175"/>
    <xdr:sp macro="" textlink="">
      <xdr:nvSpPr>
        <xdr:cNvPr id="3" name="Shape 27">
          <a:extLst>
            <a:ext uri="{FF2B5EF4-FFF2-40B4-BE49-F238E27FC236}">
              <a16:creationId xmlns:a16="http://schemas.microsoft.com/office/drawing/2014/main" id="{00000000-0008-0000-0A00-000003000000}"/>
            </a:ext>
          </a:extLst>
        </xdr:cNvPr>
        <xdr:cNvSpPr txBox="1"/>
      </xdr:nvSpPr>
      <xdr:spPr>
        <a:xfrm>
          <a:off x="5188838" y="3656175"/>
          <a:ext cx="3143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533400</xdr:colOff>
      <xdr:row>31</xdr:row>
      <xdr:rowOff>0</xdr:rowOff>
    </xdr:from>
    <xdr:ext cx="323850" cy="257175"/>
    <xdr:sp macro="" textlink="">
      <xdr:nvSpPr>
        <xdr:cNvPr id="4" name="Shape 27">
          <a:extLst>
            <a:ext uri="{FF2B5EF4-FFF2-40B4-BE49-F238E27FC236}">
              <a16:creationId xmlns:a16="http://schemas.microsoft.com/office/drawing/2014/main" id="{00000000-0008-0000-0A00-000004000000}"/>
            </a:ext>
          </a:extLst>
        </xdr:cNvPr>
        <xdr:cNvSpPr txBox="1"/>
      </xdr:nvSpPr>
      <xdr:spPr>
        <a:xfrm>
          <a:off x="5188838" y="3656175"/>
          <a:ext cx="3143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0</xdr:row>
      <xdr:rowOff>123825</xdr:rowOff>
    </xdr:from>
    <xdr:ext cx="409575" cy="590550"/>
    <xdr:pic>
      <xdr:nvPicPr>
        <xdr:cNvPr id="5" name="image1.jpg" descr="Logo Original Universidad del Cauca.jp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2619375</xdr:colOff>
      <xdr:row>1</xdr:row>
      <xdr:rowOff>47625</xdr:rowOff>
    </xdr:from>
    <xdr:ext cx="723900" cy="400050"/>
    <xdr:pic>
      <xdr:nvPicPr>
        <xdr:cNvPr id="6" name="image2.jpg" descr="SiGA.jp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180975</xdr:colOff>
      <xdr:row>0</xdr:row>
      <xdr:rowOff>0</xdr:rowOff>
    </xdr:from>
    <xdr:ext cx="476250" cy="628650"/>
    <xdr:pic>
      <xdr:nvPicPr>
        <xdr:cNvPr id="2" name="image1.jpg" descr="Logo Original Universidad del Cauca.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333375</xdr:colOff>
      <xdr:row>0</xdr:row>
      <xdr:rowOff>104775</xdr:rowOff>
    </xdr:from>
    <xdr:ext cx="838200" cy="466725"/>
    <xdr:pic>
      <xdr:nvPicPr>
        <xdr:cNvPr id="3" name="image2.jpg" descr="SiGA.jp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38</xdr:row>
      <xdr:rowOff>0</xdr:rowOff>
    </xdr:from>
    <xdr:ext cx="161925" cy="257175"/>
    <xdr:sp macro="" textlink="">
      <xdr:nvSpPr>
        <xdr:cNvPr id="28" name="Shape 28">
          <a:extLst>
            <a:ext uri="{FF2B5EF4-FFF2-40B4-BE49-F238E27FC236}">
              <a16:creationId xmlns:a16="http://schemas.microsoft.com/office/drawing/2014/main" id="{00000000-0008-0000-0C00-00001C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38</xdr:row>
      <xdr:rowOff>0</xdr:rowOff>
    </xdr:from>
    <xdr:ext cx="161925" cy="257175"/>
    <xdr:sp macro="" textlink="">
      <xdr:nvSpPr>
        <xdr:cNvPr id="2" name="Shape 28">
          <a:extLst>
            <a:ext uri="{FF2B5EF4-FFF2-40B4-BE49-F238E27FC236}">
              <a16:creationId xmlns:a16="http://schemas.microsoft.com/office/drawing/2014/main" id="{00000000-0008-0000-0C00-000002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104775</xdr:colOff>
      <xdr:row>62</xdr:row>
      <xdr:rowOff>438150</xdr:rowOff>
    </xdr:from>
    <xdr:ext cx="333375" cy="266700"/>
    <xdr:sp macro="" textlink="">
      <xdr:nvSpPr>
        <xdr:cNvPr id="29" name="Shape 29">
          <a:extLst>
            <a:ext uri="{FF2B5EF4-FFF2-40B4-BE49-F238E27FC236}">
              <a16:creationId xmlns:a16="http://schemas.microsoft.com/office/drawing/2014/main" id="{00000000-0008-0000-0C00-00001D000000}"/>
            </a:ext>
          </a:extLst>
        </xdr:cNvPr>
        <xdr:cNvSpPr txBox="1"/>
      </xdr:nvSpPr>
      <xdr:spPr>
        <a:xfrm>
          <a:off x="5184075" y="3651413"/>
          <a:ext cx="3238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733425</xdr:colOff>
      <xdr:row>62</xdr:row>
      <xdr:rowOff>342900</xdr:rowOff>
    </xdr:from>
    <xdr:ext cx="447675" cy="266700"/>
    <xdr:sp macro="" textlink="">
      <xdr:nvSpPr>
        <xdr:cNvPr id="30" name="Shape 30">
          <a:extLst>
            <a:ext uri="{FF2B5EF4-FFF2-40B4-BE49-F238E27FC236}">
              <a16:creationId xmlns:a16="http://schemas.microsoft.com/office/drawing/2014/main" id="{00000000-0008-0000-0C00-00001E000000}"/>
            </a:ext>
          </a:extLst>
        </xdr:cNvPr>
        <xdr:cNvSpPr txBox="1"/>
      </xdr:nvSpPr>
      <xdr:spPr>
        <a:xfrm>
          <a:off x="5126925" y="3651413"/>
          <a:ext cx="4381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38</xdr:row>
      <xdr:rowOff>0</xdr:rowOff>
    </xdr:from>
    <xdr:ext cx="161925" cy="257175"/>
    <xdr:sp macro="" textlink="">
      <xdr:nvSpPr>
        <xdr:cNvPr id="3" name="Shape 28">
          <a:extLst>
            <a:ext uri="{FF2B5EF4-FFF2-40B4-BE49-F238E27FC236}">
              <a16:creationId xmlns:a16="http://schemas.microsoft.com/office/drawing/2014/main" id="{00000000-0008-0000-0C00-000003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38</xdr:row>
      <xdr:rowOff>0</xdr:rowOff>
    </xdr:from>
    <xdr:ext cx="161925" cy="257175"/>
    <xdr:sp macro="" textlink="">
      <xdr:nvSpPr>
        <xdr:cNvPr id="4" name="Shape 28">
          <a:extLst>
            <a:ext uri="{FF2B5EF4-FFF2-40B4-BE49-F238E27FC236}">
              <a16:creationId xmlns:a16="http://schemas.microsoft.com/office/drawing/2014/main" id="{00000000-0008-0000-0C00-000004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571500</xdr:colOff>
      <xdr:row>62</xdr:row>
      <xdr:rowOff>400050</xdr:rowOff>
    </xdr:from>
    <xdr:ext cx="447675" cy="266700"/>
    <xdr:sp macro="" textlink="">
      <xdr:nvSpPr>
        <xdr:cNvPr id="5" name="Shape 30">
          <a:extLst>
            <a:ext uri="{FF2B5EF4-FFF2-40B4-BE49-F238E27FC236}">
              <a16:creationId xmlns:a16="http://schemas.microsoft.com/office/drawing/2014/main" id="{00000000-0008-0000-0C00-000005000000}"/>
            </a:ext>
          </a:extLst>
        </xdr:cNvPr>
        <xdr:cNvSpPr txBox="1"/>
      </xdr:nvSpPr>
      <xdr:spPr>
        <a:xfrm>
          <a:off x="5126925" y="3651413"/>
          <a:ext cx="4381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38</xdr:row>
      <xdr:rowOff>0</xdr:rowOff>
    </xdr:from>
    <xdr:ext cx="161925" cy="257175"/>
    <xdr:sp macro="" textlink="">
      <xdr:nvSpPr>
        <xdr:cNvPr id="6" name="Shape 28">
          <a:extLst>
            <a:ext uri="{FF2B5EF4-FFF2-40B4-BE49-F238E27FC236}">
              <a16:creationId xmlns:a16="http://schemas.microsoft.com/office/drawing/2014/main" id="{00000000-0008-0000-0C00-000006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38</xdr:row>
      <xdr:rowOff>0</xdr:rowOff>
    </xdr:from>
    <xdr:ext cx="161925" cy="257175"/>
    <xdr:sp macro="" textlink="">
      <xdr:nvSpPr>
        <xdr:cNvPr id="7" name="Shape 28">
          <a:extLst>
            <a:ext uri="{FF2B5EF4-FFF2-40B4-BE49-F238E27FC236}">
              <a16:creationId xmlns:a16="http://schemas.microsoft.com/office/drawing/2014/main" id="{00000000-0008-0000-0C00-000007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38</xdr:row>
      <xdr:rowOff>0</xdr:rowOff>
    </xdr:from>
    <xdr:ext cx="161925" cy="257175"/>
    <xdr:sp macro="" textlink="">
      <xdr:nvSpPr>
        <xdr:cNvPr id="8" name="Shape 28">
          <a:extLst>
            <a:ext uri="{FF2B5EF4-FFF2-40B4-BE49-F238E27FC236}">
              <a16:creationId xmlns:a16="http://schemas.microsoft.com/office/drawing/2014/main" id="{00000000-0008-0000-0C00-000008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38</xdr:row>
      <xdr:rowOff>0</xdr:rowOff>
    </xdr:from>
    <xdr:ext cx="161925" cy="257175"/>
    <xdr:sp macro="" textlink="">
      <xdr:nvSpPr>
        <xdr:cNvPr id="9" name="Shape 28">
          <a:extLst>
            <a:ext uri="{FF2B5EF4-FFF2-40B4-BE49-F238E27FC236}">
              <a16:creationId xmlns:a16="http://schemas.microsoft.com/office/drawing/2014/main" id="{00000000-0008-0000-0C00-000009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38</xdr:row>
      <xdr:rowOff>0</xdr:rowOff>
    </xdr:from>
    <xdr:ext cx="161925" cy="257175"/>
    <xdr:sp macro="" textlink="">
      <xdr:nvSpPr>
        <xdr:cNvPr id="10" name="Shape 28">
          <a:extLst>
            <a:ext uri="{FF2B5EF4-FFF2-40B4-BE49-F238E27FC236}">
              <a16:creationId xmlns:a16="http://schemas.microsoft.com/office/drawing/2014/main" id="{00000000-0008-0000-0C00-00000A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38</xdr:row>
      <xdr:rowOff>0</xdr:rowOff>
    </xdr:from>
    <xdr:ext cx="161925" cy="257175"/>
    <xdr:sp macro="" textlink="">
      <xdr:nvSpPr>
        <xdr:cNvPr id="11" name="Shape 28">
          <a:extLst>
            <a:ext uri="{FF2B5EF4-FFF2-40B4-BE49-F238E27FC236}">
              <a16:creationId xmlns:a16="http://schemas.microsoft.com/office/drawing/2014/main" id="{00000000-0008-0000-0C00-00000B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38</xdr:row>
      <xdr:rowOff>0</xdr:rowOff>
    </xdr:from>
    <xdr:ext cx="161925" cy="257175"/>
    <xdr:sp macro="" textlink="">
      <xdr:nvSpPr>
        <xdr:cNvPr id="12" name="Shape 28">
          <a:extLst>
            <a:ext uri="{FF2B5EF4-FFF2-40B4-BE49-F238E27FC236}">
              <a16:creationId xmlns:a16="http://schemas.microsoft.com/office/drawing/2014/main" id="{00000000-0008-0000-0C00-00000C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38</xdr:row>
      <xdr:rowOff>0</xdr:rowOff>
    </xdr:from>
    <xdr:ext cx="161925" cy="257175"/>
    <xdr:sp macro="" textlink="">
      <xdr:nvSpPr>
        <xdr:cNvPr id="13" name="Shape 28">
          <a:extLst>
            <a:ext uri="{FF2B5EF4-FFF2-40B4-BE49-F238E27FC236}">
              <a16:creationId xmlns:a16="http://schemas.microsoft.com/office/drawing/2014/main" id="{00000000-0008-0000-0C00-00000D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38</xdr:row>
      <xdr:rowOff>0</xdr:rowOff>
    </xdr:from>
    <xdr:ext cx="161925" cy="257175"/>
    <xdr:sp macro="" textlink="">
      <xdr:nvSpPr>
        <xdr:cNvPr id="14" name="Shape 28">
          <a:extLst>
            <a:ext uri="{FF2B5EF4-FFF2-40B4-BE49-F238E27FC236}">
              <a16:creationId xmlns:a16="http://schemas.microsoft.com/office/drawing/2014/main" id="{00000000-0008-0000-0C00-00000E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38</xdr:row>
      <xdr:rowOff>0</xdr:rowOff>
    </xdr:from>
    <xdr:ext cx="161925" cy="257175"/>
    <xdr:sp macro="" textlink="">
      <xdr:nvSpPr>
        <xdr:cNvPr id="15" name="Shape 28">
          <a:extLst>
            <a:ext uri="{FF2B5EF4-FFF2-40B4-BE49-F238E27FC236}">
              <a16:creationId xmlns:a16="http://schemas.microsoft.com/office/drawing/2014/main" id="{00000000-0008-0000-0C00-00000F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38</xdr:row>
      <xdr:rowOff>0</xdr:rowOff>
    </xdr:from>
    <xdr:ext cx="161925" cy="257175"/>
    <xdr:sp macro="" textlink="">
      <xdr:nvSpPr>
        <xdr:cNvPr id="16" name="Shape 28">
          <a:extLst>
            <a:ext uri="{FF2B5EF4-FFF2-40B4-BE49-F238E27FC236}">
              <a16:creationId xmlns:a16="http://schemas.microsoft.com/office/drawing/2014/main" id="{00000000-0008-0000-0C00-000010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38</xdr:row>
      <xdr:rowOff>0</xdr:rowOff>
    </xdr:from>
    <xdr:ext cx="161925" cy="257175"/>
    <xdr:sp macro="" textlink="">
      <xdr:nvSpPr>
        <xdr:cNvPr id="17" name="Shape 28">
          <a:extLst>
            <a:ext uri="{FF2B5EF4-FFF2-40B4-BE49-F238E27FC236}">
              <a16:creationId xmlns:a16="http://schemas.microsoft.com/office/drawing/2014/main" id="{00000000-0008-0000-0C00-000011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9525</xdr:colOff>
      <xdr:row>41</xdr:row>
      <xdr:rowOff>171450</xdr:rowOff>
    </xdr:from>
    <xdr:ext cx="161925" cy="257175"/>
    <xdr:sp macro="" textlink="">
      <xdr:nvSpPr>
        <xdr:cNvPr id="18" name="Shape 28">
          <a:extLst>
            <a:ext uri="{FF2B5EF4-FFF2-40B4-BE49-F238E27FC236}">
              <a16:creationId xmlns:a16="http://schemas.microsoft.com/office/drawing/2014/main" id="{00000000-0008-0000-0C00-000012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41</xdr:row>
      <xdr:rowOff>276225</xdr:rowOff>
    </xdr:from>
    <xdr:ext cx="161925" cy="266700"/>
    <xdr:sp macro="" textlink="">
      <xdr:nvSpPr>
        <xdr:cNvPr id="31" name="Shape 31">
          <a:extLst>
            <a:ext uri="{FF2B5EF4-FFF2-40B4-BE49-F238E27FC236}">
              <a16:creationId xmlns:a16="http://schemas.microsoft.com/office/drawing/2014/main" id="{00000000-0008-0000-0C00-00001F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39</xdr:row>
      <xdr:rowOff>409575</xdr:rowOff>
    </xdr:from>
    <xdr:ext cx="161925" cy="266700"/>
    <xdr:sp macro="" textlink="">
      <xdr:nvSpPr>
        <xdr:cNvPr id="19" name="Shape 31">
          <a:extLst>
            <a:ext uri="{FF2B5EF4-FFF2-40B4-BE49-F238E27FC236}">
              <a16:creationId xmlns:a16="http://schemas.microsoft.com/office/drawing/2014/main" id="{00000000-0008-0000-0C00-000013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990600</xdr:colOff>
      <xdr:row>39</xdr:row>
      <xdr:rowOff>85725</xdr:rowOff>
    </xdr:from>
    <xdr:ext cx="323850" cy="257175"/>
    <xdr:sp macro="" textlink="">
      <xdr:nvSpPr>
        <xdr:cNvPr id="27" name="Shape 27">
          <a:extLst>
            <a:ext uri="{FF2B5EF4-FFF2-40B4-BE49-F238E27FC236}">
              <a16:creationId xmlns:a16="http://schemas.microsoft.com/office/drawing/2014/main" id="{00000000-0008-0000-0C00-00001B000000}"/>
            </a:ext>
          </a:extLst>
        </xdr:cNvPr>
        <xdr:cNvSpPr txBox="1"/>
      </xdr:nvSpPr>
      <xdr:spPr>
        <a:xfrm>
          <a:off x="5188838" y="3656175"/>
          <a:ext cx="31432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1200150</xdr:colOff>
      <xdr:row>43</xdr:row>
      <xdr:rowOff>200025</xdr:rowOff>
    </xdr:from>
    <xdr:ext cx="161925" cy="257175"/>
    <xdr:sp macro="" textlink="">
      <xdr:nvSpPr>
        <xdr:cNvPr id="20" name="Shape 28">
          <a:extLst>
            <a:ext uri="{FF2B5EF4-FFF2-40B4-BE49-F238E27FC236}">
              <a16:creationId xmlns:a16="http://schemas.microsoft.com/office/drawing/2014/main" id="{00000000-0008-0000-0C00-000014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1114425</xdr:colOff>
      <xdr:row>43</xdr:row>
      <xdr:rowOff>161925</xdr:rowOff>
    </xdr:from>
    <xdr:ext cx="161925" cy="257175"/>
    <xdr:sp macro="" textlink="">
      <xdr:nvSpPr>
        <xdr:cNvPr id="21" name="Shape 28">
          <a:extLst>
            <a:ext uri="{FF2B5EF4-FFF2-40B4-BE49-F238E27FC236}">
              <a16:creationId xmlns:a16="http://schemas.microsoft.com/office/drawing/2014/main" id="{00000000-0008-0000-0C00-000015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1085850</xdr:colOff>
      <xdr:row>48</xdr:row>
      <xdr:rowOff>133350</xdr:rowOff>
    </xdr:from>
    <xdr:ext cx="161925" cy="257175"/>
    <xdr:sp macro="" textlink="">
      <xdr:nvSpPr>
        <xdr:cNvPr id="22" name="Shape 28">
          <a:extLst>
            <a:ext uri="{FF2B5EF4-FFF2-40B4-BE49-F238E27FC236}">
              <a16:creationId xmlns:a16="http://schemas.microsoft.com/office/drawing/2014/main" id="{00000000-0008-0000-0C00-000016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1352550</xdr:colOff>
      <xdr:row>38</xdr:row>
      <xdr:rowOff>114300</xdr:rowOff>
    </xdr:from>
    <xdr:ext cx="381000" cy="257175"/>
    <xdr:sp macro="" textlink="">
      <xdr:nvSpPr>
        <xdr:cNvPr id="32" name="Shape 32">
          <a:extLst>
            <a:ext uri="{FF2B5EF4-FFF2-40B4-BE49-F238E27FC236}">
              <a16:creationId xmlns:a16="http://schemas.microsoft.com/office/drawing/2014/main" id="{00000000-0008-0000-0C00-000020000000}"/>
            </a:ext>
          </a:extLst>
        </xdr:cNvPr>
        <xdr:cNvSpPr txBox="1"/>
      </xdr:nvSpPr>
      <xdr:spPr>
        <a:xfrm>
          <a:off x="5160263" y="3656175"/>
          <a:ext cx="3714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1114425</xdr:colOff>
      <xdr:row>43</xdr:row>
      <xdr:rowOff>123825</xdr:rowOff>
    </xdr:from>
    <xdr:ext cx="161925" cy="266700"/>
    <xdr:sp macro="" textlink="">
      <xdr:nvSpPr>
        <xdr:cNvPr id="23" name="Shape 31">
          <a:extLst>
            <a:ext uri="{FF2B5EF4-FFF2-40B4-BE49-F238E27FC236}">
              <a16:creationId xmlns:a16="http://schemas.microsoft.com/office/drawing/2014/main" id="{00000000-0008-0000-0C00-000017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43</xdr:row>
      <xdr:rowOff>276225</xdr:rowOff>
    </xdr:from>
    <xdr:ext cx="161925" cy="266700"/>
    <xdr:sp macro="" textlink="">
      <xdr:nvSpPr>
        <xdr:cNvPr id="24" name="Shape 31">
          <a:extLst>
            <a:ext uri="{FF2B5EF4-FFF2-40B4-BE49-F238E27FC236}">
              <a16:creationId xmlns:a16="http://schemas.microsoft.com/office/drawing/2014/main" id="{00000000-0008-0000-0C00-000018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676275</xdr:colOff>
      <xdr:row>43</xdr:row>
      <xdr:rowOff>247650</xdr:rowOff>
    </xdr:from>
    <xdr:ext cx="161925" cy="266700"/>
    <xdr:sp macro="" textlink="">
      <xdr:nvSpPr>
        <xdr:cNvPr id="25" name="Shape 31">
          <a:extLst>
            <a:ext uri="{FF2B5EF4-FFF2-40B4-BE49-F238E27FC236}">
              <a16:creationId xmlns:a16="http://schemas.microsoft.com/office/drawing/2014/main" id="{00000000-0008-0000-0C00-000019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44</xdr:row>
      <xdr:rowOff>276225</xdr:rowOff>
    </xdr:from>
    <xdr:ext cx="161925" cy="1333500"/>
    <xdr:sp macro="" textlink="">
      <xdr:nvSpPr>
        <xdr:cNvPr id="33" name="Shape 33">
          <a:extLst>
            <a:ext uri="{FF2B5EF4-FFF2-40B4-BE49-F238E27FC236}">
              <a16:creationId xmlns:a16="http://schemas.microsoft.com/office/drawing/2014/main" id="{00000000-0008-0000-0C00-000021000000}"/>
            </a:ext>
          </a:extLst>
        </xdr:cNvPr>
        <xdr:cNvSpPr txBox="1"/>
      </xdr:nvSpPr>
      <xdr:spPr>
        <a:xfrm>
          <a:off x="5269800" y="3118013"/>
          <a:ext cx="152400" cy="13239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47</xdr:row>
      <xdr:rowOff>276225</xdr:rowOff>
    </xdr:from>
    <xdr:ext cx="161925" cy="266700"/>
    <xdr:sp macro="" textlink="">
      <xdr:nvSpPr>
        <xdr:cNvPr id="26" name="Shape 31">
          <a:extLst>
            <a:ext uri="{FF2B5EF4-FFF2-40B4-BE49-F238E27FC236}">
              <a16:creationId xmlns:a16="http://schemas.microsoft.com/office/drawing/2014/main" id="{00000000-0008-0000-0C00-00001A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48</xdr:row>
      <xdr:rowOff>276225</xdr:rowOff>
    </xdr:from>
    <xdr:ext cx="161925" cy="266700"/>
    <xdr:sp macro="" textlink="">
      <xdr:nvSpPr>
        <xdr:cNvPr id="34" name="Shape 31">
          <a:extLst>
            <a:ext uri="{FF2B5EF4-FFF2-40B4-BE49-F238E27FC236}">
              <a16:creationId xmlns:a16="http://schemas.microsoft.com/office/drawing/2014/main" id="{00000000-0008-0000-0C00-000022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49</xdr:row>
      <xdr:rowOff>276225</xdr:rowOff>
    </xdr:from>
    <xdr:ext cx="161925" cy="266700"/>
    <xdr:sp macro="" textlink="">
      <xdr:nvSpPr>
        <xdr:cNvPr id="35" name="Shape 31">
          <a:extLst>
            <a:ext uri="{FF2B5EF4-FFF2-40B4-BE49-F238E27FC236}">
              <a16:creationId xmlns:a16="http://schemas.microsoft.com/office/drawing/2014/main" id="{00000000-0008-0000-0C00-000023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50</xdr:row>
      <xdr:rowOff>276225</xdr:rowOff>
    </xdr:from>
    <xdr:ext cx="161925" cy="266700"/>
    <xdr:sp macro="" textlink="">
      <xdr:nvSpPr>
        <xdr:cNvPr id="36" name="Shape 31">
          <a:extLst>
            <a:ext uri="{FF2B5EF4-FFF2-40B4-BE49-F238E27FC236}">
              <a16:creationId xmlns:a16="http://schemas.microsoft.com/office/drawing/2014/main" id="{00000000-0008-0000-0C00-000024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9525</xdr:colOff>
      <xdr:row>42</xdr:row>
      <xdr:rowOff>171450</xdr:rowOff>
    </xdr:from>
    <xdr:ext cx="161925" cy="257175"/>
    <xdr:sp macro="" textlink="">
      <xdr:nvSpPr>
        <xdr:cNvPr id="37" name="Shape 28">
          <a:extLst>
            <a:ext uri="{FF2B5EF4-FFF2-40B4-BE49-F238E27FC236}">
              <a16:creationId xmlns:a16="http://schemas.microsoft.com/office/drawing/2014/main" id="{00000000-0008-0000-0C00-000025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9525</xdr:colOff>
      <xdr:row>43</xdr:row>
      <xdr:rowOff>171450</xdr:rowOff>
    </xdr:from>
    <xdr:ext cx="161925" cy="257175"/>
    <xdr:sp macro="" textlink="">
      <xdr:nvSpPr>
        <xdr:cNvPr id="38" name="Shape 28">
          <a:extLst>
            <a:ext uri="{FF2B5EF4-FFF2-40B4-BE49-F238E27FC236}">
              <a16:creationId xmlns:a16="http://schemas.microsoft.com/office/drawing/2014/main" id="{00000000-0008-0000-0C00-000026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9525</xdr:colOff>
      <xdr:row>44</xdr:row>
      <xdr:rowOff>171450</xdr:rowOff>
    </xdr:from>
    <xdr:ext cx="161925" cy="257175"/>
    <xdr:sp macro="" textlink="">
      <xdr:nvSpPr>
        <xdr:cNvPr id="39" name="Shape 28">
          <a:extLst>
            <a:ext uri="{FF2B5EF4-FFF2-40B4-BE49-F238E27FC236}">
              <a16:creationId xmlns:a16="http://schemas.microsoft.com/office/drawing/2014/main" id="{00000000-0008-0000-0C00-000027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9525</xdr:colOff>
      <xdr:row>50</xdr:row>
      <xdr:rowOff>85725</xdr:rowOff>
    </xdr:from>
    <xdr:ext cx="161925" cy="257175"/>
    <xdr:sp macro="" textlink="">
      <xdr:nvSpPr>
        <xdr:cNvPr id="40" name="Shape 28">
          <a:extLst>
            <a:ext uri="{FF2B5EF4-FFF2-40B4-BE49-F238E27FC236}">
              <a16:creationId xmlns:a16="http://schemas.microsoft.com/office/drawing/2014/main" id="{00000000-0008-0000-0C00-000028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47</xdr:row>
      <xdr:rowOff>276225</xdr:rowOff>
    </xdr:from>
    <xdr:ext cx="161925" cy="266700"/>
    <xdr:sp macro="" textlink="">
      <xdr:nvSpPr>
        <xdr:cNvPr id="41" name="Shape 31">
          <a:extLst>
            <a:ext uri="{FF2B5EF4-FFF2-40B4-BE49-F238E27FC236}">
              <a16:creationId xmlns:a16="http://schemas.microsoft.com/office/drawing/2014/main" id="{00000000-0008-0000-0C00-000029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48</xdr:row>
      <xdr:rowOff>276225</xdr:rowOff>
    </xdr:from>
    <xdr:ext cx="161925" cy="266700"/>
    <xdr:sp macro="" textlink="">
      <xdr:nvSpPr>
        <xdr:cNvPr id="42" name="Shape 31">
          <a:extLst>
            <a:ext uri="{FF2B5EF4-FFF2-40B4-BE49-F238E27FC236}">
              <a16:creationId xmlns:a16="http://schemas.microsoft.com/office/drawing/2014/main" id="{00000000-0008-0000-0C00-00002A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48</xdr:row>
      <xdr:rowOff>276225</xdr:rowOff>
    </xdr:from>
    <xdr:ext cx="161925" cy="266700"/>
    <xdr:sp macro="" textlink="">
      <xdr:nvSpPr>
        <xdr:cNvPr id="43" name="Shape 31">
          <a:extLst>
            <a:ext uri="{FF2B5EF4-FFF2-40B4-BE49-F238E27FC236}">
              <a16:creationId xmlns:a16="http://schemas.microsoft.com/office/drawing/2014/main" id="{00000000-0008-0000-0C00-00002B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49</xdr:row>
      <xdr:rowOff>276225</xdr:rowOff>
    </xdr:from>
    <xdr:ext cx="161925" cy="266700"/>
    <xdr:sp macro="" textlink="">
      <xdr:nvSpPr>
        <xdr:cNvPr id="44" name="Shape 31">
          <a:extLst>
            <a:ext uri="{FF2B5EF4-FFF2-40B4-BE49-F238E27FC236}">
              <a16:creationId xmlns:a16="http://schemas.microsoft.com/office/drawing/2014/main" id="{00000000-0008-0000-0C00-00002C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49</xdr:row>
      <xdr:rowOff>276225</xdr:rowOff>
    </xdr:from>
    <xdr:ext cx="161925" cy="266700"/>
    <xdr:sp macro="" textlink="">
      <xdr:nvSpPr>
        <xdr:cNvPr id="45" name="Shape 31">
          <a:extLst>
            <a:ext uri="{FF2B5EF4-FFF2-40B4-BE49-F238E27FC236}">
              <a16:creationId xmlns:a16="http://schemas.microsoft.com/office/drawing/2014/main" id="{00000000-0008-0000-0C00-00002D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49</xdr:row>
      <xdr:rowOff>276225</xdr:rowOff>
    </xdr:from>
    <xdr:ext cx="161925" cy="266700"/>
    <xdr:sp macro="" textlink="">
      <xdr:nvSpPr>
        <xdr:cNvPr id="46" name="Shape 31">
          <a:extLst>
            <a:ext uri="{FF2B5EF4-FFF2-40B4-BE49-F238E27FC236}">
              <a16:creationId xmlns:a16="http://schemas.microsoft.com/office/drawing/2014/main" id="{00000000-0008-0000-0C00-00002E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50</xdr:row>
      <xdr:rowOff>276225</xdr:rowOff>
    </xdr:from>
    <xdr:ext cx="161925" cy="266700"/>
    <xdr:sp macro="" textlink="">
      <xdr:nvSpPr>
        <xdr:cNvPr id="47" name="Shape 31">
          <a:extLst>
            <a:ext uri="{FF2B5EF4-FFF2-40B4-BE49-F238E27FC236}">
              <a16:creationId xmlns:a16="http://schemas.microsoft.com/office/drawing/2014/main" id="{00000000-0008-0000-0C00-00002F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50</xdr:row>
      <xdr:rowOff>276225</xdr:rowOff>
    </xdr:from>
    <xdr:ext cx="161925" cy="266700"/>
    <xdr:sp macro="" textlink="">
      <xdr:nvSpPr>
        <xdr:cNvPr id="48" name="Shape 31">
          <a:extLst>
            <a:ext uri="{FF2B5EF4-FFF2-40B4-BE49-F238E27FC236}">
              <a16:creationId xmlns:a16="http://schemas.microsoft.com/office/drawing/2014/main" id="{00000000-0008-0000-0C00-000030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50</xdr:row>
      <xdr:rowOff>276225</xdr:rowOff>
    </xdr:from>
    <xdr:ext cx="161925" cy="266700"/>
    <xdr:sp macro="" textlink="">
      <xdr:nvSpPr>
        <xdr:cNvPr id="49" name="Shape 31">
          <a:extLst>
            <a:ext uri="{FF2B5EF4-FFF2-40B4-BE49-F238E27FC236}">
              <a16:creationId xmlns:a16="http://schemas.microsoft.com/office/drawing/2014/main" id="{00000000-0008-0000-0C00-000031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51</xdr:row>
      <xdr:rowOff>276225</xdr:rowOff>
    </xdr:from>
    <xdr:ext cx="161925" cy="266700"/>
    <xdr:sp macro="" textlink="">
      <xdr:nvSpPr>
        <xdr:cNvPr id="50" name="Shape 31">
          <a:extLst>
            <a:ext uri="{FF2B5EF4-FFF2-40B4-BE49-F238E27FC236}">
              <a16:creationId xmlns:a16="http://schemas.microsoft.com/office/drawing/2014/main" id="{00000000-0008-0000-0C00-000032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51</xdr:row>
      <xdr:rowOff>276225</xdr:rowOff>
    </xdr:from>
    <xdr:ext cx="161925" cy="266700"/>
    <xdr:sp macro="" textlink="">
      <xdr:nvSpPr>
        <xdr:cNvPr id="51" name="Shape 31">
          <a:extLst>
            <a:ext uri="{FF2B5EF4-FFF2-40B4-BE49-F238E27FC236}">
              <a16:creationId xmlns:a16="http://schemas.microsoft.com/office/drawing/2014/main" id="{00000000-0008-0000-0C00-000033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51</xdr:row>
      <xdr:rowOff>276225</xdr:rowOff>
    </xdr:from>
    <xdr:ext cx="161925" cy="266700"/>
    <xdr:sp macro="" textlink="">
      <xdr:nvSpPr>
        <xdr:cNvPr id="52" name="Shape 31">
          <a:extLst>
            <a:ext uri="{FF2B5EF4-FFF2-40B4-BE49-F238E27FC236}">
              <a16:creationId xmlns:a16="http://schemas.microsoft.com/office/drawing/2014/main" id="{00000000-0008-0000-0C00-000034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52</xdr:row>
      <xdr:rowOff>276225</xdr:rowOff>
    </xdr:from>
    <xdr:ext cx="161925" cy="266700"/>
    <xdr:sp macro="" textlink="">
      <xdr:nvSpPr>
        <xdr:cNvPr id="53" name="Shape 31">
          <a:extLst>
            <a:ext uri="{FF2B5EF4-FFF2-40B4-BE49-F238E27FC236}">
              <a16:creationId xmlns:a16="http://schemas.microsoft.com/office/drawing/2014/main" id="{00000000-0008-0000-0C00-000035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52</xdr:row>
      <xdr:rowOff>276225</xdr:rowOff>
    </xdr:from>
    <xdr:ext cx="161925" cy="266700"/>
    <xdr:sp macro="" textlink="">
      <xdr:nvSpPr>
        <xdr:cNvPr id="54" name="Shape 31">
          <a:extLst>
            <a:ext uri="{FF2B5EF4-FFF2-40B4-BE49-F238E27FC236}">
              <a16:creationId xmlns:a16="http://schemas.microsoft.com/office/drawing/2014/main" id="{00000000-0008-0000-0C00-000036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52</xdr:row>
      <xdr:rowOff>276225</xdr:rowOff>
    </xdr:from>
    <xdr:ext cx="161925" cy="266700"/>
    <xdr:sp macro="" textlink="">
      <xdr:nvSpPr>
        <xdr:cNvPr id="55" name="Shape 31">
          <a:extLst>
            <a:ext uri="{FF2B5EF4-FFF2-40B4-BE49-F238E27FC236}">
              <a16:creationId xmlns:a16="http://schemas.microsoft.com/office/drawing/2014/main" id="{00000000-0008-0000-0C00-000037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53</xdr:row>
      <xdr:rowOff>276225</xdr:rowOff>
    </xdr:from>
    <xdr:ext cx="161925" cy="266700"/>
    <xdr:sp macro="" textlink="">
      <xdr:nvSpPr>
        <xdr:cNvPr id="56" name="Shape 31">
          <a:extLst>
            <a:ext uri="{FF2B5EF4-FFF2-40B4-BE49-F238E27FC236}">
              <a16:creationId xmlns:a16="http://schemas.microsoft.com/office/drawing/2014/main" id="{00000000-0008-0000-0C00-000038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53</xdr:row>
      <xdr:rowOff>276225</xdr:rowOff>
    </xdr:from>
    <xdr:ext cx="161925" cy="266700"/>
    <xdr:sp macro="" textlink="">
      <xdr:nvSpPr>
        <xdr:cNvPr id="57" name="Shape 31">
          <a:extLst>
            <a:ext uri="{FF2B5EF4-FFF2-40B4-BE49-F238E27FC236}">
              <a16:creationId xmlns:a16="http://schemas.microsoft.com/office/drawing/2014/main" id="{00000000-0008-0000-0C00-000039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53</xdr:row>
      <xdr:rowOff>276225</xdr:rowOff>
    </xdr:from>
    <xdr:ext cx="161925" cy="266700"/>
    <xdr:sp macro="" textlink="">
      <xdr:nvSpPr>
        <xdr:cNvPr id="58" name="Shape 31">
          <a:extLst>
            <a:ext uri="{FF2B5EF4-FFF2-40B4-BE49-F238E27FC236}">
              <a16:creationId xmlns:a16="http://schemas.microsoft.com/office/drawing/2014/main" id="{00000000-0008-0000-0C00-00003A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54</xdr:row>
      <xdr:rowOff>276225</xdr:rowOff>
    </xdr:from>
    <xdr:ext cx="161925" cy="266700"/>
    <xdr:sp macro="" textlink="">
      <xdr:nvSpPr>
        <xdr:cNvPr id="59" name="Shape 31">
          <a:extLst>
            <a:ext uri="{FF2B5EF4-FFF2-40B4-BE49-F238E27FC236}">
              <a16:creationId xmlns:a16="http://schemas.microsoft.com/office/drawing/2014/main" id="{00000000-0008-0000-0C00-00003B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54</xdr:row>
      <xdr:rowOff>276225</xdr:rowOff>
    </xdr:from>
    <xdr:ext cx="161925" cy="266700"/>
    <xdr:sp macro="" textlink="">
      <xdr:nvSpPr>
        <xdr:cNvPr id="60" name="Shape 31">
          <a:extLst>
            <a:ext uri="{FF2B5EF4-FFF2-40B4-BE49-F238E27FC236}">
              <a16:creationId xmlns:a16="http://schemas.microsoft.com/office/drawing/2014/main" id="{00000000-0008-0000-0C00-00003C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55</xdr:row>
      <xdr:rowOff>276225</xdr:rowOff>
    </xdr:from>
    <xdr:ext cx="161925" cy="257175"/>
    <xdr:sp macro="" textlink="">
      <xdr:nvSpPr>
        <xdr:cNvPr id="61" name="Shape 28">
          <a:extLst>
            <a:ext uri="{FF2B5EF4-FFF2-40B4-BE49-F238E27FC236}">
              <a16:creationId xmlns:a16="http://schemas.microsoft.com/office/drawing/2014/main" id="{00000000-0008-0000-0C00-00003D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55</xdr:row>
      <xdr:rowOff>276225</xdr:rowOff>
    </xdr:from>
    <xdr:ext cx="161925" cy="257175"/>
    <xdr:sp macro="" textlink="">
      <xdr:nvSpPr>
        <xdr:cNvPr id="62" name="Shape 28">
          <a:extLst>
            <a:ext uri="{FF2B5EF4-FFF2-40B4-BE49-F238E27FC236}">
              <a16:creationId xmlns:a16="http://schemas.microsoft.com/office/drawing/2014/main" id="{00000000-0008-0000-0C00-00003E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56</xdr:row>
      <xdr:rowOff>-9525</xdr:rowOff>
    </xdr:from>
    <xdr:ext cx="152400" cy="85725"/>
    <xdr:sp macro="" textlink="">
      <xdr:nvSpPr>
        <xdr:cNvPr id="63" name="Shape 34">
          <a:extLst>
            <a:ext uri="{FF2B5EF4-FFF2-40B4-BE49-F238E27FC236}">
              <a16:creationId xmlns:a16="http://schemas.microsoft.com/office/drawing/2014/main" id="{00000000-0008-0000-0C00-00003F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56</xdr:row>
      <xdr:rowOff>-9525</xdr:rowOff>
    </xdr:from>
    <xdr:ext cx="152400" cy="85725"/>
    <xdr:sp macro="" textlink="">
      <xdr:nvSpPr>
        <xdr:cNvPr id="64" name="Shape 34">
          <a:extLst>
            <a:ext uri="{FF2B5EF4-FFF2-40B4-BE49-F238E27FC236}">
              <a16:creationId xmlns:a16="http://schemas.microsoft.com/office/drawing/2014/main" id="{00000000-0008-0000-0C00-000040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56</xdr:row>
      <xdr:rowOff>276225</xdr:rowOff>
    </xdr:from>
    <xdr:ext cx="161925" cy="257175"/>
    <xdr:sp macro="" textlink="">
      <xdr:nvSpPr>
        <xdr:cNvPr id="65" name="Shape 28">
          <a:extLst>
            <a:ext uri="{FF2B5EF4-FFF2-40B4-BE49-F238E27FC236}">
              <a16:creationId xmlns:a16="http://schemas.microsoft.com/office/drawing/2014/main" id="{00000000-0008-0000-0C00-000041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56</xdr:row>
      <xdr:rowOff>276225</xdr:rowOff>
    </xdr:from>
    <xdr:ext cx="161925" cy="257175"/>
    <xdr:sp macro="" textlink="">
      <xdr:nvSpPr>
        <xdr:cNvPr id="66" name="Shape 28">
          <a:extLst>
            <a:ext uri="{FF2B5EF4-FFF2-40B4-BE49-F238E27FC236}">
              <a16:creationId xmlns:a16="http://schemas.microsoft.com/office/drawing/2014/main" id="{00000000-0008-0000-0C00-000042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56</xdr:row>
      <xdr:rowOff>276225</xdr:rowOff>
    </xdr:from>
    <xdr:ext cx="161925" cy="257175"/>
    <xdr:sp macro="" textlink="">
      <xdr:nvSpPr>
        <xdr:cNvPr id="67" name="Shape 28">
          <a:extLst>
            <a:ext uri="{FF2B5EF4-FFF2-40B4-BE49-F238E27FC236}">
              <a16:creationId xmlns:a16="http://schemas.microsoft.com/office/drawing/2014/main" id="{00000000-0008-0000-0C00-000043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56</xdr:row>
      <xdr:rowOff>276225</xdr:rowOff>
    </xdr:from>
    <xdr:ext cx="161925" cy="257175"/>
    <xdr:sp macro="" textlink="">
      <xdr:nvSpPr>
        <xdr:cNvPr id="68" name="Shape 28">
          <a:extLst>
            <a:ext uri="{FF2B5EF4-FFF2-40B4-BE49-F238E27FC236}">
              <a16:creationId xmlns:a16="http://schemas.microsoft.com/office/drawing/2014/main" id="{00000000-0008-0000-0C00-000044000000}"/>
            </a:ext>
          </a:extLst>
        </xdr:cNvPr>
        <xdr:cNvSpPr txBox="1"/>
      </xdr:nvSpPr>
      <xdr:spPr>
        <a:xfrm>
          <a:off x="5269800" y="3656175"/>
          <a:ext cx="152400"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57</xdr:row>
      <xdr:rowOff>-9525</xdr:rowOff>
    </xdr:from>
    <xdr:ext cx="152400" cy="85725"/>
    <xdr:sp macro="" textlink="">
      <xdr:nvSpPr>
        <xdr:cNvPr id="69" name="Shape 34">
          <a:extLst>
            <a:ext uri="{FF2B5EF4-FFF2-40B4-BE49-F238E27FC236}">
              <a16:creationId xmlns:a16="http://schemas.microsoft.com/office/drawing/2014/main" id="{00000000-0008-0000-0C00-000045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57</xdr:row>
      <xdr:rowOff>-9525</xdr:rowOff>
    </xdr:from>
    <xdr:ext cx="152400" cy="85725"/>
    <xdr:sp macro="" textlink="">
      <xdr:nvSpPr>
        <xdr:cNvPr id="70" name="Shape 34">
          <a:extLst>
            <a:ext uri="{FF2B5EF4-FFF2-40B4-BE49-F238E27FC236}">
              <a16:creationId xmlns:a16="http://schemas.microsoft.com/office/drawing/2014/main" id="{00000000-0008-0000-0C00-000046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57</xdr:row>
      <xdr:rowOff>-9525</xdr:rowOff>
    </xdr:from>
    <xdr:ext cx="152400" cy="85725"/>
    <xdr:sp macro="" textlink="">
      <xdr:nvSpPr>
        <xdr:cNvPr id="71" name="Shape 34">
          <a:extLst>
            <a:ext uri="{FF2B5EF4-FFF2-40B4-BE49-F238E27FC236}">
              <a16:creationId xmlns:a16="http://schemas.microsoft.com/office/drawing/2014/main" id="{00000000-0008-0000-0C00-000047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628650</xdr:colOff>
      <xdr:row>57</xdr:row>
      <xdr:rowOff>-9525</xdr:rowOff>
    </xdr:from>
    <xdr:ext cx="152400" cy="85725"/>
    <xdr:sp macro="" textlink="">
      <xdr:nvSpPr>
        <xdr:cNvPr id="72" name="Shape 34">
          <a:extLst>
            <a:ext uri="{FF2B5EF4-FFF2-40B4-BE49-F238E27FC236}">
              <a16:creationId xmlns:a16="http://schemas.microsoft.com/office/drawing/2014/main" id="{00000000-0008-0000-0C00-000048000000}"/>
            </a:ext>
          </a:extLst>
        </xdr:cNvPr>
        <xdr:cNvSpPr txBox="1"/>
      </xdr:nvSpPr>
      <xdr:spPr>
        <a:xfrm>
          <a:off x="5274563" y="3741900"/>
          <a:ext cx="142875" cy="76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57</xdr:row>
      <xdr:rowOff>276225</xdr:rowOff>
    </xdr:from>
    <xdr:ext cx="161925" cy="266700"/>
    <xdr:sp macro="" textlink="">
      <xdr:nvSpPr>
        <xdr:cNvPr id="73" name="Shape 31">
          <a:extLst>
            <a:ext uri="{FF2B5EF4-FFF2-40B4-BE49-F238E27FC236}">
              <a16:creationId xmlns:a16="http://schemas.microsoft.com/office/drawing/2014/main" id="{00000000-0008-0000-0C00-000049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609600</xdr:colOff>
      <xdr:row>57</xdr:row>
      <xdr:rowOff>276225</xdr:rowOff>
    </xdr:from>
    <xdr:ext cx="161925" cy="266700"/>
    <xdr:sp macro="" textlink="">
      <xdr:nvSpPr>
        <xdr:cNvPr id="74" name="Shape 31">
          <a:extLst>
            <a:ext uri="{FF2B5EF4-FFF2-40B4-BE49-F238E27FC236}">
              <a16:creationId xmlns:a16="http://schemas.microsoft.com/office/drawing/2014/main" id="{00000000-0008-0000-0C00-00004A000000}"/>
            </a:ext>
          </a:extLst>
        </xdr:cNvPr>
        <xdr:cNvSpPr txBox="1"/>
      </xdr:nvSpPr>
      <xdr:spPr>
        <a:xfrm>
          <a:off x="5269800" y="3651413"/>
          <a:ext cx="1524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104775</xdr:colOff>
      <xdr:row>63</xdr:row>
      <xdr:rowOff>438150</xdr:rowOff>
    </xdr:from>
    <xdr:ext cx="333375" cy="266700"/>
    <xdr:sp macro="" textlink="">
      <xdr:nvSpPr>
        <xdr:cNvPr id="75" name="Shape 29">
          <a:extLst>
            <a:ext uri="{FF2B5EF4-FFF2-40B4-BE49-F238E27FC236}">
              <a16:creationId xmlns:a16="http://schemas.microsoft.com/office/drawing/2014/main" id="{00000000-0008-0000-0C00-00004B000000}"/>
            </a:ext>
          </a:extLst>
        </xdr:cNvPr>
        <xdr:cNvSpPr txBox="1"/>
      </xdr:nvSpPr>
      <xdr:spPr>
        <a:xfrm>
          <a:off x="5184075" y="3651413"/>
          <a:ext cx="3238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733425</xdr:colOff>
      <xdr:row>63</xdr:row>
      <xdr:rowOff>342900</xdr:rowOff>
    </xdr:from>
    <xdr:ext cx="447675" cy="266700"/>
    <xdr:sp macro="" textlink="">
      <xdr:nvSpPr>
        <xdr:cNvPr id="76" name="Shape 30">
          <a:extLst>
            <a:ext uri="{FF2B5EF4-FFF2-40B4-BE49-F238E27FC236}">
              <a16:creationId xmlns:a16="http://schemas.microsoft.com/office/drawing/2014/main" id="{00000000-0008-0000-0C00-00004C000000}"/>
            </a:ext>
          </a:extLst>
        </xdr:cNvPr>
        <xdr:cNvSpPr txBox="1"/>
      </xdr:nvSpPr>
      <xdr:spPr>
        <a:xfrm>
          <a:off x="5126925" y="3651413"/>
          <a:ext cx="4381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571500</xdr:colOff>
      <xdr:row>63</xdr:row>
      <xdr:rowOff>400050</xdr:rowOff>
    </xdr:from>
    <xdr:ext cx="447675" cy="266700"/>
    <xdr:sp macro="" textlink="">
      <xdr:nvSpPr>
        <xdr:cNvPr id="77" name="Shape 30">
          <a:extLst>
            <a:ext uri="{FF2B5EF4-FFF2-40B4-BE49-F238E27FC236}">
              <a16:creationId xmlns:a16="http://schemas.microsoft.com/office/drawing/2014/main" id="{00000000-0008-0000-0C00-00004D000000}"/>
            </a:ext>
          </a:extLst>
        </xdr:cNvPr>
        <xdr:cNvSpPr txBox="1"/>
      </xdr:nvSpPr>
      <xdr:spPr>
        <a:xfrm>
          <a:off x="5126925" y="3651413"/>
          <a:ext cx="43815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0</xdr:row>
      <xdr:rowOff>76200</xdr:rowOff>
    </xdr:from>
    <xdr:ext cx="419100" cy="2095500"/>
    <xdr:pic>
      <xdr:nvPicPr>
        <xdr:cNvPr id="78" name="image1.jpg" descr="Logo Original Universidad del Cauca.jpg">
          <a:extLst>
            <a:ext uri="{FF2B5EF4-FFF2-40B4-BE49-F238E27FC236}">
              <a16:creationId xmlns:a16="http://schemas.microsoft.com/office/drawing/2014/main" id="{00000000-0008-0000-0C00-00004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95250</xdr:colOff>
      <xdr:row>22</xdr:row>
      <xdr:rowOff>9525</xdr:rowOff>
    </xdr:from>
    <xdr:ext cx="8258175" cy="3886200"/>
    <xdr:graphicFrame macro="">
      <xdr:nvGraphicFramePr>
        <xdr:cNvPr id="335193892" name="Chart 5">
          <a:extLst>
            <a:ext uri="{FF2B5EF4-FFF2-40B4-BE49-F238E27FC236}">
              <a16:creationId xmlns:a16="http://schemas.microsoft.com/office/drawing/2014/main" id="{00000000-0008-0000-0D00-000024A7F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742950</xdr:colOff>
      <xdr:row>0</xdr:row>
      <xdr:rowOff>142875</xdr:rowOff>
    </xdr:from>
    <xdr:ext cx="381000" cy="561975"/>
    <xdr:pic>
      <xdr:nvPicPr>
        <xdr:cNvPr id="2" name="image1.jpg" descr="Logo Original Universidad del Cauca.jp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942975</xdr:colOff>
      <xdr:row>0</xdr:row>
      <xdr:rowOff>85725</xdr:rowOff>
    </xdr:from>
    <xdr:ext cx="390525" cy="542925"/>
    <xdr:pic>
      <xdr:nvPicPr>
        <xdr:cNvPr id="2" name="image1.jpg" descr="Logo Original Universidad del Cauca.jp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9525</xdr:colOff>
      <xdr:row>0</xdr:row>
      <xdr:rowOff>133350</xdr:rowOff>
    </xdr:from>
    <xdr:ext cx="638175" cy="352425"/>
    <xdr:pic>
      <xdr:nvPicPr>
        <xdr:cNvPr id="3" name="image2.jpg" descr="SiGA.jp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85725</xdr:rowOff>
    </xdr:from>
    <xdr:ext cx="428625" cy="600075"/>
    <xdr:pic>
      <xdr:nvPicPr>
        <xdr:cNvPr id="2" name="image1.jpg" descr="Logo Original Universidad del Cauca.jp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2800350</xdr:colOff>
      <xdr:row>1</xdr:row>
      <xdr:rowOff>38100</xdr:rowOff>
    </xdr:from>
    <xdr:ext cx="1133475" cy="400050"/>
    <xdr:pic>
      <xdr:nvPicPr>
        <xdr:cNvPr id="3" name="image2.jpg" descr="SiGA.jp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2800350</xdr:colOff>
      <xdr:row>1</xdr:row>
      <xdr:rowOff>38100</xdr:rowOff>
    </xdr:from>
    <xdr:ext cx="1133475" cy="400050"/>
    <xdr:pic>
      <xdr:nvPicPr>
        <xdr:cNvPr id="4" name="image2.jpg" descr="SiGA.jpg">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266700</xdr:colOff>
      <xdr:row>0</xdr:row>
      <xdr:rowOff>95250</xdr:rowOff>
    </xdr:from>
    <xdr:ext cx="428625" cy="600075"/>
    <xdr:pic>
      <xdr:nvPicPr>
        <xdr:cNvPr id="2" name="image1.jpg" descr="Logo Original Universidad del Cauca.jp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152400</xdr:colOff>
      <xdr:row>1</xdr:row>
      <xdr:rowOff>38100</xdr:rowOff>
    </xdr:from>
    <xdr:ext cx="781050" cy="400050"/>
    <xdr:pic>
      <xdr:nvPicPr>
        <xdr:cNvPr id="3" name="image2.jpg" descr="SiGA.jp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247650</xdr:colOff>
      <xdr:row>15</xdr:row>
      <xdr:rowOff>0</xdr:rowOff>
    </xdr:from>
    <xdr:ext cx="5229225" cy="2743200"/>
    <xdr:graphicFrame macro="">
      <xdr:nvGraphicFramePr>
        <xdr:cNvPr id="1455819884" name="Chart 6">
          <a:extLst>
            <a:ext uri="{FF2B5EF4-FFF2-40B4-BE49-F238E27FC236}">
              <a16:creationId xmlns:a16="http://schemas.microsoft.com/office/drawing/2014/main" id="{00000000-0008-0000-1100-00006C0CC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752475</xdr:colOff>
      <xdr:row>15</xdr:row>
      <xdr:rowOff>0</xdr:rowOff>
    </xdr:from>
    <xdr:ext cx="5257800" cy="2743200"/>
    <xdr:graphicFrame macro="">
      <xdr:nvGraphicFramePr>
        <xdr:cNvPr id="725613687" name="Chart 7">
          <a:extLst>
            <a:ext uri="{FF2B5EF4-FFF2-40B4-BE49-F238E27FC236}">
              <a16:creationId xmlns:a16="http://schemas.microsoft.com/office/drawing/2014/main" id="{00000000-0008-0000-1100-000077FC3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266700</xdr:colOff>
      <xdr:row>32</xdr:row>
      <xdr:rowOff>142875</xdr:rowOff>
    </xdr:from>
    <xdr:ext cx="5229225" cy="2743200"/>
    <xdr:graphicFrame macro="">
      <xdr:nvGraphicFramePr>
        <xdr:cNvPr id="538629800" name="Chart 8">
          <a:extLst>
            <a:ext uri="{FF2B5EF4-FFF2-40B4-BE49-F238E27FC236}">
              <a16:creationId xmlns:a16="http://schemas.microsoft.com/office/drawing/2014/main" id="{00000000-0008-0000-1100-0000A8D61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0</xdr:colOff>
      <xdr:row>33</xdr:row>
      <xdr:rowOff>0</xdr:rowOff>
    </xdr:from>
    <xdr:ext cx="5257800" cy="2743200"/>
    <xdr:graphicFrame macro="">
      <xdr:nvGraphicFramePr>
        <xdr:cNvPr id="1021692985" name="Chart 9">
          <a:extLst>
            <a:ext uri="{FF2B5EF4-FFF2-40B4-BE49-F238E27FC236}">
              <a16:creationId xmlns:a16="http://schemas.microsoft.com/office/drawing/2014/main" id="{00000000-0008-0000-1100-000039CCE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476250</xdr:colOff>
      <xdr:row>0</xdr:row>
      <xdr:rowOff>114300</xdr:rowOff>
    </xdr:from>
    <xdr:ext cx="409575" cy="600075"/>
    <xdr:pic>
      <xdr:nvPicPr>
        <xdr:cNvPr id="2" name="image1.jpg" descr="Logo Original Universidad del Cauca.jp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NICAUCA/Downloads/167.%20Consolidado-RC-AA%2006122023.xlsx" TargetMode="External"/><Relationship Id="rId1" Type="http://schemas.openxmlformats.org/officeDocument/2006/relationships/externalLinkPath" Target="/Users/UNICAUCA/Downloads/167.%20Consolidado-RC-AA%200612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Downloads\57.%201075%20Consolidado-RC-AA%2004Abr2020%20(169)%20con%20act%20ME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Viviana_Calidad/Downloads/101.%20Consolidado-RC-AA%2014Dic2021%20(162).xlsx" TargetMode="External"/><Relationship Id="rId1" Type="http://schemas.openxmlformats.org/officeDocument/2006/relationships/externalLinkPath" Target="/Users/Viviana_Calidad/Downloads/101.%20Consolidado-RC-AA%2014Dic2021%20(16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Viviana_Calidad/Downloads/130.%20Consolidado-RC-AA%2030Dic2022%20(132).xlsx" TargetMode="External"/><Relationship Id="rId1" Type="http://schemas.openxmlformats.org/officeDocument/2006/relationships/externalLinkPath" Target="/Users/Viviana_Calidad/Downloads/130.%20Consolidado-RC-AA%2030Dic2022%20(13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Viviana_Calidad/Downloads/131.%20Consolidado-RC-AA%2024Ene2023%20(132).xlsx" TargetMode="External"/><Relationship Id="rId1" Type="http://schemas.openxmlformats.org/officeDocument/2006/relationships/externalLinkPath" Target="/Users/Viviana_Calidad/Downloads/131.%20Consolidado-RC-AA%2024Ene2023%20(13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BASE%20DE%20DATOS\142.%20Consolidado-RC-AA%2010Abr2023%20(1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ú"/>
      <sheetName val="Consolidado"/>
      <sheetName val="Visitas de Pares"/>
      <sheetName val="ProgramasRC"/>
      <sheetName val="Sintesis-Programas"/>
      <sheetName val="Rutas RRC"/>
      <sheetName val="Facultad-Ruta-RRC"/>
      <sheetName val="Ajuste Plan Mejora"/>
      <sheetName val="Acreditados"/>
      <sheetName val="Acreditables"/>
      <sheetName val="Acreditables a 2026"/>
      <sheetName val="En proceso"/>
      <sheetName val="Hoja1"/>
      <sheetName val="Periodo de transición RC"/>
      <sheetName val="Rutas AAC"/>
      <sheetName val="Facultad-Ruta-AAC"/>
      <sheetName val="Autoevaluación"/>
      <sheetName val="Regionalización"/>
      <sheetName val="Histórico Programas"/>
      <sheetName val="Proceso Interno"/>
      <sheetName val="Lis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ú"/>
      <sheetName val="Consolidado"/>
      <sheetName val="Visitas de Pares"/>
      <sheetName val="ProgramasRC"/>
      <sheetName val="Sintesis-Programas"/>
      <sheetName val="Rutas RRC"/>
      <sheetName val="Facultad-Ruta-RRC"/>
      <sheetName val="Acreditables"/>
      <sheetName val="Acreditados"/>
      <sheetName val="En proceso"/>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onsolidado"/>
      <sheetName val="Visitas de Pares"/>
      <sheetName val="ProgramasRC"/>
      <sheetName val="Sintesis-Programas"/>
      <sheetName val="Rutas RRC"/>
      <sheetName val="Facultad-Ruta-RRC"/>
      <sheetName val="Acreditados"/>
      <sheetName val="Acreditables"/>
      <sheetName val="Acreditables a 2026"/>
      <sheetName val="En proceso"/>
      <sheetName val="Periodo de transición RC"/>
      <sheetName val="Rutas AAC"/>
      <sheetName val="Facultad-Ruta-AAC"/>
      <sheetName val="Autoevaluación"/>
      <sheetName val="Regionalización"/>
      <sheetName val="Histórico Programas"/>
      <sheetName val="Proceso Interno"/>
      <sheetName val="Lista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7:I90">
  <tableColumns count="7">
    <tableColumn id="1" xr3:uid="{00000000-0010-0000-0000-000001000000}" name="No."/>
    <tableColumn id="2" xr3:uid="{00000000-0010-0000-0000-000002000000}" name="Facultad"/>
    <tableColumn id="3" xr3:uid="{00000000-0010-0000-0000-000003000000}" name="Programa Acreditado"/>
    <tableColumn id="4" xr3:uid="{00000000-0010-0000-0000-000004000000}" name="SNIES"/>
    <tableColumn id="5" xr3:uid="{00000000-0010-0000-0000-000005000000}" name="Lugar de Desarrollo"/>
    <tableColumn id="6" xr3:uid="{00000000-0010-0000-0000-000006000000}" name="Nivel Académico"/>
    <tableColumn id="7" xr3:uid="{00000000-0010-0000-0000-000007000000}" name="Estado"/>
  </tableColumns>
  <tableStyleInfo name="Acreditables a 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OXOGFkuCy1EeugKcez-WMsukHnk2pLxY/view?usp=sharing" TargetMode="External"/><Relationship Id="rId21" Type="http://schemas.openxmlformats.org/officeDocument/2006/relationships/hyperlink" Target="https://drive.google.com/file/d/11n1VQA9skreNDWcIajY7YcyoJL1JoEkF/view?usp=sharing" TargetMode="External"/><Relationship Id="rId42" Type="http://schemas.openxmlformats.org/officeDocument/2006/relationships/hyperlink" Target="https://drive.google.com/file/d/1mM2AL7zsCIQJ2NnEkDDDv7l2pO6gde1f/view?usp=drive_link" TargetMode="External"/><Relationship Id="rId63" Type="http://schemas.openxmlformats.org/officeDocument/2006/relationships/hyperlink" Target="https://drive.google.com/file/d/1BIxOCHyX_GKxFrMV2JWPfNDhrzmgNjmB/view?usp=sharing" TargetMode="External"/><Relationship Id="rId84" Type="http://schemas.openxmlformats.org/officeDocument/2006/relationships/hyperlink" Target="https://drive.google.com/file/d/1mjE0K8WELFPu2eVioyasr4wOU1oDH0Gr/view?usp=sharing" TargetMode="External"/><Relationship Id="rId138" Type="http://schemas.openxmlformats.org/officeDocument/2006/relationships/hyperlink" Target="https://drive.google.com/file/d/1dnN0m2oPYjsH_GoMh6Hu3PZxtYL-76tN/view?usp=drive_link" TargetMode="External"/><Relationship Id="rId159" Type="http://schemas.openxmlformats.org/officeDocument/2006/relationships/hyperlink" Target="https://drive.google.com/file/d/1eUjLJVgsAj6tAxvyxO_WFdx1J9m0jVu_/view?usp=sharing" TargetMode="External"/><Relationship Id="rId170" Type="http://schemas.openxmlformats.org/officeDocument/2006/relationships/hyperlink" Target="https://drive.google.com/file/d/1rHUhnF6p74C5ufkRZ_CYUw_PHrqJy_P_/view?usp=sharing" TargetMode="External"/><Relationship Id="rId191" Type="http://schemas.openxmlformats.org/officeDocument/2006/relationships/hyperlink" Target="https://drive.google.com/file/d/118vyyxW4PH45Q0q_9Madd_Yo7rtPHG8T/view?usp=sharing" TargetMode="External"/><Relationship Id="rId205" Type="http://schemas.openxmlformats.org/officeDocument/2006/relationships/vmlDrawing" Target="../drawings/vmlDrawing1.vml"/><Relationship Id="rId107" Type="http://schemas.openxmlformats.org/officeDocument/2006/relationships/hyperlink" Target="https://drive.google.com/file/d/16kc3ZoHTEcaAtnjpvWet8fDuuzdfvqr4/view?usp=sharing" TargetMode="External"/><Relationship Id="rId11" Type="http://schemas.openxmlformats.org/officeDocument/2006/relationships/hyperlink" Target="https://drive.google.com/file/d/1_kZScKmhKbLhPtV2oy7KnArQHeNkLBiD/view?usp=sharing" TargetMode="External"/><Relationship Id="rId32" Type="http://schemas.openxmlformats.org/officeDocument/2006/relationships/hyperlink" Target="https://drive.google.com/file/d/1A1ps5l0gQyOuTbsAUSpwjA1fmgd9nZ2E/view?usp=sharing" TargetMode="External"/><Relationship Id="rId53" Type="http://schemas.openxmlformats.org/officeDocument/2006/relationships/hyperlink" Target="https://drive.google.com/file/d/1X8DpocQjSaf8Cj6Mr8gJCvRVMOhu26GH/view?usp=drive_link" TargetMode="External"/><Relationship Id="rId74" Type="http://schemas.openxmlformats.org/officeDocument/2006/relationships/hyperlink" Target="https://drive.google.com/file/d/1hjCDDa0-C4R3CNkm9cFFcAyNwJ9Geftu/view?usp=sharing" TargetMode="External"/><Relationship Id="rId128" Type="http://schemas.openxmlformats.org/officeDocument/2006/relationships/hyperlink" Target="https://drive.google.com/file/d/1ttIi9nWZhWaBRfbg-y_tJkXEb6xDrNnE/view?usp=sharing" TargetMode="External"/><Relationship Id="rId149" Type="http://schemas.openxmlformats.org/officeDocument/2006/relationships/hyperlink" Target="https://drive.google.com/file/d/1XK5GmHflHx_PBynkcgGiVFwA5Cmh060c/view?usp=sharing" TargetMode="External"/><Relationship Id="rId5" Type="http://schemas.openxmlformats.org/officeDocument/2006/relationships/hyperlink" Target="https://drive.google.com/file/d/1HXkLXaF60oyZk9MV9iLe8OyPzShEdcB4/view?usp=sharing" TargetMode="External"/><Relationship Id="rId95" Type="http://schemas.openxmlformats.org/officeDocument/2006/relationships/hyperlink" Target="https://drive.google.com/file/d/1nAY9NSDLD9gvfOKe0trAs4vqjtUiTFtD/view?usp=sharing" TargetMode="External"/><Relationship Id="rId160" Type="http://schemas.openxmlformats.org/officeDocument/2006/relationships/hyperlink" Target="https://drive.google.com/file/d/1iKRey3OnqA1EVsy0S05DRWFlGXp3cdfQ/view?usp=sharing" TargetMode="External"/><Relationship Id="rId181" Type="http://schemas.openxmlformats.org/officeDocument/2006/relationships/hyperlink" Target="https://drive.google.com/file/d/1UjuKqHzjN4ELfDcsSLqYvZLKHhGgmXfC/view?usp=sharing" TargetMode="External"/><Relationship Id="rId22" Type="http://schemas.openxmlformats.org/officeDocument/2006/relationships/hyperlink" Target="https://drive.google.com/file/d/1lRKh_kaqj8NKeiqRtHDzzUhHN-G_iRQy/view?usp=sharing" TargetMode="External"/><Relationship Id="rId43" Type="http://schemas.openxmlformats.org/officeDocument/2006/relationships/hyperlink" Target="https://drive.google.com/file/d/1cWbb_iRNB-aWDgTxXtmV2ImR19s5j9b2/view?usp=sharing" TargetMode="External"/><Relationship Id="rId64" Type="http://schemas.openxmlformats.org/officeDocument/2006/relationships/hyperlink" Target="https://drive.google.com/file/d/1gurVL0SU5VKlXr8Kna-mYjCl-gcsXgE5/view?usp=sharing" TargetMode="External"/><Relationship Id="rId118" Type="http://schemas.openxmlformats.org/officeDocument/2006/relationships/hyperlink" Target="https://drive.google.com/file/d/15Mam1b97gbHrOCQL4fLLr6vRReIuWsl5/view?usp=sharing" TargetMode="External"/><Relationship Id="rId139" Type="http://schemas.openxmlformats.org/officeDocument/2006/relationships/hyperlink" Target="https://drive.google.com/file/d/1dnN0m2oPYjsH_GoMh6Hu3PZxtYL-76tN/view?usp=drive_link" TargetMode="External"/><Relationship Id="rId85" Type="http://schemas.openxmlformats.org/officeDocument/2006/relationships/hyperlink" Target="https://drive.google.com/file/d/1MwGuF5cc0GeV0oL1Wt6P0YAcyEr4VhOj/view?usp=drive_link" TargetMode="External"/><Relationship Id="rId150" Type="http://schemas.openxmlformats.org/officeDocument/2006/relationships/hyperlink" Target="https://drive.google.com/file/d/1p4HAh5sr0V4P5DzDwYE8MXelHEOchisX/view?usp=drive_link" TargetMode="External"/><Relationship Id="rId171" Type="http://schemas.openxmlformats.org/officeDocument/2006/relationships/hyperlink" Target="https://drive.google.com/file/d/1rHUhnF6p74C5ufkRZ_CYUw_PHrqJy_P_/view?usp=sharing" TargetMode="External"/><Relationship Id="rId192" Type="http://schemas.openxmlformats.org/officeDocument/2006/relationships/hyperlink" Target="https://drive.google.com/file/d/140o__XiFrtDPH_EV5__nlmcYuqJXB40f/view?usp=sharing" TargetMode="External"/><Relationship Id="rId206" Type="http://schemas.openxmlformats.org/officeDocument/2006/relationships/comments" Target="../comments1.xml"/><Relationship Id="rId12" Type="http://schemas.openxmlformats.org/officeDocument/2006/relationships/hyperlink" Target="https://drive.google.com/file/d/1nknSA9n3HdjaS1UC6zvQNO37zh_3p4Rk/view?usp=sharing" TargetMode="External"/><Relationship Id="rId33" Type="http://schemas.openxmlformats.org/officeDocument/2006/relationships/hyperlink" Target="https://drive.google.com/file/d/1tjANTALb6QhoQ_11QB0AZq9vACixhBHl/view?usp=sharing" TargetMode="External"/><Relationship Id="rId108" Type="http://schemas.openxmlformats.org/officeDocument/2006/relationships/hyperlink" Target="https://drive.google.com/file/d/1Jml8eI81GXDeZxghbwEQcU3ZZrxUt_Jt/view?usp=sharing" TargetMode="External"/><Relationship Id="rId129" Type="http://schemas.openxmlformats.org/officeDocument/2006/relationships/hyperlink" Target="https://drive.google.com/file/d/1ZuXV_jNVjCmw5CG8k9fe0u4xrT7Hag4W/view?usp=sharing" TargetMode="External"/><Relationship Id="rId54" Type="http://schemas.openxmlformats.org/officeDocument/2006/relationships/hyperlink" Target="https://drive.google.com/file/d/1Ftsx3TJahW7j_imEm3VBZ7HzEZ-HI_oN/view?usp=drive_link" TargetMode="External"/><Relationship Id="rId75" Type="http://schemas.openxmlformats.org/officeDocument/2006/relationships/hyperlink" Target="https://drive.google.com/file/d/1hjCDDa0-C4R3CNkm9cFFcAyNwJ9Geftu/view?usp=sharing" TargetMode="External"/><Relationship Id="rId96" Type="http://schemas.openxmlformats.org/officeDocument/2006/relationships/hyperlink" Target="https://drive.google.com/file/d/1EHmBsXmOxsH6OT7qXw7zbBUdSJTnwqPb/view?usp=sharing" TargetMode="External"/><Relationship Id="rId140" Type="http://schemas.openxmlformats.org/officeDocument/2006/relationships/hyperlink" Target="https://drive.google.com/file/d/13hCnnTLEx9B2WyWSajxKJ_m95lLL_raa/view?usp=sharing" TargetMode="External"/><Relationship Id="rId161" Type="http://schemas.openxmlformats.org/officeDocument/2006/relationships/hyperlink" Target="https://drive.google.com/file/d/18CpogV4ZcbIRpF6vABFMM6jK8go3NUaV/view?usp=sharing" TargetMode="External"/><Relationship Id="rId182" Type="http://schemas.openxmlformats.org/officeDocument/2006/relationships/hyperlink" Target="https://drive.google.com/file/d/1WVlWr4BleQOGw-xw5a8gVSyi4Wf4RSvc/view?usp=sharing" TargetMode="External"/><Relationship Id="rId6" Type="http://schemas.openxmlformats.org/officeDocument/2006/relationships/hyperlink" Target="https://drive.google.com/file/d/1HXkLXaF60oyZk9MV9iLe8OyPzShEdcB4/view?usp=sharing" TargetMode="External"/><Relationship Id="rId23" Type="http://schemas.openxmlformats.org/officeDocument/2006/relationships/hyperlink" Target="https://drive.google.com/file/d/1umHQRHZVmnQd5LPUTRAzahKbwMBD0DYd/view?usp=sharing" TargetMode="External"/><Relationship Id="rId119" Type="http://schemas.openxmlformats.org/officeDocument/2006/relationships/hyperlink" Target="https://drive.google.com/file/d/1DxV6am2__r7Tw9QtzLclNelY8DSPef9x/view?usp=sharing" TargetMode="External"/><Relationship Id="rId44" Type="http://schemas.openxmlformats.org/officeDocument/2006/relationships/hyperlink" Target="https://drive.google.com/file/d/18I2yiCFvkRNQn5-3nlbQsQM01wKwKdBh/view?usp=sharing" TargetMode="External"/><Relationship Id="rId65" Type="http://schemas.openxmlformats.org/officeDocument/2006/relationships/hyperlink" Target="https://drive.google.com/file/d/1xBeq-lWMQl3nPdQJWXRGvdM1-hEHGKW9/view?usp=sharing" TargetMode="External"/><Relationship Id="rId86" Type="http://schemas.openxmlformats.org/officeDocument/2006/relationships/hyperlink" Target="https://drive.google.com/file/d/19VJPVnQG4VvKtdr4PfTMHWzhi3WERYgz/view?usp=sharing" TargetMode="External"/><Relationship Id="rId130" Type="http://schemas.openxmlformats.org/officeDocument/2006/relationships/hyperlink" Target="https://drive.google.com/file/d/1odU_73wPJvSMvGonRKea4PRmYogzBlQ7/view?usp=sharing" TargetMode="External"/><Relationship Id="rId151" Type="http://schemas.openxmlformats.org/officeDocument/2006/relationships/hyperlink" Target="https://drive.google.com/file/d/1RXxG9yO7_rl7XyrGHCcRGcJX8kH7Y-n3/view?usp=sharing" TargetMode="External"/><Relationship Id="rId172" Type="http://schemas.openxmlformats.org/officeDocument/2006/relationships/hyperlink" Target="https://drive.google.com/file/d/1CNaOFIn7ihnxUioMSp5PvIqVIGKQjICo/view?usp=drive_link" TargetMode="External"/><Relationship Id="rId193" Type="http://schemas.openxmlformats.org/officeDocument/2006/relationships/hyperlink" Target="https://drive.google.com/file/d/1o8y6Ix-LyGsAmuz2Dup-TDfpKFyScewb/view?usp=sharing" TargetMode="External"/><Relationship Id="rId13" Type="http://schemas.openxmlformats.org/officeDocument/2006/relationships/hyperlink" Target="https://drive.google.com/file/d/1nknSA9n3HdjaS1UC6zvQNO37zh_3p4Rk/view?usp=sharing" TargetMode="External"/><Relationship Id="rId109" Type="http://schemas.openxmlformats.org/officeDocument/2006/relationships/hyperlink" Target="https://drive.google.com/file/d/1TfkyEVEtOTQGAc9HgotpNVgXnQt4XVAv/view?usp=sharing" TargetMode="External"/><Relationship Id="rId34" Type="http://schemas.openxmlformats.org/officeDocument/2006/relationships/hyperlink" Target="https://drive.google.com/file/d/10ZNsoPVDWXZX76Llnnv8xybelJXP_hiv/view?usp=sharing" TargetMode="External"/><Relationship Id="rId55" Type="http://schemas.openxmlformats.org/officeDocument/2006/relationships/hyperlink" Target="https://drive.google.com/file/d/1L93Cyy1h1HzAOHYAy1UXOk_WQG8G0wIk/view?usp=sharing" TargetMode="External"/><Relationship Id="rId76" Type="http://schemas.openxmlformats.org/officeDocument/2006/relationships/hyperlink" Target="https://drive.google.com/file/d/11BwpYtkb-ZrO9qQiWeKSRfV60vNQCNpd/view?usp=sharing" TargetMode="External"/><Relationship Id="rId97" Type="http://schemas.openxmlformats.org/officeDocument/2006/relationships/hyperlink" Target="https://drive.google.com/file/d/1lsp8iJzuYL6t1MLTure7VzRB4udqClbL/view?usp=sharing" TargetMode="External"/><Relationship Id="rId120" Type="http://schemas.openxmlformats.org/officeDocument/2006/relationships/hyperlink" Target="https://drive.google.com/file/d/1oO1xdbPxRx5v3ceauPtBomtC8HhUXsfQ/view?usp=sharing" TargetMode="External"/><Relationship Id="rId141" Type="http://schemas.openxmlformats.org/officeDocument/2006/relationships/hyperlink" Target="https://drive.google.com/file/d/1Es0BeJL9PyjaqJdHNgLrQubnke-InII5/view?usp=sharing" TargetMode="External"/><Relationship Id="rId7" Type="http://schemas.openxmlformats.org/officeDocument/2006/relationships/hyperlink" Target="https://drive.google.com/file/d/14KbpH5Gbsub9SegM8hnjEpE4alXyZmCi/view?usp=sharing" TargetMode="External"/><Relationship Id="rId162" Type="http://schemas.openxmlformats.org/officeDocument/2006/relationships/hyperlink" Target="https://drive.google.com/file/d/1jggpZ5SKoWXqMmEhfmx-lReP8J8iaf9p/view?usp=sharing" TargetMode="External"/><Relationship Id="rId183" Type="http://schemas.openxmlformats.org/officeDocument/2006/relationships/hyperlink" Target="https://drive.google.com/file/d/1TyixIuTLk1FmaT3pY2vrsaDw08ms1Eva/view?usp=sharing" TargetMode="External"/><Relationship Id="rId24" Type="http://schemas.openxmlformats.org/officeDocument/2006/relationships/hyperlink" Target="https://drive.google.com/file/d/1An6M4VXkoC7qz6ldt2vh6iwiU6sGXd1x/view?usp=sharing" TargetMode="External"/><Relationship Id="rId40" Type="http://schemas.openxmlformats.org/officeDocument/2006/relationships/hyperlink" Target="https://drive.google.com/file/d/10X8-RgH2VjMk6-n-jqpAy0JK7a9TjxSA/view?usp=sharing" TargetMode="External"/><Relationship Id="rId45" Type="http://schemas.openxmlformats.org/officeDocument/2006/relationships/hyperlink" Target="https://drive.google.com/file/d/19bIIBidWMQzKXjANbfngXLUcOq2men0f/view?usp=sharing" TargetMode="External"/><Relationship Id="rId66" Type="http://schemas.openxmlformats.org/officeDocument/2006/relationships/hyperlink" Target="https://drive.google.com/file/d/1Q8LSSQttgu813aly4musPnCMBt9OVJBC/view?usp=sharing" TargetMode="External"/><Relationship Id="rId87" Type="http://schemas.openxmlformats.org/officeDocument/2006/relationships/hyperlink" Target="https://drive.google.com/file/d/1EC78Wn3-sIdsRDW806urYateHQPWzuz3/view?usp=drive_link" TargetMode="External"/><Relationship Id="rId110" Type="http://schemas.openxmlformats.org/officeDocument/2006/relationships/hyperlink" Target="https://drive.google.com/file/d/1rjwsl5nyGFJX9ce-yIgVKg1UQeSvBiZ9/view?usp=sharing" TargetMode="External"/><Relationship Id="rId115" Type="http://schemas.openxmlformats.org/officeDocument/2006/relationships/hyperlink" Target="https://drive.google.com/file/d/1z1Ua7naD473_TmRhsGEFH6waFKKpjpbC/view?usp=sharing" TargetMode="External"/><Relationship Id="rId131" Type="http://schemas.openxmlformats.org/officeDocument/2006/relationships/hyperlink" Target="https://drive.google.com/file/d/1IkZ43eS_MKMxgqfjhZXgAM9e0jZGBtHx/view?usp=sharing" TargetMode="External"/><Relationship Id="rId136" Type="http://schemas.openxmlformats.org/officeDocument/2006/relationships/hyperlink" Target="https://drive.google.com/file/d/1BvJSuctBFASwo_jBi5OfvEJZWRpaDfxN/view?usp=sharing" TargetMode="External"/><Relationship Id="rId157" Type="http://schemas.openxmlformats.org/officeDocument/2006/relationships/hyperlink" Target="https://drive.google.com/file/d/1adMinDMci8YMWoGu72pfJd84dnBDmOA_/view?usp=sharing" TargetMode="External"/><Relationship Id="rId178" Type="http://schemas.openxmlformats.org/officeDocument/2006/relationships/hyperlink" Target="https://drive.google.com/file/d/1fUAmC08yCyYxEyeKRwVHaUdq5-OuAcFz/view?usp=sharing" TargetMode="External"/><Relationship Id="rId61" Type="http://schemas.openxmlformats.org/officeDocument/2006/relationships/hyperlink" Target="https://drive.google.com/file/d/13_l2xb4ogJY99Uv5VrlpsQfDx0JxD09P/view?usp=sharing" TargetMode="External"/><Relationship Id="rId82" Type="http://schemas.openxmlformats.org/officeDocument/2006/relationships/hyperlink" Target="https://drive.google.com/file/d/1dFn6c7guLiukg-cbB0CHvIEAYTFO6X1q/view?usp=drive_link" TargetMode="External"/><Relationship Id="rId152" Type="http://schemas.openxmlformats.org/officeDocument/2006/relationships/hyperlink" Target="https://drive.google.com/file/d/1YShSc3AESoKYMNiKVvbXw_7XgaDxtuP4/view?usp=sharing" TargetMode="External"/><Relationship Id="rId173" Type="http://schemas.openxmlformats.org/officeDocument/2006/relationships/hyperlink" Target="https://drive.google.com/file/d/14BJfcErS9XOjR21oUJSK1fmWGjTFSxGt/view?usp=drive_link" TargetMode="External"/><Relationship Id="rId194" Type="http://schemas.openxmlformats.org/officeDocument/2006/relationships/hyperlink" Target="https://drive.google.com/file/d/1QkqrJ2okZ2mm9HJWMQKOgJD3kUujXYUy/view?usp=sharing" TargetMode="External"/><Relationship Id="rId199" Type="http://schemas.openxmlformats.org/officeDocument/2006/relationships/hyperlink" Target="https://drive.google.com/file/d/15anhnJZ5_EthGwLIrlTzKSbRYuUa69z9/view?usp=sharing" TargetMode="External"/><Relationship Id="rId203" Type="http://schemas.openxmlformats.org/officeDocument/2006/relationships/hyperlink" Target="https://drive.google.com/file/d/1E7_yAi19Sj2IQOSWu7SEARhBMKK-6B6f/view?usp=sharing" TargetMode="External"/><Relationship Id="rId19" Type="http://schemas.openxmlformats.org/officeDocument/2006/relationships/hyperlink" Target="https://drive.google.com/file/d/1WIN1m_QHT_qIylisf6xCRGNl5xvysT4b/view?usp=sharing" TargetMode="External"/><Relationship Id="rId14" Type="http://schemas.openxmlformats.org/officeDocument/2006/relationships/hyperlink" Target="https://drive.google.com/file/d/1SC2uCVy7fF1PKcjtSUbKwWyjX95eAPPB/view?usp=sharing" TargetMode="External"/><Relationship Id="rId30" Type="http://schemas.openxmlformats.org/officeDocument/2006/relationships/hyperlink" Target="https://drive.google.com/file/d/1JfL4loDWH-mjqb-FpYKuSgnb9C7zOXmF/view?usp=sharing" TargetMode="External"/><Relationship Id="rId35" Type="http://schemas.openxmlformats.org/officeDocument/2006/relationships/hyperlink" Target="https://drive.google.com/file/d/1Hwr0ocsyMMU3i_Z7d5Xv4oIUwRHlIFiC/view?usp=sharing" TargetMode="External"/><Relationship Id="rId56" Type="http://schemas.openxmlformats.org/officeDocument/2006/relationships/hyperlink" Target="https://drive.google.com/file/d/1L93Cyy1h1HzAOHYAy1UXOk_WQG8G0wIk/view?usp=sharing" TargetMode="External"/><Relationship Id="rId77" Type="http://schemas.openxmlformats.org/officeDocument/2006/relationships/hyperlink" Target="https://drive.google.com/file/d/1BmFzn5otNhpNiTPCQg0HoOB97Mby-H6l/view?usp=sharing" TargetMode="External"/><Relationship Id="rId100" Type="http://schemas.openxmlformats.org/officeDocument/2006/relationships/hyperlink" Target="https://drive.google.com/file/d/11P_92t0ScX93mZJmH6ibE3J_l3SKD6zJ/view?usp=sharing" TargetMode="External"/><Relationship Id="rId105" Type="http://schemas.openxmlformats.org/officeDocument/2006/relationships/hyperlink" Target="https://drive.google.com/file/d/12Q3myBQ3xqU1vJkrLFLggS9Pl9E1K57y/view?usp=sharing" TargetMode="External"/><Relationship Id="rId126" Type="http://schemas.openxmlformats.org/officeDocument/2006/relationships/hyperlink" Target="https://drive.google.com/file/d/1Zir13D7-kN53GAhQ-A5rfWslMu7kr4IG/view?usp=drive_link" TargetMode="External"/><Relationship Id="rId147" Type="http://schemas.openxmlformats.org/officeDocument/2006/relationships/hyperlink" Target="https://drive.google.com/file/d/1I1lfQ4sC9SPnIYkAgwy2HtTn34_5gtYD/view?usp=sharing" TargetMode="External"/><Relationship Id="rId168" Type="http://schemas.openxmlformats.org/officeDocument/2006/relationships/hyperlink" Target="https://drive.google.com/file/d/1UExlkyAU7g6it_Mh3gVW5wTqQ2ZJ_3JD/view?usp=sharing" TargetMode="External"/><Relationship Id="rId8" Type="http://schemas.openxmlformats.org/officeDocument/2006/relationships/hyperlink" Target="https://drive.google.com/file/d/1-9MbcdHyFR6XU4ADrdl2iybOP0cK-IZb/view?usp=sharing" TargetMode="External"/><Relationship Id="rId51" Type="http://schemas.openxmlformats.org/officeDocument/2006/relationships/hyperlink" Target="https://drive.google.com/file/d/1jqfo9I4pJ51X-l-gueer0UWcI82jE5Pn/view?usp=drive_link" TargetMode="External"/><Relationship Id="rId72" Type="http://schemas.openxmlformats.org/officeDocument/2006/relationships/hyperlink" Target="https://drive.google.com/file/d/1waQ-eBp5piFNZv0KLybwXZ2MSlweqOdq/view?usp=sharing" TargetMode="External"/><Relationship Id="rId93" Type="http://schemas.openxmlformats.org/officeDocument/2006/relationships/hyperlink" Target="https://drive.google.com/file/d/1a9Y4JcXv-HBMCToli82DKVaAzhdciUBO/view?usp=sharing" TargetMode="External"/><Relationship Id="rId98" Type="http://schemas.openxmlformats.org/officeDocument/2006/relationships/hyperlink" Target="https://drive.google.com/file/d/1FqO8KI4ypRFeEtlKpOxiW9JteYt7v5Qy/view?usp=sharing" TargetMode="External"/><Relationship Id="rId121" Type="http://schemas.openxmlformats.org/officeDocument/2006/relationships/hyperlink" Target="https://drive.google.com/file/d/1oO1xdbPxRx5v3ceauPtBomtC8HhUXsfQ/view?usp=sharing" TargetMode="External"/><Relationship Id="rId142" Type="http://schemas.openxmlformats.org/officeDocument/2006/relationships/hyperlink" Target="https://drive.google.com/file/d/1EaOFrXLDHzqg1t7Mq_ei9HtgVPD0heCb/view?usp=sharing" TargetMode="External"/><Relationship Id="rId163" Type="http://schemas.openxmlformats.org/officeDocument/2006/relationships/hyperlink" Target="https://drive.google.com/file/d/1Py9R6OCo89H_IwpQfsT-kIeN0U9wVFwX/view?usp=sharing" TargetMode="External"/><Relationship Id="rId184" Type="http://schemas.openxmlformats.org/officeDocument/2006/relationships/hyperlink" Target="https://drive.google.com/file/d/10HRD1nPEVEsevOVwXUo08gPGziAWgg53/view?usp=sharing" TargetMode="External"/><Relationship Id="rId189" Type="http://schemas.openxmlformats.org/officeDocument/2006/relationships/hyperlink" Target="https://drive.google.com/file/d/1xwWPmCFtzGIN3JSZnjOgv04ciW6l586l/view?usp=sharing" TargetMode="External"/><Relationship Id="rId3" Type="http://schemas.openxmlformats.org/officeDocument/2006/relationships/hyperlink" Target="https://drive.google.com/file/d/1vcl3xC-k79sx0UvbnFPQNbHYBVz_sw6-/view?usp=sharing" TargetMode="External"/><Relationship Id="rId25" Type="http://schemas.openxmlformats.org/officeDocument/2006/relationships/hyperlink" Target="https://drive.google.com/file/d/1NAbwHaTH7Zowhp8YYbQn1T5BfNC6Vsbt/view?usp=sharing" TargetMode="External"/><Relationship Id="rId46" Type="http://schemas.openxmlformats.org/officeDocument/2006/relationships/hyperlink" Target="https://drive.google.com/file/d/1oWXTMpollUpfMHgH8ThagsW8go7NxzDB/view?usp=sharing" TargetMode="External"/><Relationship Id="rId67" Type="http://schemas.openxmlformats.org/officeDocument/2006/relationships/hyperlink" Target="https://drive.google.com/file/d/1bsC0UUlAPogCp7A1zu6OcqdvQC2mxnRW/view?usp=sharing" TargetMode="External"/><Relationship Id="rId116" Type="http://schemas.openxmlformats.org/officeDocument/2006/relationships/hyperlink" Target="https://drive.google.com/file/d/1z1Ua7naD473_TmRhsGEFH6waFKKpjpbC/view?usp=sharing" TargetMode="External"/><Relationship Id="rId137" Type="http://schemas.openxmlformats.org/officeDocument/2006/relationships/hyperlink" Target="https://drive.google.com/file/d/1ndVhgXSZ-ouailXtrjyBrhsSJ8gT3Q2g/view?usp=sharing" TargetMode="External"/><Relationship Id="rId158" Type="http://schemas.openxmlformats.org/officeDocument/2006/relationships/hyperlink" Target="https://drive.google.com/file/d/1nfUvEzuPuJgSmYkIZrPKP8vib-vZz4m8/view?usp=drive_link" TargetMode="External"/><Relationship Id="rId20" Type="http://schemas.openxmlformats.org/officeDocument/2006/relationships/hyperlink" Target="https://drive.google.com/file/d/1WHtMNi5BqFDPfDDOHcXI34Bd9zMoVrqE/view?usp=sharing" TargetMode="External"/><Relationship Id="rId41" Type="http://schemas.openxmlformats.org/officeDocument/2006/relationships/hyperlink" Target="https://drive.google.com/file/d/10X8-RgH2VjMk6-n-jqpAy0JK7a9TjxSA/view?usp=sharing" TargetMode="External"/><Relationship Id="rId62" Type="http://schemas.openxmlformats.org/officeDocument/2006/relationships/hyperlink" Target="https://drive.google.com/file/d/11-aYjXpbOVv5fROAIZs0kYPmOhhWyyNQ/view?usp=sharing" TargetMode="External"/><Relationship Id="rId83" Type="http://schemas.openxmlformats.org/officeDocument/2006/relationships/hyperlink" Target="https://drive.google.com/file/d/1mjE0K8WELFPu2eVioyasr4wOU1oDH0Gr/view?usp=sharing" TargetMode="External"/><Relationship Id="rId88" Type="http://schemas.openxmlformats.org/officeDocument/2006/relationships/hyperlink" Target="https://drive.google.com/file/d/1cRm4Z6u144SssfWKlOAbHeapHVcMKLOM/view?usp=sharing" TargetMode="External"/><Relationship Id="rId111" Type="http://schemas.openxmlformats.org/officeDocument/2006/relationships/hyperlink" Target="https://drive.google.com/file/d/1zZjz5AUKakzNzTAyrXiKNALnsnfEeoMl/view?usp=sharing" TargetMode="External"/><Relationship Id="rId132" Type="http://schemas.openxmlformats.org/officeDocument/2006/relationships/hyperlink" Target="https://drive.google.com/file/d/12hVe9RTyjeCuv0rw-rkq8-0TVK7s96dL/view?usp=sharing" TargetMode="External"/><Relationship Id="rId153" Type="http://schemas.openxmlformats.org/officeDocument/2006/relationships/hyperlink" Target="https://drive.google.com/file/d/1RAY0Yc2SfOs5hca0Kn3JWOIxixuO1tEo/view?usp=sharing" TargetMode="External"/><Relationship Id="rId174" Type="http://schemas.openxmlformats.org/officeDocument/2006/relationships/hyperlink" Target="https://drive.google.com/file/d/1SmrRvoqLZ06vq9v-dfcCECKJq-41XITn/view?usp=sharing" TargetMode="External"/><Relationship Id="rId179" Type="http://schemas.openxmlformats.org/officeDocument/2006/relationships/hyperlink" Target="https://drive.google.com/file/d/1-0E9laVeqLifL2WZ-gYZ1sul4Mq69rXm/view?usp=sharing" TargetMode="External"/><Relationship Id="rId195" Type="http://schemas.openxmlformats.org/officeDocument/2006/relationships/hyperlink" Target="https://drive.google.com/file/d/14b8vFcS4NbUzLyB5l5cUBWsXaeNIjODB/view?usp=sharing" TargetMode="External"/><Relationship Id="rId190" Type="http://schemas.openxmlformats.org/officeDocument/2006/relationships/hyperlink" Target="https://drive.google.com/file/d/1JQaUv26lb0TMxUzhivNNhBbtd-chxPKi/view?usp=sharing" TargetMode="External"/><Relationship Id="rId204" Type="http://schemas.openxmlformats.org/officeDocument/2006/relationships/drawing" Target="../drawings/drawing2.xml"/><Relationship Id="rId15" Type="http://schemas.openxmlformats.org/officeDocument/2006/relationships/hyperlink" Target="https://drive.google.com/file/d/1SC2uCVy7fF1PKcjtSUbKwWyjX95eAPPB/view?usp=sharing" TargetMode="External"/><Relationship Id="rId36" Type="http://schemas.openxmlformats.org/officeDocument/2006/relationships/hyperlink" Target="https://drive.google.com/file/d/1RFy1ShchPQcLAmt9n3ALcqDJ3V6GJin3/view?usp=sharing" TargetMode="External"/><Relationship Id="rId57" Type="http://schemas.openxmlformats.org/officeDocument/2006/relationships/hyperlink" Target="https://drive.google.com/file/d/1PoHiSDoXSjHBo42UTSvcH1vBiVOUgHVm/view?usp=drive_link" TargetMode="External"/><Relationship Id="rId106" Type="http://schemas.openxmlformats.org/officeDocument/2006/relationships/hyperlink" Target="https://drive.google.com/file/d/1HFXAzyzaoEMBV89eNkPHbluu_ErOooZY/view?usp=sharing" TargetMode="External"/><Relationship Id="rId127" Type="http://schemas.openxmlformats.org/officeDocument/2006/relationships/hyperlink" Target="https://drive.google.com/file/d/1ttIi9nWZhWaBRfbg-y_tJkXEb6xDrNnE/view?usp=sharing" TargetMode="External"/><Relationship Id="rId10" Type="http://schemas.openxmlformats.org/officeDocument/2006/relationships/hyperlink" Target="https://drive.google.com/file/d/1CW30rKSC0upEKGyM2mB9gW7xMwr1C0r5/view?usp=sharing" TargetMode="External"/><Relationship Id="rId31" Type="http://schemas.openxmlformats.org/officeDocument/2006/relationships/hyperlink" Target="https://drive.google.com/file/d/15cvAKqKUYLNRfqNd5zWXxr_IonVRuKeM/view?usp=sharing" TargetMode="External"/><Relationship Id="rId52" Type="http://schemas.openxmlformats.org/officeDocument/2006/relationships/hyperlink" Target="https://drive.google.com/file/d/13CQaoroICLz9rHN_ZuoiaUN_yKniCPiz/view?usp=sharing" TargetMode="External"/><Relationship Id="rId73" Type="http://schemas.openxmlformats.org/officeDocument/2006/relationships/hyperlink" Target="https://drive.google.com/file/d/1S-6KzzdwCd-644-GsNhL9cF3e-CCC4pj/view?usp=sharing" TargetMode="External"/><Relationship Id="rId78" Type="http://schemas.openxmlformats.org/officeDocument/2006/relationships/hyperlink" Target="https://drive.google.com/file/d/1nUw7kg_yFSTUSr1rWWT5h0SxqRDjMAZ4/view?usp=sharing" TargetMode="External"/><Relationship Id="rId94" Type="http://schemas.openxmlformats.org/officeDocument/2006/relationships/hyperlink" Target="https://drive.google.com/file/d/1VfMiIQlDTAmqUXVqQff0ErC6wYUeHpFP/view?usp=sharing" TargetMode="External"/><Relationship Id="rId99" Type="http://schemas.openxmlformats.org/officeDocument/2006/relationships/hyperlink" Target="https://drive.google.com/file/d/1vND1zWGhZ-a4w354BC3dAkdabAiipHCJ/view?usp=sharing" TargetMode="External"/><Relationship Id="rId101" Type="http://schemas.openxmlformats.org/officeDocument/2006/relationships/hyperlink" Target="https://drive.google.com/file/d/1FlEjTt0VKSStOzWXzY_MLawiHUh5Wm3G/view?usp=sharing" TargetMode="External"/><Relationship Id="rId122" Type="http://schemas.openxmlformats.org/officeDocument/2006/relationships/hyperlink" Target="https://drive.google.com/file/d/11DoYLY6kOsZR1AlEg-5QF5EQ2tkQOq_8/view?usp=sharing" TargetMode="External"/><Relationship Id="rId143" Type="http://schemas.openxmlformats.org/officeDocument/2006/relationships/hyperlink" Target="https://drive.google.com/file/d/1d3bkO2C6td602kqhTqPbXv3xVntIgJv-/view?usp=sharing" TargetMode="External"/><Relationship Id="rId148" Type="http://schemas.openxmlformats.org/officeDocument/2006/relationships/hyperlink" Target="https://drive.google.com/file/d/1rIG2rCeeW9JhjtJKHd3E0nLpNDpGf-FC/view?usp=sharing" TargetMode="External"/><Relationship Id="rId164" Type="http://schemas.openxmlformats.org/officeDocument/2006/relationships/hyperlink" Target="https://drive.google.com/file/d/1ZbCWOwjMy5TeoeFzdYwYfwl3splKX7VF/view?usp=sharing" TargetMode="External"/><Relationship Id="rId169" Type="http://schemas.openxmlformats.org/officeDocument/2006/relationships/hyperlink" Target="https://drive.google.com/file/d/1AZj8sbfn81bpcjLRZEZ0iADtOUsCP6BI/view?usp=sharing" TargetMode="External"/><Relationship Id="rId185" Type="http://schemas.openxmlformats.org/officeDocument/2006/relationships/hyperlink" Target="https://drive.google.com/file/d/1zRxbiNwvvBGeyTpAawNZDy0EGERig1a9/view?usp=sharing" TargetMode="External"/><Relationship Id="rId4" Type="http://schemas.openxmlformats.org/officeDocument/2006/relationships/hyperlink" Target="https://drive.google.com/file/d/1xE8jUNNbcqHH-1r6_lMBDLp-Q60PEz3o/view?usp=sharing" TargetMode="External"/><Relationship Id="rId9" Type="http://schemas.openxmlformats.org/officeDocument/2006/relationships/hyperlink" Target="https://drive.google.com/file/d/1-9MbcdHyFR6XU4ADrdl2iybOP0cK-IZb/view?usp=sharing" TargetMode="External"/><Relationship Id="rId180" Type="http://schemas.openxmlformats.org/officeDocument/2006/relationships/hyperlink" Target="https://drive.google.com/file/d/1-0E9laVeqLifL2WZ-gYZ1sul4Mq69rXm/view?usp=sharing" TargetMode="External"/><Relationship Id="rId26" Type="http://schemas.openxmlformats.org/officeDocument/2006/relationships/hyperlink" Target="https://drive.google.com/file/d/1NAbwHaTH7Zowhp8YYbQn1T5BfNC6Vsbt/view?usp=sharing" TargetMode="External"/><Relationship Id="rId47" Type="http://schemas.openxmlformats.org/officeDocument/2006/relationships/hyperlink" Target="https://drive.google.com/file/d/1XGSA6Q5h-6a9TEEQtUTwQ-UpCg-3iIRn/view?usp=sharing" TargetMode="External"/><Relationship Id="rId68" Type="http://schemas.openxmlformats.org/officeDocument/2006/relationships/hyperlink" Target="https://drive.google.com/file/d/19UiM0nFJAKTm4Ki4A-Xa1ykNpGle4XrS/view?usp=sharing" TargetMode="External"/><Relationship Id="rId89" Type="http://schemas.openxmlformats.org/officeDocument/2006/relationships/hyperlink" Target="https://drive.google.com/file/d/17uAOVG_vHs8SuhwW9k4hhlI2tGIxDWk6/view?usp=sharing" TargetMode="External"/><Relationship Id="rId112" Type="http://schemas.openxmlformats.org/officeDocument/2006/relationships/hyperlink" Target="https://drive.google.com/file/d/1Lb1yNAFIZufWegAFiX2Mreq1sawJEbZr/view?usp=sharing" TargetMode="External"/><Relationship Id="rId133" Type="http://schemas.openxmlformats.org/officeDocument/2006/relationships/hyperlink" Target="https://drive.google.com/file/d/16DmQloklE9C4TU6II-u9FzsxZuO3TON5/view?usp=drive_link" TargetMode="External"/><Relationship Id="rId154" Type="http://schemas.openxmlformats.org/officeDocument/2006/relationships/hyperlink" Target="https://drive.google.com/file/d/1eHEje98Ho0nreb8HdwMq_45jlBQDRnf8/view?usp=drive_link" TargetMode="External"/><Relationship Id="rId175" Type="http://schemas.openxmlformats.org/officeDocument/2006/relationships/hyperlink" Target="https://drive.google.com/file/d/14BJfcErS9XOjR21oUJSK1fmWGjTFSxGt/view?usp=drive_link" TargetMode="External"/><Relationship Id="rId196" Type="http://schemas.openxmlformats.org/officeDocument/2006/relationships/hyperlink" Target="https://drive.google.com/file/d/101bixCFhFR7SfTJPFkmMZNnYtjEVCiSq/view?usp=sharing" TargetMode="External"/><Relationship Id="rId200" Type="http://schemas.openxmlformats.org/officeDocument/2006/relationships/hyperlink" Target="https://drive.google.com/file/d/1ccJBsJmM8uAXhSvUWbEo_VPOzeXJBGRU/view?usp=drive_link" TargetMode="External"/><Relationship Id="rId16" Type="http://schemas.openxmlformats.org/officeDocument/2006/relationships/hyperlink" Target="https://drive.google.com/file/d/1oAA14bm9WJ6aPrv4wrsdkiBrFfRqV2vY/view?usp=drive_link" TargetMode="External"/><Relationship Id="rId37" Type="http://schemas.openxmlformats.org/officeDocument/2006/relationships/hyperlink" Target="https://drive.google.com/file/d/1jz5e0wsIV7pfdKmBKZZFtksaP7F8R0UY/view?usp=sharing" TargetMode="External"/><Relationship Id="rId58" Type="http://schemas.openxmlformats.org/officeDocument/2006/relationships/hyperlink" Target="https://drive.google.com/file/d/1xCN-5YjiUmt2lVQCj_a6rJJkrAm8AG0O/view?usp=drive_link" TargetMode="External"/><Relationship Id="rId79" Type="http://schemas.openxmlformats.org/officeDocument/2006/relationships/hyperlink" Target="https://drive.google.com/file/d/1fbW6lWkxbvsQfpQbpplA7C6SSDfw8dto/view?usp=sharing" TargetMode="External"/><Relationship Id="rId102" Type="http://schemas.openxmlformats.org/officeDocument/2006/relationships/hyperlink" Target="https://drive.google.com/file/d/1WQNLYz5swaVbV7UrOoOw9alearg7aiUb/view?usp=sharing" TargetMode="External"/><Relationship Id="rId123" Type="http://schemas.openxmlformats.org/officeDocument/2006/relationships/hyperlink" Target="https://drive.google.com/file/d/1CzgmLIRUspzidjOIYO3MWDLV4Hkty8Z7/view?usp=sharing" TargetMode="External"/><Relationship Id="rId144" Type="http://schemas.openxmlformats.org/officeDocument/2006/relationships/hyperlink" Target="https://drive.google.com/file/d/1aehUnOyJ2DqWJ2p6nPvZPwWL23PpQPTb/view?usp=drive_link" TargetMode="External"/><Relationship Id="rId90" Type="http://schemas.openxmlformats.org/officeDocument/2006/relationships/hyperlink" Target="https://drive.google.com/file/d/1XAbIWl3XtB6xxmnc1PELR05SvckIYBsF/view?usp=sharing" TargetMode="External"/><Relationship Id="rId165" Type="http://schemas.openxmlformats.org/officeDocument/2006/relationships/hyperlink" Target="https://drive.google.com/file/d/1PF8BQ0f-8o5Wl4kFTJQJ06YkLTIsx17P/view?usp=sharing" TargetMode="External"/><Relationship Id="rId186" Type="http://schemas.openxmlformats.org/officeDocument/2006/relationships/hyperlink" Target="https://drive.google.com/file/d/1m0MK_VQruZvYsITjMd8vTamqMHKI6Ajs/view?usp=sharing" TargetMode="External"/><Relationship Id="rId27" Type="http://schemas.openxmlformats.org/officeDocument/2006/relationships/hyperlink" Target="https://drive.google.com/file/d/1Qvbr2SnLleVtPacmPFlPjZ4N8rW1KZtQ/view?usp=drive_link" TargetMode="External"/><Relationship Id="rId48" Type="http://schemas.openxmlformats.org/officeDocument/2006/relationships/hyperlink" Target="https://drive.google.com/file/d/1gpzMRW8Hgf2eobUVfWnlITj3Xc0Alk2i/view?usp=sharing" TargetMode="External"/><Relationship Id="rId69" Type="http://schemas.openxmlformats.org/officeDocument/2006/relationships/hyperlink" Target="https://drive.google.com/file/d/1Fzo5IJt-kPaSvV2vfg_GOvFHXCnxLmgO/view?usp=sharing" TargetMode="External"/><Relationship Id="rId113" Type="http://schemas.openxmlformats.org/officeDocument/2006/relationships/hyperlink" Target="https://drive.google.com/file/d/1Lb1yNAFIZufWegAFiX2Mreq1sawJEbZr/view?usp=sharing" TargetMode="External"/><Relationship Id="rId134" Type="http://schemas.openxmlformats.org/officeDocument/2006/relationships/hyperlink" Target="https://drive.google.com/file/d/17DgtSJ4SXCJeLseDJadXbkqNQUsRrm6y/view?usp=sharing" TargetMode="External"/><Relationship Id="rId80" Type="http://schemas.openxmlformats.org/officeDocument/2006/relationships/hyperlink" Target="https://drive.google.com/file/d/1mKgqy6O0UDf9BaG6-MMjGHa_jAsu2X3g/view" TargetMode="External"/><Relationship Id="rId155" Type="http://schemas.openxmlformats.org/officeDocument/2006/relationships/hyperlink" Target="https://drive.google.com/file/d/1hxTVbhrNcIBsesYVkthChgW2mbAeihJN/view?usp=sharing" TargetMode="External"/><Relationship Id="rId176" Type="http://schemas.openxmlformats.org/officeDocument/2006/relationships/hyperlink" Target="https://drive.google.com/file/d/1gD548wGMAA9DCb37z2KFzBXzDgZD91y3/view?usp=sharing" TargetMode="External"/><Relationship Id="rId197" Type="http://schemas.openxmlformats.org/officeDocument/2006/relationships/hyperlink" Target="https://drive.google.com/file/d/1O-Wlj618hY0e_sW-i24tYlbTEa4DBxws/view?usp=sharing" TargetMode="External"/><Relationship Id="rId201" Type="http://schemas.openxmlformats.org/officeDocument/2006/relationships/hyperlink" Target="https://drive.google.com/file/d/1OAjOJs21iU4pfl2DVNggLFYV2XAiT8cS/view?usp=sharing" TargetMode="External"/><Relationship Id="rId17" Type="http://schemas.openxmlformats.org/officeDocument/2006/relationships/hyperlink" Target="https://drive.google.com/file/d/1G2cMOwFRgRQObU1pl4b_alJHDvk-Ok_W/view?usp=sharing" TargetMode="External"/><Relationship Id="rId38" Type="http://schemas.openxmlformats.org/officeDocument/2006/relationships/hyperlink" Target="https://drive.google.com/file/d/1OEq77ob_d7NMLeL8gwKd_00pffnpVi_B/view?usp=sharing" TargetMode="External"/><Relationship Id="rId59" Type="http://schemas.openxmlformats.org/officeDocument/2006/relationships/hyperlink" Target="https://drive.google.com/file/d/1UMQUZrBiOCRZbcT0zinaNaWVT5fSFdeF/view?usp=sharing" TargetMode="External"/><Relationship Id="rId103" Type="http://schemas.openxmlformats.org/officeDocument/2006/relationships/hyperlink" Target="https://drive.google.com/file/d/1KY3Lofkakb2AS2W5Kz9on0V0nbDnxB4d/view?usp=sharing" TargetMode="External"/><Relationship Id="rId124" Type="http://schemas.openxmlformats.org/officeDocument/2006/relationships/hyperlink" Target="https://drive.google.com/file/d/1CzgmLIRUspzidjOIYO3MWDLV4Hkty8Z7/view?usp=sharing" TargetMode="External"/><Relationship Id="rId70" Type="http://schemas.openxmlformats.org/officeDocument/2006/relationships/hyperlink" Target="https://drive.google.com/file/d/1sIB8pKQbvgPPtq61k09dBb7e5YxWInJf/view?usp=sharing" TargetMode="External"/><Relationship Id="rId91" Type="http://schemas.openxmlformats.org/officeDocument/2006/relationships/hyperlink" Target="https://drive.google.com/file/d/1XWt2C9S0uqtNxgLJrMB8gJTByl3aUyOv/view?usp=sharing" TargetMode="External"/><Relationship Id="rId145" Type="http://schemas.openxmlformats.org/officeDocument/2006/relationships/hyperlink" Target="https://drive.google.com/file/d/1Fwmg6E5hXBuP8RX4HET__FxgMsYFcwlQ/view?usp=sharing" TargetMode="External"/><Relationship Id="rId166" Type="http://schemas.openxmlformats.org/officeDocument/2006/relationships/hyperlink" Target="https://drive.google.com/file/d/1Mv54dGfcSUkFY3HD-tLYO8JGxkE_ZGcz/view?usp=drive_link" TargetMode="External"/><Relationship Id="rId187" Type="http://schemas.openxmlformats.org/officeDocument/2006/relationships/hyperlink" Target="https://drive.google.com/file/d/1m0MK_VQruZvYsITjMd8vTamqMHKI6Ajs/view?usp=sharing" TargetMode="External"/><Relationship Id="rId1" Type="http://schemas.openxmlformats.org/officeDocument/2006/relationships/hyperlink" Target="https://drive.google.com/file/d/1M0UbT7uIg6yflz1KZLo_iTX2GeLgnOHg/view?usp=sharing" TargetMode="External"/><Relationship Id="rId28" Type="http://schemas.openxmlformats.org/officeDocument/2006/relationships/hyperlink" Target="https://drive.google.com/file/d/13mIejXPHyzfgUv8FYk2PFQ3WevNdpXRi/view?usp=sharing" TargetMode="External"/><Relationship Id="rId49" Type="http://schemas.openxmlformats.org/officeDocument/2006/relationships/hyperlink" Target="https://drive.google.com/file/d/1hsmYE3r1SwV0PVX-hHU1EZTfdPrx6P6_/view?usp=sharing" TargetMode="External"/><Relationship Id="rId114" Type="http://schemas.openxmlformats.org/officeDocument/2006/relationships/hyperlink" Target="https://drive.google.com/file/d/1fIi7GxjKxP-LjRE45rDAZxRvYJHll1qW/view?usp=sharing" TargetMode="External"/><Relationship Id="rId60" Type="http://schemas.openxmlformats.org/officeDocument/2006/relationships/hyperlink" Target="https://drive.google.com/file/d/1qp6Sa_LnI1O9RyPjwXaedm6RiFhNQBUC/view?usp=sharing" TargetMode="External"/><Relationship Id="rId81" Type="http://schemas.openxmlformats.org/officeDocument/2006/relationships/hyperlink" Target="https://drive.google.com/file/d/1mKgqy6O0UDf9BaG6-MMjGHa_jAsu2X3g/view?usp=drive_link" TargetMode="External"/><Relationship Id="rId135" Type="http://schemas.openxmlformats.org/officeDocument/2006/relationships/hyperlink" Target="https://drive.google.com/file/d/1BvJSuctBFASwo_jBi5OfvEJZWRpaDfxN/view?usp=sharing" TargetMode="External"/><Relationship Id="rId156" Type="http://schemas.openxmlformats.org/officeDocument/2006/relationships/hyperlink" Target="https://drive.google.com/file/d/19jqx3Z20XtpUnWXVG4SbqVFWPqrEN4AK/view?usp=sharing" TargetMode="External"/><Relationship Id="rId177" Type="http://schemas.openxmlformats.org/officeDocument/2006/relationships/hyperlink" Target="https://drive.google.com/file/d/1_fxJ8wq3y8ea-nCy9wRooFXBIfRViACG/view?usp=sharing" TargetMode="External"/><Relationship Id="rId198" Type="http://schemas.openxmlformats.org/officeDocument/2006/relationships/hyperlink" Target="https://drive.google.com/file/d/1O-Wlj618hY0e_sW-i24tYlbTEa4DBxws/view?usp=sharing" TargetMode="External"/><Relationship Id="rId202" Type="http://schemas.openxmlformats.org/officeDocument/2006/relationships/hyperlink" Target="https://drive.google.com/file/d/1OAjOJs21iU4pfl2DVNggLFYV2XAiT8cS/view?usp=sharing" TargetMode="External"/><Relationship Id="rId18" Type="http://schemas.openxmlformats.org/officeDocument/2006/relationships/hyperlink" Target="https://drive.google.com/file/d/1xcQCbpsUOSgdbPEhVL9IA-Zl193moNgW/view?usp=sharing" TargetMode="External"/><Relationship Id="rId39" Type="http://schemas.openxmlformats.org/officeDocument/2006/relationships/hyperlink" Target="https://drive.google.com/file/d/1HRVcf8-8TvByNnl_QwO_FZ54RfC6uZ0W/view?usp=sharing" TargetMode="External"/><Relationship Id="rId50" Type="http://schemas.openxmlformats.org/officeDocument/2006/relationships/hyperlink" Target="https://drive.google.com/file/d/1jqfo9I4pJ51X-l-gueer0UWcI82jE5Pn/view?usp=drive_link" TargetMode="External"/><Relationship Id="rId104" Type="http://schemas.openxmlformats.org/officeDocument/2006/relationships/hyperlink" Target="https://drive.google.com/file/d/18DITHOpJweXc6aYIx9Hw9sMSViCP3Tzb/view?usp=sharing" TargetMode="External"/><Relationship Id="rId125" Type="http://schemas.openxmlformats.org/officeDocument/2006/relationships/hyperlink" Target="https://drive.google.com/file/d/1NwckPjOsuWUoPvqAOrb9CCOgQFyMBAUi/view?usp=sharing" TargetMode="External"/><Relationship Id="rId146" Type="http://schemas.openxmlformats.org/officeDocument/2006/relationships/hyperlink" Target="https://drive.google.com/file/d/1qsfHt9FtJxjHLZcLG5ND1tqPRYb-SHQ7/view?usp=sharing" TargetMode="External"/><Relationship Id="rId167" Type="http://schemas.openxmlformats.org/officeDocument/2006/relationships/hyperlink" Target="https://drive.google.com/file/d/1OyH_CmesTgm83AQM84pS5zYbyrPFvY7I/view?usp=drive_link" TargetMode="External"/><Relationship Id="rId188" Type="http://schemas.openxmlformats.org/officeDocument/2006/relationships/hyperlink" Target="https://drive.google.com/file/d/1vBnFxtSmtUuyXv6bU0WHF08wZzKWkqhe/view?usp=sharing" TargetMode="External"/><Relationship Id="rId71" Type="http://schemas.openxmlformats.org/officeDocument/2006/relationships/hyperlink" Target="https://drive.google.com/file/d/1waQ-eBp5piFNZv0KLybwXZ2MSlweqOdq/view?usp=sharing" TargetMode="External"/><Relationship Id="rId92" Type="http://schemas.openxmlformats.org/officeDocument/2006/relationships/hyperlink" Target="https://drive.google.com/file/d/1YBBHZeKPNFhCwL3h4immUZD-q0HDgD0y/view?usp=sharing" TargetMode="External"/><Relationship Id="rId2" Type="http://schemas.openxmlformats.org/officeDocument/2006/relationships/hyperlink" Target="https://drive.google.com/file/d/1xPgxqbaxP6yMKKIbchArpGfdTYw24k_x/view?usp=sharing" TargetMode="External"/><Relationship Id="rId29" Type="http://schemas.openxmlformats.org/officeDocument/2006/relationships/hyperlink" Target="https://drive.google.com/file/d/1kjoAwgnMZTmxj_8k5wWWBGyCLx-hrY7e/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eHEje98Ho0nreb8HdwMq_45jlBQDRnf8/view?usp=drive_link" TargetMode="External"/><Relationship Id="rId3" Type="http://schemas.openxmlformats.org/officeDocument/2006/relationships/hyperlink" Target="https://drive.google.com/file/d/1dFn6c7guLiukg-cbB0CHvIEAYTFO6X1q/view?usp=drive_link" TargetMode="External"/><Relationship Id="rId7" Type="http://schemas.openxmlformats.org/officeDocument/2006/relationships/hyperlink" Target="https://drive.google.com/file/d/1AgLIF3GpyLXnVw7iJzBR38KID22oK56t/view?usp=drive_link" TargetMode="External"/><Relationship Id="rId2" Type="http://schemas.openxmlformats.org/officeDocument/2006/relationships/hyperlink" Target="https://drive.google.com/file/d/1AgLIF3GpyLXnVw7iJzBR38KID22oK56t/view?usp=drive_link" TargetMode="External"/><Relationship Id="rId1" Type="http://schemas.openxmlformats.org/officeDocument/2006/relationships/hyperlink" Target="https://drive.google.com/file/d/1AgLIF3GpyLXnVw7iJzBR38KID22oK56t/view?usp=drive_link" TargetMode="External"/><Relationship Id="rId6" Type="http://schemas.openxmlformats.org/officeDocument/2006/relationships/hyperlink" Target="https://drive.google.com/file/d/1aehUnOyJ2DqWJ2p6nPvZPwWL23PpQPTb/view?usp=drive_link" TargetMode="External"/><Relationship Id="rId11" Type="http://schemas.openxmlformats.org/officeDocument/2006/relationships/drawing" Target="../drawings/drawing3.xml"/><Relationship Id="rId5" Type="http://schemas.openxmlformats.org/officeDocument/2006/relationships/hyperlink" Target="https://drive.google.com/file/d/153i-vi5Fij9WKKjqD2bN37r21Y-1Q5CG/view?usp=drive_link" TargetMode="External"/><Relationship Id="rId10" Type="http://schemas.openxmlformats.org/officeDocument/2006/relationships/hyperlink" Target="https://drive.google.com/file/d/1HbOg3sOSi19k7aU1SZrXpyycsG-chbiJ/view?usp=drive_link" TargetMode="External"/><Relationship Id="rId4" Type="http://schemas.openxmlformats.org/officeDocument/2006/relationships/hyperlink" Target="https://drive.google.com/file/d/1AgLIF3GpyLXnVw7iJzBR38KID22oK56t/view?usp=drive_link" TargetMode="External"/><Relationship Id="rId9" Type="http://schemas.openxmlformats.org/officeDocument/2006/relationships/hyperlink" Target="https://drive.google.com/file/d/1pWwzdt37b01vOAqlBfHw8ZnteVwGqycN/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3" Type="http://schemas.openxmlformats.org/officeDocument/2006/relationships/hyperlink" Target="https://drive.google.com/file/d/1mKgqy6O0UDf9BaG6-MMjGHa_jAsu2X3g/view?usp=drive_link" TargetMode="External"/><Relationship Id="rId18" Type="http://schemas.openxmlformats.org/officeDocument/2006/relationships/hyperlink" Target="https://drive.google.com/file/d/1oO1xdbPxRx5v3ceauPtBomtC8HhUXsfQ/view?usp=sharing" TargetMode="External"/><Relationship Id="rId26" Type="http://schemas.openxmlformats.org/officeDocument/2006/relationships/hyperlink" Target="https://drive.google.com/file/d/1rHUhnF6p74C5ufkRZ_CYUw_PHrqJy_P_/view?usp=sharing" TargetMode="External"/><Relationship Id="rId21" Type="http://schemas.openxmlformats.org/officeDocument/2006/relationships/hyperlink" Target="https://drive.google.com/file/d/1CzgmLIRUspzidjOIYO3MWDLV4Hkty8Z7/view?usp=sharing" TargetMode="External"/><Relationship Id="rId34" Type="http://schemas.openxmlformats.org/officeDocument/2006/relationships/hyperlink" Target="https://drive.google.com/file/d/1O-Wlj618hY0e_sW-i24tYlbTEa4DBxws/view?usp=sharing" TargetMode="External"/><Relationship Id="rId7" Type="http://schemas.openxmlformats.org/officeDocument/2006/relationships/hyperlink" Target="https://drive.google.com/file/d/10X8-RgH2VjMk6-n-jqpAy0JK7a9TjxSA/view?usp=sharing" TargetMode="External"/><Relationship Id="rId12" Type="http://schemas.openxmlformats.org/officeDocument/2006/relationships/hyperlink" Target="https://drive.google.com/file/d/1hjCDDa0-C4R3CNkm9cFFcAyNwJ9Geftu/view?usp=sharing" TargetMode="External"/><Relationship Id="rId17" Type="http://schemas.openxmlformats.org/officeDocument/2006/relationships/hyperlink" Target="https://drive.google.com/file/d/1nAY9NSDLD9gvfOKe0trAs4vqjtUiTFtD/view?usp=sharing" TargetMode="External"/><Relationship Id="rId25" Type="http://schemas.openxmlformats.org/officeDocument/2006/relationships/hyperlink" Target="https://drive.google.com/file/d/1BvJSuctBFASwo_jBi5OfvEJZWRpaDfxN/view?usp=sharing" TargetMode="External"/><Relationship Id="rId33" Type="http://schemas.openxmlformats.org/officeDocument/2006/relationships/hyperlink" Target="https://drive.google.com/file/d/1QXhf4jol7i5tPgFAjxQ69NQiTYN2UTyV/view?usp=drive_link" TargetMode="External"/><Relationship Id="rId2" Type="http://schemas.openxmlformats.org/officeDocument/2006/relationships/hyperlink" Target="https://drive.google.com/file/d/1HGqETTNvErwubQXSMgmZ4T1gkDkKyvae/view?usp=sharing" TargetMode="External"/><Relationship Id="rId16" Type="http://schemas.openxmlformats.org/officeDocument/2006/relationships/hyperlink" Target="https://drive.google.com/file/d/1Jml8eI81GXDeZxghbwEQcU3ZZrxUt_Jt/view?usp=sharing" TargetMode="External"/><Relationship Id="rId20" Type="http://schemas.openxmlformats.org/officeDocument/2006/relationships/hyperlink" Target="https://drive.google.com/file/d/1z1Ua7naD473_TmRhsGEFH6waFKKpjpbC/view?usp=sharing" TargetMode="External"/><Relationship Id="rId29" Type="http://schemas.openxmlformats.org/officeDocument/2006/relationships/hyperlink" Target="https://drive.google.com/file/d/1TyixIuTLk1FmaT3pY2vrsaDw08ms1Eva/view?usp=sharing" TargetMode="External"/><Relationship Id="rId1" Type="http://schemas.openxmlformats.org/officeDocument/2006/relationships/hyperlink" Target="https://drive.google.com/file/d/1SC2uCVy7fF1PKcjtSUbKwWyjX95eAPPB/view?usp=sharing" TargetMode="External"/><Relationship Id="rId6" Type="http://schemas.openxmlformats.org/officeDocument/2006/relationships/hyperlink" Target="https://drive.google.com/file/d/1LF9bbuBujRrqyPtlOLUN4vACZZmn_zy_/view?usp=sharing" TargetMode="External"/><Relationship Id="rId11" Type="http://schemas.openxmlformats.org/officeDocument/2006/relationships/hyperlink" Target="https://drive.google.com/file/d/1waQ-eBp5piFNZv0KLybwXZ2MSlweqOdq/view?usp=sharing" TargetMode="External"/><Relationship Id="rId24" Type="http://schemas.openxmlformats.org/officeDocument/2006/relationships/hyperlink" Target="https://drive.google.com/file/d/1dnN0m2oPYjsH_GoMh6Hu3PZxtYL-76tN/view?usp=drive_link" TargetMode="External"/><Relationship Id="rId32" Type="http://schemas.openxmlformats.org/officeDocument/2006/relationships/hyperlink" Target="https://drive.google.com/file/d/1xwWPmCFtzGIN3JSZnjOgv04ciW6l586l/view?usp=sharing" TargetMode="External"/><Relationship Id="rId37" Type="http://schemas.openxmlformats.org/officeDocument/2006/relationships/comments" Target="../comments2.xml"/><Relationship Id="rId5" Type="http://schemas.openxmlformats.org/officeDocument/2006/relationships/hyperlink" Target="https://drive.google.com/file/d/1xcQCbpsUOSgdbPEhVL9IA-Zl193moNgW/view?usp=sharing" TargetMode="External"/><Relationship Id="rId15" Type="http://schemas.openxmlformats.org/officeDocument/2006/relationships/hyperlink" Target="https://drive.google.com/file/d/18DITHOpJweXc6aYIx9Hw9sMSViCP3Tzb/view?usp=sharing" TargetMode="External"/><Relationship Id="rId23" Type="http://schemas.openxmlformats.org/officeDocument/2006/relationships/hyperlink" Target="https://drive.google.com/file/d/1uOdy1BQs6e1hfnMy-7ntEuEjvG6IgCU6/view?usp=drive_link" TargetMode="External"/><Relationship Id="rId28" Type="http://schemas.openxmlformats.org/officeDocument/2006/relationships/hyperlink" Target="https://drive.google.com/file/d/1-0E9laVeqLifL2WZ-gYZ1sul4Mq69rXm/view?usp=sharing" TargetMode="External"/><Relationship Id="rId36" Type="http://schemas.openxmlformats.org/officeDocument/2006/relationships/vmlDrawing" Target="../drawings/vmlDrawing2.vml"/><Relationship Id="rId10" Type="http://schemas.openxmlformats.org/officeDocument/2006/relationships/hyperlink" Target="https://drive.google.com/file/d/1jqfo9I4pJ51X-l-gueer0UWcI82jE5Pn/view?usp=drive_link" TargetMode="External"/><Relationship Id="rId19" Type="http://schemas.openxmlformats.org/officeDocument/2006/relationships/hyperlink" Target="https://drive.google.com/file/d/1Lb1yNAFIZufWegAFiX2Mreq1sawJEbZr/view?usp=sharing" TargetMode="External"/><Relationship Id="rId31" Type="http://schemas.openxmlformats.org/officeDocument/2006/relationships/hyperlink" Target="https://drive.google.com/file/d/1o8y6Ix-LyGsAmuz2Dup-TDfpKFyScewb/view?usp=sharing" TargetMode="External"/><Relationship Id="rId4" Type="http://schemas.openxmlformats.org/officeDocument/2006/relationships/hyperlink" Target="https://drive.google.com/file/d/1nknSA9n3HdjaS1UC6zvQNO37zh_3p4Rk/view?usp=sharing" TargetMode="External"/><Relationship Id="rId9" Type="http://schemas.openxmlformats.org/officeDocument/2006/relationships/hyperlink" Target="https://drive.google.com/file/d/1L93Cyy1h1HzAOHYAy1UXOk_WQG8G0wIk/view?usp=sharing" TargetMode="External"/><Relationship Id="rId14" Type="http://schemas.openxmlformats.org/officeDocument/2006/relationships/hyperlink" Target="https://drive.google.com/file/d/1mjE0K8WELFPu2eVioyasr4wOU1oDH0Gr/view?usp=sharing" TargetMode="External"/><Relationship Id="rId22" Type="http://schemas.openxmlformats.org/officeDocument/2006/relationships/hyperlink" Target="https://drive.google.com/file/d/16DmQloklE9C4TU6II-u9FzsxZuO3TON5/view?usp=drive_link" TargetMode="External"/><Relationship Id="rId27" Type="http://schemas.openxmlformats.org/officeDocument/2006/relationships/hyperlink" Target="https://drive.google.com/file/d/1m0MK_VQruZvYsITjMd8vTamqMHKI6Ajs/view?usp=sharing" TargetMode="External"/><Relationship Id="rId30" Type="http://schemas.openxmlformats.org/officeDocument/2006/relationships/hyperlink" Target="https://drive.google.com/file/d/1ccJBsJmM8uAXhSvUWbEo_VPOzeXJBGRU/view?usp=drive_link" TargetMode="External"/><Relationship Id="rId35" Type="http://schemas.openxmlformats.org/officeDocument/2006/relationships/drawing" Target="../drawings/drawing5.xml"/><Relationship Id="rId8" Type="http://schemas.openxmlformats.org/officeDocument/2006/relationships/hyperlink" Target="https://drive.google.com/file/d/19bZ9A6HCxIYoZ3m-nS5607hmWuqrXOfP/view?usp=sharing" TargetMode="External"/><Relationship Id="rId3" Type="http://schemas.openxmlformats.org/officeDocument/2006/relationships/hyperlink" Target="https://drive.google.com/file/d/1lYxyVEb34NuH_rJJy9O_qnvaoK1hP0-s/view?usp=sharing"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3" Type="http://schemas.openxmlformats.org/officeDocument/2006/relationships/hyperlink" Target="https://docs.google.com/spreadsheets/d/1yq8qdHFwiZ6e8AgE0A6JnJOgxNmQo4RY/edit?usp=drive_link&amp;ouid=116061753976140637023&amp;rtpof=true&amp;sd=true" TargetMode="External"/><Relationship Id="rId18" Type="http://schemas.openxmlformats.org/officeDocument/2006/relationships/hyperlink" Target="https://drive.google.com/file/d/1lYxyVEb34NuH_rJJy9O_qnvaoK1hP0-s/view?usp=sharing" TargetMode="External"/><Relationship Id="rId26" Type="http://schemas.openxmlformats.org/officeDocument/2006/relationships/hyperlink" Target="https://drive.google.com/file/d/1oO1xdbPxRx5v3ceauPtBomtC8HhUXsfQ/view?usp=sharing" TargetMode="External"/><Relationship Id="rId39" Type="http://schemas.openxmlformats.org/officeDocument/2006/relationships/hyperlink" Target="https://drive.google.com/file/d/1uOdy1BQs6e1hfnMy-7ntEuEjvG6IgCU6/view?usp=drive_link" TargetMode="External"/><Relationship Id="rId21" Type="http://schemas.openxmlformats.org/officeDocument/2006/relationships/hyperlink" Target="https://drive.google.com/file/d/1nknSA9n3HdjaS1UC6zvQNO37zh_3p4Rk/view?usp=sharing" TargetMode="External"/><Relationship Id="rId34" Type="http://schemas.openxmlformats.org/officeDocument/2006/relationships/hyperlink" Target="https://docs.google.com/spreadsheets/d/1cO6BHpvO78yJy5lBDXgxzqKcrwdQfcPN/edit?usp=drive_link&amp;ouid=116061753976140637023&amp;rtpof=true&amp;sd=true" TargetMode="External"/><Relationship Id="rId42" Type="http://schemas.openxmlformats.org/officeDocument/2006/relationships/hyperlink" Target="https://drive.google.com/file/d/1QXhf4jol7i5tPgFAjxQ69NQiTYN2UTyV/view?usp=drive_link" TargetMode="External"/><Relationship Id="rId7" Type="http://schemas.openxmlformats.org/officeDocument/2006/relationships/hyperlink" Target="https://docs.google.com/spreadsheets/d/1rPYW7alsxJ9iztBC9SpgwbBlF3AEaXd4/edit?usp=drive_link&amp;ouid=116061753976140637023&amp;rtpof=true&amp;sd=true" TargetMode="External"/><Relationship Id="rId2" Type="http://schemas.openxmlformats.org/officeDocument/2006/relationships/hyperlink" Target="https://drive.google.com/file/d/1nAY9NSDLD9gvfOKe0trAs4vqjtUiTFtD/view?usp=sharing" TargetMode="External"/><Relationship Id="rId16" Type="http://schemas.openxmlformats.org/officeDocument/2006/relationships/hyperlink" Target="https://drive.google.com/file/d/1HGqETTNvErwubQXSMgmZ4T1gkDkKyvae/view?usp=sharing" TargetMode="External"/><Relationship Id="rId29" Type="http://schemas.openxmlformats.org/officeDocument/2006/relationships/hyperlink" Target="https://drive.google.com/file/d/1SC2uCVy7fF1PKcjtSUbKwWyjX95eAPPB/view?usp=sharing" TargetMode="External"/><Relationship Id="rId1" Type="http://schemas.openxmlformats.org/officeDocument/2006/relationships/hyperlink" Target="https://drive.google.com/file/d/1GRbzsdO9lhog-lnPy3jKj0X2QQFR6L0f/view?usp=sharing" TargetMode="External"/><Relationship Id="rId6" Type="http://schemas.openxmlformats.org/officeDocument/2006/relationships/hyperlink" Target="https://drive.google.com/file/d/19bZ9A6HCxIYoZ3m-nS5607hmWuqrXOfP/view?usp=sharing" TargetMode="External"/><Relationship Id="rId11" Type="http://schemas.openxmlformats.org/officeDocument/2006/relationships/hyperlink" Target="https://docs.google.com/spreadsheets/d/1G0EAx1pgpoYrNCIPMN8KEIrMMAmclq5d/edit?usp=drive_link&amp;ouid=116061753976140637023&amp;rtpof=true&amp;sd=true" TargetMode="External"/><Relationship Id="rId24" Type="http://schemas.openxmlformats.org/officeDocument/2006/relationships/hyperlink" Target="https://drive.google.com/file/d/1SC2uCVy7fF1PKcjtSUbKwWyjX95eAPPB/view?usp=sharing" TargetMode="External"/><Relationship Id="rId32" Type="http://schemas.openxmlformats.org/officeDocument/2006/relationships/hyperlink" Target="https://drive.google.com/file/d/1waQ-eBp5piFNZv0KLybwXZ2MSlweqOdq/view?usp=sharing" TargetMode="External"/><Relationship Id="rId37" Type="http://schemas.openxmlformats.org/officeDocument/2006/relationships/hyperlink" Target="https://docs.google.com/spreadsheets/d/1NjaHgQwnodaruPdm7JSzH1SWp1j7Q2xg/edit?usp=drive_link&amp;ouid=116061753976140637023&amp;rtpof=true&amp;sd=true" TargetMode="External"/><Relationship Id="rId40" Type="http://schemas.openxmlformats.org/officeDocument/2006/relationships/hyperlink" Target="https://drive.google.com/file/d/1ccJBsJmM8uAXhSvUWbEo_VPOzeXJBGRU/view?usp=drive_link" TargetMode="External"/><Relationship Id="rId45" Type="http://schemas.openxmlformats.org/officeDocument/2006/relationships/hyperlink" Target="https://drive.google.com/file/d/1dnN0m2oPYjsH_GoMh6Hu3PZxtYL-76tN/view?usp=drive_link" TargetMode="External"/><Relationship Id="rId5" Type="http://schemas.openxmlformats.org/officeDocument/2006/relationships/hyperlink" Target="https://docs.google.com/spreadsheets/d/154nzN8IYWvRRxNj6Nqpg3WgMnY214hP8/edit?usp=drive_link&amp;ouid=116061753976140637023&amp;rtpof=true&amp;sd=true" TargetMode="External"/><Relationship Id="rId15" Type="http://schemas.openxmlformats.org/officeDocument/2006/relationships/hyperlink" Target="https://drive.google.com/file/d/1z1Ua7naD473_TmRhsGEFH6waFKKpjpbC/view?usp=sharing" TargetMode="External"/><Relationship Id="rId23" Type="http://schemas.openxmlformats.org/officeDocument/2006/relationships/hyperlink" Target="https://drive.google.com/file/d/1hjCDDa0-C4R3CNkm9cFFcAyNwJ9Geftu/view?usp=sharing" TargetMode="External"/><Relationship Id="rId28" Type="http://schemas.openxmlformats.org/officeDocument/2006/relationships/hyperlink" Target="https://drive.google.com/file/d/1rHUhnF6p74C5ufkRZ_CYUw_PHrqJy_P_/view?usp=sharing" TargetMode="External"/><Relationship Id="rId36" Type="http://schemas.openxmlformats.org/officeDocument/2006/relationships/hyperlink" Target="https://drive.google.com/file/d/1jqfo9I4pJ51X-l-gueer0UWcI82jE5Pn/view?usp=drive_link" TargetMode="External"/><Relationship Id="rId10" Type="http://schemas.openxmlformats.org/officeDocument/2006/relationships/hyperlink" Target="https://drive.google.com/file/d/1LF9bbuBujRrqyPtlOLUN4vACZZmn_zy_/view?usp=sharing" TargetMode="External"/><Relationship Id="rId19" Type="http://schemas.openxmlformats.org/officeDocument/2006/relationships/hyperlink" Target="https://docs.google.com/spreadsheets/d/1_vj5RxsflzIWoqedYgpkyahtmz7IlNrD/edit?usp=drive_link&amp;ouid=116061753976140637023&amp;rtpof=true&amp;sd=true" TargetMode="External"/><Relationship Id="rId31" Type="http://schemas.openxmlformats.org/officeDocument/2006/relationships/hyperlink" Target="https://drive.google.com/file/d/1hjCDDa0-C4R3CNkm9cFFcAyNwJ9Geftu/view?usp=sharing" TargetMode="External"/><Relationship Id="rId44" Type="http://schemas.openxmlformats.org/officeDocument/2006/relationships/hyperlink" Target="https://drive.google.com/file/d/1ccJBsJmM8uAXhSvUWbEo_VPOzeXJBGRU/view?usp=sharing" TargetMode="External"/><Relationship Id="rId4" Type="http://schemas.openxmlformats.org/officeDocument/2006/relationships/hyperlink" Target="https://drive.google.com/file/d/1o8y6Ix-LyGsAmuz2Dup-TDfpKFyScewb/view?usp=sharing" TargetMode="External"/><Relationship Id="rId9" Type="http://schemas.openxmlformats.org/officeDocument/2006/relationships/hyperlink" Target="https://docs.google.com/spreadsheets/d/1xYsskG8HOkktB9bq5h2wBvigFpVlohQu/edit?usp=drive_link&amp;ouid=116061753976140637023&amp;rtpof=true&amp;sd=true" TargetMode="External"/><Relationship Id="rId14" Type="http://schemas.openxmlformats.org/officeDocument/2006/relationships/hyperlink" Target="https://drive.google.com/file/d/1Lb1yNAFIZufWegAFiX2Mreq1sawJEbZr/view?usp=sharing" TargetMode="External"/><Relationship Id="rId22" Type="http://schemas.openxmlformats.org/officeDocument/2006/relationships/hyperlink" Target="https://docs.google.com/spreadsheets/d/1CVLMQ22DcGXahs_BZ3EpLyL7RaDlAEXX/edit?usp=drive_link&amp;ouid=116061753976140637023&amp;rtpof=true&amp;sd=true" TargetMode="External"/><Relationship Id="rId27" Type="http://schemas.openxmlformats.org/officeDocument/2006/relationships/hyperlink" Target="https://drive.google.com/file/d/10X8-RgH2VjMk6-n-jqpAy0JK7a9TjxSA/view?usp=sharing" TargetMode="External"/><Relationship Id="rId30" Type="http://schemas.openxmlformats.org/officeDocument/2006/relationships/hyperlink" Target="https://drive.google.com/file/d/1nknSA9n3HdjaS1UC6zvQNO37zh_3p4Rk/view?usp=sharing" TargetMode="External"/><Relationship Id="rId35" Type="http://schemas.openxmlformats.org/officeDocument/2006/relationships/hyperlink" Target="https://drive.google.com/file/d/1L93Cyy1h1HzAOHYAy1UXOk_WQG8G0wIk/view?usp=sharing" TargetMode="External"/><Relationship Id="rId43" Type="http://schemas.openxmlformats.org/officeDocument/2006/relationships/hyperlink" Target="https://drive.google.com/file/d/16DmQloklE9C4TU6II-u9FzsxZuO3TON5/view?usp=drive_link" TargetMode="External"/><Relationship Id="rId8" Type="http://schemas.openxmlformats.org/officeDocument/2006/relationships/hyperlink" Target="https://drive.google.com/file/d/18DITHOpJweXc6aYIx9Hw9sMSViCP3Tzb/view?usp=sharing" TargetMode="External"/><Relationship Id="rId3" Type="http://schemas.openxmlformats.org/officeDocument/2006/relationships/hyperlink" Target="https://docs.google.com/spreadsheets/d/18VDj_7to40NEwqfC8YoB2gWDmO6yRObe/edit?usp=drive_link&amp;ouid=116061753976140637023&amp;rtpof=true&amp;sd=true" TargetMode="External"/><Relationship Id="rId12" Type="http://schemas.openxmlformats.org/officeDocument/2006/relationships/hyperlink" Target="https://drive.google.com/file/d/1Jml8eI81GXDeZxghbwEQcU3ZZrxUt_Jt/view?usp=sharing" TargetMode="External"/><Relationship Id="rId17" Type="http://schemas.openxmlformats.org/officeDocument/2006/relationships/hyperlink" Target="https://docs.google.com/spreadsheets/d/1AS49jo4RCGJ4IeQ5YTKkT7OETb2Ib1lX/edit?usp=drive_link&amp;ouid=116061753976140637023&amp;rtpof=true&amp;sd=true" TargetMode="External"/><Relationship Id="rId25" Type="http://schemas.openxmlformats.org/officeDocument/2006/relationships/hyperlink" Target="https://docs.google.com/spreadsheets/d/18YxwfWOyAdGM-GkjXwn5ytJ1MoWORObq/edit?usp=drive_link&amp;ouid=116061753976140637023&amp;rtpof=true&amp;sd=true" TargetMode="External"/><Relationship Id="rId33" Type="http://schemas.openxmlformats.org/officeDocument/2006/relationships/hyperlink" Target="https://drive.google.com/file/d/1mjE0K8WELFPu2eVioyasr4wOU1oDH0Gr/view?usp=sharing" TargetMode="External"/><Relationship Id="rId38" Type="http://schemas.openxmlformats.org/officeDocument/2006/relationships/hyperlink" Target="https://drive.google.com/file/d/1mKgqy6O0UDf9BaG6-MMjGHa_jAsu2X3g/view?usp=drive_link" TargetMode="External"/><Relationship Id="rId20" Type="http://schemas.openxmlformats.org/officeDocument/2006/relationships/hyperlink" Target="https://drive.google.com/file/d/1waQ-eBp5piFNZv0KLybwXZ2MSlweqOdq/view?usp=sharing" TargetMode="External"/><Relationship Id="rId41" Type="http://schemas.openxmlformats.org/officeDocument/2006/relationships/hyperlink" Target="https://drive.google.com/file/d/1O-Wlj618hY0e_sW-i24tYlbTEa4DBxws/view?usp=sharing"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5.vml"/><Relationship Id="rId1" Type="http://schemas.openxmlformats.org/officeDocument/2006/relationships/drawing" Target="../drawings/drawing7.xml"/><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8" Type="http://schemas.openxmlformats.org/officeDocument/2006/relationships/hyperlink" Target="https://drive.google.com/file/d/1aWMZgB02N54iWHvvMmhtv4A0rzVirzir/view?usp=sharing" TargetMode="External"/><Relationship Id="rId3" Type="http://schemas.openxmlformats.org/officeDocument/2006/relationships/hyperlink" Target="https://drive.google.com/file/d/10NW-CU4vBLsvOGD4LiDCbvErk5YhRlRq/view?usp=sharing" TargetMode="External"/><Relationship Id="rId7" Type="http://schemas.openxmlformats.org/officeDocument/2006/relationships/hyperlink" Target="https://drive.google.com/file/d/1aWMZgB02N54iWHvvMmhtv4A0rzVirzir/view?usp=sharing" TargetMode="External"/><Relationship Id="rId2" Type="http://schemas.openxmlformats.org/officeDocument/2006/relationships/hyperlink" Target="https://drive.google.com/file/d/1iZhMiTvV09CZM8HjCax_FTcDcPDZBdTr/view?usp=sharing" TargetMode="External"/><Relationship Id="rId1" Type="http://schemas.openxmlformats.org/officeDocument/2006/relationships/hyperlink" Target="https://drive.google.com/file/d/1ILnW6cYSv1MPTHfJnDzOGhS0ZLuYHjzd/view?usp=sharing" TargetMode="External"/><Relationship Id="rId6" Type="http://schemas.openxmlformats.org/officeDocument/2006/relationships/hyperlink" Target="https://drive.google.com/file/d/1aWMZgB02N54iWHvvMmhtv4A0rzVirzir/view?usp=sharing" TargetMode="External"/><Relationship Id="rId11" Type="http://schemas.openxmlformats.org/officeDocument/2006/relationships/drawing" Target="../drawings/drawing10.xml"/><Relationship Id="rId5" Type="http://schemas.openxmlformats.org/officeDocument/2006/relationships/hyperlink" Target="https://drive.google.com/file/d/1a4AInOLJgjfMJ7XDABdxXWY1kAI22Zgd/view?usp=sharing" TargetMode="External"/><Relationship Id="rId10" Type="http://schemas.openxmlformats.org/officeDocument/2006/relationships/hyperlink" Target="https://drive.google.com/file/d/1L93Cyy1h1HzAOHYAy1UXOk_WQG8G0wIk/view?usp=sharing" TargetMode="External"/><Relationship Id="rId4" Type="http://schemas.openxmlformats.org/officeDocument/2006/relationships/hyperlink" Target="https://drive.google.com/file/d/12eK-oXltDcIKXs20wWNISrJ8JLwBz2n0/view?usp=sharing" TargetMode="External"/><Relationship Id="rId9" Type="http://schemas.openxmlformats.org/officeDocument/2006/relationships/hyperlink" Target="https://drive.google.com/file/d/1aWMZgB02N54iWHvvMmhtv4A0rzVirzir/view?usp=sharing"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13:K26"/>
  <sheetViews>
    <sheetView workbookViewId="0"/>
  </sheetViews>
  <sheetFormatPr baseColWidth="10" defaultColWidth="12.5703125" defaultRowHeight="15" customHeight="1" x14ac:dyDescent="0.2"/>
  <cols>
    <col min="1" max="1" width="45.85546875" customWidth="1"/>
    <col min="2" max="2" width="10.5703125" customWidth="1"/>
    <col min="3" max="3" width="15.7109375" customWidth="1"/>
    <col min="4" max="4" width="14.42578125" customWidth="1"/>
    <col min="5" max="5" width="13.42578125" customWidth="1"/>
    <col min="6" max="6" width="14.7109375" customWidth="1"/>
    <col min="7" max="7" width="14.42578125" customWidth="1"/>
    <col min="8" max="8" width="15.85546875" customWidth="1"/>
    <col min="9" max="9" width="16" customWidth="1"/>
    <col min="10" max="10" width="13.28515625" customWidth="1"/>
    <col min="11" max="11" width="10.5703125" customWidth="1"/>
    <col min="12" max="30" width="11.42578125" customWidth="1"/>
  </cols>
  <sheetData>
    <row r="13" spans="5:8" ht="12" customHeight="1" x14ac:dyDescent="0.2">
      <c r="E13" s="757" t="s">
        <v>0</v>
      </c>
      <c r="F13" s="758"/>
      <c r="G13" s="758"/>
      <c r="H13" s="759"/>
    </row>
    <row r="14" spans="5:8" ht="12" customHeight="1" x14ac:dyDescent="0.2">
      <c r="E14" s="760" t="s">
        <v>1</v>
      </c>
      <c r="F14" s="761"/>
      <c r="G14" s="761"/>
      <c r="H14" s="761"/>
    </row>
    <row r="15" spans="5:8" ht="12" customHeight="1" x14ac:dyDescent="0.2">
      <c r="E15" s="1"/>
      <c r="F15" s="762" t="s">
        <v>2</v>
      </c>
      <c r="G15" s="763"/>
      <c r="H15" s="1"/>
    </row>
    <row r="17" spans="2:11" ht="12.75" customHeight="1" x14ac:dyDescent="0.2">
      <c r="B17" s="764"/>
      <c r="C17" s="766" t="s">
        <v>3</v>
      </c>
      <c r="D17" s="752" t="s">
        <v>4</v>
      </c>
      <c r="E17" s="754" t="s">
        <v>5</v>
      </c>
      <c r="F17" s="752" t="s">
        <v>6</v>
      </c>
      <c r="G17" s="754" t="s">
        <v>7</v>
      </c>
      <c r="H17" s="752" t="s">
        <v>8</v>
      </c>
      <c r="I17" s="754" t="s">
        <v>9</v>
      </c>
      <c r="J17" s="752" t="s">
        <v>10</v>
      </c>
      <c r="K17" s="755"/>
    </row>
    <row r="18" spans="2:11" ht="12.75" customHeight="1" x14ac:dyDescent="0.2">
      <c r="B18" s="765"/>
      <c r="C18" s="753"/>
      <c r="D18" s="753"/>
      <c r="E18" s="753"/>
      <c r="F18" s="753"/>
      <c r="G18" s="753"/>
      <c r="H18" s="753"/>
      <c r="I18" s="753"/>
      <c r="J18" s="753"/>
      <c r="K18" s="756"/>
    </row>
    <row r="19" spans="2:11" ht="12.75" customHeight="1" x14ac:dyDescent="0.2">
      <c r="B19" s="765"/>
      <c r="C19" s="753"/>
      <c r="D19" s="753"/>
      <c r="E19" s="753"/>
      <c r="F19" s="753"/>
      <c r="G19" s="753"/>
      <c r="H19" s="753"/>
      <c r="I19" s="753"/>
      <c r="J19" s="753"/>
      <c r="K19" s="756"/>
    </row>
    <row r="20" spans="2:11" ht="12.75" customHeight="1" x14ac:dyDescent="0.2">
      <c r="B20" s="765"/>
      <c r="C20" s="753"/>
      <c r="D20" s="753"/>
      <c r="E20" s="753"/>
      <c r="F20" s="753"/>
      <c r="G20" s="753"/>
      <c r="H20" s="753"/>
      <c r="I20" s="753"/>
      <c r="J20" s="753"/>
      <c r="K20" s="756"/>
    </row>
    <row r="21" spans="2:11" ht="12.75" customHeight="1" x14ac:dyDescent="0.2">
      <c r="B21" s="765"/>
      <c r="C21" s="753"/>
      <c r="D21" s="753"/>
      <c r="E21" s="753"/>
      <c r="F21" s="753"/>
      <c r="G21" s="753"/>
      <c r="H21" s="753"/>
      <c r="I21" s="753"/>
      <c r="J21" s="753"/>
      <c r="K21" s="756"/>
    </row>
    <row r="22" spans="2:11" ht="12" customHeight="1" x14ac:dyDescent="0.2">
      <c r="B22" s="767"/>
      <c r="C22" s="761"/>
      <c r="D22" s="761"/>
      <c r="E22" s="761"/>
      <c r="F22" s="761"/>
      <c r="G22" s="761"/>
      <c r="H22" s="761"/>
      <c r="I22" s="761"/>
      <c r="J22" s="761"/>
      <c r="K22" s="768"/>
    </row>
    <row r="23" spans="2:11" ht="12" customHeight="1" x14ac:dyDescent="0.2">
      <c r="B23" s="2"/>
      <c r="C23" s="3" t="s">
        <v>11</v>
      </c>
      <c r="D23" s="4"/>
      <c r="E23" s="4" t="s">
        <v>12</v>
      </c>
      <c r="F23" s="4"/>
      <c r="G23" s="1"/>
      <c r="H23" s="1"/>
      <c r="I23" s="1"/>
      <c r="J23" s="1"/>
      <c r="K23" s="5"/>
    </row>
    <row r="24" spans="2:11" ht="12" customHeight="1" x14ac:dyDescent="0.2">
      <c r="B24" s="6"/>
      <c r="C24" s="7"/>
      <c r="D24" s="8"/>
      <c r="E24" s="8"/>
      <c r="F24" s="8"/>
      <c r="G24" s="8"/>
      <c r="H24" s="8"/>
      <c r="I24" s="8"/>
      <c r="J24" s="8"/>
      <c r="K24" s="9"/>
    </row>
    <row r="25" spans="2:11" ht="12" customHeight="1" x14ac:dyDescent="0.2">
      <c r="B25" s="10"/>
      <c r="C25" s="10"/>
      <c r="D25" s="10"/>
      <c r="E25" s="10"/>
      <c r="F25" s="10"/>
      <c r="G25" s="10"/>
      <c r="H25" s="10"/>
      <c r="I25" s="10"/>
      <c r="J25" s="10"/>
      <c r="K25" s="10"/>
    </row>
    <row r="26" spans="2:11" ht="12" customHeight="1" x14ac:dyDescent="0.2">
      <c r="B26" s="11" t="s">
        <v>13</v>
      </c>
      <c r="C26" s="12"/>
      <c r="D26" s="10"/>
      <c r="E26" s="10"/>
      <c r="F26" s="10"/>
      <c r="G26" s="10"/>
      <c r="H26" s="10"/>
      <c r="I26" s="10"/>
      <c r="J26" s="10"/>
      <c r="K26" s="10"/>
    </row>
  </sheetData>
  <mergeCells count="14">
    <mergeCell ref="B22:K22"/>
    <mergeCell ref="K17:K21"/>
    <mergeCell ref="E13:H13"/>
    <mergeCell ref="E14:H14"/>
    <mergeCell ref="F15:G15"/>
    <mergeCell ref="B17:B21"/>
    <mergeCell ref="C17:C21"/>
    <mergeCell ref="D17:D21"/>
    <mergeCell ref="E17:E21"/>
    <mergeCell ref="F17:F21"/>
    <mergeCell ref="G17:G21"/>
    <mergeCell ref="H17:H21"/>
    <mergeCell ref="I17:I21"/>
    <mergeCell ref="J17:J21"/>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N1001"/>
  <sheetViews>
    <sheetView showGridLines="0" tabSelected="1" workbookViewId="0">
      <pane ySplit="6" topLeftCell="A121" activePane="bottomLeft" state="frozen"/>
      <selection pane="bottomLeft" activeCell="C104" sqref="C104"/>
    </sheetView>
  </sheetViews>
  <sheetFormatPr baseColWidth="10" defaultColWidth="12.5703125" defaultRowHeight="15" customHeight="1" x14ac:dyDescent="0.2"/>
  <cols>
    <col min="1" max="1" width="7" customWidth="1"/>
    <col min="2" max="2" width="11.5703125" customWidth="1"/>
    <col min="3" max="3" width="41.42578125" customWidth="1"/>
    <col min="4" max="4" width="38" customWidth="1"/>
    <col min="5" max="5" width="17" customWidth="1"/>
    <col min="6" max="6" width="24.140625" customWidth="1"/>
    <col min="7" max="7" width="9.85546875" customWidth="1"/>
    <col min="8" max="8" width="17.7109375" customWidth="1"/>
    <col min="9" max="9" width="15" customWidth="1"/>
    <col min="10" max="10" width="13.85546875" customWidth="1"/>
    <col min="11" max="11" width="15.140625" customWidth="1"/>
    <col min="12" max="12" width="10" customWidth="1"/>
    <col min="13" max="13" width="14.7109375" customWidth="1"/>
    <col min="14" max="14" width="15.140625" customWidth="1"/>
    <col min="15" max="15" width="11.5703125" customWidth="1"/>
    <col min="16" max="16" width="15.42578125" customWidth="1"/>
    <col min="17" max="17" width="11.85546875" customWidth="1"/>
    <col min="18" max="18" width="17" customWidth="1"/>
    <col min="19" max="19" width="12.28515625" customWidth="1"/>
    <col min="20" max="20" width="12.7109375" customWidth="1"/>
    <col min="21" max="21" width="13" customWidth="1"/>
    <col min="22" max="22" width="19.7109375" customWidth="1"/>
    <col min="23" max="23" width="15.5703125" customWidth="1"/>
    <col min="24" max="24" width="14.85546875" customWidth="1"/>
    <col min="25" max="25" width="23" customWidth="1"/>
    <col min="26" max="26" width="24.85546875" customWidth="1"/>
    <col min="27" max="28" width="19.7109375" customWidth="1"/>
    <col min="29" max="29" width="20" customWidth="1"/>
    <col min="30" max="30" width="19" customWidth="1"/>
    <col min="31" max="31" width="20.42578125" customWidth="1"/>
    <col min="32" max="32" width="15.7109375" customWidth="1"/>
    <col min="33" max="33" width="15.5703125" customWidth="1"/>
    <col min="34" max="34" width="18.140625" customWidth="1"/>
    <col min="35" max="35" width="14" customWidth="1"/>
    <col min="36" max="36" width="14.85546875" customWidth="1"/>
    <col min="37" max="38" width="19.42578125" customWidth="1"/>
    <col min="39" max="39" width="57.85546875" customWidth="1"/>
    <col min="40" max="40" width="15.42578125" customWidth="1"/>
    <col min="41" max="41" width="17.7109375" customWidth="1"/>
    <col min="42" max="42" width="37.42578125" customWidth="1"/>
    <col min="43" max="43" width="13.42578125" customWidth="1"/>
    <col min="44" max="44" width="14" customWidth="1"/>
    <col min="45" max="45" width="13.7109375" customWidth="1"/>
    <col min="46" max="46" width="16.42578125" customWidth="1"/>
    <col min="47" max="47" width="18.42578125" customWidth="1"/>
    <col min="48" max="48" width="13.28515625" customWidth="1"/>
    <col min="49" max="49" width="12.42578125" customWidth="1"/>
    <col min="50" max="50" width="17.28515625" customWidth="1"/>
    <col min="51" max="51" width="22.140625" customWidth="1"/>
    <col min="52" max="53" width="18.42578125" customWidth="1"/>
    <col min="54" max="54" width="31.28515625" customWidth="1"/>
    <col min="55" max="55" width="8.42578125" customWidth="1"/>
    <col min="56" max="57" width="19.42578125" customWidth="1"/>
    <col min="58" max="58" width="42.85546875" customWidth="1"/>
    <col min="59" max="59" width="21.7109375" customWidth="1"/>
  </cols>
  <sheetData>
    <row r="1" spans="1:59" ht="26.25" customHeight="1" x14ac:dyDescent="0.2">
      <c r="A1" s="769" t="s">
        <v>14</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c r="AG1" s="758"/>
      <c r="AH1" s="758"/>
      <c r="AI1" s="758"/>
      <c r="AJ1" s="758"/>
      <c r="AK1" s="758"/>
      <c r="AL1" s="758"/>
      <c r="AM1" s="758"/>
      <c r="AN1" s="758"/>
      <c r="AO1" s="758"/>
      <c r="AP1" s="758"/>
      <c r="AQ1" s="758"/>
      <c r="AR1" s="758"/>
      <c r="AS1" s="758"/>
      <c r="AT1" s="758"/>
      <c r="AU1" s="758"/>
      <c r="AV1" s="758"/>
      <c r="AW1" s="758"/>
      <c r="AX1" s="758"/>
      <c r="AY1" s="758"/>
      <c r="AZ1" s="758"/>
      <c r="BA1" s="758"/>
      <c r="BB1" s="758"/>
      <c r="BC1" s="758"/>
      <c r="BD1" s="758"/>
      <c r="BE1" s="758"/>
      <c r="BF1" s="758"/>
      <c r="BG1" s="14"/>
    </row>
    <row r="2" spans="1:59" ht="24.75" customHeight="1" x14ac:dyDescent="0.2">
      <c r="A2" s="15"/>
      <c r="C2" s="16" t="s">
        <v>0</v>
      </c>
      <c r="AB2" s="17"/>
      <c r="AD2" s="18"/>
      <c r="AE2" s="19"/>
      <c r="AF2" s="19"/>
      <c r="AG2" s="19"/>
      <c r="AH2" s="19"/>
      <c r="AL2" s="20"/>
      <c r="AV2" s="21"/>
      <c r="BC2" s="14"/>
      <c r="BF2" s="14"/>
      <c r="BG2" s="14"/>
    </row>
    <row r="3" spans="1:59" ht="17.25" customHeight="1" x14ac:dyDescent="0.2">
      <c r="A3" s="15"/>
      <c r="B3" s="22"/>
      <c r="C3" s="16" t="s">
        <v>15</v>
      </c>
      <c r="D3" s="22"/>
      <c r="E3" s="22"/>
      <c r="F3" s="22"/>
      <c r="G3" s="22"/>
      <c r="H3" s="22"/>
      <c r="I3" s="22"/>
      <c r="J3" s="22"/>
      <c r="K3" s="22"/>
      <c r="L3" s="22"/>
      <c r="M3" s="22"/>
      <c r="N3" s="22"/>
      <c r="O3" s="22"/>
      <c r="P3" s="22"/>
      <c r="Q3" s="22"/>
      <c r="R3" s="22"/>
      <c r="S3" s="22"/>
      <c r="T3" s="22"/>
      <c r="U3" s="22"/>
      <c r="V3" s="22"/>
      <c r="W3" s="22"/>
      <c r="X3" s="22"/>
      <c r="Y3" s="22"/>
      <c r="Z3" s="22"/>
      <c r="AA3" s="22"/>
      <c r="AB3" s="23"/>
      <c r="AC3" s="22"/>
      <c r="AD3" s="16"/>
      <c r="AE3" s="19"/>
      <c r="AF3" s="19"/>
      <c r="AG3" s="19"/>
      <c r="AH3" s="19"/>
      <c r="AL3" s="20"/>
      <c r="AV3" s="21"/>
      <c r="BC3" s="14"/>
      <c r="BF3" s="14"/>
      <c r="BG3" s="14"/>
    </row>
    <row r="4" spans="1:59" ht="20.25" customHeight="1" x14ac:dyDescent="0.2">
      <c r="A4" s="15"/>
      <c r="C4" s="24" t="s">
        <v>16</v>
      </c>
      <c r="AB4" s="17"/>
      <c r="AD4" s="18"/>
      <c r="AE4" s="22"/>
      <c r="AF4" s="25"/>
      <c r="AG4" s="25"/>
      <c r="AH4" s="16"/>
      <c r="AI4" s="22"/>
      <c r="AJ4" s="22"/>
      <c r="AK4" s="22"/>
      <c r="AL4" s="22"/>
      <c r="AM4" s="22"/>
      <c r="AN4" s="22"/>
      <c r="AO4" s="22"/>
      <c r="AP4" s="22"/>
      <c r="AQ4" s="22"/>
      <c r="AR4" s="22"/>
      <c r="AS4" s="22"/>
      <c r="AT4" s="22"/>
      <c r="AU4" s="22"/>
      <c r="AV4" s="26"/>
      <c r="AW4" s="22"/>
      <c r="AX4" s="22"/>
      <c r="AY4" s="22"/>
      <c r="AZ4" s="22"/>
      <c r="BA4" s="22"/>
      <c r="BB4" s="22"/>
      <c r="BC4" s="16"/>
      <c r="BD4" s="22"/>
      <c r="BE4" s="22"/>
      <c r="BF4" s="16"/>
      <c r="BG4" s="14"/>
    </row>
    <row r="5" spans="1:59" ht="14.25" customHeight="1" x14ac:dyDescent="0.2">
      <c r="A5" s="15"/>
      <c r="B5" s="27"/>
      <c r="C5" s="27"/>
      <c r="D5" s="27"/>
      <c r="E5" s="27"/>
      <c r="F5" s="27"/>
      <c r="G5" s="27"/>
      <c r="H5" s="27"/>
      <c r="I5" s="27"/>
      <c r="J5" s="27"/>
      <c r="K5" s="27"/>
      <c r="L5" s="27"/>
      <c r="M5" s="27"/>
      <c r="N5" s="14"/>
      <c r="O5" s="14"/>
      <c r="P5" s="14"/>
      <c r="Q5" s="14"/>
      <c r="R5" s="14"/>
      <c r="S5" s="14"/>
      <c r="T5" s="14"/>
      <c r="U5" s="14"/>
      <c r="V5" s="14"/>
      <c r="W5" s="14"/>
      <c r="X5" s="14"/>
      <c r="Y5" s="14"/>
      <c r="Z5" s="14"/>
      <c r="AA5" s="14"/>
      <c r="AB5" s="28"/>
      <c r="AC5" s="14"/>
      <c r="AD5" s="14"/>
      <c r="AE5" s="29"/>
      <c r="AF5" s="29"/>
      <c r="AG5" s="29"/>
      <c r="AH5" s="29"/>
      <c r="AI5" s="27"/>
      <c r="AJ5" s="27"/>
      <c r="AK5" s="27"/>
      <c r="AL5" s="27"/>
      <c r="AM5" s="27"/>
      <c r="AN5" s="27"/>
      <c r="AO5" s="27"/>
      <c r="AP5" s="27"/>
      <c r="AQ5" s="27"/>
      <c r="AR5" s="27"/>
      <c r="AS5" s="27"/>
      <c r="AT5" s="27"/>
      <c r="AU5" s="27"/>
      <c r="AV5" s="30"/>
      <c r="AW5" s="27"/>
      <c r="AX5" s="27"/>
      <c r="AY5" s="27"/>
      <c r="AZ5" s="27"/>
      <c r="BA5" s="27"/>
      <c r="BB5" s="770"/>
      <c r="BC5" s="758"/>
      <c r="BD5" s="758"/>
      <c r="BE5" s="758"/>
      <c r="BF5" s="758"/>
      <c r="BG5" s="14"/>
    </row>
    <row r="6" spans="1:59" ht="36.75" customHeight="1" x14ac:dyDescent="0.2">
      <c r="A6" s="31" t="s">
        <v>17</v>
      </c>
      <c r="B6" s="31" t="s">
        <v>18</v>
      </c>
      <c r="C6" s="31" t="s">
        <v>19</v>
      </c>
      <c r="D6" s="31" t="s">
        <v>20</v>
      </c>
      <c r="E6" s="31" t="s">
        <v>21</v>
      </c>
      <c r="F6" s="32" t="s">
        <v>22</v>
      </c>
      <c r="G6" s="31" t="s">
        <v>23</v>
      </c>
      <c r="H6" s="31" t="s">
        <v>24</v>
      </c>
      <c r="I6" s="31" t="s">
        <v>25</v>
      </c>
      <c r="J6" s="31" t="s">
        <v>26</v>
      </c>
      <c r="K6" s="31" t="s">
        <v>27</v>
      </c>
      <c r="L6" s="31" t="s">
        <v>28</v>
      </c>
      <c r="M6" s="31" t="s">
        <v>29</v>
      </c>
      <c r="N6" s="31" t="s">
        <v>30</v>
      </c>
      <c r="O6" s="31" t="s">
        <v>31</v>
      </c>
      <c r="P6" s="33" t="s">
        <v>32</v>
      </c>
      <c r="Q6" s="31" t="s">
        <v>33</v>
      </c>
      <c r="R6" s="31" t="s">
        <v>34</v>
      </c>
      <c r="S6" s="31" t="s">
        <v>35</v>
      </c>
      <c r="T6" s="31" t="s">
        <v>36</v>
      </c>
      <c r="U6" s="31" t="s">
        <v>37</v>
      </c>
      <c r="V6" s="31" t="s">
        <v>38</v>
      </c>
      <c r="W6" s="31" t="s">
        <v>39</v>
      </c>
      <c r="X6" s="31" t="s">
        <v>40</v>
      </c>
      <c r="Y6" s="34" t="s">
        <v>41</v>
      </c>
      <c r="Z6" s="34" t="s">
        <v>42</v>
      </c>
      <c r="AA6" s="34" t="s">
        <v>43</v>
      </c>
      <c r="AB6" s="35" t="s">
        <v>44</v>
      </c>
      <c r="AC6" s="36" t="s">
        <v>45</v>
      </c>
      <c r="AD6" s="37" t="s">
        <v>46</v>
      </c>
      <c r="AE6" s="37" t="s">
        <v>46</v>
      </c>
      <c r="AF6" s="38" t="s">
        <v>47</v>
      </c>
      <c r="AG6" s="39" t="s">
        <v>48</v>
      </c>
      <c r="AH6" s="40" t="s">
        <v>49</v>
      </c>
      <c r="AI6" s="41" t="s">
        <v>50</v>
      </c>
      <c r="AJ6" s="38" t="s">
        <v>51</v>
      </c>
      <c r="AK6" s="42" t="s">
        <v>52</v>
      </c>
      <c r="AL6" s="42" t="s">
        <v>53</v>
      </c>
      <c r="AM6" s="31" t="s">
        <v>54</v>
      </c>
      <c r="AN6" s="31" t="s">
        <v>55</v>
      </c>
      <c r="AO6" s="31" t="s">
        <v>56</v>
      </c>
      <c r="AP6" s="31" t="s">
        <v>57</v>
      </c>
      <c r="AQ6" s="31" t="s">
        <v>58</v>
      </c>
      <c r="AR6" s="31" t="s">
        <v>59</v>
      </c>
      <c r="AS6" s="31" t="s">
        <v>60</v>
      </c>
      <c r="AT6" s="37" t="s">
        <v>61</v>
      </c>
      <c r="AU6" s="37" t="s">
        <v>62</v>
      </c>
      <c r="AV6" s="43" t="s">
        <v>63</v>
      </c>
      <c r="AW6" s="37" t="s">
        <v>48</v>
      </c>
      <c r="AX6" s="44" t="s">
        <v>64</v>
      </c>
      <c r="AY6" s="45" t="s">
        <v>65</v>
      </c>
      <c r="AZ6" s="37" t="s">
        <v>66</v>
      </c>
      <c r="BA6" s="37" t="s">
        <v>67</v>
      </c>
      <c r="BB6" s="31" t="s">
        <v>68</v>
      </c>
      <c r="BC6" s="31" t="s">
        <v>69</v>
      </c>
      <c r="BD6" s="31" t="s">
        <v>70</v>
      </c>
      <c r="BE6" s="46" t="s">
        <v>71</v>
      </c>
      <c r="BF6" s="47" t="s">
        <v>72</v>
      </c>
      <c r="BG6" s="48" t="s">
        <v>73</v>
      </c>
    </row>
    <row r="7" spans="1:59" ht="47.25" customHeight="1" x14ac:dyDescent="0.2">
      <c r="A7" s="49">
        <v>1</v>
      </c>
      <c r="B7" s="50">
        <v>29672</v>
      </c>
      <c r="C7" s="51" t="s">
        <v>74</v>
      </c>
      <c r="D7" s="51" t="s">
        <v>75</v>
      </c>
      <c r="E7" s="51" t="s">
        <v>76</v>
      </c>
      <c r="F7" s="52" t="s">
        <v>77</v>
      </c>
      <c r="G7" s="50">
        <v>224</v>
      </c>
      <c r="H7" s="50"/>
      <c r="I7" s="50" t="s">
        <v>78</v>
      </c>
      <c r="J7" s="50" t="s">
        <v>79</v>
      </c>
      <c r="K7" s="50"/>
      <c r="L7" s="50"/>
      <c r="M7" s="50"/>
      <c r="N7" s="51" t="s">
        <v>80</v>
      </c>
      <c r="O7" s="50" t="s">
        <v>81</v>
      </c>
      <c r="P7" s="53" t="s">
        <v>82</v>
      </c>
      <c r="Q7" s="51" t="s">
        <v>83</v>
      </c>
      <c r="R7" s="51" t="s">
        <v>84</v>
      </c>
      <c r="S7" s="50" t="s">
        <v>85</v>
      </c>
      <c r="T7" s="50" t="s">
        <v>86</v>
      </c>
      <c r="U7" s="50" t="s">
        <v>86</v>
      </c>
      <c r="V7" s="50" t="s">
        <v>86</v>
      </c>
      <c r="W7" s="50">
        <v>158</v>
      </c>
      <c r="X7" s="50" t="s">
        <v>87</v>
      </c>
      <c r="Y7" s="54"/>
      <c r="Z7" s="54"/>
      <c r="AA7" s="54"/>
      <c r="AB7" s="55">
        <v>0.35</v>
      </c>
      <c r="AC7" s="56" t="str">
        <f t="shared" ref="AC7:AC15" ca="1" si="0">IF(AJ7&gt;TODAY(),"Si","No")</f>
        <v>Si</v>
      </c>
      <c r="AD7" s="57">
        <v>19202</v>
      </c>
      <c r="AE7" s="58">
        <v>19202</v>
      </c>
      <c r="AF7" s="59">
        <v>44480</v>
      </c>
      <c r="AG7" s="58">
        <v>7</v>
      </c>
      <c r="AH7" s="60">
        <f t="shared" ref="AH7:AH15" si="1">EDATE(AF7,(AG7*12)-14)</f>
        <v>46610</v>
      </c>
      <c r="AI7" s="59">
        <f t="shared" ref="AI7:AI15" si="2">EDATE(AF7,(AG7*12)-12)</f>
        <v>46671</v>
      </c>
      <c r="AJ7" s="59">
        <f t="shared" ref="AJ7:AJ15" si="3">EDATE(AF7,AG7*12)</f>
        <v>47037</v>
      </c>
      <c r="AK7" s="59"/>
      <c r="AL7" s="59"/>
      <c r="AM7" s="61" t="s">
        <v>88</v>
      </c>
      <c r="AN7" s="61">
        <v>3</v>
      </c>
      <c r="AO7" s="61"/>
      <c r="AP7" s="61"/>
      <c r="AQ7" s="61"/>
      <c r="AR7" s="50" t="s">
        <v>89</v>
      </c>
      <c r="AS7" s="50"/>
      <c r="AT7" s="50" t="str">
        <f>'Rutas AAC'!AE7</f>
        <v xml:space="preserve"> </v>
      </c>
      <c r="AU7" s="62"/>
      <c r="AV7" s="63"/>
      <c r="AW7" s="64"/>
      <c r="AX7" s="65"/>
      <c r="AY7" s="63"/>
      <c r="AZ7" s="63"/>
      <c r="BA7" s="63"/>
      <c r="BB7" s="61"/>
      <c r="BC7" s="61"/>
      <c r="BD7" s="61"/>
      <c r="BE7" s="61"/>
      <c r="BF7" s="66"/>
      <c r="BG7" s="67"/>
    </row>
    <row r="8" spans="1:59" ht="48.75" customHeight="1" x14ac:dyDescent="0.2">
      <c r="A8" s="49">
        <v>2</v>
      </c>
      <c r="B8" s="50">
        <v>34954</v>
      </c>
      <c r="C8" s="51" t="s">
        <v>74</v>
      </c>
      <c r="D8" s="51" t="s">
        <v>90</v>
      </c>
      <c r="E8" s="51" t="s">
        <v>91</v>
      </c>
      <c r="F8" s="52" t="s">
        <v>92</v>
      </c>
      <c r="G8" s="50">
        <v>104526</v>
      </c>
      <c r="H8" s="50"/>
      <c r="I8" s="50" t="s">
        <v>93</v>
      </c>
      <c r="J8" s="50" t="s">
        <v>94</v>
      </c>
      <c r="K8" s="50"/>
      <c r="L8" s="50"/>
      <c r="M8" s="50"/>
      <c r="N8" s="51" t="s">
        <v>80</v>
      </c>
      <c r="O8" s="50" t="s">
        <v>81</v>
      </c>
      <c r="P8" s="53" t="s">
        <v>82</v>
      </c>
      <c r="Q8" s="51" t="s">
        <v>95</v>
      </c>
      <c r="R8" s="51" t="s">
        <v>96</v>
      </c>
      <c r="S8" s="50" t="s">
        <v>85</v>
      </c>
      <c r="T8" s="50" t="s">
        <v>97</v>
      </c>
      <c r="U8" s="50"/>
      <c r="V8" s="50">
        <v>41</v>
      </c>
      <c r="W8" s="50">
        <v>41</v>
      </c>
      <c r="X8" s="50" t="s">
        <v>98</v>
      </c>
      <c r="Y8" s="54"/>
      <c r="Z8" s="54"/>
      <c r="AA8" s="54"/>
      <c r="AB8" s="55" t="s">
        <v>99</v>
      </c>
      <c r="AC8" s="56" t="str">
        <f t="shared" ca="1" si="0"/>
        <v>Si</v>
      </c>
      <c r="AD8" s="57">
        <v>19204</v>
      </c>
      <c r="AE8" s="58">
        <v>19204</v>
      </c>
      <c r="AF8" s="59">
        <v>44480</v>
      </c>
      <c r="AG8" s="58">
        <v>7</v>
      </c>
      <c r="AH8" s="60">
        <f t="shared" si="1"/>
        <v>46610</v>
      </c>
      <c r="AI8" s="59">
        <f t="shared" si="2"/>
        <v>46671</v>
      </c>
      <c r="AJ8" s="59">
        <f t="shared" si="3"/>
        <v>47037</v>
      </c>
      <c r="AK8" s="59"/>
      <c r="AL8" s="59"/>
      <c r="AM8" s="61" t="s">
        <v>100</v>
      </c>
      <c r="AN8" s="61">
        <v>2</v>
      </c>
      <c r="AO8" s="61"/>
      <c r="AP8" s="61"/>
      <c r="AQ8" s="61"/>
      <c r="AR8" s="50" t="s">
        <v>82</v>
      </c>
      <c r="AS8" s="50"/>
      <c r="AT8" s="50" t="str">
        <f>'Rutas AAC'!AE12</f>
        <v xml:space="preserve"> </v>
      </c>
      <c r="AU8" s="62"/>
      <c r="AV8" s="63"/>
      <c r="AW8" s="64"/>
      <c r="AX8" s="65"/>
      <c r="AY8" s="68"/>
      <c r="AZ8" s="64"/>
      <c r="BA8" s="68"/>
      <c r="BB8" s="69"/>
      <c r="BC8" s="70"/>
      <c r="BD8" s="70"/>
      <c r="BE8" s="61"/>
      <c r="BF8" s="71"/>
      <c r="BG8" s="67"/>
    </row>
    <row r="9" spans="1:59" ht="51" customHeight="1" x14ac:dyDescent="0.2">
      <c r="A9" s="49">
        <v>3</v>
      </c>
      <c r="B9" s="72">
        <v>13119</v>
      </c>
      <c r="C9" s="51" t="s">
        <v>74</v>
      </c>
      <c r="D9" s="51" t="s">
        <v>101</v>
      </c>
      <c r="E9" s="51" t="s">
        <v>102</v>
      </c>
      <c r="F9" s="52" t="s">
        <v>103</v>
      </c>
      <c r="G9" s="72">
        <v>225</v>
      </c>
      <c r="H9" s="72"/>
      <c r="I9" s="72" t="s">
        <v>104</v>
      </c>
      <c r="J9" s="72" t="s">
        <v>79</v>
      </c>
      <c r="K9" s="50"/>
      <c r="L9" s="50"/>
      <c r="M9" s="72"/>
      <c r="N9" s="51" t="s">
        <v>80</v>
      </c>
      <c r="O9" s="50" t="s">
        <v>81</v>
      </c>
      <c r="P9" s="53" t="s">
        <v>82</v>
      </c>
      <c r="Q9" s="51" t="s">
        <v>83</v>
      </c>
      <c r="R9" s="51" t="s">
        <v>84</v>
      </c>
      <c r="S9" s="50" t="s">
        <v>85</v>
      </c>
      <c r="T9" s="50" t="s">
        <v>86</v>
      </c>
      <c r="U9" s="50" t="s">
        <v>86</v>
      </c>
      <c r="V9" s="50" t="s">
        <v>86</v>
      </c>
      <c r="W9" s="50">
        <v>164</v>
      </c>
      <c r="X9" s="50" t="s">
        <v>87</v>
      </c>
      <c r="Y9" s="73" t="s">
        <v>105</v>
      </c>
      <c r="Z9" s="54"/>
      <c r="AA9" s="73" t="s">
        <v>106</v>
      </c>
      <c r="AB9" s="55">
        <v>7.0000000000000007E-2</v>
      </c>
      <c r="AC9" s="56" t="str">
        <f t="shared" ca="1" si="0"/>
        <v>Si</v>
      </c>
      <c r="AD9" s="57">
        <v>1042</v>
      </c>
      <c r="AE9" s="58">
        <v>1042</v>
      </c>
      <c r="AF9" s="59">
        <v>44960</v>
      </c>
      <c r="AG9" s="58">
        <v>7</v>
      </c>
      <c r="AH9" s="60">
        <f t="shared" si="1"/>
        <v>47090</v>
      </c>
      <c r="AI9" s="59">
        <f t="shared" si="2"/>
        <v>47152</v>
      </c>
      <c r="AJ9" s="59">
        <f t="shared" si="3"/>
        <v>47517</v>
      </c>
      <c r="AK9" s="59"/>
      <c r="AL9" s="59"/>
      <c r="AM9" s="61" t="s">
        <v>107</v>
      </c>
      <c r="AN9" s="61">
        <v>4</v>
      </c>
      <c r="AO9" s="61"/>
      <c r="AP9" s="61"/>
      <c r="AQ9" s="61"/>
      <c r="AR9" s="50" t="s">
        <v>89</v>
      </c>
      <c r="AS9" s="50" t="s">
        <v>89</v>
      </c>
      <c r="AT9" s="50" t="str">
        <f>'Rutas AAC'!AE8</f>
        <v xml:space="preserve"> </v>
      </c>
      <c r="AU9" s="57">
        <v>1042</v>
      </c>
      <c r="AV9" s="68">
        <v>44960</v>
      </c>
      <c r="AW9" s="74">
        <v>6</v>
      </c>
      <c r="AX9" s="65">
        <f t="shared" ref="AX9:AX13" si="4">EDATE(AV9,(AW9*12)-14)</f>
        <v>46724</v>
      </c>
      <c r="AY9" s="68">
        <f t="shared" ref="AY9:AY13" si="5">EDATE(AV9,(AW9*12)-12)</f>
        <v>46786</v>
      </c>
      <c r="AZ9" s="68">
        <f t="shared" ref="AZ9:AZ13" si="6">EDATE(AV9,(AW9*12))</f>
        <v>47152</v>
      </c>
      <c r="BA9" s="68">
        <f t="shared" ref="BA9:BA13" si="7">EDATE(AV9,((AW9/2)*12))</f>
        <v>46056</v>
      </c>
      <c r="BB9" s="69" t="s">
        <v>108</v>
      </c>
      <c r="BC9" s="70">
        <v>2</v>
      </c>
      <c r="BD9" s="70"/>
      <c r="BE9" s="61"/>
      <c r="BF9" s="66"/>
      <c r="BG9" s="67"/>
    </row>
    <row r="10" spans="1:59" ht="51" customHeight="1" x14ac:dyDescent="0.2">
      <c r="A10" s="49">
        <v>4</v>
      </c>
      <c r="B10" s="50">
        <v>31470</v>
      </c>
      <c r="C10" s="51" t="s">
        <v>74</v>
      </c>
      <c r="D10" s="51" t="s">
        <v>109</v>
      </c>
      <c r="E10" s="51" t="s">
        <v>110</v>
      </c>
      <c r="F10" s="52" t="s">
        <v>111</v>
      </c>
      <c r="G10" s="50">
        <v>54801</v>
      </c>
      <c r="H10" s="50"/>
      <c r="I10" s="50" t="s">
        <v>112</v>
      </c>
      <c r="J10" s="50" t="s">
        <v>113</v>
      </c>
      <c r="K10" s="50"/>
      <c r="L10" s="50"/>
      <c r="M10" s="50"/>
      <c r="N10" s="51" t="s">
        <v>80</v>
      </c>
      <c r="O10" s="50" t="s">
        <v>81</v>
      </c>
      <c r="P10" s="53" t="s">
        <v>82</v>
      </c>
      <c r="Q10" s="51" t="s">
        <v>83</v>
      </c>
      <c r="R10" s="51" t="s">
        <v>84</v>
      </c>
      <c r="S10" s="50" t="s">
        <v>85</v>
      </c>
      <c r="T10" s="50" t="s">
        <v>86</v>
      </c>
      <c r="U10" s="50" t="s">
        <v>86</v>
      </c>
      <c r="V10" s="50" t="s">
        <v>86</v>
      </c>
      <c r="W10" s="50">
        <v>182</v>
      </c>
      <c r="X10" s="50" t="s">
        <v>114</v>
      </c>
      <c r="Y10" s="73" t="s">
        <v>115</v>
      </c>
      <c r="Z10" s="54"/>
      <c r="AA10" s="54"/>
      <c r="AB10" s="55" t="s">
        <v>99</v>
      </c>
      <c r="AC10" s="56" t="str">
        <f t="shared" ca="1" si="0"/>
        <v>Si</v>
      </c>
      <c r="AD10" s="57">
        <v>1037</v>
      </c>
      <c r="AE10" s="58">
        <v>1037</v>
      </c>
      <c r="AF10" s="59">
        <v>44960</v>
      </c>
      <c r="AG10" s="58">
        <v>7</v>
      </c>
      <c r="AH10" s="60">
        <f t="shared" si="1"/>
        <v>47090</v>
      </c>
      <c r="AI10" s="59">
        <f t="shared" si="2"/>
        <v>47152</v>
      </c>
      <c r="AJ10" s="59">
        <f t="shared" si="3"/>
        <v>47517</v>
      </c>
      <c r="AK10" s="59"/>
      <c r="AL10" s="59"/>
      <c r="AM10" s="61" t="s">
        <v>116</v>
      </c>
      <c r="AN10" s="61">
        <v>4</v>
      </c>
      <c r="AO10" s="61"/>
      <c r="AP10" s="61"/>
      <c r="AQ10" s="61"/>
      <c r="AR10" s="50" t="s">
        <v>89</v>
      </c>
      <c r="AS10" s="50" t="s">
        <v>89</v>
      </c>
      <c r="AT10" s="50" t="str">
        <f>'Rutas AAC'!AE11</f>
        <v xml:space="preserve"> </v>
      </c>
      <c r="AU10" s="57">
        <v>1037</v>
      </c>
      <c r="AV10" s="68">
        <v>44960</v>
      </c>
      <c r="AW10" s="74">
        <v>6</v>
      </c>
      <c r="AX10" s="65">
        <f t="shared" si="4"/>
        <v>46724</v>
      </c>
      <c r="AY10" s="68">
        <f t="shared" si="5"/>
        <v>46786</v>
      </c>
      <c r="AZ10" s="68">
        <f t="shared" si="6"/>
        <v>47152</v>
      </c>
      <c r="BA10" s="68">
        <f t="shared" si="7"/>
        <v>46056</v>
      </c>
      <c r="BB10" s="75"/>
      <c r="BC10" s="70">
        <v>1</v>
      </c>
      <c r="BD10" s="75"/>
      <c r="BE10" s="61">
        <v>2013</v>
      </c>
      <c r="BF10" s="71"/>
      <c r="BG10" s="67"/>
    </row>
    <row r="11" spans="1:59" ht="61.5" customHeight="1" x14ac:dyDescent="0.2">
      <c r="A11" s="49">
        <v>5</v>
      </c>
      <c r="B11" s="72">
        <v>31015</v>
      </c>
      <c r="C11" s="51" t="s">
        <v>74</v>
      </c>
      <c r="D11" s="51" t="s">
        <v>117</v>
      </c>
      <c r="E11" s="51" t="s">
        <v>118</v>
      </c>
      <c r="F11" s="52" t="s">
        <v>119</v>
      </c>
      <c r="G11" s="50">
        <v>4963</v>
      </c>
      <c r="H11" s="50"/>
      <c r="I11" s="50" t="s">
        <v>120</v>
      </c>
      <c r="J11" s="50" t="s">
        <v>79</v>
      </c>
      <c r="K11" s="50"/>
      <c r="L11" s="76"/>
      <c r="M11" s="51"/>
      <c r="N11" s="51" t="s">
        <v>80</v>
      </c>
      <c r="O11" s="50" t="s">
        <v>81</v>
      </c>
      <c r="P11" s="53" t="s">
        <v>82</v>
      </c>
      <c r="Q11" s="51" t="s">
        <v>83</v>
      </c>
      <c r="R11" s="51" t="s">
        <v>84</v>
      </c>
      <c r="S11" s="50" t="s">
        <v>85</v>
      </c>
      <c r="T11" s="50" t="s">
        <v>86</v>
      </c>
      <c r="U11" s="50" t="s">
        <v>86</v>
      </c>
      <c r="V11" s="50" t="s">
        <v>86</v>
      </c>
      <c r="W11" s="50">
        <v>149</v>
      </c>
      <c r="X11" s="50" t="s">
        <v>121</v>
      </c>
      <c r="Y11" s="73" t="s">
        <v>122</v>
      </c>
      <c r="Z11" s="54"/>
      <c r="AA11" s="73" t="s">
        <v>123</v>
      </c>
      <c r="AB11" s="55" t="s">
        <v>99</v>
      </c>
      <c r="AC11" s="56" t="str">
        <f t="shared" ca="1" si="0"/>
        <v>Si</v>
      </c>
      <c r="AD11" s="57">
        <v>6400</v>
      </c>
      <c r="AE11" s="58">
        <v>6400</v>
      </c>
      <c r="AF11" s="59">
        <v>45036</v>
      </c>
      <c r="AG11" s="58">
        <v>7</v>
      </c>
      <c r="AH11" s="60">
        <f t="shared" si="1"/>
        <v>47169</v>
      </c>
      <c r="AI11" s="59">
        <f t="shared" si="2"/>
        <v>47228</v>
      </c>
      <c r="AJ11" s="59">
        <f t="shared" si="3"/>
        <v>47593</v>
      </c>
      <c r="AK11" s="59"/>
      <c r="AL11" s="59"/>
      <c r="AM11" s="61" t="s">
        <v>124</v>
      </c>
      <c r="AN11" s="61">
        <v>5</v>
      </c>
      <c r="AO11" s="61"/>
      <c r="AP11" s="61"/>
      <c r="AQ11" s="61"/>
      <c r="AR11" s="50" t="s">
        <v>89</v>
      </c>
      <c r="AS11" s="50" t="s">
        <v>89</v>
      </c>
      <c r="AT11" s="50" t="str">
        <f>'Rutas AAC'!AE9</f>
        <v xml:space="preserve"> </v>
      </c>
      <c r="AU11" s="57">
        <v>6400</v>
      </c>
      <c r="AV11" s="68">
        <v>45036</v>
      </c>
      <c r="AW11" s="74">
        <v>6</v>
      </c>
      <c r="AX11" s="65">
        <f t="shared" si="4"/>
        <v>46803</v>
      </c>
      <c r="AY11" s="68">
        <f t="shared" si="5"/>
        <v>46863</v>
      </c>
      <c r="AZ11" s="68">
        <f t="shared" si="6"/>
        <v>47228</v>
      </c>
      <c r="BA11" s="68">
        <f t="shared" si="7"/>
        <v>46132</v>
      </c>
      <c r="BB11" s="77"/>
      <c r="BC11" s="77" t="s">
        <v>125</v>
      </c>
      <c r="BD11" s="77"/>
      <c r="BE11" s="61"/>
      <c r="BF11" s="78"/>
      <c r="BG11" s="79"/>
    </row>
    <row r="12" spans="1:59" ht="42" customHeight="1" x14ac:dyDescent="0.2">
      <c r="A12" s="49">
        <v>6</v>
      </c>
      <c r="B12" s="72">
        <v>31214</v>
      </c>
      <c r="C12" s="51" t="s">
        <v>74</v>
      </c>
      <c r="D12" s="51" t="s">
        <v>126</v>
      </c>
      <c r="E12" s="51" t="s">
        <v>127</v>
      </c>
      <c r="F12" s="52" t="s">
        <v>128</v>
      </c>
      <c r="G12" s="50">
        <v>11067</v>
      </c>
      <c r="H12" s="50"/>
      <c r="I12" s="50" t="s">
        <v>78</v>
      </c>
      <c r="J12" s="50" t="s">
        <v>94</v>
      </c>
      <c r="K12" s="50"/>
      <c r="L12" s="50"/>
      <c r="M12" s="76"/>
      <c r="N12" s="51" t="s">
        <v>80</v>
      </c>
      <c r="O12" s="50" t="s">
        <v>81</v>
      </c>
      <c r="P12" s="53" t="s">
        <v>82</v>
      </c>
      <c r="Q12" s="51" t="s">
        <v>83</v>
      </c>
      <c r="R12" s="51" t="s">
        <v>84</v>
      </c>
      <c r="S12" s="50" t="s">
        <v>85</v>
      </c>
      <c r="T12" s="50" t="s">
        <v>86</v>
      </c>
      <c r="U12" s="50" t="s">
        <v>86</v>
      </c>
      <c r="V12" s="50" t="s">
        <v>86</v>
      </c>
      <c r="W12" s="50">
        <v>170</v>
      </c>
      <c r="X12" s="50" t="s">
        <v>87</v>
      </c>
      <c r="Y12" s="54"/>
      <c r="Z12" s="54"/>
      <c r="AA12" s="54"/>
      <c r="AB12" s="55" t="s">
        <v>99</v>
      </c>
      <c r="AC12" s="56" t="str">
        <f t="shared" ca="1" si="0"/>
        <v>Si</v>
      </c>
      <c r="AD12" s="57">
        <v>6402</v>
      </c>
      <c r="AE12" s="58">
        <v>6402</v>
      </c>
      <c r="AF12" s="59">
        <v>45036</v>
      </c>
      <c r="AG12" s="58">
        <v>7</v>
      </c>
      <c r="AH12" s="60">
        <f t="shared" si="1"/>
        <v>47169</v>
      </c>
      <c r="AI12" s="59">
        <f t="shared" si="2"/>
        <v>47228</v>
      </c>
      <c r="AJ12" s="59">
        <f t="shared" si="3"/>
        <v>47593</v>
      </c>
      <c r="AK12" s="59"/>
      <c r="AL12" s="59"/>
      <c r="AM12" s="61" t="s">
        <v>129</v>
      </c>
      <c r="AN12" s="61">
        <v>4</v>
      </c>
      <c r="AO12" s="61"/>
      <c r="AP12" s="61"/>
      <c r="AQ12" s="61"/>
      <c r="AR12" s="50" t="s">
        <v>89</v>
      </c>
      <c r="AS12" s="50" t="s">
        <v>89</v>
      </c>
      <c r="AT12" s="50" t="str">
        <f>'Rutas AAC'!AE10</f>
        <v xml:space="preserve"> </v>
      </c>
      <c r="AU12" s="57">
        <v>6402</v>
      </c>
      <c r="AV12" s="68">
        <v>45036</v>
      </c>
      <c r="AW12" s="74">
        <v>4</v>
      </c>
      <c r="AX12" s="65">
        <f t="shared" si="4"/>
        <v>46073</v>
      </c>
      <c r="AY12" s="68">
        <f t="shared" si="5"/>
        <v>46132</v>
      </c>
      <c r="AZ12" s="68">
        <f t="shared" si="6"/>
        <v>46497</v>
      </c>
      <c r="BA12" s="68">
        <f t="shared" si="7"/>
        <v>45767</v>
      </c>
      <c r="BB12" s="69"/>
      <c r="BC12" s="70">
        <v>1</v>
      </c>
      <c r="BD12" s="70"/>
      <c r="BE12" s="61"/>
      <c r="BF12" s="66"/>
      <c r="BG12" s="67"/>
    </row>
    <row r="13" spans="1:59" ht="60" customHeight="1" x14ac:dyDescent="0.2">
      <c r="A13" s="80">
        <v>7</v>
      </c>
      <c r="B13" s="50">
        <v>21442</v>
      </c>
      <c r="C13" s="51" t="s">
        <v>130</v>
      </c>
      <c r="D13" s="51" t="s">
        <v>131</v>
      </c>
      <c r="E13" s="51" t="s">
        <v>132</v>
      </c>
      <c r="F13" s="52" t="s">
        <v>133</v>
      </c>
      <c r="G13" s="50">
        <v>3833</v>
      </c>
      <c r="H13" s="50"/>
      <c r="I13" s="50" t="s">
        <v>134</v>
      </c>
      <c r="J13" s="50" t="s">
        <v>79</v>
      </c>
      <c r="K13" s="50"/>
      <c r="L13" s="50"/>
      <c r="M13" s="50"/>
      <c r="N13" s="81" t="s">
        <v>135</v>
      </c>
      <c r="O13" s="50" t="s">
        <v>81</v>
      </c>
      <c r="P13" s="53" t="s">
        <v>136</v>
      </c>
      <c r="Q13" s="51" t="s">
        <v>83</v>
      </c>
      <c r="R13" s="51" t="s">
        <v>84</v>
      </c>
      <c r="S13" s="50" t="s">
        <v>85</v>
      </c>
      <c r="T13" s="50" t="s">
        <v>86</v>
      </c>
      <c r="U13" s="50" t="s">
        <v>86</v>
      </c>
      <c r="V13" s="50" t="s">
        <v>86</v>
      </c>
      <c r="W13" s="50">
        <v>166</v>
      </c>
      <c r="X13" s="50" t="s">
        <v>87</v>
      </c>
      <c r="Y13" s="54" t="s">
        <v>137</v>
      </c>
      <c r="Z13" s="82"/>
      <c r="AA13" s="54"/>
      <c r="AB13" s="55" t="s">
        <v>99</v>
      </c>
      <c r="AC13" s="56" t="str">
        <f t="shared" ca="1" si="0"/>
        <v>Si</v>
      </c>
      <c r="AD13" s="57" t="s">
        <v>138</v>
      </c>
      <c r="AE13" s="58">
        <v>13200</v>
      </c>
      <c r="AF13" s="59">
        <v>44029</v>
      </c>
      <c r="AG13" s="58">
        <v>7</v>
      </c>
      <c r="AH13" s="60">
        <f t="shared" si="1"/>
        <v>46159</v>
      </c>
      <c r="AI13" s="59">
        <f t="shared" si="2"/>
        <v>46220</v>
      </c>
      <c r="AJ13" s="59">
        <f t="shared" si="3"/>
        <v>46585</v>
      </c>
      <c r="AK13" s="59"/>
      <c r="AL13" s="59"/>
      <c r="AM13" s="61" t="s">
        <v>139</v>
      </c>
      <c r="AN13" s="61">
        <v>4</v>
      </c>
      <c r="AO13" s="61"/>
      <c r="AP13" s="61"/>
      <c r="AQ13" s="61"/>
      <c r="AR13" s="50" t="s">
        <v>89</v>
      </c>
      <c r="AS13" s="50" t="s">
        <v>89</v>
      </c>
      <c r="AT13" s="50" t="str">
        <f>'Rutas AAC'!AE14</f>
        <v xml:space="preserve"> </v>
      </c>
      <c r="AU13" s="57">
        <v>13200</v>
      </c>
      <c r="AV13" s="68">
        <v>44029</v>
      </c>
      <c r="AW13" s="74">
        <v>6</v>
      </c>
      <c r="AX13" s="65">
        <f t="shared" si="4"/>
        <v>45794</v>
      </c>
      <c r="AY13" s="68">
        <f t="shared" si="5"/>
        <v>45855</v>
      </c>
      <c r="AZ13" s="68">
        <f t="shared" si="6"/>
        <v>46220</v>
      </c>
      <c r="BA13" s="68">
        <f t="shared" si="7"/>
        <v>45124</v>
      </c>
      <c r="BB13" s="69" t="s">
        <v>140</v>
      </c>
      <c r="BC13" s="70">
        <v>1</v>
      </c>
      <c r="BD13" s="70"/>
      <c r="BE13" s="61">
        <v>2013</v>
      </c>
      <c r="BF13" s="83" t="s">
        <v>141</v>
      </c>
      <c r="BG13" s="67"/>
    </row>
    <row r="14" spans="1:59" ht="42" customHeight="1" x14ac:dyDescent="0.2">
      <c r="A14" s="80">
        <v>8</v>
      </c>
      <c r="B14" s="50">
        <v>32096</v>
      </c>
      <c r="C14" s="51" t="s">
        <v>142</v>
      </c>
      <c r="D14" s="51" t="s">
        <v>143</v>
      </c>
      <c r="E14" s="51" t="s">
        <v>144</v>
      </c>
      <c r="F14" s="52" t="s">
        <v>145</v>
      </c>
      <c r="G14" s="50">
        <v>103292</v>
      </c>
      <c r="H14" s="50"/>
      <c r="I14" s="50" t="s">
        <v>146</v>
      </c>
      <c r="J14" s="50" t="s">
        <v>79</v>
      </c>
      <c r="K14" s="50"/>
      <c r="L14" s="50"/>
      <c r="M14" s="84"/>
      <c r="N14" s="51" t="s">
        <v>80</v>
      </c>
      <c r="O14" s="50" t="s">
        <v>147</v>
      </c>
      <c r="P14" s="53" t="s">
        <v>82</v>
      </c>
      <c r="Q14" s="51" t="s">
        <v>148</v>
      </c>
      <c r="R14" s="51" t="s">
        <v>96</v>
      </c>
      <c r="S14" s="50" t="s">
        <v>85</v>
      </c>
      <c r="T14" s="50" t="s">
        <v>97</v>
      </c>
      <c r="U14" s="50" t="s">
        <v>86</v>
      </c>
      <c r="V14" s="50">
        <v>27</v>
      </c>
      <c r="W14" s="50">
        <v>27</v>
      </c>
      <c r="X14" s="50" t="s">
        <v>149</v>
      </c>
      <c r="Y14" s="54"/>
      <c r="Z14" s="54"/>
      <c r="AA14" s="54"/>
      <c r="AB14" s="55">
        <v>0.25</v>
      </c>
      <c r="AC14" s="56" t="str">
        <f t="shared" ca="1" si="0"/>
        <v>Si</v>
      </c>
      <c r="AD14" s="57">
        <v>3293</v>
      </c>
      <c r="AE14" s="58">
        <v>3293</v>
      </c>
      <c r="AF14" s="59">
        <v>44258</v>
      </c>
      <c r="AG14" s="58">
        <v>7</v>
      </c>
      <c r="AH14" s="60">
        <f t="shared" si="1"/>
        <v>46390</v>
      </c>
      <c r="AI14" s="59">
        <f t="shared" si="2"/>
        <v>46449</v>
      </c>
      <c r="AJ14" s="59">
        <f t="shared" si="3"/>
        <v>46815</v>
      </c>
      <c r="AK14" s="59"/>
      <c r="AL14" s="59"/>
      <c r="AM14" s="61" t="s">
        <v>150</v>
      </c>
      <c r="AN14" s="61">
        <v>2</v>
      </c>
      <c r="AO14" s="61"/>
      <c r="AP14" s="61"/>
      <c r="AQ14" s="61"/>
      <c r="AR14" s="50" t="s">
        <v>86</v>
      </c>
      <c r="AS14" s="50"/>
      <c r="AT14" s="50" t="str">
        <f>'Rutas AAC'!AE19</f>
        <v xml:space="preserve"> </v>
      </c>
      <c r="AU14" s="62" t="s">
        <v>86</v>
      </c>
      <c r="AV14" s="63" t="s">
        <v>86</v>
      </c>
      <c r="AW14" s="64" t="s">
        <v>86</v>
      </c>
      <c r="AX14" s="85" t="s">
        <v>86</v>
      </c>
      <c r="AY14" s="64" t="s">
        <v>86</v>
      </c>
      <c r="AZ14" s="64" t="s">
        <v>86</v>
      </c>
      <c r="BA14" s="68"/>
      <c r="BB14" s="69"/>
      <c r="BC14" s="70"/>
      <c r="BD14" s="70"/>
      <c r="BE14" s="61"/>
      <c r="BF14" s="66"/>
      <c r="BG14" s="67"/>
    </row>
    <row r="15" spans="1:59" ht="42" customHeight="1" x14ac:dyDescent="0.2">
      <c r="A15" s="80">
        <v>9</v>
      </c>
      <c r="B15" s="50">
        <v>35059</v>
      </c>
      <c r="C15" s="51" t="s">
        <v>130</v>
      </c>
      <c r="D15" s="51" t="s">
        <v>151</v>
      </c>
      <c r="E15" s="86" t="s">
        <v>152</v>
      </c>
      <c r="F15" s="50" t="s">
        <v>153</v>
      </c>
      <c r="G15" s="50">
        <v>104846</v>
      </c>
      <c r="H15" s="50"/>
      <c r="I15" s="50" t="s">
        <v>154</v>
      </c>
      <c r="J15" s="50" t="s">
        <v>79</v>
      </c>
      <c r="K15" s="50"/>
      <c r="L15" s="50"/>
      <c r="M15" s="50"/>
      <c r="N15" s="51" t="s">
        <v>80</v>
      </c>
      <c r="O15" s="50" t="s">
        <v>155</v>
      </c>
      <c r="P15" s="53" t="s">
        <v>82</v>
      </c>
      <c r="Q15" s="51" t="s">
        <v>148</v>
      </c>
      <c r="R15" s="51" t="s">
        <v>96</v>
      </c>
      <c r="S15" s="50" t="s">
        <v>85</v>
      </c>
      <c r="T15" s="50" t="s">
        <v>97</v>
      </c>
      <c r="U15" s="50" t="s">
        <v>86</v>
      </c>
      <c r="V15" s="50">
        <v>27</v>
      </c>
      <c r="W15" s="50">
        <v>27</v>
      </c>
      <c r="X15" s="50" t="s">
        <v>156</v>
      </c>
      <c r="Y15" s="54"/>
      <c r="Z15" s="54"/>
      <c r="AA15" s="54"/>
      <c r="AB15" s="55">
        <v>0.25</v>
      </c>
      <c r="AC15" s="56" t="str">
        <f t="shared" ca="1" si="0"/>
        <v>Si</v>
      </c>
      <c r="AD15" s="57">
        <v>2116</v>
      </c>
      <c r="AE15" s="58">
        <v>2116</v>
      </c>
      <c r="AF15" s="59">
        <v>44617</v>
      </c>
      <c r="AG15" s="58">
        <v>7</v>
      </c>
      <c r="AH15" s="60">
        <f t="shared" si="1"/>
        <v>46746</v>
      </c>
      <c r="AI15" s="59">
        <f t="shared" si="2"/>
        <v>46808</v>
      </c>
      <c r="AJ15" s="59">
        <f t="shared" si="3"/>
        <v>47174</v>
      </c>
      <c r="AK15" s="59"/>
      <c r="AL15" s="59"/>
      <c r="AM15" s="61" t="s">
        <v>157</v>
      </c>
      <c r="AN15" s="61">
        <v>2</v>
      </c>
      <c r="AO15" s="61"/>
      <c r="AP15" s="61"/>
      <c r="AQ15" s="61"/>
      <c r="AR15" s="50" t="s">
        <v>86</v>
      </c>
      <c r="AS15" s="50"/>
      <c r="AT15" s="50" t="str">
        <f>'Rutas AAC'!AE25</f>
        <v xml:space="preserve"> </v>
      </c>
      <c r="AU15" s="62" t="s">
        <v>86</v>
      </c>
      <c r="AV15" s="63" t="s">
        <v>86</v>
      </c>
      <c r="AW15" s="64" t="s">
        <v>86</v>
      </c>
      <c r="AX15" s="85" t="s">
        <v>86</v>
      </c>
      <c r="AY15" s="64" t="s">
        <v>86</v>
      </c>
      <c r="AZ15" s="64" t="s">
        <v>86</v>
      </c>
      <c r="BA15" s="68"/>
      <c r="BB15" s="87"/>
      <c r="BC15" s="70"/>
      <c r="BD15" s="70"/>
      <c r="BE15" s="61"/>
      <c r="BF15" s="88"/>
      <c r="BG15" s="67"/>
    </row>
    <row r="16" spans="1:59" ht="42" customHeight="1" x14ac:dyDescent="0.2">
      <c r="A16" s="80"/>
      <c r="B16" s="50"/>
      <c r="C16" s="51"/>
      <c r="D16" s="51"/>
      <c r="E16" s="51"/>
      <c r="F16" s="52"/>
      <c r="G16" s="50"/>
      <c r="H16" s="50"/>
      <c r="I16" s="50"/>
      <c r="J16" s="50"/>
      <c r="K16" s="50"/>
      <c r="L16" s="50"/>
      <c r="M16" s="50"/>
      <c r="N16" s="51"/>
      <c r="O16" s="50"/>
      <c r="P16" s="53"/>
      <c r="Q16" s="51"/>
      <c r="R16" s="51"/>
      <c r="S16" s="50"/>
      <c r="T16" s="50"/>
      <c r="U16" s="50"/>
      <c r="V16" s="50"/>
      <c r="W16" s="50"/>
      <c r="X16" s="50"/>
      <c r="Y16" s="89"/>
      <c r="Z16" s="54"/>
      <c r="AA16" s="54"/>
      <c r="AB16" s="55"/>
      <c r="AC16" s="56"/>
      <c r="AD16" s="90"/>
      <c r="AE16" s="58"/>
      <c r="AF16" s="59"/>
      <c r="AG16" s="58"/>
      <c r="AH16" s="60"/>
      <c r="AI16" s="59"/>
      <c r="AJ16" s="59"/>
      <c r="AK16" s="59"/>
      <c r="AL16" s="59"/>
      <c r="AM16" s="61"/>
      <c r="AN16" s="61"/>
      <c r="AO16" s="61"/>
      <c r="AP16" s="61"/>
      <c r="AQ16" s="61"/>
      <c r="AR16" s="50"/>
      <c r="AS16" s="50"/>
      <c r="AT16" s="50"/>
      <c r="AU16" s="90"/>
      <c r="AV16" s="68"/>
      <c r="AW16" s="74"/>
      <c r="AX16" s="65"/>
      <c r="AY16" s="68"/>
      <c r="AZ16" s="68"/>
      <c r="BA16" s="68"/>
      <c r="BB16" s="69"/>
      <c r="BC16" s="70"/>
      <c r="BD16" s="70"/>
      <c r="BE16" s="61"/>
      <c r="BF16" s="91"/>
      <c r="BG16" s="67"/>
    </row>
    <row r="17" spans="1:59" ht="42" customHeight="1" x14ac:dyDescent="0.2">
      <c r="A17" s="80">
        <v>11</v>
      </c>
      <c r="B17" s="50">
        <v>35717</v>
      </c>
      <c r="C17" s="51" t="s">
        <v>130</v>
      </c>
      <c r="D17" s="51" t="s">
        <v>158</v>
      </c>
      <c r="E17" s="51" t="s">
        <v>159</v>
      </c>
      <c r="F17" s="52" t="s">
        <v>160</v>
      </c>
      <c r="G17" s="50">
        <v>104677</v>
      </c>
      <c r="H17" s="50"/>
      <c r="I17" s="50" t="s">
        <v>161</v>
      </c>
      <c r="J17" s="50" t="s">
        <v>94</v>
      </c>
      <c r="K17" s="50"/>
      <c r="L17" s="50"/>
      <c r="M17" s="50"/>
      <c r="N17" s="51" t="s">
        <v>80</v>
      </c>
      <c r="O17" s="50" t="s">
        <v>147</v>
      </c>
      <c r="P17" s="53" t="s">
        <v>82</v>
      </c>
      <c r="Q17" s="51" t="s">
        <v>95</v>
      </c>
      <c r="R17" s="51" t="s">
        <v>96</v>
      </c>
      <c r="S17" s="50" t="s">
        <v>85</v>
      </c>
      <c r="T17" s="50" t="s">
        <v>162</v>
      </c>
      <c r="U17" s="50">
        <v>52</v>
      </c>
      <c r="V17" s="50" t="s">
        <v>86</v>
      </c>
      <c r="W17" s="50">
        <v>52</v>
      </c>
      <c r="X17" s="50" t="s">
        <v>163</v>
      </c>
      <c r="Y17" s="54"/>
      <c r="Z17" s="54"/>
      <c r="AA17" s="54"/>
      <c r="AB17" s="55">
        <v>0.25</v>
      </c>
      <c r="AC17" s="56" t="str">
        <f t="shared" ref="AC17:AC27" ca="1" si="8">IF(AJ17&gt;TODAY(),"Si","No")</f>
        <v>Si</v>
      </c>
      <c r="AD17" s="57">
        <v>9952</v>
      </c>
      <c r="AE17" s="58">
        <v>9952</v>
      </c>
      <c r="AF17" s="59">
        <v>44715</v>
      </c>
      <c r="AG17" s="58">
        <v>7</v>
      </c>
      <c r="AH17" s="60">
        <f t="shared" ref="AH17:AH19" si="9">EDATE(AF17,(AG17*12)-14)</f>
        <v>46846</v>
      </c>
      <c r="AI17" s="59">
        <f t="shared" ref="AI17:AI19" si="10">EDATE(AF17,(AG17*12)-12)</f>
        <v>46907</v>
      </c>
      <c r="AJ17" s="59">
        <f t="shared" ref="AJ17:AJ124" si="11">EDATE(AF17,AG17*12)</f>
        <v>47272</v>
      </c>
      <c r="AK17" s="59"/>
      <c r="AL17" s="59"/>
      <c r="AM17" s="61" t="s">
        <v>164</v>
      </c>
      <c r="AN17" s="61">
        <v>2</v>
      </c>
      <c r="AO17" s="61"/>
      <c r="AP17" s="61"/>
      <c r="AQ17" s="61"/>
      <c r="AR17" s="50" t="s">
        <v>82</v>
      </c>
      <c r="AS17" s="50"/>
      <c r="AT17" s="50" t="str">
        <f>'Rutas AAC'!AE23</f>
        <v xml:space="preserve"> </v>
      </c>
      <c r="AU17" s="62"/>
      <c r="AV17" s="63"/>
      <c r="AW17" s="64"/>
      <c r="AX17" s="92"/>
      <c r="AY17" s="63"/>
      <c r="AZ17" s="93"/>
      <c r="BA17" s="68"/>
      <c r="BB17" s="69"/>
      <c r="BC17" s="70"/>
      <c r="BD17" s="70"/>
      <c r="BE17" s="61"/>
      <c r="BF17" s="71"/>
      <c r="BG17" s="67"/>
    </row>
    <row r="18" spans="1:59" ht="42" customHeight="1" x14ac:dyDescent="0.2">
      <c r="A18" s="80">
        <v>12</v>
      </c>
      <c r="B18" s="50">
        <v>29057</v>
      </c>
      <c r="C18" s="51" t="s">
        <v>130</v>
      </c>
      <c r="D18" s="51" t="s">
        <v>165</v>
      </c>
      <c r="E18" s="51" t="s">
        <v>166</v>
      </c>
      <c r="F18" s="52" t="s">
        <v>167</v>
      </c>
      <c r="G18" s="50">
        <v>103231</v>
      </c>
      <c r="H18" s="50"/>
      <c r="I18" s="50" t="s">
        <v>168</v>
      </c>
      <c r="J18" s="50" t="s">
        <v>94</v>
      </c>
      <c r="K18" s="50"/>
      <c r="L18" s="50"/>
      <c r="M18" s="50"/>
      <c r="N18" s="51" t="s">
        <v>80</v>
      </c>
      <c r="O18" s="50" t="s">
        <v>147</v>
      </c>
      <c r="P18" s="53" t="s">
        <v>82</v>
      </c>
      <c r="Q18" s="51" t="s">
        <v>169</v>
      </c>
      <c r="R18" s="51" t="s">
        <v>96</v>
      </c>
      <c r="S18" s="50" t="s">
        <v>85</v>
      </c>
      <c r="T18" s="50" t="s">
        <v>162</v>
      </c>
      <c r="U18" s="50">
        <v>130</v>
      </c>
      <c r="V18" s="50" t="s">
        <v>86</v>
      </c>
      <c r="W18" s="50">
        <v>130</v>
      </c>
      <c r="X18" s="50" t="s">
        <v>170</v>
      </c>
      <c r="Y18" s="54"/>
      <c r="Z18" s="54"/>
      <c r="AA18" s="54"/>
      <c r="AB18" s="55">
        <v>0.25</v>
      </c>
      <c r="AC18" s="56" t="str">
        <f t="shared" ca="1" si="8"/>
        <v>Si</v>
      </c>
      <c r="AD18" s="57">
        <v>12973</v>
      </c>
      <c r="AE18" s="58">
        <v>12973</v>
      </c>
      <c r="AF18" s="59">
        <v>44748</v>
      </c>
      <c r="AG18" s="58">
        <v>7</v>
      </c>
      <c r="AH18" s="60">
        <f t="shared" si="9"/>
        <v>46879</v>
      </c>
      <c r="AI18" s="59">
        <f t="shared" si="10"/>
        <v>46940</v>
      </c>
      <c r="AJ18" s="59">
        <f t="shared" si="11"/>
        <v>47305</v>
      </c>
      <c r="AK18" s="59"/>
      <c r="AL18" s="59"/>
      <c r="AM18" s="61" t="s">
        <v>171</v>
      </c>
      <c r="AN18" s="61">
        <v>3</v>
      </c>
      <c r="AO18" s="61"/>
      <c r="AP18" s="61"/>
      <c r="AQ18" s="61"/>
      <c r="AR18" s="50" t="s">
        <v>82</v>
      </c>
      <c r="AS18" s="50"/>
      <c r="AT18" s="50" t="str">
        <f>'Rutas AAC'!AE18</f>
        <v xml:space="preserve"> </v>
      </c>
      <c r="AU18" s="62"/>
      <c r="AV18" s="63"/>
      <c r="AW18" s="64"/>
      <c r="AX18" s="92"/>
      <c r="AY18" s="63"/>
      <c r="AZ18" s="93"/>
      <c r="BA18" s="68"/>
      <c r="BB18" s="69"/>
      <c r="BC18" s="70"/>
      <c r="BD18" s="70"/>
      <c r="BE18" s="61"/>
      <c r="BF18" s="71"/>
      <c r="BG18" s="67"/>
    </row>
    <row r="19" spans="1:59" ht="42" customHeight="1" x14ac:dyDescent="0.2">
      <c r="A19" s="80">
        <v>13</v>
      </c>
      <c r="B19" s="50">
        <v>21910</v>
      </c>
      <c r="C19" s="51" t="s">
        <v>130</v>
      </c>
      <c r="D19" s="51" t="s">
        <v>172</v>
      </c>
      <c r="E19" s="51" t="s">
        <v>173</v>
      </c>
      <c r="F19" s="52" t="s">
        <v>174</v>
      </c>
      <c r="G19" s="50">
        <v>9833</v>
      </c>
      <c r="H19" s="50"/>
      <c r="I19" s="50" t="s">
        <v>175</v>
      </c>
      <c r="J19" s="50" t="s">
        <v>79</v>
      </c>
      <c r="K19" s="50"/>
      <c r="L19" s="50"/>
      <c r="M19" s="50"/>
      <c r="N19" s="51" t="s">
        <v>80</v>
      </c>
      <c r="O19" s="50" t="s">
        <v>81</v>
      </c>
      <c r="P19" s="53" t="s">
        <v>82</v>
      </c>
      <c r="Q19" s="51" t="s">
        <v>83</v>
      </c>
      <c r="R19" s="51" t="s">
        <v>84</v>
      </c>
      <c r="S19" s="50" t="s">
        <v>85</v>
      </c>
      <c r="T19" s="50" t="s">
        <v>86</v>
      </c>
      <c r="U19" s="50" t="s">
        <v>86</v>
      </c>
      <c r="V19" s="50" t="s">
        <v>86</v>
      </c>
      <c r="W19" s="50">
        <v>157</v>
      </c>
      <c r="X19" s="50" t="s">
        <v>87</v>
      </c>
      <c r="Y19" s="54" t="s">
        <v>176</v>
      </c>
      <c r="Z19" s="54"/>
      <c r="AA19" s="73" t="s">
        <v>177</v>
      </c>
      <c r="AB19" s="55">
        <v>0.2</v>
      </c>
      <c r="AC19" s="56" t="str">
        <f t="shared" ca="1" si="8"/>
        <v>Si</v>
      </c>
      <c r="AD19" s="94">
        <v>8482</v>
      </c>
      <c r="AE19" s="95">
        <f>AD19</f>
        <v>8482</v>
      </c>
      <c r="AF19" s="59">
        <v>45771</v>
      </c>
      <c r="AG19" s="58">
        <v>7</v>
      </c>
      <c r="AH19" s="60">
        <f t="shared" si="9"/>
        <v>47903</v>
      </c>
      <c r="AI19" s="59">
        <f t="shared" si="10"/>
        <v>47962</v>
      </c>
      <c r="AJ19" s="59">
        <f t="shared" si="11"/>
        <v>48328</v>
      </c>
      <c r="AK19" s="59"/>
      <c r="AL19" s="59"/>
      <c r="AM19" s="61" t="s">
        <v>178</v>
      </c>
      <c r="AN19" s="61">
        <v>3</v>
      </c>
      <c r="AO19" s="61"/>
      <c r="AP19" s="61"/>
      <c r="AQ19" s="61"/>
      <c r="AR19" s="50" t="s">
        <v>89</v>
      </c>
      <c r="AS19" s="96" t="s">
        <v>179</v>
      </c>
      <c r="AT19" s="50" t="str">
        <f>'Rutas AAC'!AE16</f>
        <v xml:space="preserve"> </v>
      </c>
      <c r="AU19" s="94">
        <v>8482</v>
      </c>
      <c r="AV19" s="68">
        <v>45771</v>
      </c>
      <c r="AW19" s="74">
        <v>6</v>
      </c>
      <c r="AX19" s="65">
        <f>EDATE(AV19,(AW19*12)-14)</f>
        <v>47538</v>
      </c>
      <c r="AY19" s="68">
        <f>EDATE(AV19,(AW19*12)-12)</f>
        <v>47597</v>
      </c>
      <c r="AZ19" s="68">
        <f>EDATE(AV19,(AW19*12))</f>
        <v>47962</v>
      </c>
      <c r="BA19" s="68">
        <f>EDATE(AV19,((AW19/2)*12))</f>
        <v>46867</v>
      </c>
      <c r="BB19" s="75"/>
      <c r="BC19" s="75">
        <v>1</v>
      </c>
      <c r="BD19" s="75"/>
      <c r="BE19" s="61">
        <v>2018</v>
      </c>
      <c r="BF19" s="66" t="s">
        <v>180</v>
      </c>
      <c r="BG19" s="67" t="s">
        <v>181</v>
      </c>
    </row>
    <row r="20" spans="1:59" ht="89.25" customHeight="1" x14ac:dyDescent="0.2">
      <c r="A20" s="97">
        <v>14</v>
      </c>
      <c r="B20" s="50">
        <v>22635</v>
      </c>
      <c r="C20" s="51" t="s">
        <v>182</v>
      </c>
      <c r="D20" s="51" t="s">
        <v>183</v>
      </c>
      <c r="E20" s="51" t="s">
        <v>184</v>
      </c>
      <c r="F20" s="52" t="s">
        <v>185</v>
      </c>
      <c r="G20" s="50">
        <v>235</v>
      </c>
      <c r="H20" s="50"/>
      <c r="I20" s="50" t="s">
        <v>186</v>
      </c>
      <c r="J20" s="50" t="s">
        <v>79</v>
      </c>
      <c r="K20" s="50"/>
      <c r="L20" s="50"/>
      <c r="M20" s="50"/>
      <c r="N20" s="51" t="s">
        <v>80</v>
      </c>
      <c r="O20" s="50" t="s">
        <v>187</v>
      </c>
      <c r="P20" s="53" t="s">
        <v>82</v>
      </c>
      <c r="Q20" s="51" t="s">
        <v>83</v>
      </c>
      <c r="R20" s="51" t="s">
        <v>84</v>
      </c>
      <c r="S20" s="50" t="s">
        <v>85</v>
      </c>
      <c r="T20" s="50" t="s">
        <v>86</v>
      </c>
      <c r="U20" s="50" t="s">
        <v>86</v>
      </c>
      <c r="V20" s="50" t="s">
        <v>86</v>
      </c>
      <c r="W20" s="50">
        <v>160</v>
      </c>
      <c r="X20" s="50" t="s">
        <v>87</v>
      </c>
      <c r="Y20" s="98" t="s">
        <v>188</v>
      </c>
      <c r="Z20" s="54"/>
      <c r="AA20" s="54" t="s">
        <v>189</v>
      </c>
      <c r="AB20" s="99">
        <v>3.7499999999999999E-2</v>
      </c>
      <c r="AC20" s="56" t="str">
        <f t="shared" ca="1" si="8"/>
        <v>Si</v>
      </c>
      <c r="AD20" s="100">
        <v>23503</v>
      </c>
      <c r="AE20" s="58">
        <v>23503</v>
      </c>
      <c r="AF20" s="101">
        <v>45989</v>
      </c>
      <c r="AG20" s="58">
        <v>7</v>
      </c>
      <c r="AH20" s="60">
        <f>EDATE(AJ20,-14)</f>
        <v>48119</v>
      </c>
      <c r="AI20" s="59">
        <f>EDATE(AJ20,-12)</f>
        <v>48180</v>
      </c>
      <c r="AJ20" s="59">
        <f t="shared" si="11"/>
        <v>48546</v>
      </c>
      <c r="AK20" s="59"/>
      <c r="AL20" s="59">
        <v>46022</v>
      </c>
      <c r="AM20" s="102" t="s">
        <v>190</v>
      </c>
      <c r="AN20" s="102">
        <v>8</v>
      </c>
      <c r="AO20" s="61" t="s">
        <v>89</v>
      </c>
      <c r="AP20" s="61"/>
      <c r="AQ20" s="61"/>
      <c r="AR20" s="50" t="s">
        <v>89</v>
      </c>
      <c r="AS20" s="50" t="s">
        <v>82</v>
      </c>
      <c r="AT20" s="50" t="str">
        <f>'Rutas AAC'!AE29</f>
        <v xml:space="preserve"> </v>
      </c>
      <c r="AU20" s="57"/>
      <c r="AV20" s="68"/>
      <c r="AW20" s="74"/>
      <c r="AX20" s="65"/>
      <c r="AY20" s="68"/>
      <c r="AZ20" s="68"/>
      <c r="BA20" s="68"/>
      <c r="BB20" s="61" t="s">
        <v>191</v>
      </c>
      <c r="BC20" s="61">
        <v>3</v>
      </c>
      <c r="BD20" s="61"/>
      <c r="BE20" s="61"/>
      <c r="BF20" s="71"/>
      <c r="BG20" s="67"/>
    </row>
    <row r="21" spans="1:59" ht="42" customHeight="1" x14ac:dyDescent="0.2">
      <c r="A21" s="103">
        <v>15</v>
      </c>
      <c r="B21" s="50">
        <v>26485</v>
      </c>
      <c r="C21" s="51" t="s">
        <v>182</v>
      </c>
      <c r="D21" s="51" t="s">
        <v>192</v>
      </c>
      <c r="E21" s="51" t="s">
        <v>193</v>
      </c>
      <c r="F21" s="52" t="s">
        <v>194</v>
      </c>
      <c r="G21" s="50">
        <v>2970</v>
      </c>
      <c r="H21" s="50"/>
      <c r="I21" s="50" t="s">
        <v>195</v>
      </c>
      <c r="J21" s="50" t="s">
        <v>79</v>
      </c>
      <c r="K21" s="50"/>
      <c r="L21" s="50"/>
      <c r="M21" s="50"/>
      <c r="N21" s="51" t="s">
        <v>80</v>
      </c>
      <c r="O21" s="50" t="s">
        <v>81</v>
      </c>
      <c r="P21" s="53" t="s">
        <v>82</v>
      </c>
      <c r="Q21" s="51" t="s">
        <v>148</v>
      </c>
      <c r="R21" s="51" t="s">
        <v>96</v>
      </c>
      <c r="S21" s="50" t="s">
        <v>85</v>
      </c>
      <c r="T21" s="50" t="s">
        <v>97</v>
      </c>
      <c r="U21" s="50" t="s">
        <v>86</v>
      </c>
      <c r="V21" s="50">
        <v>26</v>
      </c>
      <c r="W21" s="50">
        <v>26</v>
      </c>
      <c r="X21" s="50" t="s">
        <v>196</v>
      </c>
      <c r="Y21" s="54"/>
      <c r="Z21" s="54"/>
      <c r="AA21" s="54"/>
      <c r="AB21" s="55" t="s">
        <v>99</v>
      </c>
      <c r="AC21" s="56" t="str">
        <f t="shared" ca="1" si="8"/>
        <v>Si</v>
      </c>
      <c r="AD21" s="104">
        <v>16033</v>
      </c>
      <c r="AE21" s="58">
        <v>16033</v>
      </c>
      <c r="AF21" s="59">
        <v>43817</v>
      </c>
      <c r="AG21" s="58">
        <v>7</v>
      </c>
      <c r="AH21" s="60">
        <f t="shared" ref="AH21:AH124" si="12">EDATE(AF21,(AG21*12)-14)</f>
        <v>45948</v>
      </c>
      <c r="AI21" s="59">
        <f t="shared" ref="AI21:AI30" si="13">EDATE(AF21,(AG21*12)-12)</f>
        <v>46009</v>
      </c>
      <c r="AJ21" s="59">
        <f t="shared" si="11"/>
        <v>46374</v>
      </c>
      <c r="AK21" s="59"/>
      <c r="AL21" s="59"/>
      <c r="AM21" s="61" t="s">
        <v>197</v>
      </c>
      <c r="AN21" s="61">
        <v>3</v>
      </c>
      <c r="AO21" s="61"/>
      <c r="AP21" s="61"/>
      <c r="AQ21" s="61"/>
      <c r="AR21" s="50" t="s">
        <v>86</v>
      </c>
      <c r="AS21" s="50"/>
      <c r="AT21" s="50" t="str">
        <f>'Rutas AAC'!AE30</f>
        <v xml:space="preserve"> </v>
      </c>
      <c r="AU21" s="62" t="s">
        <v>86</v>
      </c>
      <c r="AV21" s="63" t="s">
        <v>86</v>
      </c>
      <c r="AW21" s="64" t="s">
        <v>86</v>
      </c>
      <c r="AX21" s="85" t="s">
        <v>86</v>
      </c>
      <c r="AY21" s="64" t="s">
        <v>86</v>
      </c>
      <c r="AZ21" s="64" t="s">
        <v>86</v>
      </c>
      <c r="BA21" s="68"/>
      <c r="BB21" s="69"/>
      <c r="BC21" s="70"/>
      <c r="BD21" s="70"/>
      <c r="BE21" s="61"/>
      <c r="BF21" s="66"/>
      <c r="BG21" s="67"/>
    </row>
    <row r="22" spans="1:59" ht="42" customHeight="1" x14ac:dyDescent="0.2">
      <c r="A22" s="97">
        <v>16</v>
      </c>
      <c r="B22" s="50">
        <v>26543</v>
      </c>
      <c r="C22" s="51" t="s">
        <v>182</v>
      </c>
      <c r="D22" s="51" t="s">
        <v>198</v>
      </c>
      <c r="E22" s="51" t="s">
        <v>199</v>
      </c>
      <c r="F22" s="52" t="s">
        <v>200</v>
      </c>
      <c r="G22" s="50">
        <v>15924</v>
      </c>
      <c r="H22" s="50"/>
      <c r="I22" s="50" t="s">
        <v>201</v>
      </c>
      <c r="J22" s="50" t="s">
        <v>79</v>
      </c>
      <c r="K22" s="50"/>
      <c r="L22" s="50"/>
      <c r="M22" s="50"/>
      <c r="N22" s="51" t="s">
        <v>80</v>
      </c>
      <c r="O22" s="50" t="s">
        <v>81</v>
      </c>
      <c r="P22" s="53" t="s">
        <v>82</v>
      </c>
      <c r="Q22" s="51" t="s">
        <v>148</v>
      </c>
      <c r="R22" s="51" t="s">
        <v>96</v>
      </c>
      <c r="S22" s="50" t="s">
        <v>85</v>
      </c>
      <c r="T22" s="50" t="s">
        <v>97</v>
      </c>
      <c r="U22" s="50" t="s">
        <v>86</v>
      </c>
      <c r="V22" s="50">
        <v>28</v>
      </c>
      <c r="W22" s="50">
        <v>28</v>
      </c>
      <c r="X22" s="50" t="s">
        <v>196</v>
      </c>
      <c r="Y22" s="54"/>
      <c r="Z22" s="54"/>
      <c r="AA22" s="54"/>
      <c r="AB22" s="55">
        <v>0.25</v>
      </c>
      <c r="AC22" s="56" t="str">
        <f t="shared" ca="1" si="8"/>
        <v>Si</v>
      </c>
      <c r="AD22" s="57">
        <v>16039</v>
      </c>
      <c r="AE22" s="58">
        <v>16039</v>
      </c>
      <c r="AF22" s="59">
        <v>43817</v>
      </c>
      <c r="AG22" s="58">
        <v>7</v>
      </c>
      <c r="AH22" s="60">
        <f t="shared" si="12"/>
        <v>45948</v>
      </c>
      <c r="AI22" s="59">
        <f t="shared" si="13"/>
        <v>46009</v>
      </c>
      <c r="AJ22" s="59">
        <f t="shared" si="11"/>
        <v>46374</v>
      </c>
      <c r="AK22" s="59"/>
      <c r="AL22" s="59"/>
      <c r="AM22" s="61" t="s">
        <v>202</v>
      </c>
      <c r="AN22" s="61">
        <v>3</v>
      </c>
      <c r="AO22" s="61"/>
      <c r="AP22" s="61"/>
      <c r="AQ22" s="61"/>
      <c r="AR22" s="50" t="s">
        <v>86</v>
      </c>
      <c r="AS22" s="50"/>
      <c r="AT22" s="50" t="str">
        <f>'Rutas AAC'!AE34</f>
        <v xml:space="preserve"> </v>
      </c>
      <c r="AU22" s="62" t="s">
        <v>86</v>
      </c>
      <c r="AV22" s="63" t="s">
        <v>86</v>
      </c>
      <c r="AW22" s="64" t="s">
        <v>86</v>
      </c>
      <c r="AX22" s="85" t="s">
        <v>86</v>
      </c>
      <c r="AY22" s="64" t="s">
        <v>86</v>
      </c>
      <c r="AZ22" s="64" t="s">
        <v>86</v>
      </c>
      <c r="BA22" s="68"/>
      <c r="BB22" s="69"/>
      <c r="BC22" s="70"/>
      <c r="BD22" s="70"/>
      <c r="BE22" s="61"/>
      <c r="BF22" s="105"/>
      <c r="BG22" s="67"/>
    </row>
    <row r="23" spans="1:59" ht="42" customHeight="1" x14ac:dyDescent="0.2">
      <c r="A23" s="103">
        <v>17</v>
      </c>
      <c r="B23" s="50">
        <v>25378</v>
      </c>
      <c r="C23" s="51" t="s">
        <v>182</v>
      </c>
      <c r="D23" s="51" t="s">
        <v>203</v>
      </c>
      <c r="E23" s="51" t="s">
        <v>204</v>
      </c>
      <c r="F23" s="52" t="s">
        <v>205</v>
      </c>
      <c r="G23" s="50">
        <v>102109</v>
      </c>
      <c r="H23" s="50"/>
      <c r="I23" s="50" t="s">
        <v>201</v>
      </c>
      <c r="J23" s="50" t="s">
        <v>94</v>
      </c>
      <c r="K23" s="50" t="s">
        <v>89</v>
      </c>
      <c r="L23" s="50" t="s">
        <v>206</v>
      </c>
      <c r="M23" s="50"/>
      <c r="N23" s="51" t="s">
        <v>207</v>
      </c>
      <c r="O23" s="50" t="s">
        <v>155</v>
      </c>
      <c r="P23" s="53" t="s">
        <v>89</v>
      </c>
      <c r="Q23" s="51" t="s">
        <v>148</v>
      </c>
      <c r="R23" s="51" t="s">
        <v>96</v>
      </c>
      <c r="S23" s="50" t="s">
        <v>85</v>
      </c>
      <c r="T23" s="50" t="s">
        <v>97</v>
      </c>
      <c r="U23" s="50" t="s">
        <v>86</v>
      </c>
      <c r="V23" s="50">
        <v>30</v>
      </c>
      <c r="W23" s="50">
        <v>30</v>
      </c>
      <c r="X23" s="50" t="s">
        <v>196</v>
      </c>
      <c r="Y23" s="54"/>
      <c r="Z23" s="54"/>
      <c r="AA23" s="54"/>
      <c r="AB23" s="55" t="s">
        <v>99</v>
      </c>
      <c r="AC23" s="56" t="str">
        <f t="shared" ca="1" si="8"/>
        <v>Si</v>
      </c>
      <c r="AD23" s="94">
        <v>16018</v>
      </c>
      <c r="AE23" s="58">
        <v>16018</v>
      </c>
      <c r="AF23" s="59">
        <v>43817</v>
      </c>
      <c r="AG23" s="58">
        <v>7</v>
      </c>
      <c r="AH23" s="60">
        <f t="shared" si="12"/>
        <v>45948</v>
      </c>
      <c r="AI23" s="59">
        <f t="shared" si="13"/>
        <v>46009</v>
      </c>
      <c r="AJ23" s="59">
        <f t="shared" si="11"/>
        <v>46374</v>
      </c>
      <c r="AK23" s="59"/>
      <c r="AL23" s="59"/>
      <c r="AM23" s="61" t="s">
        <v>208</v>
      </c>
      <c r="AN23" s="61">
        <v>2</v>
      </c>
      <c r="AO23" s="61"/>
      <c r="AP23" s="61"/>
      <c r="AQ23" s="61"/>
      <c r="AR23" s="50" t="s">
        <v>86</v>
      </c>
      <c r="AS23" s="50"/>
      <c r="AT23" s="50" t="str">
        <f>'Rutas AAC'!AE37</f>
        <v xml:space="preserve"> </v>
      </c>
      <c r="AU23" s="62" t="s">
        <v>86</v>
      </c>
      <c r="AV23" s="63" t="s">
        <v>86</v>
      </c>
      <c r="AW23" s="64" t="s">
        <v>86</v>
      </c>
      <c r="AX23" s="85" t="s">
        <v>86</v>
      </c>
      <c r="AY23" s="64" t="s">
        <v>86</v>
      </c>
      <c r="AZ23" s="64" t="s">
        <v>86</v>
      </c>
      <c r="BA23" s="68"/>
      <c r="BB23" s="69"/>
      <c r="BC23" s="70"/>
      <c r="BD23" s="70"/>
      <c r="BE23" s="61"/>
      <c r="BF23" s="66"/>
      <c r="BG23" s="67"/>
    </row>
    <row r="24" spans="1:59" ht="42" customHeight="1" x14ac:dyDescent="0.2">
      <c r="A24" s="97">
        <v>18</v>
      </c>
      <c r="B24" s="50">
        <v>28223</v>
      </c>
      <c r="C24" s="51" t="s">
        <v>182</v>
      </c>
      <c r="D24" s="51" t="s">
        <v>209</v>
      </c>
      <c r="E24" s="51" t="s">
        <v>210</v>
      </c>
      <c r="F24" s="52" t="s">
        <v>211</v>
      </c>
      <c r="G24" s="50">
        <v>15358</v>
      </c>
      <c r="H24" s="50"/>
      <c r="I24" s="50" t="s">
        <v>120</v>
      </c>
      <c r="J24" s="50" t="s">
        <v>79</v>
      </c>
      <c r="K24" s="50"/>
      <c r="L24" s="50"/>
      <c r="M24" s="50"/>
      <c r="N24" s="51" t="s">
        <v>80</v>
      </c>
      <c r="O24" s="50" t="s">
        <v>81</v>
      </c>
      <c r="P24" s="53" t="s">
        <v>82</v>
      </c>
      <c r="Q24" s="51" t="s">
        <v>148</v>
      </c>
      <c r="R24" s="51" t="s">
        <v>96</v>
      </c>
      <c r="S24" s="50" t="s">
        <v>85</v>
      </c>
      <c r="T24" s="50" t="s">
        <v>97</v>
      </c>
      <c r="U24" s="50" t="s">
        <v>86</v>
      </c>
      <c r="V24" s="50">
        <v>19</v>
      </c>
      <c r="W24" s="50">
        <v>19</v>
      </c>
      <c r="X24" s="50" t="s">
        <v>196</v>
      </c>
      <c r="Y24" s="54"/>
      <c r="Z24" s="54"/>
      <c r="AA24" s="54"/>
      <c r="AB24" s="55" t="s">
        <v>99</v>
      </c>
      <c r="AC24" s="56" t="str">
        <f t="shared" ca="1" si="8"/>
        <v>Si</v>
      </c>
      <c r="AD24" s="57">
        <v>8266</v>
      </c>
      <c r="AE24" s="58">
        <v>8266</v>
      </c>
      <c r="AF24" s="59">
        <v>43978</v>
      </c>
      <c r="AG24" s="58">
        <v>7</v>
      </c>
      <c r="AH24" s="60">
        <f t="shared" si="12"/>
        <v>46108</v>
      </c>
      <c r="AI24" s="59">
        <f t="shared" si="13"/>
        <v>46169</v>
      </c>
      <c r="AJ24" s="59">
        <f t="shared" si="11"/>
        <v>46534</v>
      </c>
      <c r="AK24" s="59"/>
      <c r="AL24" s="59"/>
      <c r="AM24" s="61" t="s">
        <v>212</v>
      </c>
      <c r="AN24" s="61">
        <v>3</v>
      </c>
      <c r="AO24" s="61"/>
      <c r="AP24" s="61"/>
      <c r="AQ24" s="61"/>
      <c r="AR24" s="50" t="s">
        <v>86</v>
      </c>
      <c r="AS24" s="50"/>
      <c r="AT24" s="50" t="str">
        <f>'Rutas AAC'!AE33</f>
        <v xml:space="preserve"> </v>
      </c>
      <c r="AU24" s="62" t="s">
        <v>86</v>
      </c>
      <c r="AV24" s="63" t="s">
        <v>86</v>
      </c>
      <c r="AW24" s="64" t="s">
        <v>86</v>
      </c>
      <c r="AX24" s="85" t="s">
        <v>86</v>
      </c>
      <c r="AY24" s="64" t="s">
        <v>86</v>
      </c>
      <c r="AZ24" s="64" t="s">
        <v>86</v>
      </c>
      <c r="BA24" s="68"/>
      <c r="BB24" s="69"/>
      <c r="BC24" s="70"/>
      <c r="BD24" s="70"/>
      <c r="BE24" s="61"/>
      <c r="BF24" s="105"/>
      <c r="BG24" s="67"/>
    </row>
    <row r="25" spans="1:59" ht="42" customHeight="1" x14ac:dyDescent="0.2">
      <c r="A25" s="103">
        <v>19</v>
      </c>
      <c r="B25" s="50">
        <v>26454</v>
      </c>
      <c r="C25" s="51" t="s">
        <v>182</v>
      </c>
      <c r="D25" s="51" t="s">
        <v>203</v>
      </c>
      <c r="E25" s="51" t="s">
        <v>204</v>
      </c>
      <c r="F25" s="52" t="s">
        <v>213</v>
      </c>
      <c r="G25" s="50">
        <v>3613</v>
      </c>
      <c r="H25" s="50"/>
      <c r="I25" s="50" t="s">
        <v>214</v>
      </c>
      <c r="J25" s="50" t="s">
        <v>215</v>
      </c>
      <c r="K25" s="50"/>
      <c r="L25" s="50"/>
      <c r="M25" s="50"/>
      <c r="N25" s="51" t="s">
        <v>80</v>
      </c>
      <c r="O25" s="50" t="s">
        <v>155</v>
      </c>
      <c r="P25" s="53" t="s">
        <v>82</v>
      </c>
      <c r="Q25" s="51" t="s">
        <v>148</v>
      </c>
      <c r="R25" s="51" t="s">
        <v>96</v>
      </c>
      <c r="S25" s="50" t="s">
        <v>85</v>
      </c>
      <c r="T25" s="50" t="s">
        <v>97</v>
      </c>
      <c r="U25" s="50" t="s">
        <v>86</v>
      </c>
      <c r="V25" s="50">
        <v>30</v>
      </c>
      <c r="W25" s="50">
        <v>30</v>
      </c>
      <c r="X25" s="50" t="s">
        <v>196</v>
      </c>
      <c r="Y25" s="54"/>
      <c r="Z25" s="54"/>
      <c r="AA25" s="54"/>
      <c r="AB25" s="55" t="s">
        <v>99</v>
      </c>
      <c r="AC25" s="56" t="str">
        <f t="shared" ca="1" si="8"/>
        <v>Si</v>
      </c>
      <c r="AD25" s="94">
        <v>11104</v>
      </c>
      <c r="AE25" s="58">
        <v>11104</v>
      </c>
      <c r="AF25" s="59">
        <v>44012</v>
      </c>
      <c r="AG25" s="58">
        <v>7</v>
      </c>
      <c r="AH25" s="60">
        <f t="shared" si="12"/>
        <v>46142</v>
      </c>
      <c r="AI25" s="59">
        <f t="shared" si="13"/>
        <v>46203</v>
      </c>
      <c r="AJ25" s="59">
        <f t="shared" si="11"/>
        <v>46568</v>
      </c>
      <c r="AK25" s="59"/>
      <c r="AL25" s="59"/>
      <c r="AM25" s="61" t="s">
        <v>216</v>
      </c>
      <c r="AN25" s="61">
        <v>3</v>
      </c>
      <c r="AO25" s="61"/>
      <c r="AP25" s="61"/>
      <c r="AQ25" s="61"/>
      <c r="AR25" s="50" t="s">
        <v>86</v>
      </c>
      <c r="AS25" s="50"/>
      <c r="AT25" s="50" t="e">
        <f>'[2]Rutas AAC'!AE45</f>
        <v>#REF!</v>
      </c>
      <c r="AU25" s="62" t="s">
        <v>86</v>
      </c>
      <c r="AV25" s="63" t="s">
        <v>86</v>
      </c>
      <c r="AW25" s="64" t="s">
        <v>86</v>
      </c>
      <c r="AX25" s="85" t="s">
        <v>86</v>
      </c>
      <c r="AY25" s="64" t="s">
        <v>86</v>
      </c>
      <c r="AZ25" s="64" t="s">
        <v>86</v>
      </c>
      <c r="BA25" s="68"/>
      <c r="BB25" s="69"/>
      <c r="BC25" s="70"/>
      <c r="BD25" s="70"/>
      <c r="BE25" s="61"/>
      <c r="BF25" s="66"/>
      <c r="BG25" s="67"/>
    </row>
    <row r="26" spans="1:59" ht="42" customHeight="1" x14ac:dyDescent="0.2">
      <c r="A26" s="97">
        <v>20</v>
      </c>
      <c r="B26" s="50">
        <v>26638</v>
      </c>
      <c r="C26" s="51" t="s">
        <v>182</v>
      </c>
      <c r="D26" s="51" t="s">
        <v>217</v>
      </c>
      <c r="E26" s="51" t="s">
        <v>218</v>
      </c>
      <c r="F26" s="52" t="s">
        <v>219</v>
      </c>
      <c r="G26" s="50">
        <v>234</v>
      </c>
      <c r="H26" s="50"/>
      <c r="I26" s="50" t="s">
        <v>220</v>
      </c>
      <c r="J26" s="50" t="s">
        <v>79</v>
      </c>
      <c r="K26" s="50"/>
      <c r="L26" s="50"/>
      <c r="M26" s="50"/>
      <c r="N26" s="51" t="s">
        <v>80</v>
      </c>
      <c r="O26" s="50" t="s">
        <v>81</v>
      </c>
      <c r="P26" s="53" t="s">
        <v>82</v>
      </c>
      <c r="Q26" s="51" t="s">
        <v>83</v>
      </c>
      <c r="R26" s="51" t="s">
        <v>84</v>
      </c>
      <c r="S26" s="50" t="s">
        <v>85</v>
      </c>
      <c r="T26" s="50" t="s">
        <v>86</v>
      </c>
      <c r="U26" s="50" t="s">
        <v>86</v>
      </c>
      <c r="V26" s="50" t="s">
        <v>86</v>
      </c>
      <c r="W26" s="50">
        <v>164</v>
      </c>
      <c r="X26" s="50" t="s">
        <v>87</v>
      </c>
      <c r="Y26" s="73" t="s">
        <v>221</v>
      </c>
      <c r="Z26" s="54"/>
      <c r="AA26" s="73" t="s">
        <v>222</v>
      </c>
      <c r="AB26" s="55" t="s">
        <v>99</v>
      </c>
      <c r="AC26" s="56" t="str">
        <f t="shared" ca="1" si="8"/>
        <v>Si</v>
      </c>
      <c r="AD26" s="57">
        <v>18046</v>
      </c>
      <c r="AE26" s="58">
        <v>18046</v>
      </c>
      <c r="AF26" s="68">
        <v>44102</v>
      </c>
      <c r="AG26" s="58">
        <v>7</v>
      </c>
      <c r="AH26" s="60">
        <f t="shared" si="12"/>
        <v>46231</v>
      </c>
      <c r="AI26" s="59">
        <f t="shared" si="13"/>
        <v>46293</v>
      </c>
      <c r="AJ26" s="59">
        <f t="shared" si="11"/>
        <v>46658</v>
      </c>
      <c r="AK26" s="59"/>
      <c r="AL26" s="59"/>
      <c r="AM26" s="61" t="s">
        <v>223</v>
      </c>
      <c r="AN26" s="61">
        <v>3</v>
      </c>
      <c r="AO26" s="61"/>
      <c r="AP26" s="61"/>
      <c r="AQ26" s="61"/>
      <c r="AR26" s="50" t="s">
        <v>89</v>
      </c>
      <c r="AS26" s="50" t="s">
        <v>82</v>
      </c>
      <c r="AT26" s="50" t="str">
        <f>'Rutas AAC'!AE28</f>
        <v xml:space="preserve"> </v>
      </c>
      <c r="AU26" s="57"/>
      <c r="AV26" s="68"/>
      <c r="AW26" s="74"/>
      <c r="AX26" s="65"/>
      <c r="AY26" s="68"/>
      <c r="AZ26" s="68"/>
      <c r="BA26" s="68"/>
      <c r="BB26" s="61" t="s">
        <v>224</v>
      </c>
      <c r="BC26" s="61">
        <v>3</v>
      </c>
      <c r="BD26" s="61"/>
      <c r="BE26" s="61">
        <v>2013</v>
      </c>
      <c r="BF26" s="71"/>
      <c r="BG26" s="67"/>
    </row>
    <row r="27" spans="1:59" ht="42" customHeight="1" x14ac:dyDescent="0.2">
      <c r="A27" s="103">
        <v>21</v>
      </c>
      <c r="B27" s="50">
        <v>32323</v>
      </c>
      <c r="C27" s="51" t="s">
        <v>182</v>
      </c>
      <c r="D27" s="51" t="s">
        <v>225</v>
      </c>
      <c r="E27" s="51" t="s">
        <v>226</v>
      </c>
      <c r="F27" s="52" t="s">
        <v>227</v>
      </c>
      <c r="G27" s="50">
        <v>103477</v>
      </c>
      <c r="H27" s="50"/>
      <c r="I27" s="50" t="s">
        <v>228</v>
      </c>
      <c r="J27" s="50" t="s">
        <v>94</v>
      </c>
      <c r="K27" s="50"/>
      <c r="L27" s="50"/>
      <c r="M27" s="50"/>
      <c r="N27" s="51" t="s">
        <v>80</v>
      </c>
      <c r="O27" s="50" t="s">
        <v>155</v>
      </c>
      <c r="P27" s="53" t="s">
        <v>82</v>
      </c>
      <c r="Q27" s="51" t="s">
        <v>95</v>
      </c>
      <c r="R27" s="51" t="s">
        <v>96</v>
      </c>
      <c r="S27" s="50" t="s">
        <v>85</v>
      </c>
      <c r="T27" s="50" t="s">
        <v>162</v>
      </c>
      <c r="U27" s="50">
        <v>54</v>
      </c>
      <c r="V27" s="50" t="s">
        <v>86</v>
      </c>
      <c r="W27" s="50">
        <v>54</v>
      </c>
      <c r="X27" s="50" t="s">
        <v>98</v>
      </c>
      <c r="Y27" s="54"/>
      <c r="Z27" s="54"/>
      <c r="AA27" s="54"/>
      <c r="AB27" s="55">
        <v>0.25</v>
      </c>
      <c r="AC27" s="56" t="str">
        <f t="shared" ca="1" si="8"/>
        <v>Si</v>
      </c>
      <c r="AD27" s="94">
        <v>2583</v>
      </c>
      <c r="AE27" s="58">
        <v>2583</v>
      </c>
      <c r="AF27" s="59">
        <v>44246</v>
      </c>
      <c r="AG27" s="58">
        <v>7</v>
      </c>
      <c r="AH27" s="60">
        <f t="shared" si="12"/>
        <v>46375</v>
      </c>
      <c r="AI27" s="59">
        <f t="shared" si="13"/>
        <v>46437</v>
      </c>
      <c r="AJ27" s="59">
        <f t="shared" si="11"/>
        <v>46802</v>
      </c>
      <c r="AK27" s="59"/>
      <c r="AL27" s="59"/>
      <c r="AM27" s="61" t="s">
        <v>229</v>
      </c>
      <c r="AN27" s="61">
        <v>2</v>
      </c>
      <c r="AO27" s="61"/>
      <c r="AP27" s="61"/>
      <c r="AQ27" s="61"/>
      <c r="AR27" s="50" t="s">
        <v>82</v>
      </c>
      <c r="AS27" s="50"/>
      <c r="AT27" s="50" t="str">
        <f>'Rutas AAC'!AE38</f>
        <v xml:space="preserve"> </v>
      </c>
      <c r="AU27" s="62"/>
      <c r="AV27" s="63"/>
      <c r="AW27" s="64"/>
      <c r="AX27" s="92"/>
      <c r="AY27" s="63"/>
      <c r="AZ27" s="106"/>
      <c r="BA27" s="68"/>
      <c r="BB27" s="69"/>
      <c r="BC27" s="70"/>
      <c r="BD27" s="70"/>
      <c r="BE27" s="61"/>
      <c r="BF27" s="105"/>
      <c r="BG27" s="67"/>
    </row>
    <row r="28" spans="1:59" ht="42" customHeight="1" x14ac:dyDescent="0.2">
      <c r="A28" s="97">
        <v>22</v>
      </c>
      <c r="B28" s="50">
        <v>57747</v>
      </c>
      <c r="C28" s="51" t="s">
        <v>182</v>
      </c>
      <c r="D28" s="51" t="s">
        <v>230</v>
      </c>
      <c r="E28" s="51" t="s">
        <v>231</v>
      </c>
      <c r="F28" s="52" t="s">
        <v>232</v>
      </c>
      <c r="G28" s="50">
        <v>110924</v>
      </c>
      <c r="H28" s="50"/>
      <c r="I28" s="50" t="s">
        <v>161</v>
      </c>
      <c r="J28" s="50" t="s">
        <v>94</v>
      </c>
      <c r="K28" s="50"/>
      <c r="L28" s="50"/>
      <c r="M28" s="50"/>
      <c r="N28" s="51" t="s">
        <v>80</v>
      </c>
      <c r="O28" s="50" t="s">
        <v>155</v>
      </c>
      <c r="P28" s="107" t="s">
        <v>82</v>
      </c>
      <c r="Q28" s="51" t="s">
        <v>95</v>
      </c>
      <c r="R28" s="51" t="s">
        <v>96</v>
      </c>
      <c r="S28" s="50" t="s">
        <v>85</v>
      </c>
      <c r="T28" s="50" t="s">
        <v>162</v>
      </c>
      <c r="U28" s="50">
        <v>56</v>
      </c>
      <c r="V28" s="50" t="s">
        <v>86</v>
      </c>
      <c r="W28" s="50">
        <v>56</v>
      </c>
      <c r="X28" s="50" t="s">
        <v>233</v>
      </c>
      <c r="Y28" s="54"/>
      <c r="Z28" s="54"/>
      <c r="AA28" s="54"/>
      <c r="AB28" s="55" t="s">
        <v>99</v>
      </c>
      <c r="AC28" s="56" t="s">
        <v>89</v>
      </c>
      <c r="AD28" s="94">
        <v>2117</v>
      </c>
      <c r="AE28" s="58">
        <v>2117</v>
      </c>
      <c r="AF28" s="59">
        <v>44617</v>
      </c>
      <c r="AG28" s="58">
        <v>7</v>
      </c>
      <c r="AH28" s="60">
        <f t="shared" si="12"/>
        <v>46746</v>
      </c>
      <c r="AI28" s="59">
        <f t="shared" si="13"/>
        <v>46808</v>
      </c>
      <c r="AJ28" s="59">
        <f t="shared" si="11"/>
        <v>47174</v>
      </c>
      <c r="AK28" s="59"/>
      <c r="AL28" s="59"/>
      <c r="AM28" s="61"/>
      <c r="AN28" s="61">
        <v>1</v>
      </c>
      <c r="AO28" s="61"/>
      <c r="AP28" s="61"/>
      <c r="AQ28" s="61"/>
      <c r="AR28" s="50" t="s">
        <v>82</v>
      </c>
      <c r="AS28" s="108"/>
      <c r="AT28" s="108"/>
      <c r="AU28" s="109"/>
      <c r="AV28" s="110"/>
      <c r="AW28" s="111"/>
      <c r="AX28" s="112"/>
      <c r="AY28" s="111"/>
      <c r="AZ28" s="111"/>
      <c r="BA28" s="68"/>
      <c r="BB28" s="113"/>
      <c r="BC28" s="114"/>
      <c r="BD28" s="114"/>
      <c r="BE28" s="61"/>
      <c r="BF28" s="115"/>
      <c r="BG28" s="116"/>
    </row>
    <row r="29" spans="1:59" ht="42" customHeight="1" x14ac:dyDescent="0.2">
      <c r="A29" s="103">
        <v>23</v>
      </c>
      <c r="B29" s="50">
        <v>57748</v>
      </c>
      <c r="C29" s="51" t="s">
        <v>182</v>
      </c>
      <c r="D29" s="51" t="s">
        <v>234</v>
      </c>
      <c r="E29" s="51" t="s">
        <v>235</v>
      </c>
      <c r="F29" s="52" t="s">
        <v>236</v>
      </c>
      <c r="G29" s="50">
        <v>111151</v>
      </c>
      <c r="H29" s="50"/>
      <c r="I29" s="50" t="s">
        <v>161</v>
      </c>
      <c r="J29" s="50" t="s">
        <v>94</v>
      </c>
      <c r="K29" s="50"/>
      <c r="L29" s="50"/>
      <c r="M29" s="50"/>
      <c r="N29" s="51" t="s">
        <v>80</v>
      </c>
      <c r="O29" s="50" t="s">
        <v>81</v>
      </c>
      <c r="P29" s="53" t="s">
        <v>82</v>
      </c>
      <c r="Q29" s="51" t="s">
        <v>95</v>
      </c>
      <c r="R29" s="51" t="s">
        <v>96</v>
      </c>
      <c r="S29" s="50" t="s">
        <v>85</v>
      </c>
      <c r="T29" s="50" t="s">
        <v>162</v>
      </c>
      <c r="U29" s="50">
        <v>48</v>
      </c>
      <c r="V29" s="50" t="s">
        <v>86</v>
      </c>
      <c r="W29" s="50">
        <v>48</v>
      </c>
      <c r="X29" s="50" t="s">
        <v>233</v>
      </c>
      <c r="Y29" s="54"/>
      <c r="Z29" s="54"/>
      <c r="AA29" s="54"/>
      <c r="AB29" s="55" t="s">
        <v>99</v>
      </c>
      <c r="AC29" s="56" t="s">
        <v>89</v>
      </c>
      <c r="AD29" s="94">
        <v>7139</v>
      </c>
      <c r="AE29" s="58">
        <v>7139</v>
      </c>
      <c r="AF29" s="59">
        <v>44678</v>
      </c>
      <c r="AG29" s="58">
        <v>7</v>
      </c>
      <c r="AH29" s="60">
        <f t="shared" si="12"/>
        <v>46810</v>
      </c>
      <c r="AI29" s="59">
        <f t="shared" si="13"/>
        <v>46870</v>
      </c>
      <c r="AJ29" s="59">
        <f t="shared" si="11"/>
        <v>47235</v>
      </c>
      <c r="AK29" s="59"/>
      <c r="AL29" s="59"/>
      <c r="AM29" s="61"/>
      <c r="AN29" s="61">
        <v>1</v>
      </c>
      <c r="AO29" s="61"/>
      <c r="AP29" s="61"/>
      <c r="AQ29" s="61"/>
      <c r="AR29" s="50" t="s">
        <v>82</v>
      </c>
      <c r="AS29" s="50"/>
      <c r="AT29" s="50"/>
      <c r="AU29" s="62"/>
      <c r="AV29" s="63"/>
      <c r="AW29" s="64"/>
      <c r="AX29" s="85"/>
      <c r="AY29" s="64"/>
      <c r="AZ29" s="64"/>
      <c r="BA29" s="68"/>
      <c r="BB29" s="69"/>
      <c r="BC29" s="70"/>
      <c r="BD29" s="70"/>
      <c r="BE29" s="61"/>
      <c r="BF29" s="66"/>
      <c r="BG29" s="67"/>
    </row>
    <row r="30" spans="1:59" ht="42" customHeight="1" x14ac:dyDescent="0.2">
      <c r="A30" s="97">
        <v>24</v>
      </c>
      <c r="B30" s="50">
        <v>26448</v>
      </c>
      <c r="C30" s="51" t="s">
        <v>182</v>
      </c>
      <c r="D30" s="51" t="s">
        <v>237</v>
      </c>
      <c r="E30" s="51" t="s">
        <v>238</v>
      </c>
      <c r="F30" s="52" t="s">
        <v>239</v>
      </c>
      <c r="G30" s="50">
        <v>8441</v>
      </c>
      <c r="H30" s="50"/>
      <c r="I30" s="50" t="s">
        <v>240</v>
      </c>
      <c r="J30" s="50" t="s">
        <v>79</v>
      </c>
      <c r="K30" s="50"/>
      <c r="L30" s="50"/>
      <c r="M30" s="50"/>
      <c r="N30" s="51" t="s">
        <v>80</v>
      </c>
      <c r="O30" s="50" t="s">
        <v>81</v>
      </c>
      <c r="P30" s="53" t="s">
        <v>82</v>
      </c>
      <c r="Q30" s="51" t="s">
        <v>83</v>
      </c>
      <c r="R30" s="51" t="s">
        <v>84</v>
      </c>
      <c r="S30" s="50" t="s">
        <v>85</v>
      </c>
      <c r="T30" s="50" t="s">
        <v>86</v>
      </c>
      <c r="U30" s="50" t="s">
        <v>86</v>
      </c>
      <c r="V30" s="50" t="s">
        <v>86</v>
      </c>
      <c r="W30" s="50">
        <v>176</v>
      </c>
      <c r="X30" s="50" t="s">
        <v>87</v>
      </c>
      <c r="Y30" s="73" t="s">
        <v>241</v>
      </c>
      <c r="Z30" s="54"/>
      <c r="AA30" s="54"/>
      <c r="AB30" s="55" t="s">
        <v>99</v>
      </c>
      <c r="AC30" s="56" t="str">
        <f t="shared" ref="AC30:AC32" ca="1" si="14">IF(AJ30&gt;TODAY(),"Si","No")</f>
        <v>Si</v>
      </c>
      <c r="AD30" s="57">
        <v>8576</v>
      </c>
      <c r="AE30" s="58">
        <v>8576</v>
      </c>
      <c r="AF30" s="59">
        <v>45071</v>
      </c>
      <c r="AG30" s="58">
        <v>7</v>
      </c>
      <c r="AH30" s="60">
        <f t="shared" si="12"/>
        <v>47202</v>
      </c>
      <c r="AI30" s="59">
        <f t="shared" si="13"/>
        <v>47263</v>
      </c>
      <c r="AJ30" s="59">
        <f t="shared" si="11"/>
        <v>47628</v>
      </c>
      <c r="AK30" s="59"/>
      <c r="AL30" s="59"/>
      <c r="AM30" s="61" t="s">
        <v>242</v>
      </c>
      <c r="AN30" s="61">
        <v>4</v>
      </c>
      <c r="AO30" s="61"/>
      <c r="AP30" s="61"/>
      <c r="AQ30" s="61"/>
      <c r="AR30" s="50" t="s">
        <v>89</v>
      </c>
      <c r="AS30" s="50" t="s">
        <v>89</v>
      </c>
      <c r="AT30" s="50" t="str">
        <f>'Rutas AAC'!AE32</f>
        <v xml:space="preserve"> </v>
      </c>
      <c r="AU30" s="57">
        <v>8576</v>
      </c>
      <c r="AV30" s="68">
        <v>45071</v>
      </c>
      <c r="AW30" s="74">
        <v>4</v>
      </c>
      <c r="AX30" s="65">
        <f>EDATE(AV30,(AW30*12)-14)</f>
        <v>46106</v>
      </c>
      <c r="AY30" s="68">
        <f>EDATE(AV30,(AW30*12)-12)</f>
        <v>46167</v>
      </c>
      <c r="AZ30" s="68">
        <f>EDATE(AV30,(AW30*12))</f>
        <v>46532</v>
      </c>
      <c r="BA30" s="68">
        <f>EDATE(AV30,((AW30/2)*12))</f>
        <v>45802</v>
      </c>
      <c r="BB30" s="117" t="s">
        <v>243</v>
      </c>
      <c r="BC30" s="61">
        <v>2</v>
      </c>
      <c r="BD30" s="61"/>
      <c r="BE30" s="61"/>
      <c r="BF30" s="71"/>
      <c r="BG30" s="67"/>
    </row>
    <row r="31" spans="1:59" ht="42" customHeight="1" x14ac:dyDescent="0.2">
      <c r="A31" s="103">
        <v>25</v>
      </c>
      <c r="B31" s="50">
        <v>38549</v>
      </c>
      <c r="C31" s="51" t="s">
        <v>182</v>
      </c>
      <c r="D31" s="51" t="s">
        <v>244</v>
      </c>
      <c r="E31" s="51" t="s">
        <v>245</v>
      </c>
      <c r="F31" s="52" t="s">
        <v>246</v>
      </c>
      <c r="G31" s="50">
        <v>55045</v>
      </c>
      <c r="H31" s="50"/>
      <c r="I31" s="50" t="s">
        <v>247</v>
      </c>
      <c r="J31" s="50" t="s">
        <v>94</v>
      </c>
      <c r="K31" s="50"/>
      <c r="L31" s="50"/>
      <c r="M31" s="50"/>
      <c r="N31" s="51" t="s">
        <v>80</v>
      </c>
      <c r="O31" s="50" t="s">
        <v>147</v>
      </c>
      <c r="P31" s="53" t="s">
        <v>82</v>
      </c>
      <c r="Q31" s="51" t="s">
        <v>95</v>
      </c>
      <c r="R31" s="51" t="s">
        <v>96</v>
      </c>
      <c r="S31" s="50" t="s">
        <v>85</v>
      </c>
      <c r="T31" s="50" t="s">
        <v>97</v>
      </c>
      <c r="U31" s="50" t="s">
        <v>86</v>
      </c>
      <c r="V31" s="50">
        <v>46</v>
      </c>
      <c r="W31" s="50">
        <v>46</v>
      </c>
      <c r="X31" s="50" t="s">
        <v>98</v>
      </c>
      <c r="Y31" s="54"/>
      <c r="Z31" s="54"/>
      <c r="AA31" s="54"/>
      <c r="AB31" s="55">
        <v>0.3</v>
      </c>
      <c r="AC31" s="56" t="str">
        <f t="shared" ca="1" si="14"/>
        <v>Si</v>
      </c>
      <c r="AD31" s="94">
        <v>16177</v>
      </c>
      <c r="AE31" s="58">
        <v>16177</v>
      </c>
      <c r="AF31" s="59">
        <v>45174</v>
      </c>
      <c r="AG31" s="58">
        <v>7</v>
      </c>
      <c r="AH31" s="60">
        <f t="shared" si="12"/>
        <v>47304</v>
      </c>
      <c r="AI31" s="59">
        <f>EDATE(AJ31,-12)</f>
        <v>47366</v>
      </c>
      <c r="AJ31" s="59">
        <f t="shared" si="11"/>
        <v>47731</v>
      </c>
      <c r="AK31" s="59"/>
      <c r="AL31" s="59">
        <v>45838</v>
      </c>
      <c r="AM31" s="61" t="s">
        <v>248</v>
      </c>
      <c r="AN31" s="61">
        <v>2</v>
      </c>
      <c r="AO31" s="61"/>
      <c r="AP31" s="61" t="s">
        <v>249</v>
      </c>
      <c r="AQ31" s="61">
        <v>34</v>
      </c>
      <c r="AR31" s="50" t="s">
        <v>89</v>
      </c>
      <c r="AS31" s="50"/>
      <c r="AT31" s="50">
        <f>'Rutas AAC'!AE36</f>
        <v>2</v>
      </c>
      <c r="AU31" s="62"/>
      <c r="AV31" s="63"/>
      <c r="AW31" s="64"/>
      <c r="AX31" s="92"/>
      <c r="AY31" s="63"/>
      <c r="AZ31" s="64"/>
      <c r="BA31" s="68"/>
      <c r="BB31" s="69"/>
      <c r="BC31" s="70"/>
      <c r="BD31" s="70"/>
      <c r="BE31" s="61"/>
      <c r="BF31" s="66"/>
      <c r="BG31" s="67"/>
    </row>
    <row r="32" spans="1:59" ht="42" customHeight="1" x14ac:dyDescent="0.2">
      <c r="A32" s="97">
        <v>26</v>
      </c>
      <c r="B32" s="50">
        <v>23122</v>
      </c>
      <c r="C32" s="51" t="s">
        <v>182</v>
      </c>
      <c r="D32" s="51" t="s">
        <v>250</v>
      </c>
      <c r="E32" s="51" t="s">
        <v>251</v>
      </c>
      <c r="F32" s="52" t="s">
        <v>252</v>
      </c>
      <c r="G32" s="50">
        <v>18679</v>
      </c>
      <c r="H32" s="50"/>
      <c r="I32" s="50" t="s">
        <v>253</v>
      </c>
      <c r="J32" s="50" t="s">
        <v>79</v>
      </c>
      <c r="K32" s="50"/>
      <c r="L32" s="50"/>
      <c r="M32" s="50"/>
      <c r="N32" s="51" t="s">
        <v>80</v>
      </c>
      <c r="O32" s="50" t="s">
        <v>155</v>
      </c>
      <c r="P32" s="53" t="s">
        <v>82</v>
      </c>
      <c r="Q32" s="51" t="s">
        <v>83</v>
      </c>
      <c r="R32" s="51" t="s">
        <v>84</v>
      </c>
      <c r="S32" s="50" t="s">
        <v>85</v>
      </c>
      <c r="T32" s="50" t="s">
        <v>86</v>
      </c>
      <c r="U32" s="50" t="s">
        <v>86</v>
      </c>
      <c r="V32" s="50" t="s">
        <v>86</v>
      </c>
      <c r="W32" s="50">
        <v>177</v>
      </c>
      <c r="X32" s="50" t="s">
        <v>87</v>
      </c>
      <c r="Y32" s="54"/>
      <c r="Z32" s="54"/>
      <c r="AA32" s="54"/>
      <c r="AB32" s="55">
        <v>0.2</v>
      </c>
      <c r="AC32" s="56" t="str">
        <f t="shared" ca="1" si="14"/>
        <v>Si</v>
      </c>
      <c r="AD32" s="57">
        <v>11924</v>
      </c>
      <c r="AE32" s="58">
        <v>11924</v>
      </c>
      <c r="AF32" s="59">
        <v>45820</v>
      </c>
      <c r="AG32" s="58">
        <v>7</v>
      </c>
      <c r="AH32" s="60">
        <f t="shared" si="12"/>
        <v>47950</v>
      </c>
      <c r="AI32" s="59">
        <f t="shared" ref="AI32:AI43" si="15">EDATE(AF32,(AG32*12)-12)</f>
        <v>48011</v>
      </c>
      <c r="AJ32" s="59">
        <f t="shared" si="11"/>
        <v>48377</v>
      </c>
      <c r="AK32" s="59"/>
      <c r="AL32" s="59"/>
      <c r="AM32" s="61" t="s">
        <v>254</v>
      </c>
      <c r="AN32" s="61">
        <v>3</v>
      </c>
      <c r="AO32" s="61"/>
      <c r="AP32" s="61"/>
      <c r="AQ32" s="61"/>
      <c r="AR32" s="50" t="s">
        <v>82</v>
      </c>
      <c r="AS32" s="50"/>
      <c r="AT32" s="50" t="str">
        <f>'Rutas AAC'!AE35</f>
        <v xml:space="preserve"> </v>
      </c>
      <c r="AU32" s="62"/>
      <c r="AV32" s="63"/>
      <c r="AW32" s="64"/>
      <c r="AX32" s="92"/>
      <c r="AY32" s="63"/>
      <c r="AZ32" s="64"/>
      <c r="BA32" s="68"/>
      <c r="BB32" s="118"/>
      <c r="BC32" s="118"/>
      <c r="BD32" s="118"/>
      <c r="BE32" s="61">
        <v>2013</v>
      </c>
      <c r="BF32" s="66"/>
      <c r="BG32" s="67"/>
    </row>
    <row r="33" spans="1:59" ht="41.25" customHeight="1" x14ac:dyDescent="0.2">
      <c r="A33" s="119">
        <v>27</v>
      </c>
      <c r="B33" s="50">
        <v>52824</v>
      </c>
      <c r="C33" s="51" t="s">
        <v>255</v>
      </c>
      <c r="D33" s="51" t="s">
        <v>256</v>
      </c>
      <c r="E33" s="51" t="s">
        <v>257</v>
      </c>
      <c r="F33" s="52" t="s">
        <v>258</v>
      </c>
      <c r="G33" s="50">
        <v>110739</v>
      </c>
      <c r="H33" s="50"/>
      <c r="I33" s="50" t="s">
        <v>78</v>
      </c>
      <c r="J33" s="50" t="s">
        <v>259</v>
      </c>
      <c r="K33" s="50"/>
      <c r="L33" s="50"/>
      <c r="M33" s="50"/>
      <c r="N33" s="51" t="s">
        <v>80</v>
      </c>
      <c r="O33" s="50" t="s">
        <v>81</v>
      </c>
      <c r="P33" s="53" t="s">
        <v>82</v>
      </c>
      <c r="Q33" s="51" t="s">
        <v>95</v>
      </c>
      <c r="R33" s="51" t="s">
        <v>96</v>
      </c>
      <c r="S33" s="50" t="s">
        <v>85</v>
      </c>
      <c r="T33" s="50" t="s">
        <v>162</v>
      </c>
      <c r="U33" s="50">
        <v>40</v>
      </c>
      <c r="V33" s="50" t="s">
        <v>86</v>
      </c>
      <c r="W33" s="50">
        <v>40</v>
      </c>
      <c r="X33" s="50" t="s">
        <v>98</v>
      </c>
      <c r="Y33" s="54"/>
      <c r="Z33" s="54"/>
      <c r="AA33" s="54"/>
      <c r="AB33" s="55">
        <v>0.5</v>
      </c>
      <c r="AC33" s="56" t="s">
        <v>89</v>
      </c>
      <c r="AD33" s="94">
        <v>19531</v>
      </c>
      <c r="AE33" s="58">
        <v>19531</v>
      </c>
      <c r="AF33" s="59">
        <v>44488</v>
      </c>
      <c r="AG33" s="58">
        <v>7</v>
      </c>
      <c r="AH33" s="60">
        <f t="shared" si="12"/>
        <v>46618</v>
      </c>
      <c r="AI33" s="59">
        <f t="shared" si="15"/>
        <v>46679</v>
      </c>
      <c r="AJ33" s="59">
        <f t="shared" si="11"/>
        <v>47045</v>
      </c>
      <c r="AK33" s="59"/>
      <c r="AL33" s="59"/>
      <c r="AM33" s="61"/>
      <c r="AN33" s="61">
        <v>1</v>
      </c>
      <c r="AO33" s="61"/>
      <c r="AP33" s="61"/>
      <c r="AQ33" s="61"/>
      <c r="AR33" s="50" t="s">
        <v>82</v>
      </c>
      <c r="AS33" s="50"/>
      <c r="AT33" s="50"/>
      <c r="AU33" s="62"/>
      <c r="AV33" s="63"/>
      <c r="AW33" s="64"/>
      <c r="AX33" s="85"/>
      <c r="AY33" s="64"/>
      <c r="AZ33" s="64"/>
      <c r="BA33" s="68"/>
      <c r="BB33" s="69"/>
      <c r="BC33" s="70"/>
      <c r="BD33" s="70"/>
      <c r="BE33" s="61"/>
      <c r="BF33" s="66"/>
      <c r="BG33" s="67"/>
    </row>
    <row r="34" spans="1:59" ht="42" customHeight="1" x14ac:dyDescent="0.2">
      <c r="A34" s="119">
        <v>28</v>
      </c>
      <c r="B34" s="50">
        <v>28918</v>
      </c>
      <c r="C34" s="51" t="s">
        <v>255</v>
      </c>
      <c r="D34" s="51" t="s">
        <v>260</v>
      </c>
      <c r="E34" s="51" t="s">
        <v>261</v>
      </c>
      <c r="F34" s="52" t="s">
        <v>262</v>
      </c>
      <c r="G34" s="50">
        <v>5268</v>
      </c>
      <c r="H34" s="50"/>
      <c r="I34" s="50" t="s">
        <v>263</v>
      </c>
      <c r="J34" s="50" t="s">
        <v>79</v>
      </c>
      <c r="K34" s="50"/>
      <c r="L34" s="50"/>
      <c r="M34" s="50"/>
      <c r="N34" s="51" t="s">
        <v>80</v>
      </c>
      <c r="O34" s="50" t="s">
        <v>81</v>
      </c>
      <c r="P34" s="53" t="s">
        <v>82</v>
      </c>
      <c r="Q34" s="51" t="s">
        <v>83</v>
      </c>
      <c r="R34" s="51" t="s">
        <v>84</v>
      </c>
      <c r="S34" s="50" t="s">
        <v>85</v>
      </c>
      <c r="T34" s="50" t="s">
        <v>86</v>
      </c>
      <c r="U34" s="50" t="s">
        <v>86</v>
      </c>
      <c r="V34" s="50" t="s">
        <v>86</v>
      </c>
      <c r="W34" s="50">
        <v>174</v>
      </c>
      <c r="X34" s="50" t="s">
        <v>87</v>
      </c>
      <c r="Y34" s="54"/>
      <c r="Z34" s="54"/>
      <c r="AA34" s="120" t="s">
        <v>264</v>
      </c>
      <c r="AB34" s="55" t="s">
        <v>99</v>
      </c>
      <c r="AC34" s="56" t="str">
        <f t="shared" ref="AC34:AC36" ca="1" si="16">IF(AJ34&gt;TODAY(),"Si","No")</f>
        <v>Si</v>
      </c>
      <c r="AD34" s="94">
        <v>12529</v>
      </c>
      <c r="AE34" s="58">
        <v>12529</v>
      </c>
      <c r="AF34" s="59">
        <v>44742</v>
      </c>
      <c r="AG34" s="58">
        <v>7</v>
      </c>
      <c r="AH34" s="60">
        <f t="shared" si="12"/>
        <v>46873</v>
      </c>
      <c r="AI34" s="59">
        <f t="shared" si="15"/>
        <v>46934</v>
      </c>
      <c r="AJ34" s="59">
        <f t="shared" si="11"/>
        <v>47299</v>
      </c>
      <c r="AK34" s="59"/>
      <c r="AL34" s="59"/>
      <c r="AM34" s="61" t="s">
        <v>265</v>
      </c>
      <c r="AN34" s="61">
        <v>4</v>
      </c>
      <c r="AO34" s="61"/>
      <c r="AP34" s="61"/>
      <c r="AQ34" s="61"/>
      <c r="AR34" s="50" t="s">
        <v>89</v>
      </c>
      <c r="AS34" s="50" t="s">
        <v>89</v>
      </c>
      <c r="AT34" s="74">
        <f>'Rutas AAC'!AE55</f>
        <v>13</v>
      </c>
      <c r="AU34" s="121"/>
      <c r="AV34" s="68"/>
      <c r="AW34" s="74"/>
      <c r="AX34" s="65"/>
      <c r="AY34" s="68"/>
      <c r="AZ34" s="68"/>
      <c r="BA34" s="68"/>
      <c r="BB34" s="122"/>
      <c r="BC34" s="61"/>
      <c r="BD34" s="61"/>
      <c r="BE34" s="61">
        <v>2013</v>
      </c>
      <c r="BF34" s="66"/>
      <c r="BG34" s="67"/>
    </row>
    <row r="35" spans="1:59" ht="42" customHeight="1" x14ac:dyDescent="0.2">
      <c r="A35" s="119">
        <v>29</v>
      </c>
      <c r="B35" s="50">
        <v>29652</v>
      </c>
      <c r="C35" s="51" t="s">
        <v>255</v>
      </c>
      <c r="D35" s="51" t="s">
        <v>266</v>
      </c>
      <c r="E35" s="51" t="s">
        <v>267</v>
      </c>
      <c r="F35" s="52">
        <v>1977</v>
      </c>
      <c r="G35" s="50">
        <v>240</v>
      </c>
      <c r="H35" s="50"/>
      <c r="I35" s="50" t="s">
        <v>268</v>
      </c>
      <c r="J35" s="50" t="s">
        <v>94</v>
      </c>
      <c r="K35" s="50"/>
      <c r="L35" s="50"/>
      <c r="M35" s="50"/>
      <c r="N35" s="51" t="s">
        <v>80</v>
      </c>
      <c r="O35" s="50" t="s">
        <v>81</v>
      </c>
      <c r="P35" s="53" t="s">
        <v>82</v>
      </c>
      <c r="Q35" s="51" t="s">
        <v>148</v>
      </c>
      <c r="R35" s="51" t="s">
        <v>96</v>
      </c>
      <c r="S35" s="50" t="s">
        <v>85</v>
      </c>
      <c r="T35" s="50" t="s">
        <v>97</v>
      </c>
      <c r="U35" s="50" t="s">
        <v>86</v>
      </c>
      <c r="V35" s="50">
        <v>185</v>
      </c>
      <c r="W35" s="50">
        <v>185</v>
      </c>
      <c r="X35" s="50" t="s">
        <v>269</v>
      </c>
      <c r="Y35" s="54"/>
      <c r="Z35" s="54"/>
      <c r="AA35" s="54"/>
      <c r="AB35" s="55">
        <v>0.18</v>
      </c>
      <c r="AC35" s="56" t="str">
        <f t="shared" ca="1" si="16"/>
        <v>Si</v>
      </c>
      <c r="AD35" s="94">
        <v>15518</v>
      </c>
      <c r="AE35" s="58">
        <v>15518</v>
      </c>
      <c r="AF35" s="59">
        <v>44777</v>
      </c>
      <c r="AG35" s="58">
        <v>7</v>
      </c>
      <c r="AH35" s="60">
        <f t="shared" si="12"/>
        <v>46908</v>
      </c>
      <c r="AI35" s="59">
        <f t="shared" si="15"/>
        <v>46969</v>
      </c>
      <c r="AJ35" s="59">
        <f t="shared" si="11"/>
        <v>47334</v>
      </c>
      <c r="AK35" s="59"/>
      <c r="AL35" s="59"/>
      <c r="AM35" s="61" t="s">
        <v>270</v>
      </c>
      <c r="AN35" s="61">
        <v>3</v>
      </c>
      <c r="AO35" s="61"/>
      <c r="AP35" s="61"/>
      <c r="AQ35" s="61">
        <v>73</v>
      </c>
      <c r="AR35" s="50" t="s">
        <v>89</v>
      </c>
      <c r="AS35" s="50"/>
      <c r="AT35" s="50" t="e">
        <f>'[3]Rutas AAC'!AE46</f>
        <v>#REF!</v>
      </c>
      <c r="AU35" s="62"/>
      <c r="AV35" s="63"/>
      <c r="AW35" s="64"/>
      <c r="AX35" s="85"/>
      <c r="AY35" s="64"/>
      <c r="AZ35" s="64"/>
      <c r="BA35" s="68"/>
      <c r="BB35" s="69"/>
      <c r="BC35" s="70"/>
      <c r="BD35" s="70"/>
      <c r="BE35" s="61"/>
      <c r="BF35" s="123"/>
      <c r="BG35" s="67"/>
    </row>
    <row r="36" spans="1:59" ht="42" customHeight="1" x14ac:dyDescent="0.2">
      <c r="A36" s="119">
        <v>30</v>
      </c>
      <c r="B36" s="50">
        <v>29619</v>
      </c>
      <c r="C36" s="51" t="s">
        <v>255</v>
      </c>
      <c r="D36" s="51" t="s">
        <v>271</v>
      </c>
      <c r="E36" s="51" t="s">
        <v>272</v>
      </c>
      <c r="F36" s="52">
        <v>1975</v>
      </c>
      <c r="G36" s="50">
        <v>244</v>
      </c>
      <c r="H36" s="50"/>
      <c r="I36" s="50" t="s">
        <v>273</v>
      </c>
      <c r="J36" s="50" t="s">
        <v>94</v>
      </c>
      <c r="K36" s="50"/>
      <c r="L36" s="50"/>
      <c r="M36" s="50"/>
      <c r="N36" s="51" t="s">
        <v>80</v>
      </c>
      <c r="O36" s="50" t="s">
        <v>81</v>
      </c>
      <c r="P36" s="53" t="s">
        <v>82</v>
      </c>
      <c r="Q36" s="51" t="s">
        <v>148</v>
      </c>
      <c r="R36" s="51" t="s">
        <v>96</v>
      </c>
      <c r="S36" s="50" t="s">
        <v>85</v>
      </c>
      <c r="T36" s="50" t="s">
        <v>97</v>
      </c>
      <c r="U36" s="50" t="s">
        <v>86</v>
      </c>
      <c r="V36" s="50">
        <v>166</v>
      </c>
      <c r="W36" s="50">
        <v>166</v>
      </c>
      <c r="X36" s="50" t="s">
        <v>269</v>
      </c>
      <c r="Y36" s="54"/>
      <c r="Z36" s="54"/>
      <c r="AA36" s="54"/>
      <c r="AB36" s="55">
        <v>0.15</v>
      </c>
      <c r="AC36" s="56" t="str">
        <f t="shared" ca="1" si="16"/>
        <v>Si</v>
      </c>
      <c r="AD36" s="94">
        <v>15502</v>
      </c>
      <c r="AE36" s="58">
        <v>15502</v>
      </c>
      <c r="AF36" s="59">
        <v>44777</v>
      </c>
      <c r="AG36" s="58">
        <v>7</v>
      </c>
      <c r="AH36" s="60">
        <f t="shared" si="12"/>
        <v>46908</v>
      </c>
      <c r="AI36" s="59">
        <f t="shared" si="15"/>
        <v>46969</v>
      </c>
      <c r="AJ36" s="59">
        <f t="shared" si="11"/>
        <v>47334</v>
      </c>
      <c r="AK36" s="59"/>
      <c r="AL36" s="59"/>
      <c r="AM36" s="61" t="s">
        <v>274</v>
      </c>
      <c r="AN36" s="61">
        <v>3</v>
      </c>
      <c r="AO36" s="61"/>
      <c r="AP36" s="61"/>
      <c r="AQ36" s="61">
        <v>112</v>
      </c>
      <c r="AR36" s="50" t="s">
        <v>89</v>
      </c>
      <c r="AS36" s="50"/>
      <c r="AT36" s="50" t="e">
        <f>'[3]Rutas AAC'!AE50</f>
        <v>#REF!</v>
      </c>
      <c r="AU36" s="62"/>
      <c r="AV36" s="63"/>
      <c r="AW36" s="64"/>
      <c r="AX36" s="85"/>
      <c r="AY36" s="64"/>
      <c r="AZ36" s="64"/>
      <c r="BA36" s="68"/>
      <c r="BB36" s="69"/>
      <c r="BC36" s="70"/>
      <c r="BD36" s="70"/>
      <c r="BE36" s="61"/>
      <c r="BF36" s="66"/>
      <c r="BG36" s="67"/>
    </row>
    <row r="37" spans="1:59" ht="42" customHeight="1" x14ac:dyDescent="0.2">
      <c r="A37" s="119">
        <v>31</v>
      </c>
      <c r="B37" s="50">
        <v>29249</v>
      </c>
      <c r="C37" s="51" t="s">
        <v>255</v>
      </c>
      <c r="D37" s="51" t="s">
        <v>275</v>
      </c>
      <c r="E37" s="51" t="s">
        <v>276</v>
      </c>
      <c r="F37" s="52">
        <v>1975</v>
      </c>
      <c r="G37" s="50">
        <v>242</v>
      </c>
      <c r="H37" s="50"/>
      <c r="I37" s="50" t="s">
        <v>277</v>
      </c>
      <c r="J37" s="50" t="s">
        <v>94</v>
      </c>
      <c r="K37" s="50"/>
      <c r="L37" s="50"/>
      <c r="M37" s="50"/>
      <c r="N37" s="51" t="s">
        <v>80</v>
      </c>
      <c r="O37" s="50" t="s">
        <v>81</v>
      </c>
      <c r="P37" s="53" t="s">
        <v>82</v>
      </c>
      <c r="Q37" s="51" t="s">
        <v>148</v>
      </c>
      <c r="R37" s="51" t="s">
        <v>96</v>
      </c>
      <c r="S37" s="50" t="s">
        <v>85</v>
      </c>
      <c r="T37" s="50" t="s">
        <v>97</v>
      </c>
      <c r="U37" s="50" t="s">
        <v>86</v>
      </c>
      <c r="V37" s="50">
        <v>185</v>
      </c>
      <c r="W37" s="50">
        <v>185</v>
      </c>
      <c r="X37" s="50" t="s">
        <v>269</v>
      </c>
      <c r="Y37" s="54"/>
      <c r="Z37" s="54"/>
      <c r="AA37" s="54"/>
      <c r="AB37" s="55">
        <v>0.15</v>
      </c>
      <c r="AC37" s="56" t="s">
        <v>89</v>
      </c>
      <c r="AD37" s="94">
        <v>3736</v>
      </c>
      <c r="AE37" s="58">
        <v>3736</v>
      </c>
      <c r="AF37" s="59">
        <v>44988</v>
      </c>
      <c r="AG37" s="58">
        <v>7</v>
      </c>
      <c r="AH37" s="60">
        <f t="shared" si="12"/>
        <v>47121</v>
      </c>
      <c r="AI37" s="59">
        <f t="shared" si="15"/>
        <v>47180</v>
      </c>
      <c r="AJ37" s="59">
        <f t="shared" si="11"/>
        <v>47545</v>
      </c>
      <c r="AK37" s="59"/>
      <c r="AL37" s="59"/>
      <c r="AM37" s="61" t="s">
        <v>278</v>
      </c>
      <c r="AN37" s="61">
        <v>5</v>
      </c>
      <c r="AO37" s="61"/>
      <c r="AP37" s="61"/>
      <c r="AQ37" s="61">
        <v>106</v>
      </c>
      <c r="AR37" s="50" t="s">
        <v>89</v>
      </c>
      <c r="AS37" s="50"/>
      <c r="AT37" s="50" t="s">
        <v>279</v>
      </c>
      <c r="AU37" s="62"/>
      <c r="AV37" s="63"/>
      <c r="AW37" s="64"/>
      <c r="AX37" s="85"/>
      <c r="AY37" s="64"/>
      <c r="AZ37" s="64"/>
      <c r="BA37" s="69"/>
      <c r="BB37" s="70"/>
      <c r="BC37" s="70"/>
      <c r="BD37" s="61"/>
      <c r="BE37" s="124"/>
      <c r="BF37" s="66"/>
      <c r="BG37" s="67"/>
    </row>
    <row r="38" spans="1:59" ht="42" customHeight="1" x14ac:dyDescent="0.2">
      <c r="A38" s="119">
        <v>32</v>
      </c>
      <c r="B38" s="50">
        <v>29653</v>
      </c>
      <c r="C38" s="51" t="s">
        <v>255</v>
      </c>
      <c r="D38" s="51" t="s">
        <v>280</v>
      </c>
      <c r="E38" s="51" t="s">
        <v>281</v>
      </c>
      <c r="F38" s="52">
        <v>1975</v>
      </c>
      <c r="G38" s="50">
        <v>241</v>
      </c>
      <c r="H38" s="50"/>
      <c r="I38" s="50" t="s">
        <v>282</v>
      </c>
      <c r="J38" s="50" t="s">
        <v>94</v>
      </c>
      <c r="K38" s="50"/>
      <c r="L38" s="50"/>
      <c r="M38" s="50"/>
      <c r="N38" s="51" t="s">
        <v>80</v>
      </c>
      <c r="O38" s="50" t="s">
        <v>81</v>
      </c>
      <c r="P38" s="53" t="s">
        <v>82</v>
      </c>
      <c r="Q38" s="51" t="s">
        <v>148</v>
      </c>
      <c r="R38" s="51" t="s">
        <v>96</v>
      </c>
      <c r="S38" s="50" t="s">
        <v>85</v>
      </c>
      <c r="T38" s="50" t="s">
        <v>97</v>
      </c>
      <c r="U38" s="50" t="s">
        <v>86</v>
      </c>
      <c r="V38" s="50">
        <v>194</v>
      </c>
      <c r="W38" s="50">
        <v>194</v>
      </c>
      <c r="X38" s="50" t="s">
        <v>283</v>
      </c>
      <c r="Y38" s="54"/>
      <c r="Z38" s="54"/>
      <c r="AA38" s="54"/>
      <c r="AB38" s="55">
        <v>0.2</v>
      </c>
      <c r="AC38" s="56" t="str">
        <f t="shared" ref="AC38:AC40" ca="1" si="17">IF(AJ38&gt;TODAY(),"Si","No")</f>
        <v>Si</v>
      </c>
      <c r="AD38" s="94">
        <v>5523</v>
      </c>
      <c r="AE38" s="58">
        <v>5523</v>
      </c>
      <c r="AF38" s="59">
        <v>45021</v>
      </c>
      <c r="AG38" s="58">
        <v>7</v>
      </c>
      <c r="AH38" s="60">
        <f t="shared" si="12"/>
        <v>47154</v>
      </c>
      <c r="AI38" s="59">
        <f t="shared" si="15"/>
        <v>47213</v>
      </c>
      <c r="AJ38" s="59">
        <f t="shared" si="11"/>
        <v>47578</v>
      </c>
      <c r="AK38" s="125"/>
      <c r="AL38" s="125"/>
      <c r="AM38" s="61" t="s">
        <v>284</v>
      </c>
      <c r="AN38" s="61">
        <v>4</v>
      </c>
      <c r="AO38" s="61"/>
      <c r="AP38" s="61"/>
      <c r="AQ38" s="61">
        <v>46</v>
      </c>
      <c r="AR38" s="50" t="s">
        <v>89</v>
      </c>
      <c r="AS38" s="50"/>
      <c r="AT38" s="50" t="s">
        <v>279</v>
      </c>
      <c r="AU38" s="62"/>
      <c r="AV38" s="63"/>
      <c r="AW38" s="64"/>
      <c r="AX38" s="85"/>
      <c r="AY38" s="64"/>
      <c r="AZ38" s="64"/>
      <c r="BA38" s="69"/>
      <c r="BB38" s="70"/>
      <c r="BC38" s="70"/>
      <c r="BD38" s="61"/>
      <c r="BE38" s="91"/>
      <c r="BF38" s="66"/>
      <c r="BG38" s="67"/>
    </row>
    <row r="39" spans="1:59" ht="42" customHeight="1" x14ac:dyDescent="0.2">
      <c r="A39" s="119">
        <v>33</v>
      </c>
      <c r="B39" s="50">
        <v>34165</v>
      </c>
      <c r="C39" s="51" t="s">
        <v>255</v>
      </c>
      <c r="D39" s="51" t="s">
        <v>285</v>
      </c>
      <c r="E39" s="51" t="s">
        <v>286</v>
      </c>
      <c r="F39" s="52" t="s">
        <v>287</v>
      </c>
      <c r="G39" s="50">
        <v>230</v>
      </c>
      <c r="H39" s="50"/>
      <c r="I39" s="50" t="s">
        <v>288</v>
      </c>
      <c r="J39" s="50" t="s">
        <v>79</v>
      </c>
      <c r="K39" s="50"/>
      <c r="L39" s="50"/>
      <c r="M39" s="50"/>
      <c r="N39" s="51" t="s">
        <v>80</v>
      </c>
      <c r="O39" s="50" t="s">
        <v>81</v>
      </c>
      <c r="P39" s="53" t="s">
        <v>82</v>
      </c>
      <c r="Q39" s="51" t="s">
        <v>83</v>
      </c>
      <c r="R39" s="51" t="s">
        <v>84</v>
      </c>
      <c r="S39" s="50" t="s">
        <v>85</v>
      </c>
      <c r="T39" s="50" t="s">
        <v>86</v>
      </c>
      <c r="U39" s="50" t="s">
        <v>86</v>
      </c>
      <c r="V39" s="50" t="s">
        <v>86</v>
      </c>
      <c r="W39" s="50">
        <v>160</v>
      </c>
      <c r="X39" s="50" t="s">
        <v>87</v>
      </c>
      <c r="Y39" s="120" t="s">
        <v>289</v>
      </c>
      <c r="Z39" s="54"/>
      <c r="AA39" s="54"/>
      <c r="AB39" s="55">
        <v>0.15</v>
      </c>
      <c r="AC39" s="56" t="str">
        <f t="shared" ca="1" si="17"/>
        <v>Si</v>
      </c>
      <c r="AD39" s="57">
        <v>14238</v>
      </c>
      <c r="AE39" s="58">
        <v>14238</v>
      </c>
      <c r="AF39" s="59">
        <v>45161</v>
      </c>
      <c r="AG39" s="58">
        <v>7</v>
      </c>
      <c r="AH39" s="60">
        <f t="shared" si="12"/>
        <v>47292</v>
      </c>
      <c r="AI39" s="59">
        <f t="shared" si="15"/>
        <v>47353</v>
      </c>
      <c r="AJ39" s="59">
        <f t="shared" si="11"/>
        <v>47718</v>
      </c>
      <c r="AK39" s="59"/>
      <c r="AL39" s="59"/>
      <c r="AM39" s="61" t="s">
        <v>290</v>
      </c>
      <c r="AN39" s="61">
        <v>6</v>
      </c>
      <c r="AO39" s="61"/>
      <c r="AP39" s="61"/>
      <c r="AQ39" s="61"/>
      <c r="AR39" s="50" t="s">
        <v>89</v>
      </c>
      <c r="AS39" s="50" t="s">
        <v>89</v>
      </c>
      <c r="AT39" s="50" t="str">
        <f>'Rutas AAC'!AE48</f>
        <v xml:space="preserve"> </v>
      </c>
      <c r="AU39" s="57">
        <v>14238</v>
      </c>
      <c r="AV39" s="126">
        <v>45161</v>
      </c>
      <c r="AW39" s="127">
        <v>6</v>
      </c>
      <c r="AX39" s="65">
        <f>EDATE(AV39,(AW39*12)-14)</f>
        <v>46927</v>
      </c>
      <c r="AY39" s="68">
        <f>EDATE(AV39,(AW39*12)-12)</f>
        <v>46988</v>
      </c>
      <c r="AZ39" s="68">
        <f>EDATE(AV39,(AW39*12))</f>
        <v>47353</v>
      </c>
      <c r="BA39" s="68">
        <f>EDATE(AV39,((AW39/2)*12))</f>
        <v>46257</v>
      </c>
      <c r="BB39" s="61" t="s">
        <v>291</v>
      </c>
      <c r="BC39" s="61">
        <v>2</v>
      </c>
      <c r="BD39" s="61"/>
      <c r="BE39" s="61">
        <v>2013</v>
      </c>
      <c r="BF39" s="105"/>
      <c r="BG39" s="67"/>
    </row>
    <row r="40" spans="1:59" ht="42" customHeight="1" x14ac:dyDescent="0.2">
      <c r="A40" s="119">
        <v>34</v>
      </c>
      <c r="B40" s="50">
        <v>38315</v>
      </c>
      <c r="C40" s="51" t="s">
        <v>255</v>
      </c>
      <c r="D40" s="51" t="s">
        <v>292</v>
      </c>
      <c r="E40" s="51" t="s">
        <v>293</v>
      </c>
      <c r="F40" s="52" t="s">
        <v>294</v>
      </c>
      <c r="G40" s="50">
        <v>105964</v>
      </c>
      <c r="H40" s="50"/>
      <c r="I40" s="50" t="s">
        <v>104</v>
      </c>
      <c r="J40" s="50" t="s">
        <v>94</v>
      </c>
      <c r="K40" s="50"/>
      <c r="L40" s="50"/>
      <c r="M40" s="50"/>
      <c r="N40" s="51" t="s">
        <v>80</v>
      </c>
      <c r="O40" s="50" t="s">
        <v>81</v>
      </c>
      <c r="P40" s="53" t="s">
        <v>82</v>
      </c>
      <c r="Q40" s="51" t="s">
        <v>148</v>
      </c>
      <c r="R40" s="51" t="s">
        <v>96</v>
      </c>
      <c r="S40" s="50" t="s">
        <v>85</v>
      </c>
      <c r="T40" s="50" t="s">
        <v>97</v>
      </c>
      <c r="U40" s="50" t="s">
        <v>86</v>
      </c>
      <c r="V40" s="50">
        <v>24</v>
      </c>
      <c r="W40" s="50">
        <v>24</v>
      </c>
      <c r="X40" s="50" t="s">
        <v>149</v>
      </c>
      <c r="Y40" s="54"/>
      <c r="Z40" s="54"/>
      <c r="AA40" s="54"/>
      <c r="AB40" s="55">
        <v>0.25</v>
      </c>
      <c r="AC40" s="56" t="str">
        <f t="shared" ca="1" si="17"/>
        <v>Si</v>
      </c>
      <c r="AD40" s="94">
        <v>9994</v>
      </c>
      <c r="AE40" s="58">
        <v>9994</v>
      </c>
      <c r="AF40" s="59">
        <v>45099</v>
      </c>
      <c r="AG40" s="58">
        <v>7</v>
      </c>
      <c r="AH40" s="60">
        <f t="shared" si="12"/>
        <v>47230</v>
      </c>
      <c r="AI40" s="59">
        <f t="shared" si="15"/>
        <v>47291</v>
      </c>
      <c r="AJ40" s="59">
        <f t="shared" si="11"/>
        <v>47656</v>
      </c>
      <c r="AK40" s="59"/>
      <c r="AL40" s="59"/>
      <c r="AM40" s="61" t="s">
        <v>295</v>
      </c>
      <c r="AN40" s="61">
        <v>2</v>
      </c>
      <c r="AO40" s="61"/>
      <c r="AP40" s="61"/>
      <c r="AQ40" s="61"/>
      <c r="AR40" s="50" t="s">
        <v>86</v>
      </c>
      <c r="AS40" s="50"/>
      <c r="AT40" s="50" t="str">
        <f>'Rutas AAC'!AE60</f>
        <v xml:space="preserve"> </v>
      </c>
      <c r="AU40" s="62" t="s">
        <v>86</v>
      </c>
      <c r="AV40" s="63" t="s">
        <v>86</v>
      </c>
      <c r="AW40" s="64" t="s">
        <v>86</v>
      </c>
      <c r="AX40" s="85" t="s">
        <v>86</v>
      </c>
      <c r="AY40" s="64" t="s">
        <v>86</v>
      </c>
      <c r="AZ40" s="64" t="s">
        <v>86</v>
      </c>
      <c r="BA40" s="68"/>
      <c r="BB40" s="69"/>
      <c r="BC40" s="70"/>
      <c r="BD40" s="70"/>
      <c r="BE40" s="128"/>
      <c r="BF40" s="66"/>
      <c r="BG40" s="67"/>
    </row>
    <row r="41" spans="1:59" ht="37.5" customHeight="1" x14ac:dyDescent="0.2">
      <c r="A41" s="119">
        <v>35</v>
      </c>
      <c r="B41" s="50">
        <v>57546</v>
      </c>
      <c r="C41" s="51" t="s">
        <v>255</v>
      </c>
      <c r="D41" s="51" t="s">
        <v>296</v>
      </c>
      <c r="E41" s="51" t="s">
        <v>297</v>
      </c>
      <c r="F41" s="52">
        <v>1962</v>
      </c>
      <c r="G41" s="50">
        <v>243</v>
      </c>
      <c r="H41" s="50"/>
      <c r="I41" s="50" t="s">
        <v>282</v>
      </c>
      <c r="J41" s="50" t="s">
        <v>94</v>
      </c>
      <c r="K41" s="50"/>
      <c r="L41" s="50"/>
      <c r="M41" s="50"/>
      <c r="N41" s="51" t="s">
        <v>80</v>
      </c>
      <c r="O41" s="50" t="s">
        <v>81</v>
      </c>
      <c r="P41" s="53" t="s">
        <v>82</v>
      </c>
      <c r="Q41" s="51" t="s">
        <v>148</v>
      </c>
      <c r="R41" s="51" t="s">
        <v>96</v>
      </c>
      <c r="S41" s="50" t="s">
        <v>85</v>
      </c>
      <c r="T41" s="50" t="s">
        <v>97</v>
      </c>
      <c r="U41" s="50" t="s">
        <v>86</v>
      </c>
      <c r="V41" s="50">
        <v>185</v>
      </c>
      <c r="W41" s="50">
        <v>185</v>
      </c>
      <c r="X41" s="50" t="s">
        <v>298</v>
      </c>
      <c r="Y41" s="120" t="s">
        <v>299</v>
      </c>
      <c r="Z41" s="54"/>
      <c r="AA41" s="54"/>
      <c r="AB41" s="55">
        <v>0.2</v>
      </c>
      <c r="AC41" s="56" t="s">
        <v>300</v>
      </c>
      <c r="AD41" s="94">
        <v>10592</v>
      </c>
      <c r="AE41" s="58">
        <v>10592</v>
      </c>
      <c r="AF41" s="59">
        <v>45106</v>
      </c>
      <c r="AG41" s="58">
        <v>7</v>
      </c>
      <c r="AH41" s="60">
        <f t="shared" si="12"/>
        <v>47237</v>
      </c>
      <c r="AI41" s="59">
        <f t="shared" si="15"/>
        <v>47298</v>
      </c>
      <c r="AJ41" s="59">
        <f t="shared" si="11"/>
        <v>47663</v>
      </c>
      <c r="AK41" s="125"/>
      <c r="AL41" s="125"/>
      <c r="AM41" s="61" t="s">
        <v>301</v>
      </c>
      <c r="AN41" s="61">
        <v>2</v>
      </c>
      <c r="AO41" s="61"/>
      <c r="AP41" s="61"/>
      <c r="AQ41" s="61">
        <v>110</v>
      </c>
      <c r="AR41" s="50" t="s">
        <v>302</v>
      </c>
      <c r="AS41" s="50"/>
      <c r="AT41" s="50"/>
      <c r="AU41" s="62"/>
      <c r="AV41" s="63"/>
      <c r="AW41" s="64"/>
      <c r="AX41" s="85"/>
      <c r="AY41" s="64"/>
      <c r="AZ41" s="64"/>
      <c r="BA41" s="69"/>
      <c r="BB41" s="70"/>
      <c r="BC41" s="70"/>
      <c r="BD41" s="61"/>
      <c r="BE41" s="66"/>
      <c r="BF41" s="66"/>
      <c r="BG41" s="67"/>
    </row>
    <row r="42" spans="1:59" ht="33" customHeight="1" x14ac:dyDescent="0.2">
      <c r="A42" s="119">
        <v>36</v>
      </c>
      <c r="B42" s="50">
        <v>57547</v>
      </c>
      <c r="C42" s="51" t="s">
        <v>255</v>
      </c>
      <c r="D42" s="51" t="s">
        <v>303</v>
      </c>
      <c r="E42" s="51" t="s">
        <v>304</v>
      </c>
      <c r="F42" s="52" t="s">
        <v>305</v>
      </c>
      <c r="G42" s="50">
        <v>11546</v>
      </c>
      <c r="H42" s="50"/>
      <c r="I42" s="50" t="s">
        <v>306</v>
      </c>
      <c r="J42" s="50" t="s">
        <v>94</v>
      </c>
      <c r="K42" s="50"/>
      <c r="L42" s="50"/>
      <c r="M42" s="50"/>
      <c r="N42" s="51" t="s">
        <v>80</v>
      </c>
      <c r="O42" s="50" t="s">
        <v>81</v>
      </c>
      <c r="P42" s="53" t="s">
        <v>82</v>
      </c>
      <c r="Q42" s="51" t="s">
        <v>148</v>
      </c>
      <c r="R42" s="51" t="s">
        <v>96</v>
      </c>
      <c r="S42" s="50" t="s">
        <v>85</v>
      </c>
      <c r="T42" s="50" t="s">
        <v>97</v>
      </c>
      <c r="U42" s="50" t="s">
        <v>86</v>
      </c>
      <c r="V42" s="50">
        <v>147</v>
      </c>
      <c r="W42" s="50">
        <v>147</v>
      </c>
      <c r="X42" s="50" t="s">
        <v>298</v>
      </c>
      <c r="Y42" s="120" t="s">
        <v>307</v>
      </c>
      <c r="Z42" s="54"/>
      <c r="AA42" s="54"/>
      <c r="AB42" s="55" t="s">
        <v>99</v>
      </c>
      <c r="AC42" s="56" t="s">
        <v>179</v>
      </c>
      <c r="AD42" s="94">
        <v>10593</v>
      </c>
      <c r="AE42" s="58">
        <v>10593</v>
      </c>
      <c r="AF42" s="59">
        <v>45106</v>
      </c>
      <c r="AG42" s="58">
        <v>7</v>
      </c>
      <c r="AH42" s="60">
        <f t="shared" si="12"/>
        <v>47237</v>
      </c>
      <c r="AI42" s="59">
        <f t="shared" si="15"/>
        <v>47298</v>
      </c>
      <c r="AJ42" s="59">
        <f t="shared" si="11"/>
        <v>47663</v>
      </c>
      <c r="AK42" s="125"/>
      <c r="AL42" s="125"/>
      <c r="AM42" s="70" t="s">
        <v>308</v>
      </c>
      <c r="AN42" s="61">
        <v>2</v>
      </c>
      <c r="AO42" s="61"/>
      <c r="AP42" s="61" t="s">
        <v>309</v>
      </c>
      <c r="AQ42" s="61"/>
      <c r="AR42" s="50" t="s">
        <v>82</v>
      </c>
      <c r="AS42" s="50"/>
      <c r="AT42" s="50"/>
      <c r="AU42" s="62"/>
      <c r="AV42" s="63"/>
      <c r="AW42" s="64"/>
      <c r="AX42" s="85"/>
      <c r="AY42" s="64"/>
      <c r="AZ42" s="64"/>
      <c r="BA42" s="69"/>
      <c r="BB42" s="70"/>
      <c r="BC42" s="70"/>
      <c r="BD42" s="61"/>
      <c r="BE42" s="129"/>
      <c r="BF42" s="66"/>
      <c r="BG42" s="67"/>
    </row>
    <row r="43" spans="1:59" ht="47.25" customHeight="1" x14ac:dyDescent="0.2">
      <c r="A43" s="119">
        <v>37</v>
      </c>
      <c r="B43" s="50">
        <v>28934</v>
      </c>
      <c r="C43" s="51" t="s">
        <v>255</v>
      </c>
      <c r="D43" s="51" t="s">
        <v>310</v>
      </c>
      <c r="E43" s="51" t="s">
        <v>311</v>
      </c>
      <c r="F43" s="52" t="s">
        <v>312</v>
      </c>
      <c r="G43" s="50">
        <v>5269</v>
      </c>
      <c r="H43" s="50"/>
      <c r="I43" s="50" t="s">
        <v>313</v>
      </c>
      <c r="J43" s="50" t="s">
        <v>79</v>
      </c>
      <c r="K43" s="50"/>
      <c r="L43" s="50"/>
      <c r="M43" s="50"/>
      <c r="N43" s="51" t="s">
        <v>80</v>
      </c>
      <c r="O43" s="50" t="s">
        <v>81</v>
      </c>
      <c r="P43" s="53" t="s">
        <v>82</v>
      </c>
      <c r="Q43" s="51" t="s">
        <v>83</v>
      </c>
      <c r="R43" s="51" t="s">
        <v>84</v>
      </c>
      <c r="S43" s="50" t="s">
        <v>85</v>
      </c>
      <c r="T43" s="50" t="s">
        <v>86</v>
      </c>
      <c r="U43" s="50" t="s">
        <v>86</v>
      </c>
      <c r="V43" s="50" t="s">
        <v>86</v>
      </c>
      <c r="W43" s="50">
        <v>168</v>
      </c>
      <c r="X43" s="50" t="s">
        <v>87</v>
      </c>
      <c r="Y43" s="120" t="s">
        <v>314</v>
      </c>
      <c r="Z43" s="54"/>
      <c r="AA43" s="54"/>
      <c r="AB43" s="55">
        <v>0.2</v>
      </c>
      <c r="AC43" s="56" t="str">
        <f t="shared" ref="AC43:AC44" ca="1" si="18">IF(AJ43&gt;TODAY(),"Si","No")</f>
        <v>Si</v>
      </c>
      <c r="AD43" s="94">
        <v>10687</v>
      </c>
      <c r="AE43" s="58">
        <v>10687</v>
      </c>
      <c r="AF43" s="59">
        <v>45112</v>
      </c>
      <c r="AG43" s="58">
        <v>7</v>
      </c>
      <c r="AH43" s="60">
        <f t="shared" si="12"/>
        <v>47243</v>
      </c>
      <c r="AI43" s="59">
        <f t="shared" si="15"/>
        <v>47304</v>
      </c>
      <c r="AJ43" s="59">
        <f t="shared" si="11"/>
        <v>47669</v>
      </c>
      <c r="AK43" s="59"/>
      <c r="AL43" s="59"/>
      <c r="AM43" s="61" t="s">
        <v>315</v>
      </c>
      <c r="AN43" s="61">
        <v>4</v>
      </c>
      <c r="AO43" s="61"/>
      <c r="AP43" s="61"/>
      <c r="AQ43" s="61"/>
      <c r="AR43" s="50" t="s">
        <v>89</v>
      </c>
      <c r="AS43" s="50" t="s">
        <v>89</v>
      </c>
      <c r="AT43" s="50"/>
      <c r="AU43" s="121">
        <v>10687</v>
      </c>
      <c r="AV43" s="68">
        <v>45112</v>
      </c>
      <c r="AW43" s="74">
        <v>6</v>
      </c>
      <c r="AX43" s="65">
        <f>EDATE(AV43,(AW43*12)-14)</f>
        <v>46878</v>
      </c>
      <c r="AY43" s="68">
        <f>EDATE(AV43,(AW43*12)-12)</f>
        <v>46939</v>
      </c>
      <c r="AZ43" s="68">
        <f>EDATE(AV43,(AW43*12))</f>
        <v>47304</v>
      </c>
      <c r="BA43" s="68">
        <f>EDATE(AV43,((AW43/2)*12))</f>
        <v>46208</v>
      </c>
      <c r="BB43" s="61" t="s">
        <v>316</v>
      </c>
      <c r="BC43" s="61">
        <v>3</v>
      </c>
      <c r="BD43" s="61"/>
      <c r="BE43" s="130"/>
      <c r="BF43" s="131" t="s">
        <v>317</v>
      </c>
      <c r="BG43" s="67"/>
    </row>
    <row r="44" spans="1:59" ht="42" customHeight="1" x14ac:dyDescent="0.2">
      <c r="A44" s="119">
        <v>38</v>
      </c>
      <c r="B44" s="50">
        <v>35650</v>
      </c>
      <c r="C44" s="51" t="s">
        <v>255</v>
      </c>
      <c r="D44" s="51" t="s">
        <v>318</v>
      </c>
      <c r="E44" s="51" t="s">
        <v>319</v>
      </c>
      <c r="F44" s="52" t="s">
        <v>320</v>
      </c>
      <c r="G44" s="50">
        <v>106126</v>
      </c>
      <c r="H44" s="50"/>
      <c r="I44" s="50" t="s">
        <v>321</v>
      </c>
      <c r="J44" s="50" t="s">
        <v>94</v>
      </c>
      <c r="K44" s="50"/>
      <c r="L44" s="50"/>
      <c r="M44" s="50"/>
      <c r="N44" s="51" t="s">
        <v>80</v>
      </c>
      <c r="O44" s="50" t="s">
        <v>322</v>
      </c>
      <c r="P44" s="53" t="s">
        <v>82</v>
      </c>
      <c r="Q44" s="51" t="s">
        <v>148</v>
      </c>
      <c r="R44" s="51" t="s">
        <v>96</v>
      </c>
      <c r="S44" s="50" t="s">
        <v>85</v>
      </c>
      <c r="T44" s="50" t="s">
        <v>97</v>
      </c>
      <c r="U44" s="50" t="s">
        <v>86</v>
      </c>
      <c r="V44" s="50">
        <v>30</v>
      </c>
      <c r="W44" s="50">
        <v>30</v>
      </c>
      <c r="X44" s="50" t="s">
        <v>149</v>
      </c>
      <c r="Y44" s="54"/>
      <c r="Z44" s="54"/>
      <c r="AA44" s="54"/>
      <c r="AB44" s="55">
        <v>0.25</v>
      </c>
      <c r="AC44" s="56" t="str">
        <f t="shared" ca="1" si="18"/>
        <v>Si</v>
      </c>
      <c r="AD44" s="94">
        <v>16756</v>
      </c>
      <c r="AE44" s="58">
        <v>16756</v>
      </c>
      <c r="AF44" s="59">
        <v>45181</v>
      </c>
      <c r="AG44" s="58">
        <v>7</v>
      </c>
      <c r="AH44" s="60">
        <f t="shared" si="12"/>
        <v>47311</v>
      </c>
      <c r="AI44" s="59">
        <f t="shared" ref="AI44:AI45" si="19">EDATE(AJ44,-12)</f>
        <v>47373</v>
      </c>
      <c r="AJ44" s="59">
        <f t="shared" si="11"/>
        <v>47738</v>
      </c>
      <c r="AK44" s="59"/>
      <c r="AL44" s="132">
        <v>45930</v>
      </c>
      <c r="AM44" s="61" t="s">
        <v>323</v>
      </c>
      <c r="AN44" s="61"/>
      <c r="AO44" s="61"/>
      <c r="AP44" s="61"/>
      <c r="AQ44" s="61"/>
      <c r="AR44" s="50" t="s">
        <v>86</v>
      </c>
      <c r="AS44" s="50"/>
      <c r="AT44" s="50" t="str">
        <f>'Rutas AAC'!AE61</f>
        <v xml:space="preserve"> </v>
      </c>
      <c r="AU44" s="62" t="s">
        <v>86</v>
      </c>
      <c r="AV44" s="63" t="s">
        <v>86</v>
      </c>
      <c r="AW44" s="64" t="s">
        <v>86</v>
      </c>
      <c r="AX44" s="85" t="s">
        <v>86</v>
      </c>
      <c r="AY44" s="64" t="s">
        <v>86</v>
      </c>
      <c r="AZ44" s="64" t="s">
        <v>86</v>
      </c>
      <c r="BA44" s="68"/>
      <c r="BB44" s="69"/>
      <c r="BC44" s="70"/>
      <c r="BD44" s="70"/>
      <c r="BE44" s="61"/>
      <c r="BF44" s="66"/>
      <c r="BG44" s="67"/>
    </row>
    <row r="45" spans="1:59" ht="42" customHeight="1" x14ac:dyDescent="0.2">
      <c r="A45" s="119">
        <v>39</v>
      </c>
      <c r="B45" s="50">
        <v>17546</v>
      </c>
      <c r="C45" s="51" t="s">
        <v>255</v>
      </c>
      <c r="D45" s="51" t="s">
        <v>324</v>
      </c>
      <c r="E45" s="51" t="s">
        <v>325</v>
      </c>
      <c r="F45" s="133" t="s">
        <v>326</v>
      </c>
      <c r="G45" s="50">
        <v>118436</v>
      </c>
      <c r="H45" s="133"/>
      <c r="I45" s="50" t="s">
        <v>327</v>
      </c>
      <c r="J45" s="50" t="s">
        <v>79</v>
      </c>
      <c r="K45" s="50"/>
      <c r="L45" s="50"/>
      <c r="M45" s="50"/>
      <c r="N45" s="51" t="s">
        <v>328</v>
      </c>
      <c r="O45" s="50"/>
      <c r="P45" s="53" t="s">
        <v>89</v>
      </c>
      <c r="Q45" s="51" t="s">
        <v>83</v>
      </c>
      <c r="R45" s="51" t="s">
        <v>84</v>
      </c>
      <c r="S45" s="50" t="s">
        <v>85</v>
      </c>
      <c r="T45" s="50" t="s">
        <v>86</v>
      </c>
      <c r="U45" s="50" t="s">
        <v>86</v>
      </c>
      <c r="V45" s="50" t="s">
        <v>86</v>
      </c>
      <c r="W45" s="50">
        <v>160</v>
      </c>
      <c r="X45" s="50" t="s">
        <v>329</v>
      </c>
      <c r="Y45" s="54"/>
      <c r="Z45" s="54"/>
      <c r="AA45" s="54"/>
      <c r="AB45" s="134">
        <v>0.2</v>
      </c>
      <c r="AC45" s="56" t="s">
        <v>89</v>
      </c>
      <c r="AD45" s="135">
        <v>23423</v>
      </c>
      <c r="AE45" s="58">
        <v>23423</v>
      </c>
      <c r="AF45" s="136">
        <v>45989</v>
      </c>
      <c r="AG45" s="58">
        <v>7</v>
      </c>
      <c r="AH45" s="60">
        <f t="shared" si="12"/>
        <v>48119</v>
      </c>
      <c r="AI45" s="59">
        <f t="shared" si="19"/>
        <v>48180</v>
      </c>
      <c r="AJ45" s="59">
        <f t="shared" si="11"/>
        <v>48546</v>
      </c>
      <c r="AK45" s="59"/>
      <c r="AL45" s="132"/>
      <c r="AM45" s="50" t="s">
        <v>330</v>
      </c>
      <c r="AN45" s="50">
        <v>1</v>
      </c>
      <c r="AO45" s="102" t="s">
        <v>331</v>
      </c>
      <c r="AP45" s="61"/>
      <c r="AQ45" s="61"/>
      <c r="AR45" s="102" t="s">
        <v>332</v>
      </c>
      <c r="AS45" s="50" t="s">
        <v>82</v>
      </c>
      <c r="AT45" s="50"/>
      <c r="AU45" s="62"/>
      <c r="AV45" s="63"/>
      <c r="AW45" s="64"/>
      <c r="AX45" s="85"/>
      <c r="AY45" s="64"/>
      <c r="AZ45" s="64"/>
      <c r="BA45" s="68"/>
      <c r="BB45" s="69"/>
      <c r="BC45" s="70"/>
      <c r="BD45" s="70"/>
      <c r="BE45" s="61"/>
      <c r="BF45" s="66"/>
      <c r="BG45" s="67"/>
    </row>
    <row r="46" spans="1:59" ht="42" customHeight="1" x14ac:dyDescent="0.2">
      <c r="A46" s="137">
        <v>40</v>
      </c>
      <c r="B46" s="50">
        <v>27477</v>
      </c>
      <c r="C46" s="51" t="s">
        <v>333</v>
      </c>
      <c r="D46" s="51" t="s">
        <v>334</v>
      </c>
      <c r="E46" s="51" t="s">
        <v>335</v>
      </c>
      <c r="F46" s="52" t="s">
        <v>336</v>
      </c>
      <c r="G46" s="50">
        <v>108963</v>
      </c>
      <c r="H46" s="50"/>
      <c r="I46" s="50" t="s">
        <v>201</v>
      </c>
      <c r="J46" s="50" t="s">
        <v>79</v>
      </c>
      <c r="K46" s="50"/>
      <c r="L46" s="50"/>
      <c r="M46" s="50"/>
      <c r="N46" s="51" t="s">
        <v>337</v>
      </c>
      <c r="O46" s="50" t="s">
        <v>81</v>
      </c>
      <c r="P46" s="53" t="s">
        <v>89</v>
      </c>
      <c r="Q46" s="51" t="s">
        <v>83</v>
      </c>
      <c r="R46" s="51" t="s">
        <v>84</v>
      </c>
      <c r="S46" s="50" t="s">
        <v>85</v>
      </c>
      <c r="T46" s="50" t="s">
        <v>86</v>
      </c>
      <c r="U46" s="50" t="s">
        <v>86</v>
      </c>
      <c r="V46" s="50" t="s">
        <v>86</v>
      </c>
      <c r="W46" s="50">
        <v>160</v>
      </c>
      <c r="X46" s="50" t="s">
        <v>87</v>
      </c>
      <c r="Y46" s="54"/>
      <c r="Z46" s="54"/>
      <c r="AA46" s="54"/>
      <c r="AB46" s="55">
        <v>0.3</v>
      </c>
      <c r="AC46" s="56" t="str">
        <f t="shared" ref="AC46:AC56" ca="1" si="20">IF(AJ46&gt;TODAY(),"Si","No")</f>
        <v>Si</v>
      </c>
      <c r="AD46" s="94">
        <v>15917</v>
      </c>
      <c r="AE46" s="58">
        <v>15917</v>
      </c>
      <c r="AF46" s="59">
        <v>43817</v>
      </c>
      <c r="AG46" s="58">
        <v>7</v>
      </c>
      <c r="AH46" s="60">
        <f t="shared" si="12"/>
        <v>45948</v>
      </c>
      <c r="AI46" s="59">
        <f t="shared" ref="AI46:AI52" si="21">EDATE(AF46,(AG46*12)-12)</f>
        <v>46009</v>
      </c>
      <c r="AJ46" s="59">
        <f t="shared" si="11"/>
        <v>46374</v>
      </c>
      <c r="AK46" s="59"/>
      <c r="AL46" s="59"/>
      <c r="AM46" s="61" t="s">
        <v>338</v>
      </c>
      <c r="AN46" s="61">
        <v>1</v>
      </c>
      <c r="AO46" s="61"/>
      <c r="AP46" s="61"/>
      <c r="AQ46" s="61"/>
      <c r="AR46" s="50" t="s">
        <v>82</v>
      </c>
      <c r="AS46" s="50"/>
      <c r="AT46" s="50" t="str">
        <f>'Rutas AAC'!AE73</f>
        <v xml:space="preserve"> </v>
      </c>
      <c r="AU46" s="62"/>
      <c r="AV46" s="63"/>
      <c r="AW46" s="64"/>
      <c r="AX46" s="92"/>
      <c r="AY46" s="63"/>
      <c r="AZ46" s="63"/>
      <c r="BA46" s="68"/>
      <c r="BB46" s="138"/>
      <c r="BC46" s="138"/>
      <c r="BD46" s="138"/>
      <c r="BE46" s="61"/>
      <c r="BF46" s="139"/>
      <c r="BG46" s="67"/>
    </row>
    <row r="47" spans="1:59" ht="42" customHeight="1" x14ac:dyDescent="0.2">
      <c r="A47" s="137">
        <v>41</v>
      </c>
      <c r="B47" s="50">
        <v>28586</v>
      </c>
      <c r="C47" s="51" t="s">
        <v>333</v>
      </c>
      <c r="D47" s="51" t="s">
        <v>339</v>
      </c>
      <c r="E47" s="51" t="s">
        <v>340</v>
      </c>
      <c r="F47" s="52" t="s">
        <v>341</v>
      </c>
      <c r="G47" s="50">
        <v>11967</v>
      </c>
      <c r="H47" s="50"/>
      <c r="I47" s="50" t="s">
        <v>342</v>
      </c>
      <c r="J47" s="50" t="s">
        <v>94</v>
      </c>
      <c r="K47" s="50"/>
      <c r="L47" s="50"/>
      <c r="M47" s="50"/>
      <c r="N47" s="51" t="s">
        <v>80</v>
      </c>
      <c r="O47" s="50" t="s">
        <v>81</v>
      </c>
      <c r="P47" s="53" t="s">
        <v>82</v>
      </c>
      <c r="Q47" s="51" t="s">
        <v>83</v>
      </c>
      <c r="R47" s="51" t="s">
        <v>84</v>
      </c>
      <c r="S47" s="50" t="s">
        <v>85</v>
      </c>
      <c r="T47" s="50" t="s">
        <v>86</v>
      </c>
      <c r="U47" s="50" t="s">
        <v>86</v>
      </c>
      <c r="V47" s="50" t="s">
        <v>86</v>
      </c>
      <c r="W47" s="50">
        <v>132</v>
      </c>
      <c r="X47" s="50" t="s">
        <v>343</v>
      </c>
      <c r="Y47" s="73" t="s">
        <v>344</v>
      </c>
      <c r="Z47" s="54"/>
      <c r="AA47" s="54"/>
      <c r="AB47" s="55">
        <v>0.3</v>
      </c>
      <c r="AC47" s="56" t="str">
        <f t="shared" ca="1" si="20"/>
        <v>Si</v>
      </c>
      <c r="AD47" s="94">
        <v>8267</v>
      </c>
      <c r="AE47" s="58">
        <v>8267</v>
      </c>
      <c r="AF47" s="59">
        <v>43978</v>
      </c>
      <c r="AG47" s="58">
        <v>7</v>
      </c>
      <c r="AH47" s="60">
        <f t="shared" si="12"/>
        <v>46108</v>
      </c>
      <c r="AI47" s="59">
        <f t="shared" si="21"/>
        <v>46169</v>
      </c>
      <c r="AJ47" s="59">
        <f t="shared" si="11"/>
        <v>46534</v>
      </c>
      <c r="AK47" s="59"/>
      <c r="AL47" s="59"/>
      <c r="AM47" s="61" t="s">
        <v>345</v>
      </c>
      <c r="AN47" s="61">
        <v>3</v>
      </c>
      <c r="AO47" s="61"/>
      <c r="AP47" s="61"/>
      <c r="AQ47" s="61"/>
      <c r="AR47" s="50" t="s">
        <v>89</v>
      </c>
      <c r="AS47" s="50"/>
      <c r="AT47" s="50">
        <f>'Rutas AAC'!AE64</f>
        <v>13</v>
      </c>
      <c r="AU47" s="140"/>
      <c r="AV47" s="63"/>
      <c r="AW47" s="141"/>
      <c r="AX47" s="92"/>
      <c r="AY47" s="63"/>
      <c r="AZ47" s="106"/>
      <c r="BA47" s="68"/>
      <c r="BB47" s="75"/>
      <c r="BC47" s="75"/>
      <c r="BD47" s="75"/>
      <c r="BE47" s="61">
        <v>2013</v>
      </c>
      <c r="BF47" s="66"/>
      <c r="BG47" s="67"/>
    </row>
    <row r="48" spans="1:59" ht="42" customHeight="1" x14ac:dyDescent="0.2">
      <c r="A48" s="137">
        <v>42</v>
      </c>
      <c r="B48" s="50">
        <v>29520</v>
      </c>
      <c r="C48" s="51" t="s">
        <v>333</v>
      </c>
      <c r="D48" s="51" t="s">
        <v>346</v>
      </c>
      <c r="E48" s="51" t="s">
        <v>347</v>
      </c>
      <c r="F48" s="52" t="s">
        <v>348</v>
      </c>
      <c r="G48" s="50">
        <v>4493</v>
      </c>
      <c r="H48" s="50"/>
      <c r="I48" s="50" t="s">
        <v>120</v>
      </c>
      <c r="J48" s="50" t="s">
        <v>94</v>
      </c>
      <c r="K48" s="50"/>
      <c r="L48" s="50"/>
      <c r="M48" s="50"/>
      <c r="N48" s="51" t="s">
        <v>80</v>
      </c>
      <c r="O48" s="50" t="s">
        <v>81</v>
      </c>
      <c r="P48" s="53" t="s">
        <v>82</v>
      </c>
      <c r="Q48" s="51" t="s">
        <v>83</v>
      </c>
      <c r="R48" s="51" t="s">
        <v>84</v>
      </c>
      <c r="S48" s="50" t="s">
        <v>85</v>
      </c>
      <c r="T48" s="50" t="s">
        <v>86</v>
      </c>
      <c r="U48" s="50" t="s">
        <v>86</v>
      </c>
      <c r="V48" s="50" t="s">
        <v>86</v>
      </c>
      <c r="W48" s="50">
        <v>170</v>
      </c>
      <c r="X48" s="50" t="s">
        <v>87</v>
      </c>
      <c r="Y48" s="73" t="s">
        <v>349</v>
      </c>
      <c r="Z48" s="54"/>
      <c r="AA48" s="54"/>
      <c r="AB48" s="55">
        <v>0.25</v>
      </c>
      <c r="AC48" s="56" t="str">
        <f t="shared" ca="1" si="20"/>
        <v>Si</v>
      </c>
      <c r="AD48" s="94">
        <v>11378</v>
      </c>
      <c r="AE48" s="58">
        <v>11378</v>
      </c>
      <c r="AF48" s="59">
        <v>44014</v>
      </c>
      <c r="AG48" s="58">
        <v>7</v>
      </c>
      <c r="AH48" s="60">
        <f t="shared" si="12"/>
        <v>46144</v>
      </c>
      <c r="AI48" s="59">
        <f t="shared" si="21"/>
        <v>46205</v>
      </c>
      <c r="AJ48" s="59">
        <f t="shared" si="11"/>
        <v>46570</v>
      </c>
      <c r="AK48" s="59"/>
      <c r="AL48" s="59"/>
      <c r="AM48" s="61" t="s">
        <v>350</v>
      </c>
      <c r="AN48" s="61">
        <v>2</v>
      </c>
      <c r="AO48" s="61"/>
      <c r="AP48" s="61"/>
      <c r="AQ48" s="61"/>
      <c r="AR48" s="50" t="s">
        <v>89</v>
      </c>
      <c r="AS48" s="50"/>
      <c r="AT48" s="50" t="str">
        <f>'Rutas AAC'!AE63</f>
        <v xml:space="preserve"> </v>
      </c>
      <c r="AU48" s="140"/>
      <c r="AV48" s="63"/>
      <c r="AW48" s="141"/>
      <c r="AX48" s="92"/>
      <c r="AY48" s="63"/>
      <c r="AZ48" s="63"/>
      <c r="BA48" s="68"/>
      <c r="BB48" s="69"/>
      <c r="BC48" s="70"/>
      <c r="BD48" s="70"/>
      <c r="BE48" s="61"/>
      <c r="BF48" s="66"/>
      <c r="BG48" s="67"/>
    </row>
    <row r="49" spans="1:66" ht="42" customHeight="1" x14ac:dyDescent="0.2">
      <c r="A49" s="137">
        <v>43</v>
      </c>
      <c r="B49" s="50">
        <v>25190</v>
      </c>
      <c r="C49" s="51" t="s">
        <v>333</v>
      </c>
      <c r="D49" s="51" t="s">
        <v>351</v>
      </c>
      <c r="E49" s="51" t="s">
        <v>352</v>
      </c>
      <c r="F49" s="52" t="s">
        <v>353</v>
      </c>
      <c r="G49" s="50">
        <v>51767</v>
      </c>
      <c r="H49" s="50"/>
      <c r="I49" s="50" t="s">
        <v>354</v>
      </c>
      <c r="J49" s="50" t="s">
        <v>355</v>
      </c>
      <c r="K49" s="50"/>
      <c r="L49" s="50"/>
      <c r="M49" s="50"/>
      <c r="N49" s="51" t="s">
        <v>80</v>
      </c>
      <c r="O49" s="50" t="s">
        <v>81</v>
      </c>
      <c r="P49" s="53" t="s">
        <v>82</v>
      </c>
      <c r="Q49" s="51" t="s">
        <v>169</v>
      </c>
      <c r="R49" s="51" t="s">
        <v>96</v>
      </c>
      <c r="S49" s="50" t="s">
        <v>85</v>
      </c>
      <c r="T49" s="50" t="s">
        <v>162</v>
      </c>
      <c r="U49" s="50">
        <v>90</v>
      </c>
      <c r="V49" s="50" t="s">
        <v>86</v>
      </c>
      <c r="W49" s="50">
        <v>120</v>
      </c>
      <c r="X49" s="50" t="s">
        <v>170</v>
      </c>
      <c r="Y49" s="54"/>
      <c r="Z49" s="54"/>
      <c r="AA49" s="54"/>
      <c r="AB49" s="55">
        <v>0.2</v>
      </c>
      <c r="AC49" s="56" t="str">
        <f t="shared" ca="1" si="20"/>
        <v>Si</v>
      </c>
      <c r="AD49" s="94">
        <v>15313</v>
      </c>
      <c r="AE49" s="58">
        <v>15313</v>
      </c>
      <c r="AF49" s="59">
        <v>44067</v>
      </c>
      <c r="AG49" s="58">
        <v>7</v>
      </c>
      <c r="AH49" s="60">
        <f t="shared" si="12"/>
        <v>46197</v>
      </c>
      <c r="AI49" s="59">
        <f t="shared" si="21"/>
        <v>46258</v>
      </c>
      <c r="AJ49" s="59">
        <f t="shared" si="11"/>
        <v>46623</v>
      </c>
      <c r="AK49" s="59"/>
      <c r="AL49" s="59"/>
      <c r="AM49" s="61" t="s">
        <v>356</v>
      </c>
      <c r="AN49" s="61">
        <v>2</v>
      </c>
      <c r="AO49" s="61"/>
      <c r="AP49" s="61"/>
      <c r="AQ49" s="61">
        <v>17</v>
      </c>
      <c r="AR49" s="50" t="s">
        <v>89</v>
      </c>
      <c r="AS49" s="50"/>
      <c r="AT49" s="50" t="e">
        <f>#REF!</f>
        <v>#REF!</v>
      </c>
      <c r="AU49" s="62"/>
      <c r="AV49" s="63"/>
      <c r="AW49" s="64"/>
      <c r="AX49" s="92"/>
      <c r="AY49" s="63"/>
      <c r="AZ49" s="64"/>
      <c r="BA49" s="68"/>
      <c r="BB49" s="69"/>
      <c r="BC49" s="70"/>
      <c r="BD49" s="70"/>
      <c r="BE49" s="61"/>
      <c r="BF49" s="142"/>
      <c r="BG49" s="67"/>
    </row>
    <row r="50" spans="1:66" ht="42" customHeight="1" x14ac:dyDescent="0.2">
      <c r="A50" s="137">
        <v>44</v>
      </c>
      <c r="B50" s="50">
        <v>37771</v>
      </c>
      <c r="C50" s="51" t="s">
        <v>333</v>
      </c>
      <c r="D50" s="51" t="s">
        <v>357</v>
      </c>
      <c r="E50" s="51" t="s">
        <v>358</v>
      </c>
      <c r="F50" s="52" t="s">
        <v>359</v>
      </c>
      <c r="G50" s="50">
        <v>54866</v>
      </c>
      <c r="H50" s="50"/>
      <c r="I50" s="50" t="s">
        <v>360</v>
      </c>
      <c r="J50" s="50" t="s">
        <v>259</v>
      </c>
      <c r="K50" s="50"/>
      <c r="L50" s="50"/>
      <c r="M50" s="50"/>
      <c r="N50" s="51" t="s">
        <v>80</v>
      </c>
      <c r="O50" s="50" t="s">
        <v>81</v>
      </c>
      <c r="P50" s="53" t="s">
        <v>82</v>
      </c>
      <c r="Q50" s="51" t="s">
        <v>95</v>
      </c>
      <c r="R50" s="51" t="s">
        <v>96</v>
      </c>
      <c r="S50" s="50" t="s">
        <v>85</v>
      </c>
      <c r="T50" s="50" t="s">
        <v>162</v>
      </c>
      <c r="U50" s="50">
        <v>50</v>
      </c>
      <c r="V50" s="50" t="s">
        <v>86</v>
      </c>
      <c r="W50" s="50">
        <v>50</v>
      </c>
      <c r="X50" s="50" t="s">
        <v>98</v>
      </c>
      <c r="Y50" s="54"/>
      <c r="Z50" s="54"/>
      <c r="AA50" s="54"/>
      <c r="AB50" s="55">
        <v>0.5</v>
      </c>
      <c r="AC50" s="56" t="str">
        <f t="shared" ca="1" si="20"/>
        <v>Si</v>
      </c>
      <c r="AD50" s="94">
        <v>6493</v>
      </c>
      <c r="AE50" s="58">
        <v>6493</v>
      </c>
      <c r="AF50" s="59">
        <v>44676</v>
      </c>
      <c r="AG50" s="58">
        <v>7</v>
      </c>
      <c r="AH50" s="60">
        <f t="shared" si="12"/>
        <v>46808</v>
      </c>
      <c r="AI50" s="59">
        <f t="shared" si="21"/>
        <v>46868</v>
      </c>
      <c r="AJ50" s="59">
        <f t="shared" si="11"/>
        <v>47233</v>
      </c>
      <c r="AK50" s="59"/>
      <c r="AL50" s="59"/>
      <c r="AM50" s="61" t="s">
        <v>361</v>
      </c>
      <c r="AN50" s="61">
        <v>3</v>
      </c>
      <c r="AO50" s="61"/>
      <c r="AP50" s="61"/>
      <c r="AQ50" s="61"/>
      <c r="AR50" s="50" t="s">
        <v>82</v>
      </c>
      <c r="AS50" s="50"/>
      <c r="AT50" s="50" t="str">
        <f>'Rutas AAC'!AE70</f>
        <v xml:space="preserve"> </v>
      </c>
      <c r="AU50" s="62"/>
      <c r="AV50" s="63"/>
      <c r="AW50" s="64"/>
      <c r="AX50" s="92"/>
      <c r="AY50" s="63"/>
      <c r="AZ50" s="143"/>
      <c r="BA50" s="68"/>
      <c r="BB50" s="69"/>
      <c r="BC50" s="70"/>
      <c r="BD50" s="70"/>
      <c r="BE50" s="61"/>
      <c r="BF50" s="71"/>
      <c r="BG50" s="67"/>
    </row>
    <row r="51" spans="1:66" ht="42" customHeight="1" x14ac:dyDescent="0.2">
      <c r="A51" s="137">
        <v>45</v>
      </c>
      <c r="B51" s="50">
        <v>34729</v>
      </c>
      <c r="C51" s="51" t="s">
        <v>333</v>
      </c>
      <c r="D51" s="51" t="s">
        <v>362</v>
      </c>
      <c r="E51" s="51" t="s">
        <v>363</v>
      </c>
      <c r="F51" s="52" t="s">
        <v>364</v>
      </c>
      <c r="G51" s="50">
        <v>104296</v>
      </c>
      <c r="H51" s="50"/>
      <c r="I51" s="50" t="s">
        <v>365</v>
      </c>
      <c r="J51" s="50" t="s">
        <v>94</v>
      </c>
      <c r="K51" s="50"/>
      <c r="L51" s="50"/>
      <c r="M51" s="50"/>
      <c r="N51" s="51" t="s">
        <v>80</v>
      </c>
      <c r="O51" s="50" t="s">
        <v>81</v>
      </c>
      <c r="P51" s="53" t="s">
        <v>82</v>
      </c>
      <c r="Q51" s="51" t="s">
        <v>95</v>
      </c>
      <c r="R51" s="51" t="s">
        <v>96</v>
      </c>
      <c r="S51" s="50" t="s">
        <v>85</v>
      </c>
      <c r="T51" s="50" t="s">
        <v>162</v>
      </c>
      <c r="U51" s="50">
        <v>50</v>
      </c>
      <c r="V51" s="50" t="s">
        <v>86</v>
      </c>
      <c r="W51" s="50">
        <v>50</v>
      </c>
      <c r="X51" s="50" t="s">
        <v>98</v>
      </c>
      <c r="Y51" s="54"/>
      <c r="Z51" s="54"/>
      <c r="AA51" s="54"/>
      <c r="AB51" s="55">
        <v>0.2</v>
      </c>
      <c r="AC51" s="56" t="str">
        <f t="shared" ca="1" si="20"/>
        <v>Si</v>
      </c>
      <c r="AD51" s="94">
        <v>9951</v>
      </c>
      <c r="AE51" s="58">
        <v>9951</v>
      </c>
      <c r="AF51" s="59">
        <v>44715</v>
      </c>
      <c r="AG51" s="58">
        <v>7</v>
      </c>
      <c r="AH51" s="60">
        <f t="shared" si="12"/>
        <v>46846</v>
      </c>
      <c r="AI51" s="59">
        <f t="shared" si="21"/>
        <v>46907</v>
      </c>
      <c r="AJ51" s="59">
        <f t="shared" si="11"/>
        <v>47272</v>
      </c>
      <c r="AK51" s="59"/>
      <c r="AL51" s="59"/>
      <c r="AM51" s="61" t="s">
        <v>366</v>
      </c>
      <c r="AN51" s="61">
        <v>1</v>
      </c>
      <c r="AO51" s="61"/>
      <c r="AP51" s="61"/>
      <c r="AQ51" s="61"/>
      <c r="AR51" s="50" t="s">
        <v>82</v>
      </c>
      <c r="AS51" s="50"/>
      <c r="AT51" s="50" t="str">
        <f>'Rutas AAC'!AE76</f>
        <v xml:space="preserve"> </v>
      </c>
      <c r="AU51" s="62"/>
      <c r="AV51" s="63"/>
      <c r="AW51" s="64"/>
      <c r="AX51" s="92"/>
      <c r="AY51" s="63"/>
      <c r="AZ51" s="106"/>
      <c r="BA51" s="68"/>
      <c r="BB51" s="69" t="s">
        <v>279</v>
      </c>
      <c r="BC51" s="70"/>
      <c r="BD51" s="70"/>
      <c r="BE51" s="61"/>
      <c r="BF51" s="71"/>
      <c r="BG51" s="67"/>
    </row>
    <row r="52" spans="1:66" ht="42" customHeight="1" x14ac:dyDescent="0.2">
      <c r="A52" s="137">
        <v>46</v>
      </c>
      <c r="B52" s="50">
        <v>36294</v>
      </c>
      <c r="C52" s="51" t="s">
        <v>333</v>
      </c>
      <c r="D52" s="51" t="s">
        <v>367</v>
      </c>
      <c r="E52" s="51" t="s">
        <v>368</v>
      </c>
      <c r="F52" s="52" t="s">
        <v>369</v>
      </c>
      <c r="G52" s="50">
        <v>105733</v>
      </c>
      <c r="H52" s="50"/>
      <c r="I52" s="50" t="s">
        <v>370</v>
      </c>
      <c r="J52" s="50" t="s">
        <v>94</v>
      </c>
      <c r="K52" s="50"/>
      <c r="L52" s="50"/>
      <c r="M52" s="50"/>
      <c r="N52" s="51" t="s">
        <v>80</v>
      </c>
      <c r="O52" s="50" t="s">
        <v>147</v>
      </c>
      <c r="P52" s="53" t="s">
        <v>82</v>
      </c>
      <c r="Q52" s="51" t="s">
        <v>169</v>
      </c>
      <c r="R52" s="51" t="s">
        <v>96</v>
      </c>
      <c r="S52" s="50" t="s">
        <v>85</v>
      </c>
      <c r="T52" s="50" t="s">
        <v>162</v>
      </c>
      <c r="U52" s="50">
        <v>118</v>
      </c>
      <c r="V52" s="50" t="s">
        <v>86</v>
      </c>
      <c r="W52" s="50">
        <v>118</v>
      </c>
      <c r="X52" s="50" t="s">
        <v>170</v>
      </c>
      <c r="Y52" s="54"/>
      <c r="Z52" s="54"/>
      <c r="AA52" s="54"/>
      <c r="AB52" s="55">
        <v>0.2</v>
      </c>
      <c r="AC52" s="56" t="str">
        <f t="shared" ca="1" si="20"/>
        <v>Si</v>
      </c>
      <c r="AD52" s="94">
        <v>2585</v>
      </c>
      <c r="AE52" s="58">
        <v>2585</v>
      </c>
      <c r="AF52" s="59">
        <v>44978</v>
      </c>
      <c r="AG52" s="58">
        <v>7</v>
      </c>
      <c r="AH52" s="60">
        <f t="shared" si="12"/>
        <v>47108</v>
      </c>
      <c r="AI52" s="59">
        <f t="shared" si="21"/>
        <v>47170</v>
      </c>
      <c r="AJ52" s="59">
        <f t="shared" si="11"/>
        <v>47535</v>
      </c>
      <c r="AK52" s="59"/>
      <c r="AL52" s="59"/>
      <c r="AM52" s="61" t="s">
        <v>371</v>
      </c>
      <c r="AN52" s="61">
        <v>2</v>
      </c>
      <c r="AO52" s="61"/>
      <c r="AP52" s="61"/>
      <c r="AQ52" s="61"/>
      <c r="AR52" s="50" t="s">
        <v>82</v>
      </c>
      <c r="AS52" s="50"/>
      <c r="AT52" s="50" t="str">
        <f>'Rutas AAC'!AE82</f>
        <v xml:space="preserve"> </v>
      </c>
      <c r="AU52" s="62"/>
      <c r="AV52" s="63"/>
      <c r="AW52" s="64"/>
      <c r="AX52" s="92"/>
      <c r="AY52" s="63"/>
      <c r="AZ52" s="106"/>
      <c r="BA52" s="68"/>
      <c r="BB52" s="69"/>
      <c r="BC52" s="70"/>
      <c r="BD52" s="70"/>
      <c r="BE52" s="61"/>
      <c r="BF52" s="66"/>
      <c r="BG52" s="67"/>
    </row>
    <row r="53" spans="1:66" ht="42" customHeight="1" x14ac:dyDescent="0.2">
      <c r="A53" s="137">
        <v>47</v>
      </c>
      <c r="B53" s="50">
        <v>13121</v>
      </c>
      <c r="C53" s="51" t="s">
        <v>333</v>
      </c>
      <c r="D53" s="51" t="s">
        <v>372</v>
      </c>
      <c r="E53" s="51" t="s">
        <v>373</v>
      </c>
      <c r="F53" s="52" t="s">
        <v>336</v>
      </c>
      <c r="G53" s="50">
        <v>106575</v>
      </c>
      <c r="H53" s="50"/>
      <c r="I53" s="50" t="s">
        <v>374</v>
      </c>
      <c r="J53" s="50" t="s">
        <v>94</v>
      </c>
      <c r="K53" s="50"/>
      <c r="L53" s="50"/>
      <c r="M53" s="50"/>
      <c r="N53" s="51" t="s">
        <v>80</v>
      </c>
      <c r="O53" s="50" t="s">
        <v>81</v>
      </c>
      <c r="P53" s="53" t="s">
        <v>82</v>
      </c>
      <c r="Q53" s="51" t="s">
        <v>83</v>
      </c>
      <c r="R53" s="51" t="s">
        <v>84</v>
      </c>
      <c r="S53" s="50" t="s">
        <v>85</v>
      </c>
      <c r="T53" s="50" t="s">
        <v>86</v>
      </c>
      <c r="U53" s="50" t="s">
        <v>86</v>
      </c>
      <c r="V53" s="50" t="s">
        <v>86</v>
      </c>
      <c r="W53" s="50">
        <v>162</v>
      </c>
      <c r="X53" s="50" t="s">
        <v>87</v>
      </c>
      <c r="Y53" s="73" t="s">
        <v>375</v>
      </c>
      <c r="Z53" s="73" t="s">
        <v>376</v>
      </c>
      <c r="AA53" s="73" t="s">
        <v>377</v>
      </c>
      <c r="AB53" s="55">
        <v>0.3</v>
      </c>
      <c r="AC53" s="56" t="str">
        <f t="shared" ca="1" si="20"/>
        <v>Si</v>
      </c>
      <c r="AD53" s="94">
        <v>6405</v>
      </c>
      <c r="AE53" s="58">
        <v>6405</v>
      </c>
      <c r="AF53" s="59">
        <v>45036</v>
      </c>
      <c r="AG53" s="58">
        <v>7</v>
      </c>
      <c r="AH53" s="60">
        <f t="shared" si="12"/>
        <v>47169</v>
      </c>
      <c r="AI53" s="59">
        <f>EDATE(AJ53,-12)</f>
        <v>47228</v>
      </c>
      <c r="AJ53" s="59">
        <f t="shared" si="11"/>
        <v>47593</v>
      </c>
      <c r="AK53" s="59"/>
      <c r="AL53" s="144">
        <v>45930</v>
      </c>
      <c r="AM53" s="61" t="s">
        <v>378</v>
      </c>
      <c r="AN53" s="61">
        <v>4</v>
      </c>
      <c r="AO53" s="61"/>
      <c r="AP53" s="61"/>
      <c r="AQ53" s="61"/>
      <c r="AR53" s="50" t="s">
        <v>89</v>
      </c>
      <c r="AS53" s="50" t="s">
        <v>89</v>
      </c>
      <c r="AT53" s="50" t="str">
        <f>'Rutas AAC'!AE65</f>
        <v xml:space="preserve"> </v>
      </c>
      <c r="AU53" s="57">
        <v>6405</v>
      </c>
      <c r="AV53" s="68">
        <v>45036</v>
      </c>
      <c r="AW53" s="74">
        <v>4</v>
      </c>
      <c r="AX53" s="65">
        <f t="shared" ref="AX53:AX54" si="22">EDATE(AV53,(AW53*12)-14)</f>
        <v>46073</v>
      </c>
      <c r="AY53" s="68">
        <f t="shared" ref="AY53:AY54" si="23">EDATE(AV53,(AW53*12)-12)</f>
        <v>46132</v>
      </c>
      <c r="AZ53" s="68">
        <f t="shared" ref="AZ53:AZ54" si="24">EDATE(AV53,(AW53*12))</f>
        <v>46497</v>
      </c>
      <c r="BA53" s="68">
        <f t="shared" ref="BA53:BA54" si="25">EDATE(AV53,((AW53/2)*12))</f>
        <v>45767</v>
      </c>
      <c r="BB53" s="61" t="s">
        <v>379</v>
      </c>
      <c r="BC53" s="61">
        <v>4</v>
      </c>
      <c r="BD53" s="61" t="s">
        <v>380</v>
      </c>
      <c r="BE53" s="61"/>
      <c r="BF53" s="105"/>
      <c r="BG53" s="67"/>
    </row>
    <row r="54" spans="1:66" ht="42" customHeight="1" x14ac:dyDescent="0.2">
      <c r="A54" s="137">
        <v>48</v>
      </c>
      <c r="B54" s="50">
        <v>31199</v>
      </c>
      <c r="C54" s="51" t="s">
        <v>333</v>
      </c>
      <c r="D54" s="51" t="s">
        <v>381</v>
      </c>
      <c r="E54" s="51" t="s">
        <v>382</v>
      </c>
      <c r="F54" s="52" t="s">
        <v>383</v>
      </c>
      <c r="G54" s="50">
        <v>13062</v>
      </c>
      <c r="H54" s="50"/>
      <c r="I54" s="50" t="s">
        <v>384</v>
      </c>
      <c r="J54" s="50" t="s">
        <v>94</v>
      </c>
      <c r="K54" s="50"/>
      <c r="L54" s="50"/>
      <c r="M54" s="50"/>
      <c r="N54" s="51" t="s">
        <v>80</v>
      </c>
      <c r="O54" s="50" t="s">
        <v>81</v>
      </c>
      <c r="P54" s="53" t="s">
        <v>82</v>
      </c>
      <c r="Q54" s="51" t="s">
        <v>83</v>
      </c>
      <c r="R54" s="51" t="s">
        <v>84</v>
      </c>
      <c r="S54" s="50" t="s">
        <v>85</v>
      </c>
      <c r="T54" s="50" t="s">
        <v>86</v>
      </c>
      <c r="U54" s="50" t="s">
        <v>86</v>
      </c>
      <c r="V54" s="50" t="s">
        <v>86</v>
      </c>
      <c r="W54" s="50">
        <v>134</v>
      </c>
      <c r="X54" s="50" t="s">
        <v>87</v>
      </c>
      <c r="Y54" s="73" t="s">
        <v>385</v>
      </c>
      <c r="Z54" s="54"/>
      <c r="AA54" s="54"/>
      <c r="AB54" s="55">
        <v>0.32</v>
      </c>
      <c r="AC54" s="56" t="str">
        <f t="shared" ca="1" si="20"/>
        <v>Si</v>
      </c>
      <c r="AD54" s="94">
        <v>6404</v>
      </c>
      <c r="AE54" s="58">
        <v>6404</v>
      </c>
      <c r="AF54" s="59">
        <v>45036</v>
      </c>
      <c r="AG54" s="58">
        <v>7</v>
      </c>
      <c r="AH54" s="60">
        <f t="shared" si="12"/>
        <v>47169</v>
      </c>
      <c r="AI54" s="59">
        <f t="shared" ref="AI54:AI55" si="26">EDATE(AF54,(AG54*12)-12)</f>
        <v>47228</v>
      </c>
      <c r="AJ54" s="59">
        <f t="shared" si="11"/>
        <v>47593</v>
      </c>
      <c r="AK54" s="59"/>
      <c r="AL54" s="59"/>
      <c r="AM54" s="61" t="s">
        <v>386</v>
      </c>
      <c r="AN54" s="61">
        <v>4</v>
      </c>
      <c r="AO54" s="61"/>
      <c r="AP54" s="61"/>
      <c r="AQ54" s="61"/>
      <c r="AR54" s="50" t="s">
        <v>89</v>
      </c>
      <c r="AS54" s="50" t="s">
        <v>89</v>
      </c>
      <c r="AT54" s="50" t="str">
        <f>'Rutas AAC'!AE66</f>
        <v xml:space="preserve"> </v>
      </c>
      <c r="AU54" s="57">
        <v>6404</v>
      </c>
      <c r="AV54" s="68">
        <v>45036</v>
      </c>
      <c r="AW54" s="74">
        <v>4</v>
      </c>
      <c r="AX54" s="65">
        <f t="shared" si="22"/>
        <v>46073</v>
      </c>
      <c r="AY54" s="68">
        <f t="shared" si="23"/>
        <v>46132</v>
      </c>
      <c r="AZ54" s="68">
        <f t="shared" si="24"/>
        <v>46497</v>
      </c>
      <c r="BA54" s="68">
        <f t="shared" si="25"/>
        <v>45767</v>
      </c>
      <c r="BB54" s="69"/>
      <c r="BC54" s="70">
        <v>1</v>
      </c>
      <c r="BD54" s="70"/>
      <c r="BE54" s="61">
        <v>2013</v>
      </c>
      <c r="BF54" s="66"/>
      <c r="BG54" s="67"/>
    </row>
    <row r="55" spans="1:66" ht="42" customHeight="1" x14ac:dyDescent="0.2">
      <c r="A55" s="137">
        <v>49</v>
      </c>
      <c r="B55" s="50">
        <v>33293</v>
      </c>
      <c r="C55" s="51" t="s">
        <v>333</v>
      </c>
      <c r="D55" s="51" t="s">
        <v>387</v>
      </c>
      <c r="E55" s="51" t="s">
        <v>388</v>
      </c>
      <c r="F55" s="52" t="s">
        <v>389</v>
      </c>
      <c r="G55" s="50">
        <v>104456</v>
      </c>
      <c r="H55" s="50"/>
      <c r="I55" s="50" t="s">
        <v>390</v>
      </c>
      <c r="J55" s="50" t="s">
        <v>94</v>
      </c>
      <c r="K55" s="50"/>
      <c r="L55" s="50"/>
      <c r="M55" s="50"/>
      <c r="N55" s="51" t="s">
        <v>80</v>
      </c>
      <c r="O55" s="50" t="s">
        <v>81</v>
      </c>
      <c r="P55" s="53" t="s">
        <v>82</v>
      </c>
      <c r="Q55" s="51" t="s">
        <v>95</v>
      </c>
      <c r="R55" s="51" t="s">
        <v>96</v>
      </c>
      <c r="S55" s="50" t="s">
        <v>85</v>
      </c>
      <c r="T55" s="50" t="s">
        <v>162</v>
      </c>
      <c r="U55" s="50">
        <v>44</v>
      </c>
      <c r="V55" s="50" t="s">
        <v>86</v>
      </c>
      <c r="W55" s="50">
        <v>44</v>
      </c>
      <c r="X55" s="50" t="s">
        <v>98</v>
      </c>
      <c r="Y55" s="54"/>
      <c r="Z55" s="54"/>
      <c r="AA55" s="54"/>
      <c r="AB55" s="55" t="s">
        <v>99</v>
      </c>
      <c r="AC55" s="56" t="str">
        <f t="shared" ca="1" si="20"/>
        <v>Si</v>
      </c>
      <c r="AD55" s="94">
        <v>9732</v>
      </c>
      <c r="AE55" s="58">
        <v>9732</v>
      </c>
      <c r="AF55" s="59">
        <v>45093</v>
      </c>
      <c r="AG55" s="58">
        <v>7</v>
      </c>
      <c r="AH55" s="60">
        <f t="shared" si="12"/>
        <v>47224</v>
      </c>
      <c r="AI55" s="59">
        <f t="shared" si="26"/>
        <v>47285</v>
      </c>
      <c r="AJ55" s="59">
        <f t="shared" si="11"/>
        <v>47650</v>
      </c>
      <c r="AK55" s="59"/>
      <c r="AL55" s="59"/>
      <c r="AM55" s="61" t="s">
        <v>391</v>
      </c>
      <c r="AN55" s="61">
        <v>2</v>
      </c>
      <c r="AO55" s="61"/>
      <c r="AP55" s="61"/>
      <c r="AQ55" s="76"/>
      <c r="AR55" s="50" t="s">
        <v>82</v>
      </c>
      <c r="AS55" s="50"/>
      <c r="AT55" s="50" t="e">
        <f>'[4]Rutas AAC'!AE75</f>
        <v>#REF!</v>
      </c>
      <c r="AU55" s="62"/>
      <c r="AV55" s="63"/>
      <c r="AW55" s="64"/>
      <c r="AX55" s="92"/>
      <c r="AY55" s="63"/>
      <c r="AZ55" s="106"/>
      <c r="BA55" s="68"/>
      <c r="BB55" s="70"/>
      <c r="BC55" s="61"/>
      <c r="BD55" s="72"/>
      <c r="BE55" s="76"/>
      <c r="BF55" s="71"/>
      <c r="BG55" s="67"/>
    </row>
    <row r="56" spans="1:66" ht="42" customHeight="1" x14ac:dyDescent="0.2">
      <c r="A56" s="137">
        <v>50</v>
      </c>
      <c r="B56" s="50">
        <v>20597</v>
      </c>
      <c r="C56" s="51" t="s">
        <v>333</v>
      </c>
      <c r="D56" s="51" t="s">
        <v>392</v>
      </c>
      <c r="E56" s="51" t="s">
        <v>393</v>
      </c>
      <c r="F56" s="52" t="s">
        <v>394</v>
      </c>
      <c r="G56" s="50">
        <v>106604</v>
      </c>
      <c r="H56" s="50"/>
      <c r="I56" s="50" t="s">
        <v>395</v>
      </c>
      <c r="J56" s="50" t="s">
        <v>79</v>
      </c>
      <c r="K56" s="50"/>
      <c r="L56" s="50"/>
      <c r="M56" s="50"/>
      <c r="N56" s="51" t="s">
        <v>80</v>
      </c>
      <c r="O56" s="50" t="s">
        <v>81</v>
      </c>
      <c r="P56" s="53" t="s">
        <v>82</v>
      </c>
      <c r="Q56" s="51" t="s">
        <v>83</v>
      </c>
      <c r="R56" s="51" t="s">
        <v>84</v>
      </c>
      <c r="S56" s="50" t="s">
        <v>85</v>
      </c>
      <c r="T56" s="50" t="s">
        <v>86</v>
      </c>
      <c r="U56" s="50" t="s">
        <v>86</v>
      </c>
      <c r="V56" s="50" t="s">
        <v>86</v>
      </c>
      <c r="W56" s="50">
        <v>168</v>
      </c>
      <c r="X56" s="50" t="s">
        <v>87</v>
      </c>
      <c r="Y56" s="73" t="s">
        <v>396</v>
      </c>
      <c r="Z56" s="73" t="s">
        <v>397</v>
      </c>
      <c r="AA56" s="73" t="s">
        <v>398</v>
      </c>
      <c r="AB56" s="55">
        <v>0.2</v>
      </c>
      <c r="AC56" s="56" t="str">
        <f t="shared" ca="1" si="20"/>
        <v>Si</v>
      </c>
      <c r="AD56" s="94">
        <v>14237</v>
      </c>
      <c r="AE56" s="58">
        <v>14237</v>
      </c>
      <c r="AF56" s="59">
        <v>45161</v>
      </c>
      <c r="AG56" s="58">
        <v>7</v>
      </c>
      <c r="AH56" s="60">
        <f t="shared" si="12"/>
        <v>47292</v>
      </c>
      <c r="AI56" s="59">
        <f t="shared" ref="AI56:AI57" si="27">EDATE(AJ56,-12)</f>
        <v>47353</v>
      </c>
      <c r="AJ56" s="59">
        <f t="shared" si="11"/>
        <v>47718</v>
      </c>
      <c r="AK56" s="59"/>
      <c r="AL56" s="144">
        <v>46022</v>
      </c>
      <c r="AM56" s="61" t="s">
        <v>399</v>
      </c>
      <c r="AN56" s="61">
        <v>3</v>
      </c>
      <c r="AO56" s="61"/>
      <c r="AP56" s="61"/>
      <c r="AQ56" s="61"/>
      <c r="AR56" s="50" t="s">
        <v>89</v>
      </c>
      <c r="AS56" s="50" t="s">
        <v>89</v>
      </c>
      <c r="AT56" s="50" t="str">
        <f>'Rutas AAC'!AE68</f>
        <v xml:space="preserve"> </v>
      </c>
      <c r="AU56" s="57">
        <v>14237</v>
      </c>
      <c r="AV56" s="68">
        <v>45161</v>
      </c>
      <c r="AW56" s="74">
        <v>4</v>
      </c>
      <c r="AX56" s="65">
        <f>EDATE(AV56,(AW56*12)-14)</f>
        <v>46196</v>
      </c>
      <c r="AY56" s="68">
        <f>EDATE(AV56,(AW56*12)-12)</f>
        <v>46257</v>
      </c>
      <c r="AZ56" s="68">
        <f>EDATE(AV56,(AW56*12))</f>
        <v>46622</v>
      </c>
      <c r="BA56" s="68">
        <f>EDATE(AV56,((AW56/2)*12))</f>
        <v>45892</v>
      </c>
      <c r="BB56" s="61" t="s">
        <v>400</v>
      </c>
      <c r="BC56" s="61">
        <v>1</v>
      </c>
      <c r="BD56" s="61"/>
      <c r="BE56" s="61"/>
      <c r="BF56" s="105"/>
      <c r="BG56" s="67"/>
    </row>
    <row r="57" spans="1:66" ht="100.5" customHeight="1" x14ac:dyDescent="0.2">
      <c r="A57" s="137">
        <v>51</v>
      </c>
      <c r="B57" s="145">
        <v>1111</v>
      </c>
      <c r="C57" s="146" t="s">
        <v>333</v>
      </c>
      <c r="D57" s="146" t="s">
        <v>401</v>
      </c>
      <c r="E57" s="146" t="s">
        <v>402</v>
      </c>
      <c r="F57" s="147" t="s">
        <v>403</v>
      </c>
      <c r="G57" s="145">
        <v>15440</v>
      </c>
      <c r="H57" s="148"/>
      <c r="I57" s="145" t="s">
        <v>404</v>
      </c>
      <c r="J57" s="145" t="s">
        <v>94</v>
      </c>
      <c r="K57" s="148"/>
      <c r="L57" s="148"/>
      <c r="M57" s="148"/>
      <c r="N57" s="146" t="s">
        <v>405</v>
      </c>
      <c r="O57" s="148"/>
      <c r="P57" s="149"/>
      <c r="Q57" s="146" t="s">
        <v>83</v>
      </c>
      <c r="R57" s="146" t="s">
        <v>84</v>
      </c>
      <c r="S57" s="145" t="s">
        <v>85</v>
      </c>
      <c r="T57" s="148"/>
      <c r="U57" s="148"/>
      <c r="V57" s="148"/>
      <c r="W57" s="145">
        <v>152</v>
      </c>
      <c r="X57" s="148" t="s">
        <v>329</v>
      </c>
      <c r="Y57" s="150"/>
      <c r="Z57" s="150"/>
      <c r="AA57" s="150"/>
      <c r="AB57" s="151"/>
      <c r="AC57" s="152" t="s">
        <v>89</v>
      </c>
      <c r="AD57" s="153" t="s">
        <v>406</v>
      </c>
      <c r="AE57" s="154">
        <v>24484</v>
      </c>
      <c r="AF57" s="155">
        <v>46008</v>
      </c>
      <c r="AG57" s="154">
        <v>7</v>
      </c>
      <c r="AH57" s="156">
        <f t="shared" si="12"/>
        <v>48138</v>
      </c>
      <c r="AI57" s="155">
        <f t="shared" si="27"/>
        <v>48199</v>
      </c>
      <c r="AJ57" s="155">
        <f t="shared" si="11"/>
        <v>48565</v>
      </c>
      <c r="AK57" s="157"/>
      <c r="AL57" s="157"/>
      <c r="AM57" s="158" t="s">
        <v>407</v>
      </c>
      <c r="AN57" s="158">
        <v>1</v>
      </c>
      <c r="AO57" s="159"/>
      <c r="AP57" s="159"/>
      <c r="AQ57" s="160"/>
      <c r="AR57" s="148"/>
      <c r="AS57" s="148"/>
      <c r="AT57" s="148"/>
      <c r="AU57" s="161"/>
      <c r="AV57" s="162"/>
      <c r="AW57" s="161"/>
      <c r="AX57" s="163"/>
      <c r="AY57" s="162"/>
      <c r="AZ57" s="162"/>
      <c r="BA57" s="162"/>
      <c r="BB57" s="159"/>
      <c r="BC57" s="159"/>
      <c r="BD57" s="160"/>
      <c r="BE57" s="160"/>
      <c r="BF57" s="164"/>
      <c r="BG57" s="165"/>
      <c r="BH57" s="166"/>
      <c r="BI57" s="166"/>
      <c r="BJ57" s="166"/>
      <c r="BK57" s="166"/>
      <c r="BL57" s="166"/>
      <c r="BM57" s="166"/>
      <c r="BN57" s="166"/>
    </row>
    <row r="58" spans="1:66" ht="100.5" customHeight="1" x14ac:dyDescent="0.2">
      <c r="A58" s="137">
        <v>52</v>
      </c>
      <c r="B58" s="50">
        <v>38555</v>
      </c>
      <c r="C58" s="51" t="s">
        <v>333</v>
      </c>
      <c r="D58" s="51" t="s">
        <v>408</v>
      </c>
      <c r="E58" s="51" t="s">
        <v>409</v>
      </c>
      <c r="F58" s="52" t="s">
        <v>410</v>
      </c>
      <c r="G58" s="50">
        <v>232</v>
      </c>
      <c r="H58" s="50"/>
      <c r="I58" s="50" t="s">
        <v>240</v>
      </c>
      <c r="J58" s="50" t="s">
        <v>94</v>
      </c>
      <c r="K58" s="50"/>
      <c r="L58" s="50"/>
      <c r="M58" s="50"/>
      <c r="N58" s="51" t="s">
        <v>80</v>
      </c>
      <c r="O58" s="50" t="s">
        <v>81</v>
      </c>
      <c r="P58" s="53" t="s">
        <v>82</v>
      </c>
      <c r="Q58" s="51" t="s">
        <v>83</v>
      </c>
      <c r="R58" s="51" t="s">
        <v>84</v>
      </c>
      <c r="S58" s="50" t="s">
        <v>85</v>
      </c>
      <c r="T58" s="50" t="s">
        <v>86</v>
      </c>
      <c r="U58" s="50" t="s">
        <v>86</v>
      </c>
      <c r="V58" s="50" t="s">
        <v>86</v>
      </c>
      <c r="W58" s="50">
        <v>160</v>
      </c>
      <c r="X58" s="50" t="s">
        <v>87</v>
      </c>
      <c r="Y58" s="54"/>
      <c r="Z58" s="54"/>
      <c r="AA58" s="54"/>
      <c r="AB58" s="55">
        <v>0.25</v>
      </c>
      <c r="AC58" s="56" t="str">
        <f ca="1">IF(AJ58&gt;TODAY(),"Si","No")</f>
        <v>Si</v>
      </c>
      <c r="AD58" s="94">
        <v>10048</v>
      </c>
      <c r="AE58" s="58">
        <v>10048</v>
      </c>
      <c r="AF58" s="59">
        <v>45100</v>
      </c>
      <c r="AG58" s="58">
        <v>8</v>
      </c>
      <c r="AH58" s="60">
        <f t="shared" si="12"/>
        <v>47596</v>
      </c>
      <c r="AI58" s="59">
        <f t="shared" ref="AI58:AI124" si="28">EDATE(AF58,(AG58*12)-12)</f>
        <v>47657</v>
      </c>
      <c r="AJ58" s="59">
        <f t="shared" si="11"/>
        <v>48022</v>
      </c>
      <c r="AK58" s="59"/>
      <c r="AL58" s="59"/>
      <c r="AM58" s="61" t="s">
        <v>411</v>
      </c>
      <c r="AN58" s="61">
        <v>8</v>
      </c>
      <c r="AO58" s="61"/>
      <c r="AP58" s="61"/>
      <c r="AQ58" s="130"/>
      <c r="AR58" s="50" t="s">
        <v>89</v>
      </c>
      <c r="AS58" s="50" t="s">
        <v>89</v>
      </c>
      <c r="AT58" s="50" t="str">
        <f>'Rutas AAC'!AE62</f>
        <v xml:space="preserve"> </v>
      </c>
      <c r="AU58" s="57">
        <v>10048</v>
      </c>
      <c r="AV58" s="68">
        <v>45100</v>
      </c>
      <c r="AW58" s="74">
        <v>8</v>
      </c>
      <c r="AX58" s="65">
        <f>EDATE(AV58,(AW58*12)-14)</f>
        <v>47596</v>
      </c>
      <c r="AY58" s="68">
        <f>EDATE(AV58,(AW58*12)-12)</f>
        <v>47657</v>
      </c>
      <c r="AZ58" s="68">
        <f>EDATE(AV58,(AW58*12))</f>
        <v>48022</v>
      </c>
      <c r="BA58" s="68">
        <f>EDATE(AV58,((AW58/2)*12))</f>
        <v>46561</v>
      </c>
      <c r="BB58" s="61" t="s">
        <v>412</v>
      </c>
      <c r="BC58" s="61">
        <v>4</v>
      </c>
      <c r="BD58" s="128"/>
      <c r="BE58" s="130"/>
      <c r="BF58" s="71"/>
      <c r="BG58" s="67"/>
    </row>
    <row r="59" spans="1:66" ht="64.5" customHeight="1" x14ac:dyDescent="0.2">
      <c r="A59" s="167">
        <v>53</v>
      </c>
      <c r="B59" s="50">
        <v>222</v>
      </c>
      <c r="C59" s="51" t="s">
        <v>413</v>
      </c>
      <c r="D59" s="51" t="s">
        <v>414</v>
      </c>
      <c r="E59" s="51" t="s">
        <v>415</v>
      </c>
      <c r="F59" s="52" t="s">
        <v>416</v>
      </c>
      <c r="G59" s="50">
        <v>12098</v>
      </c>
      <c r="H59" s="50"/>
      <c r="I59" s="50" t="s">
        <v>417</v>
      </c>
      <c r="J59" s="50" t="s">
        <v>418</v>
      </c>
      <c r="K59" s="50"/>
      <c r="L59" s="50"/>
      <c r="M59" s="50"/>
      <c r="N59" s="51" t="s">
        <v>80</v>
      </c>
      <c r="O59" s="50" t="s">
        <v>81</v>
      </c>
      <c r="P59" s="53" t="s">
        <v>82</v>
      </c>
      <c r="Q59" s="51" t="s">
        <v>148</v>
      </c>
      <c r="R59" s="51" t="s">
        <v>96</v>
      </c>
      <c r="S59" s="50" t="s">
        <v>85</v>
      </c>
      <c r="T59" s="50" t="s">
        <v>97</v>
      </c>
      <c r="U59" s="50"/>
      <c r="V59" s="50"/>
      <c r="W59" s="50">
        <v>25</v>
      </c>
      <c r="X59" s="50" t="s">
        <v>156</v>
      </c>
      <c r="Y59" s="54"/>
      <c r="Z59" s="54"/>
      <c r="AA59" s="89"/>
      <c r="AB59" s="55">
        <v>0.3</v>
      </c>
      <c r="AC59" s="56" t="s">
        <v>300</v>
      </c>
      <c r="AD59" s="168">
        <v>9133</v>
      </c>
      <c r="AE59" s="58">
        <v>9133</v>
      </c>
      <c r="AF59" s="59">
        <v>46113</v>
      </c>
      <c r="AG59" s="58">
        <v>7</v>
      </c>
      <c r="AH59" s="60">
        <f t="shared" si="12"/>
        <v>48245</v>
      </c>
      <c r="AI59" s="59">
        <f t="shared" si="28"/>
        <v>48305</v>
      </c>
      <c r="AJ59" s="59">
        <f t="shared" si="11"/>
        <v>48670</v>
      </c>
      <c r="AK59" s="59"/>
      <c r="AL59" s="59"/>
      <c r="AM59" s="61" t="s">
        <v>419</v>
      </c>
      <c r="AN59" s="102">
        <v>1</v>
      </c>
      <c r="AO59" s="61"/>
      <c r="AP59" s="61"/>
      <c r="AQ59" s="169"/>
      <c r="AR59" s="50"/>
      <c r="AS59" s="50"/>
      <c r="AT59" s="50"/>
      <c r="AU59" s="90"/>
      <c r="AV59" s="68"/>
      <c r="AW59" s="74"/>
      <c r="AX59" s="65"/>
      <c r="AY59" s="68"/>
      <c r="AZ59" s="68"/>
      <c r="BA59" s="68"/>
      <c r="BB59" s="75"/>
      <c r="BC59" s="70"/>
      <c r="BD59" s="170"/>
      <c r="BE59" s="169"/>
      <c r="BF59" s="66"/>
      <c r="BG59" s="67"/>
    </row>
    <row r="60" spans="1:66" ht="64.5" customHeight="1" x14ac:dyDescent="0.2">
      <c r="A60" s="167">
        <v>54</v>
      </c>
      <c r="B60" s="50">
        <v>22431</v>
      </c>
      <c r="C60" s="51" t="s">
        <v>413</v>
      </c>
      <c r="D60" s="51" t="s">
        <v>420</v>
      </c>
      <c r="E60" s="51" t="s">
        <v>421</v>
      </c>
      <c r="F60" s="52" t="s">
        <v>422</v>
      </c>
      <c r="G60" s="50">
        <v>3636</v>
      </c>
      <c r="H60" s="50"/>
      <c r="I60" s="50" t="s">
        <v>423</v>
      </c>
      <c r="J60" s="50" t="s">
        <v>79</v>
      </c>
      <c r="K60" s="50"/>
      <c r="L60" s="50"/>
      <c r="M60" s="50"/>
      <c r="N60" s="51" t="s">
        <v>80</v>
      </c>
      <c r="O60" s="50" t="s">
        <v>81</v>
      </c>
      <c r="P60" s="53" t="s">
        <v>82</v>
      </c>
      <c r="Q60" s="51" t="s">
        <v>83</v>
      </c>
      <c r="R60" s="51" t="s">
        <v>84</v>
      </c>
      <c r="S60" s="50" t="s">
        <v>85</v>
      </c>
      <c r="T60" s="50" t="s">
        <v>86</v>
      </c>
      <c r="U60" s="50" t="s">
        <v>86</v>
      </c>
      <c r="V60" s="50" t="s">
        <v>86</v>
      </c>
      <c r="W60" s="50">
        <v>165</v>
      </c>
      <c r="X60" s="50" t="s">
        <v>87</v>
      </c>
      <c r="Y60" s="54" t="s">
        <v>424</v>
      </c>
      <c r="Z60" s="54"/>
      <c r="AA60" s="73" t="s">
        <v>425</v>
      </c>
      <c r="AB60" s="55">
        <v>0.3</v>
      </c>
      <c r="AC60" s="56" t="str">
        <f t="shared" ref="AC60:AC67" ca="1" si="29">IF(AJ60&gt;TODAY(),"Si","No")</f>
        <v>Si</v>
      </c>
      <c r="AD60" s="171">
        <v>23384</v>
      </c>
      <c r="AE60" s="58">
        <v>23384</v>
      </c>
      <c r="AF60" s="59">
        <v>45989</v>
      </c>
      <c r="AG60" s="58">
        <v>7</v>
      </c>
      <c r="AH60" s="60">
        <f t="shared" si="12"/>
        <v>48119</v>
      </c>
      <c r="AI60" s="59">
        <f t="shared" si="28"/>
        <v>48180</v>
      </c>
      <c r="AJ60" s="59">
        <f t="shared" si="11"/>
        <v>48546</v>
      </c>
      <c r="AK60" s="59"/>
      <c r="AL60" s="59"/>
      <c r="AM60" s="61" t="s">
        <v>426</v>
      </c>
      <c r="AN60" s="102">
        <v>5</v>
      </c>
      <c r="AO60" s="61"/>
      <c r="AP60" s="61"/>
      <c r="AQ60" s="61"/>
      <c r="AR60" s="50" t="s">
        <v>89</v>
      </c>
      <c r="AS60" s="50"/>
      <c r="AT60" s="50" t="str">
        <f>'Rutas AAC'!AE88</f>
        <v xml:space="preserve"> </v>
      </c>
      <c r="AU60" s="57">
        <v>8333</v>
      </c>
      <c r="AV60" s="68">
        <v>43686</v>
      </c>
      <c r="AW60" s="74">
        <v>4</v>
      </c>
      <c r="AX60" s="65">
        <f t="shared" ref="AX60:AX64" si="30">EDATE(AV60,(AW60*12)-14)</f>
        <v>44721</v>
      </c>
      <c r="AY60" s="68">
        <f t="shared" ref="AY60:AY64" si="31">EDATE(AV60,(AW60*12)-12)</f>
        <v>44782</v>
      </c>
      <c r="AZ60" s="68">
        <f t="shared" ref="AZ60:AZ64" si="32">EDATE(AV60,(AW60*12))</f>
        <v>45147</v>
      </c>
      <c r="BA60" s="68">
        <f t="shared" ref="BA60:BA64" si="33">EDATE(AV60,((AW60/2)*12))</f>
        <v>44417</v>
      </c>
      <c r="BB60" s="75"/>
      <c r="BC60" s="70">
        <v>1</v>
      </c>
      <c r="BD60" s="75"/>
      <c r="BE60" s="61"/>
      <c r="BF60" s="66"/>
      <c r="BG60" s="67"/>
    </row>
    <row r="61" spans="1:66" ht="50.25" customHeight="1" x14ac:dyDescent="0.2">
      <c r="A61" s="167">
        <v>55</v>
      </c>
      <c r="B61" s="50">
        <v>32335</v>
      </c>
      <c r="C61" s="51" t="s">
        <v>413</v>
      </c>
      <c r="D61" s="51" t="s">
        <v>427</v>
      </c>
      <c r="E61" s="51" t="s">
        <v>428</v>
      </c>
      <c r="F61" s="52" t="s">
        <v>429</v>
      </c>
      <c r="G61" s="50">
        <v>103476</v>
      </c>
      <c r="H61" s="50"/>
      <c r="I61" s="50" t="s">
        <v>120</v>
      </c>
      <c r="J61" s="50" t="s">
        <v>259</v>
      </c>
      <c r="K61" s="50"/>
      <c r="L61" s="50"/>
      <c r="M61" s="50"/>
      <c r="N61" s="51" t="s">
        <v>80</v>
      </c>
      <c r="O61" s="50" t="s">
        <v>147</v>
      </c>
      <c r="P61" s="53" t="s">
        <v>82</v>
      </c>
      <c r="Q61" s="51" t="s">
        <v>95</v>
      </c>
      <c r="R61" s="51" t="s">
        <v>96</v>
      </c>
      <c r="S61" s="50" t="s">
        <v>85</v>
      </c>
      <c r="T61" s="50" t="s">
        <v>162</v>
      </c>
      <c r="U61" s="50">
        <v>45</v>
      </c>
      <c r="V61" s="50">
        <v>0</v>
      </c>
      <c r="W61" s="50">
        <v>45</v>
      </c>
      <c r="X61" s="50" t="s">
        <v>98</v>
      </c>
      <c r="Y61" s="54"/>
      <c r="Z61" s="54"/>
      <c r="AA61" s="54"/>
      <c r="AB61" s="55">
        <v>0.3</v>
      </c>
      <c r="AC61" s="56" t="str">
        <f t="shared" ca="1" si="29"/>
        <v>Si</v>
      </c>
      <c r="AD61" s="94">
        <v>22115</v>
      </c>
      <c r="AE61" s="58">
        <v>22115</v>
      </c>
      <c r="AF61" s="59">
        <v>44160</v>
      </c>
      <c r="AG61" s="58">
        <v>7</v>
      </c>
      <c r="AH61" s="60">
        <f t="shared" si="12"/>
        <v>46290</v>
      </c>
      <c r="AI61" s="59">
        <f t="shared" si="28"/>
        <v>46351</v>
      </c>
      <c r="AJ61" s="59">
        <f t="shared" si="11"/>
        <v>46716</v>
      </c>
      <c r="AK61" s="59"/>
      <c r="AL61" s="59"/>
      <c r="AM61" s="61" t="s">
        <v>430</v>
      </c>
      <c r="AN61" s="61">
        <v>2</v>
      </c>
      <c r="AO61" s="61"/>
      <c r="AP61" s="61"/>
      <c r="AQ61" s="61"/>
      <c r="AR61" s="50" t="s">
        <v>82</v>
      </c>
      <c r="AS61" s="50"/>
      <c r="AT61" s="50" t="str">
        <f>'Rutas AAC'!AE101</f>
        <v xml:space="preserve"> </v>
      </c>
      <c r="AU61" s="62"/>
      <c r="AV61" s="68"/>
      <c r="AW61" s="64"/>
      <c r="AX61" s="65" t="e">
        <f t="shared" si="30"/>
        <v>#NUM!</v>
      </c>
      <c r="AY61" s="68" t="e">
        <f t="shared" si="31"/>
        <v>#NUM!</v>
      </c>
      <c r="AZ61" s="68">
        <f t="shared" si="32"/>
        <v>0</v>
      </c>
      <c r="BA61" s="68">
        <f t="shared" si="33"/>
        <v>0</v>
      </c>
      <c r="BB61" s="69"/>
      <c r="BC61" s="70"/>
      <c r="BD61" s="70"/>
      <c r="BE61" s="61"/>
      <c r="BF61" s="66"/>
      <c r="BG61" s="67"/>
    </row>
    <row r="62" spans="1:66" ht="73.5" customHeight="1" x14ac:dyDescent="0.2">
      <c r="A62" s="167">
        <v>56</v>
      </c>
      <c r="B62" s="50">
        <v>32361</v>
      </c>
      <c r="C62" s="51" t="s">
        <v>413</v>
      </c>
      <c r="D62" s="51" t="s">
        <v>431</v>
      </c>
      <c r="E62" s="51" t="s">
        <v>428</v>
      </c>
      <c r="F62" s="52" t="s">
        <v>429</v>
      </c>
      <c r="G62" s="50">
        <v>103504</v>
      </c>
      <c r="H62" s="50"/>
      <c r="I62" s="50" t="s">
        <v>78</v>
      </c>
      <c r="J62" s="50" t="s">
        <v>259</v>
      </c>
      <c r="K62" s="50"/>
      <c r="L62" s="50"/>
      <c r="M62" s="50"/>
      <c r="N62" s="51" t="s">
        <v>337</v>
      </c>
      <c r="O62" s="50" t="s">
        <v>147</v>
      </c>
      <c r="P62" s="53" t="s">
        <v>89</v>
      </c>
      <c r="Q62" s="51" t="s">
        <v>95</v>
      </c>
      <c r="R62" s="51" t="s">
        <v>96</v>
      </c>
      <c r="S62" s="50" t="s">
        <v>85</v>
      </c>
      <c r="T62" s="50" t="s">
        <v>162</v>
      </c>
      <c r="U62" s="50">
        <v>45</v>
      </c>
      <c r="V62" s="50">
        <v>0</v>
      </c>
      <c r="W62" s="50">
        <v>45</v>
      </c>
      <c r="X62" s="50" t="s">
        <v>98</v>
      </c>
      <c r="Y62" s="54"/>
      <c r="Z62" s="54"/>
      <c r="AA62" s="54"/>
      <c r="AB62" s="55">
        <v>0.3</v>
      </c>
      <c r="AC62" s="56" t="str">
        <f t="shared" ca="1" si="29"/>
        <v>Si</v>
      </c>
      <c r="AD62" s="94">
        <v>2559</v>
      </c>
      <c r="AE62" s="58">
        <v>2559</v>
      </c>
      <c r="AF62" s="59">
        <v>44246</v>
      </c>
      <c r="AG62" s="58">
        <v>7</v>
      </c>
      <c r="AH62" s="60">
        <f t="shared" si="12"/>
        <v>46375</v>
      </c>
      <c r="AI62" s="59">
        <f t="shared" si="28"/>
        <v>46437</v>
      </c>
      <c r="AJ62" s="59">
        <f t="shared" si="11"/>
        <v>46802</v>
      </c>
      <c r="AK62" s="59"/>
      <c r="AL62" s="59"/>
      <c r="AM62" s="61" t="s">
        <v>432</v>
      </c>
      <c r="AN62" s="61">
        <v>1</v>
      </c>
      <c r="AO62" s="61"/>
      <c r="AP62" s="61"/>
      <c r="AQ62" s="61"/>
      <c r="AR62" s="50" t="s">
        <v>82</v>
      </c>
      <c r="AS62" s="50"/>
      <c r="AT62" s="50" t="str">
        <f>'Rutas AAC'!AE102</f>
        <v xml:space="preserve"> </v>
      </c>
      <c r="AU62" s="62"/>
      <c r="AV62" s="68"/>
      <c r="AW62" s="64"/>
      <c r="AX62" s="65" t="e">
        <f t="shared" si="30"/>
        <v>#NUM!</v>
      </c>
      <c r="AY62" s="68" t="e">
        <f t="shared" si="31"/>
        <v>#NUM!</v>
      </c>
      <c r="AZ62" s="68">
        <f t="shared" si="32"/>
        <v>0</v>
      </c>
      <c r="BA62" s="68">
        <f t="shared" si="33"/>
        <v>0</v>
      </c>
      <c r="BB62" s="69"/>
      <c r="BC62" s="70"/>
      <c r="BD62" s="70"/>
      <c r="BE62" s="61"/>
      <c r="BF62" s="66"/>
      <c r="BG62" s="67"/>
    </row>
    <row r="63" spans="1:66" ht="42" customHeight="1" x14ac:dyDescent="0.2">
      <c r="A63" s="167">
        <v>57</v>
      </c>
      <c r="B63" s="50">
        <v>33976</v>
      </c>
      <c r="C63" s="51" t="s">
        <v>413</v>
      </c>
      <c r="D63" s="51" t="s">
        <v>433</v>
      </c>
      <c r="E63" s="51" t="s">
        <v>434</v>
      </c>
      <c r="F63" s="52" t="s">
        <v>435</v>
      </c>
      <c r="G63" s="50">
        <v>53791</v>
      </c>
      <c r="H63" s="50"/>
      <c r="I63" s="50" t="s">
        <v>78</v>
      </c>
      <c r="J63" s="50" t="s">
        <v>259</v>
      </c>
      <c r="K63" s="50"/>
      <c r="L63" s="50"/>
      <c r="M63" s="50"/>
      <c r="N63" s="51" t="s">
        <v>80</v>
      </c>
      <c r="O63" s="50" t="s">
        <v>81</v>
      </c>
      <c r="P63" s="53" t="s">
        <v>82</v>
      </c>
      <c r="Q63" s="51" t="s">
        <v>95</v>
      </c>
      <c r="R63" s="51" t="s">
        <v>96</v>
      </c>
      <c r="S63" s="50" t="s">
        <v>85</v>
      </c>
      <c r="T63" s="50" t="s">
        <v>162</v>
      </c>
      <c r="U63" s="50">
        <v>48</v>
      </c>
      <c r="V63" s="50" t="s">
        <v>86</v>
      </c>
      <c r="W63" s="50">
        <v>48</v>
      </c>
      <c r="X63" s="50" t="s">
        <v>233</v>
      </c>
      <c r="Y63" s="54" t="s">
        <v>436</v>
      </c>
      <c r="Z63" s="54"/>
      <c r="AA63" s="54"/>
      <c r="AB63" s="55">
        <v>0.1</v>
      </c>
      <c r="AC63" s="56" t="str">
        <f t="shared" ca="1" si="29"/>
        <v>Si</v>
      </c>
      <c r="AD63" s="94">
        <v>5619</v>
      </c>
      <c r="AE63" s="58">
        <v>5619</v>
      </c>
      <c r="AF63" s="59">
        <v>44285</v>
      </c>
      <c r="AG63" s="58">
        <v>7</v>
      </c>
      <c r="AH63" s="60">
        <f t="shared" si="12"/>
        <v>46417</v>
      </c>
      <c r="AI63" s="59">
        <f t="shared" si="28"/>
        <v>46476</v>
      </c>
      <c r="AJ63" s="59">
        <f t="shared" si="11"/>
        <v>46842</v>
      </c>
      <c r="AK63" s="59"/>
      <c r="AL63" s="59"/>
      <c r="AM63" s="61" t="s">
        <v>437</v>
      </c>
      <c r="AN63" s="61">
        <v>3</v>
      </c>
      <c r="AO63" s="61"/>
      <c r="AP63" s="61"/>
      <c r="AQ63" s="61">
        <v>63</v>
      </c>
      <c r="AR63" s="50" t="s">
        <v>89</v>
      </c>
      <c r="AS63" s="50"/>
      <c r="AT63" s="50" t="str">
        <f>'Rutas AAC'!AE97</f>
        <v xml:space="preserve"> </v>
      </c>
      <c r="AU63" s="62"/>
      <c r="AV63" s="68"/>
      <c r="AW63" s="64"/>
      <c r="AX63" s="65" t="e">
        <f t="shared" si="30"/>
        <v>#NUM!</v>
      </c>
      <c r="AY63" s="68" t="e">
        <f t="shared" si="31"/>
        <v>#NUM!</v>
      </c>
      <c r="AZ63" s="68">
        <f t="shared" si="32"/>
        <v>0</v>
      </c>
      <c r="BA63" s="68">
        <f t="shared" si="33"/>
        <v>0</v>
      </c>
      <c r="BB63" s="75"/>
      <c r="BC63" s="75"/>
      <c r="BD63" s="75"/>
      <c r="BE63" s="61"/>
      <c r="BF63" s="105"/>
      <c r="BG63" s="67"/>
    </row>
    <row r="64" spans="1:66" ht="42" customHeight="1" x14ac:dyDescent="0.2">
      <c r="A64" s="167">
        <v>58</v>
      </c>
      <c r="B64" s="50">
        <v>23836</v>
      </c>
      <c r="C64" s="51" t="s">
        <v>413</v>
      </c>
      <c r="D64" s="51" t="s">
        <v>438</v>
      </c>
      <c r="E64" s="51" t="s">
        <v>439</v>
      </c>
      <c r="F64" s="52" t="s">
        <v>440</v>
      </c>
      <c r="G64" s="50">
        <v>3048</v>
      </c>
      <c r="H64" s="50"/>
      <c r="I64" s="50" t="s">
        <v>441</v>
      </c>
      <c r="J64" s="50" t="s">
        <v>79</v>
      </c>
      <c r="K64" s="50"/>
      <c r="L64" s="50"/>
      <c r="M64" s="50"/>
      <c r="N64" s="51" t="s">
        <v>80</v>
      </c>
      <c r="O64" s="50" t="s">
        <v>81</v>
      </c>
      <c r="P64" s="53" t="s">
        <v>82</v>
      </c>
      <c r="Q64" s="51" t="s">
        <v>83</v>
      </c>
      <c r="R64" s="51" t="s">
        <v>84</v>
      </c>
      <c r="S64" s="50" t="s">
        <v>85</v>
      </c>
      <c r="T64" s="50" t="s">
        <v>86</v>
      </c>
      <c r="U64" s="50" t="s">
        <v>86</v>
      </c>
      <c r="V64" s="50" t="s">
        <v>86</v>
      </c>
      <c r="W64" s="50">
        <v>159</v>
      </c>
      <c r="X64" s="50" t="s">
        <v>87</v>
      </c>
      <c r="Y64" s="73" t="s">
        <v>442</v>
      </c>
      <c r="Z64" s="54"/>
      <c r="AA64" s="73" t="s">
        <v>443</v>
      </c>
      <c r="AB64" s="55">
        <v>0.2</v>
      </c>
      <c r="AC64" s="56" t="str">
        <f t="shared" ca="1" si="29"/>
        <v>Si</v>
      </c>
      <c r="AD64" s="94">
        <v>7456</v>
      </c>
      <c r="AE64" s="58">
        <v>7456</v>
      </c>
      <c r="AF64" s="59">
        <v>44316</v>
      </c>
      <c r="AG64" s="74">
        <v>7</v>
      </c>
      <c r="AH64" s="60">
        <f t="shared" si="12"/>
        <v>46446</v>
      </c>
      <c r="AI64" s="59">
        <f t="shared" si="28"/>
        <v>46507</v>
      </c>
      <c r="AJ64" s="59">
        <f t="shared" si="11"/>
        <v>46873</v>
      </c>
      <c r="AK64" s="59"/>
      <c r="AL64" s="59"/>
      <c r="AM64" s="61" t="s">
        <v>444</v>
      </c>
      <c r="AN64" s="61">
        <v>3</v>
      </c>
      <c r="AO64" s="61" t="s">
        <v>89</v>
      </c>
      <c r="AP64" s="61"/>
      <c r="AQ64" s="61"/>
      <c r="AR64" s="50" t="s">
        <v>89</v>
      </c>
      <c r="AS64" s="50" t="s">
        <v>89</v>
      </c>
      <c r="AT64" s="50">
        <f>'Rutas AAC'!AE87</f>
        <v>14</v>
      </c>
      <c r="AU64" s="57">
        <v>7456</v>
      </c>
      <c r="AV64" s="68">
        <v>44316</v>
      </c>
      <c r="AW64" s="74">
        <v>6</v>
      </c>
      <c r="AX64" s="65">
        <f t="shared" si="30"/>
        <v>46081</v>
      </c>
      <c r="AY64" s="68">
        <f t="shared" si="31"/>
        <v>46142</v>
      </c>
      <c r="AZ64" s="68">
        <f t="shared" si="32"/>
        <v>46507</v>
      </c>
      <c r="BA64" s="68">
        <f t="shared" si="33"/>
        <v>45412</v>
      </c>
      <c r="BB64" s="69" t="s">
        <v>445</v>
      </c>
      <c r="BC64" s="70">
        <v>2</v>
      </c>
      <c r="BD64" s="70"/>
      <c r="BE64" s="61">
        <v>2013</v>
      </c>
      <c r="BF64" s="172"/>
      <c r="BG64" s="67"/>
    </row>
    <row r="65" spans="1:59" ht="42" customHeight="1" x14ac:dyDescent="0.2">
      <c r="A65" s="167">
        <v>59</v>
      </c>
      <c r="B65" s="50">
        <v>32826</v>
      </c>
      <c r="C65" s="51" t="s">
        <v>413</v>
      </c>
      <c r="D65" s="51" t="s">
        <v>446</v>
      </c>
      <c r="E65" s="51" t="s">
        <v>447</v>
      </c>
      <c r="F65" s="52" t="s">
        <v>448</v>
      </c>
      <c r="G65" s="50">
        <v>53504</v>
      </c>
      <c r="H65" s="50"/>
      <c r="I65" s="50" t="s">
        <v>449</v>
      </c>
      <c r="J65" s="50" t="s">
        <v>94</v>
      </c>
      <c r="K65" s="50"/>
      <c r="L65" s="50"/>
      <c r="M65" s="50"/>
      <c r="N65" s="51" t="s">
        <v>80</v>
      </c>
      <c r="O65" s="50" t="s">
        <v>81</v>
      </c>
      <c r="P65" s="53" t="s">
        <v>82</v>
      </c>
      <c r="Q65" s="51" t="s">
        <v>95</v>
      </c>
      <c r="R65" s="51" t="s">
        <v>96</v>
      </c>
      <c r="S65" s="50" t="s">
        <v>85</v>
      </c>
      <c r="T65" s="50" t="s">
        <v>162</v>
      </c>
      <c r="U65" s="50">
        <v>48</v>
      </c>
      <c r="V65" s="50" t="s">
        <v>86</v>
      </c>
      <c r="W65" s="50">
        <v>48</v>
      </c>
      <c r="X65" s="50" t="s">
        <v>233</v>
      </c>
      <c r="Y65" s="73" t="s">
        <v>450</v>
      </c>
      <c r="Z65" s="54"/>
      <c r="AA65" s="54"/>
      <c r="AB65" s="55">
        <v>0.4</v>
      </c>
      <c r="AC65" s="56" t="str">
        <f t="shared" ca="1" si="29"/>
        <v>Si</v>
      </c>
      <c r="AD65" s="94">
        <v>17049</v>
      </c>
      <c r="AE65" s="58">
        <v>17049</v>
      </c>
      <c r="AF65" s="59">
        <v>44449</v>
      </c>
      <c r="AG65" s="58">
        <v>7</v>
      </c>
      <c r="AH65" s="60">
        <f t="shared" si="12"/>
        <v>46578</v>
      </c>
      <c r="AI65" s="59">
        <f t="shared" si="28"/>
        <v>46640</v>
      </c>
      <c r="AJ65" s="59">
        <f t="shared" si="11"/>
        <v>47006</v>
      </c>
      <c r="AK65" s="59"/>
      <c r="AL65" s="59"/>
      <c r="AM65" s="61" t="s">
        <v>451</v>
      </c>
      <c r="AN65" s="61">
        <v>3</v>
      </c>
      <c r="AO65" s="61"/>
      <c r="AP65" s="61"/>
      <c r="AQ65" s="61"/>
      <c r="AR65" s="50" t="s">
        <v>82</v>
      </c>
      <c r="AS65" s="50"/>
      <c r="AT65" s="50" t="str">
        <f>'Rutas AAC'!AE96</f>
        <v xml:space="preserve"> </v>
      </c>
      <c r="AU65" s="62"/>
      <c r="AV65" s="68"/>
      <c r="AW65" s="64"/>
      <c r="AX65" s="92"/>
      <c r="AY65" s="63"/>
      <c r="AZ65" s="106"/>
      <c r="BA65" s="68"/>
      <c r="BB65" s="75"/>
      <c r="BC65" s="75"/>
      <c r="BD65" s="75"/>
      <c r="BE65" s="61"/>
      <c r="BF65" s="71"/>
      <c r="BG65" s="67"/>
    </row>
    <row r="66" spans="1:59" ht="42" customHeight="1" x14ac:dyDescent="0.2">
      <c r="A66" s="167">
        <v>60</v>
      </c>
      <c r="B66" s="50">
        <v>35040</v>
      </c>
      <c r="C66" s="51" t="s">
        <v>413</v>
      </c>
      <c r="D66" s="51" t="s">
        <v>452</v>
      </c>
      <c r="E66" s="51" t="s">
        <v>453</v>
      </c>
      <c r="F66" s="52" t="s">
        <v>454</v>
      </c>
      <c r="G66" s="50">
        <v>104621</v>
      </c>
      <c r="H66" s="50"/>
      <c r="I66" s="50" t="s">
        <v>93</v>
      </c>
      <c r="J66" s="50" t="s">
        <v>94</v>
      </c>
      <c r="K66" s="50"/>
      <c r="L66" s="50"/>
      <c r="M66" s="50"/>
      <c r="N66" s="51" t="s">
        <v>80</v>
      </c>
      <c r="O66" s="50" t="s">
        <v>147</v>
      </c>
      <c r="P66" s="53" t="s">
        <v>82</v>
      </c>
      <c r="Q66" s="51" t="s">
        <v>95</v>
      </c>
      <c r="R66" s="51" t="s">
        <v>96</v>
      </c>
      <c r="S66" s="50" t="s">
        <v>85</v>
      </c>
      <c r="T66" s="50" t="s">
        <v>162</v>
      </c>
      <c r="U66" s="50">
        <v>50</v>
      </c>
      <c r="V66" s="50" t="s">
        <v>86</v>
      </c>
      <c r="W66" s="50">
        <v>50</v>
      </c>
      <c r="X66" s="50" t="s">
        <v>98</v>
      </c>
      <c r="Y66" s="54"/>
      <c r="Z66" s="54"/>
      <c r="AA66" s="54"/>
      <c r="AB66" s="55">
        <v>0.4</v>
      </c>
      <c r="AC66" s="56" t="str">
        <f t="shared" ca="1" si="29"/>
        <v>Si</v>
      </c>
      <c r="AD66" s="94">
        <v>17637</v>
      </c>
      <c r="AE66" s="58">
        <v>17637</v>
      </c>
      <c r="AF66" s="59">
        <v>44455</v>
      </c>
      <c r="AG66" s="58">
        <v>7</v>
      </c>
      <c r="AH66" s="60">
        <f t="shared" si="12"/>
        <v>46584</v>
      </c>
      <c r="AI66" s="59">
        <f t="shared" si="28"/>
        <v>46646</v>
      </c>
      <c r="AJ66" s="59">
        <f t="shared" si="11"/>
        <v>47012</v>
      </c>
      <c r="AK66" s="59"/>
      <c r="AL66" s="59"/>
      <c r="AM66" s="61" t="s">
        <v>455</v>
      </c>
      <c r="AN66" s="61"/>
      <c r="AO66" s="61"/>
      <c r="AP66" s="61"/>
      <c r="AQ66" s="61"/>
      <c r="AR66" s="50" t="s">
        <v>82</v>
      </c>
      <c r="AS66" s="50"/>
      <c r="AT66" s="50" t="str">
        <f>'Rutas AAC'!AE109</f>
        <v xml:space="preserve"> </v>
      </c>
      <c r="AU66" s="62"/>
      <c r="AV66" s="63"/>
      <c r="AW66" s="64"/>
      <c r="AX66" s="92"/>
      <c r="AY66" s="63"/>
      <c r="AZ66" s="93"/>
      <c r="BA66" s="68"/>
      <c r="BB66" s="69"/>
      <c r="BC66" s="70"/>
      <c r="BD66" s="70"/>
      <c r="BE66" s="61"/>
      <c r="BF66" s="173"/>
      <c r="BG66" s="67"/>
    </row>
    <row r="67" spans="1:59" ht="42" customHeight="1" x14ac:dyDescent="0.2">
      <c r="A67" s="167">
        <v>61</v>
      </c>
      <c r="B67" s="50">
        <v>34856</v>
      </c>
      <c r="C67" s="51" t="s">
        <v>413</v>
      </c>
      <c r="D67" s="51" t="s">
        <v>456</v>
      </c>
      <c r="E67" s="51" t="s">
        <v>457</v>
      </c>
      <c r="F67" s="52" t="s">
        <v>458</v>
      </c>
      <c r="G67" s="50">
        <v>104303</v>
      </c>
      <c r="H67" s="50"/>
      <c r="I67" s="50" t="s">
        <v>78</v>
      </c>
      <c r="J67" s="50" t="s">
        <v>259</v>
      </c>
      <c r="K67" s="50"/>
      <c r="L67" s="50"/>
      <c r="M67" s="50"/>
      <c r="N67" s="51" t="s">
        <v>80</v>
      </c>
      <c r="O67" s="50" t="s">
        <v>155</v>
      </c>
      <c r="P67" s="53" t="s">
        <v>82</v>
      </c>
      <c r="Q67" s="51" t="s">
        <v>95</v>
      </c>
      <c r="R67" s="51" t="s">
        <v>96</v>
      </c>
      <c r="S67" s="50" t="s">
        <v>85</v>
      </c>
      <c r="T67" s="50" t="s">
        <v>97</v>
      </c>
      <c r="U67" s="50" t="s">
        <v>86</v>
      </c>
      <c r="V67" s="50">
        <v>44</v>
      </c>
      <c r="W67" s="50">
        <v>44</v>
      </c>
      <c r="X67" s="50" t="s">
        <v>98</v>
      </c>
      <c r="Y67" s="54"/>
      <c r="Z67" s="54"/>
      <c r="AA67" s="54"/>
      <c r="AB67" s="55" t="s">
        <v>99</v>
      </c>
      <c r="AC67" s="56" t="str">
        <f t="shared" ca="1" si="29"/>
        <v>Si</v>
      </c>
      <c r="AD67" s="94">
        <v>23702</v>
      </c>
      <c r="AE67" s="58">
        <v>23702</v>
      </c>
      <c r="AF67" s="59">
        <v>44540</v>
      </c>
      <c r="AG67" s="58">
        <v>7</v>
      </c>
      <c r="AH67" s="60">
        <f t="shared" si="12"/>
        <v>46670</v>
      </c>
      <c r="AI67" s="59">
        <f t="shared" si="28"/>
        <v>46731</v>
      </c>
      <c r="AJ67" s="59">
        <f t="shared" si="11"/>
        <v>47097</v>
      </c>
      <c r="AK67" s="59"/>
      <c r="AL67" s="59"/>
      <c r="AM67" s="61" t="s">
        <v>459</v>
      </c>
      <c r="AN67" s="61">
        <v>2</v>
      </c>
      <c r="AO67" s="61"/>
      <c r="AP67" s="61"/>
      <c r="AQ67" s="61"/>
      <c r="AR67" s="50" t="s">
        <v>82</v>
      </c>
      <c r="AS67" s="50"/>
      <c r="AT67" s="50" t="str">
        <f>'Rutas AAC'!AE104</f>
        <v xml:space="preserve"> </v>
      </c>
      <c r="AU67" s="62"/>
      <c r="AV67" s="63"/>
      <c r="AW67" s="64"/>
      <c r="AX67" s="65" t="e">
        <f>EDATE(AV67,(AW67*12)-14)</f>
        <v>#NUM!</v>
      </c>
      <c r="AY67" s="68" t="e">
        <f>EDATE(AV67,(AW67*12)-12)</f>
        <v>#NUM!</v>
      </c>
      <c r="AZ67" s="68">
        <f>EDATE(AV67,(AW67*12))</f>
        <v>0</v>
      </c>
      <c r="BA67" s="68">
        <f>EDATE(AV67,((AW67/2)*12))</f>
        <v>0</v>
      </c>
      <c r="BB67" s="69"/>
      <c r="BC67" s="70"/>
      <c r="BD67" s="70"/>
      <c r="BE67" s="61"/>
      <c r="BF67" s="66"/>
      <c r="BG67" s="67"/>
    </row>
    <row r="68" spans="1:59" ht="54" customHeight="1" x14ac:dyDescent="0.2">
      <c r="A68" s="167">
        <v>62</v>
      </c>
      <c r="B68" s="50">
        <v>3333</v>
      </c>
      <c r="C68" s="51" t="s">
        <v>413</v>
      </c>
      <c r="D68" s="51" t="s">
        <v>460</v>
      </c>
      <c r="E68" s="51" t="s">
        <v>461</v>
      </c>
      <c r="F68" s="52" t="s">
        <v>462</v>
      </c>
      <c r="G68" s="50">
        <v>110826</v>
      </c>
      <c r="H68" s="50"/>
      <c r="I68" s="50" t="s">
        <v>463</v>
      </c>
      <c r="J68" s="50" t="s">
        <v>259</v>
      </c>
      <c r="K68" s="50"/>
      <c r="L68" s="50"/>
      <c r="M68" s="50"/>
      <c r="N68" s="51" t="s">
        <v>80</v>
      </c>
      <c r="O68" s="50" t="s">
        <v>81</v>
      </c>
      <c r="P68" s="53" t="s">
        <v>82</v>
      </c>
      <c r="Q68" s="51" t="s">
        <v>95</v>
      </c>
      <c r="R68" s="51" t="s">
        <v>96</v>
      </c>
      <c r="S68" s="50" t="s">
        <v>464</v>
      </c>
      <c r="T68" s="50" t="s">
        <v>162</v>
      </c>
      <c r="U68" s="50">
        <v>49</v>
      </c>
      <c r="V68" s="50" t="s">
        <v>86</v>
      </c>
      <c r="W68" s="50">
        <v>49</v>
      </c>
      <c r="X68" s="50" t="s">
        <v>233</v>
      </c>
      <c r="Y68" s="54"/>
      <c r="Z68" s="54"/>
      <c r="AA68" s="54"/>
      <c r="AB68" s="55">
        <v>0.4</v>
      </c>
      <c r="AC68" s="56" t="s">
        <v>89</v>
      </c>
      <c r="AD68" s="57">
        <v>24184</v>
      </c>
      <c r="AE68" s="58">
        <v>24184</v>
      </c>
      <c r="AF68" s="59">
        <v>44553</v>
      </c>
      <c r="AG68" s="58">
        <v>7</v>
      </c>
      <c r="AH68" s="60">
        <f t="shared" si="12"/>
        <v>46683</v>
      </c>
      <c r="AI68" s="59">
        <f t="shared" si="28"/>
        <v>46744</v>
      </c>
      <c r="AJ68" s="59">
        <f t="shared" si="11"/>
        <v>47110</v>
      </c>
      <c r="AK68" s="59"/>
      <c r="AL68" s="59"/>
      <c r="AM68" s="61"/>
      <c r="AN68" s="61">
        <v>1</v>
      </c>
      <c r="AO68" s="61"/>
      <c r="AP68" s="61"/>
      <c r="AQ68" s="61"/>
      <c r="AR68" s="50" t="s">
        <v>82</v>
      </c>
      <c r="AS68" s="50"/>
      <c r="AT68" s="50"/>
      <c r="AU68" s="174"/>
      <c r="AV68" s="126"/>
      <c r="AW68" s="127"/>
      <c r="AX68" s="92"/>
      <c r="AY68" s="63"/>
      <c r="AZ68" s="63"/>
      <c r="BA68" s="68"/>
      <c r="BB68" s="69"/>
      <c r="BC68" s="70"/>
      <c r="BD68" s="70"/>
      <c r="BE68" s="61"/>
      <c r="BF68" s="105"/>
      <c r="BG68" s="67"/>
    </row>
    <row r="69" spans="1:59" ht="42" customHeight="1" x14ac:dyDescent="0.2">
      <c r="A69" s="167">
        <v>63</v>
      </c>
      <c r="B69" s="50">
        <v>13127</v>
      </c>
      <c r="C69" s="51" t="s">
        <v>413</v>
      </c>
      <c r="D69" s="51" t="s">
        <v>465</v>
      </c>
      <c r="E69" s="51" t="s">
        <v>466</v>
      </c>
      <c r="F69" s="52" t="s">
        <v>467</v>
      </c>
      <c r="G69" s="50">
        <v>106545</v>
      </c>
      <c r="H69" s="50"/>
      <c r="I69" s="50" t="s">
        <v>263</v>
      </c>
      <c r="J69" s="50" t="s">
        <v>79</v>
      </c>
      <c r="K69" s="50"/>
      <c r="L69" s="50"/>
      <c r="M69" s="50"/>
      <c r="N69" s="51" t="s">
        <v>80</v>
      </c>
      <c r="O69" s="50" t="s">
        <v>81</v>
      </c>
      <c r="P69" s="53" t="s">
        <v>82</v>
      </c>
      <c r="Q69" s="51" t="s">
        <v>83</v>
      </c>
      <c r="R69" s="51" t="s">
        <v>84</v>
      </c>
      <c r="S69" s="50" t="s">
        <v>85</v>
      </c>
      <c r="T69" s="50" t="s">
        <v>86</v>
      </c>
      <c r="U69" s="50" t="s">
        <v>86</v>
      </c>
      <c r="V69" s="50" t="s">
        <v>86</v>
      </c>
      <c r="W69" s="50">
        <v>176</v>
      </c>
      <c r="X69" s="50" t="s">
        <v>87</v>
      </c>
      <c r="Y69" s="54"/>
      <c r="Z69" s="73" t="s">
        <v>468</v>
      </c>
      <c r="AA69" s="73" t="s">
        <v>469</v>
      </c>
      <c r="AB69" s="55">
        <v>0.25</v>
      </c>
      <c r="AC69" s="56" t="str">
        <f t="shared" ref="AC69:AC79" ca="1" si="34">IF(AJ69&gt;TODAY(),"Si","No")</f>
        <v>Si</v>
      </c>
      <c r="AD69" s="94">
        <v>2311</v>
      </c>
      <c r="AE69" s="58">
        <v>2311</v>
      </c>
      <c r="AF69" s="59">
        <v>44621</v>
      </c>
      <c r="AG69" s="58">
        <v>7</v>
      </c>
      <c r="AH69" s="60">
        <f t="shared" si="12"/>
        <v>46753</v>
      </c>
      <c r="AI69" s="59">
        <f t="shared" si="28"/>
        <v>46813</v>
      </c>
      <c r="AJ69" s="59">
        <f t="shared" si="11"/>
        <v>47178</v>
      </c>
      <c r="AK69" s="59"/>
      <c r="AL69" s="59"/>
      <c r="AM69" s="61" t="s">
        <v>470</v>
      </c>
      <c r="AN69" s="61">
        <v>4</v>
      </c>
      <c r="AO69" s="61"/>
      <c r="AP69" s="61"/>
      <c r="AQ69" s="61"/>
      <c r="AR69" s="50" t="s">
        <v>89</v>
      </c>
      <c r="AS69" s="50" t="s">
        <v>89</v>
      </c>
      <c r="AT69" s="50" t="str">
        <f>'Rutas AAC'!AE92</f>
        <v xml:space="preserve"> </v>
      </c>
      <c r="AU69" s="57">
        <v>2311</v>
      </c>
      <c r="AV69" s="68">
        <v>44621</v>
      </c>
      <c r="AW69" s="74">
        <v>4</v>
      </c>
      <c r="AX69" s="65">
        <f t="shared" ref="AX69:AX72" si="35">EDATE(AV69,(AW69*12)-14)</f>
        <v>45658</v>
      </c>
      <c r="AY69" s="68">
        <f t="shared" ref="AY69:AY72" si="36">EDATE(AV69,(AW69*12)-12)</f>
        <v>45717</v>
      </c>
      <c r="AZ69" s="68">
        <f t="shared" ref="AZ69:AZ72" si="37">EDATE(AV69,(AW69*12))</f>
        <v>46082</v>
      </c>
      <c r="BA69" s="68">
        <f t="shared" ref="BA69:BA72" si="38">EDATE(AV69,((AW69/2)*12))</f>
        <v>45352</v>
      </c>
      <c r="BB69" s="69" t="s">
        <v>471</v>
      </c>
      <c r="BC69" s="70">
        <v>2</v>
      </c>
      <c r="BD69" s="70" t="s">
        <v>472</v>
      </c>
      <c r="BE69" s="61"/>
      <c r="BF69" s="131" t="s">
        <v>473</v>
      </c>
      <c r="BG69" s="67"/>
    </row>
    <row r="70" spans="1:59" ht="42" customHeight="1" x14ac:dyDescent="0.2">
      <c r="A70" s="167">
        <v>64</v>
      </c>
      <c r="B70" s="50">
        <v>13128</v>
      </c>
      <c r="C70" s="51" t="s">
        <v>413</v>
      </c>
      <c r="D70" s="51" t="s">
        <v>474</v>
      </c>
      <c r="E70" s="51" t="s">
        <v>475</v>
      </c>
      <c r="F70" s="52" t="s">
        <v>476</v>
      </c>
      <c r="G70" s="50">
        <v>106651</v>
      </c>
      <c r="H70" s="50"/>
      <c r="I70" s="50" t="s">
        <v>263</v>
      </c>
      <c r="J70" s="50" t="s">
        <v>79</v>
      </c>
      <c r="K70" s="50"/>
      <c r="L70" s="50"/>
      <c r="M70" s="50"/>
      <c r="N70" s="51" t="s">
        <v>80</v>
      </c>
      <c r="O70" s="50" t="s">
        <v>81</v>
      </c>
      <c r="P70" s="53" t="s">
        <v>82</v>
      </c>
      <c r="Q70" s="51" t="s">
        <v>83</v>
      </c>
      <c r="R70" s="51" t="s">
        <v>84</v>
      </c>
      <c r="S70" s="50" t="s">
        <v>85</v>
      </c>
      <c r="T70" s="50" t="s">
        <v>86</v>
      </c>
      <c r="U70" s="50" t="s">
        <v>86</v>
      </c>
      <c r="V70" s="50" t="s">
        <v>86</v>
      </c>
      <c r="W70" s="50">
        <v>137</v>
      </c>
      <c r="X70" s="50" t="s">
        <v>87</v>
      </c>
      <c r="Y70" s="73" t="s">
        <v>477</v>
      </c>
      <c r="Z70" s="54"/>
      <c r="AA70" s="73" t="s">
        <v>478</v>
      </c>
      <c r="AB70" s="55">
        <v>0.2</v>
      </c>
      <c r="AC70" s="56" t="str">
        <f t="shared" ca="1" si="34"/>
        <v>Si</v>
      </c>
      <c r="AD70" s="94">
        <v>2312</v>
      </c>
      <c r="AE70" s="175">
        <v>2312</v>
      </c>
      <c r="AF70" s="59">
        <v>44621</v>
      </c>
      <c r="AG70" s="58">
        <v>7</v>
      </c>
      <c r="AH70" s="60">
        <f t="shared" si="12"/>
        <v>46753</v>
      </c>
      <c r="AI70" s="59">
        <f t="shared" si="28"/>
        <v>46813</v>
      </c>
      <c r="AJ70" s="59">
        <f t="shared" si="11"/>
        <v>47178</v>
      </c>
      <c r="AK70" s="59"/>
      <c r="AL70" s="59"/>
      <c r="AM70" s="61" t="s">
        <v>479</v>
      </c>
      <c r="AN70" s="61">
        <v>4</v>
      </c>
      <c r="AO70" s="61"/>
      <c r="AP70" s="61"/>
      <c r="AQ70" s="61"/>
      <c r="AR70" s="50" t="s">
        <v>89</v>
      </c>
      <c r="AS70" s="50" t="s">
        <v>89</v>
      </c>
      <c r="AT70" s="50">
        <f>'Rutas AAC'!AE94</f>
        <v>13</v>
      </c>
      <c r="AU70" s="57">
        <v>2312</v>
      </c>
      <c r="AV70" s="68">
        <v>44621</v>
      </c>
      <c r="AW70" s="74">
        <v>4</v>
      </c>
      <c r="AX70" s="65">
        <f t="shared" si="35"/>
        <v>45658</v>
      </c>
      <c r="AY70" s="68">
        <f t="shared" si="36"/>
        <v>45717</v>
      </c>
      <c r="AZ70" s="68">
        <f t="shared" si="37"/>
        <v>46082</v>
      </c>
      <c r="BA70" s="68">
        <f t="shared" si="38"/>
        <v>45352</v>
      </c>
      <c r="BB70" s="75"/>
      <c r="BC70" s="75">
        <v>1</v>
      </c>
      <c r="BD70" s="75" t="s">
        <v>480</v>
      </c>
      <c r="BE70" s="61">
        <v>2013</v>
      </c>
      <c r="BF70" s="66" t="s">
        <v>481</v>
      </c>
      <c r="BG70" s="67"/>
    </row>
    <row r="71" spans="1:59" ht="42" customHeight="1" x14ac:dyDescent="0.2">
      <c r="A71" s="167">
        <v>65</v>
      </c>
      <c r="B71" s="50">
        <v>20573</v>
      </c>
      <c r="C71" s="51" t="s">
        <v>413</v>
      </c>
      <c r="D71" s="51" t="s">
        <v>482</v>
      </c>
      <c r="E71" s="51" t="s">
        <v>483</v>
      </c>
      <c r="F71" s="52" t="s">
        <v>484</v>
      </c>
      <c r="G71" s="50">
        <v>106574</v>
      </c>
      <c r="H71" s="50"/>
      <c r="I71" s="50" t="s">
        <v>313</v>
      </c>
      <c r="J71" s="50" t="s">
        <v>79</v>
      </c>
      <c r="K71" s="50"/>
      <c r="L71" s="50"/>
      <c r="M71" s="50"/>
      <c r="N71" s="51" t="s">
        <v>80</v>
      </c>
      <c r="O71" s="50" t="s">
        <v>81</v>
      </c>
      <c r="P71" s="53" t="s">
        <v>82</v>
      </c>
      <c r="Q71" s="51" t="s">
        <v>83</v>
      </c>
      <c r="R71" s="51" t="s">
        <v>84</v>
      </c>
      <c r="S71" s="50" t="s">
        <v>85</v>
      </c>
      <c r="T71" s="50" t="s">
        <v>86</v>
      </c>
      <c r="U71" s="50" t="s">
        <v>86</v>
      </c>
      <c r="V71" s="50" t="s">
        <v>86</v>
      </c>
      <c r="W71" s="50">
        <v>160</v>
      </c>
      <c r="X71" s="50" t="s">
        <v>87</v>
      </c>
      <c r="Y71" s="73" t="s">
        <v>485</v>
      </c>
      <c r="Z71" s="73" t="s">
        <v>486</v>
      </c>
      <c r="AA71" s="73" t="s">
        <v>487</v>
      </c>
      <c r="AB71" s="55" t="s">
        <v>99</v>
      </c>
      <c r="AC71" s="56" t="str">
        <f t="shared" ca="1" si="34"/>
        <v>Si</v>
      </c>
      <c r="AD71" s="94">
        <v>1109</v>
      </c>
      <c r="AE71" s="58">
        <v>1109</v>
      </c>
      <c r="AF71" s="59">
        <v>44960</v>
      </c>
      <c r="AG71" s="58">
        <v>7</v>
      </c>
      <c r="AH71" s="60">
        <f t="shared" si="12"/>
        <v>47090</v>
      </c>
      <c r="AI71" s="59">
        <f t="shared" si="28"/>
        <v>47152</v>
      </c>
      <c r="AJ71" s="59">
        <f t="shared" si="11"/>
        <v>47517</v>
      </c>
      <c r="AK71" s="59"/>
      <c r="AL71" s="144">
        <v>46022</v>
      </c>
      <c r="AM71" s="61" t="s">
        <v>488</v>
      </c>
      <c r="AN71" s="61">
        <v>5</v>
      </c>
      <c r="AO71" s="61"/>
      <c r="AP71" s="61"/>
      <c r="AQ71" s="61"/>
      <c r="AR71" s="50" t="s">
        <v>89</v>
      </c>
      <c r="AS71" s="50" t="s">
        <v>89</v>
      </c>
      <c r="AT71" s="50" t="str">
        <f>'Rutas AAC'!AE89</f>
        <v xml:space="preserve"> </v>
      </c>
      <c r="AU71" s="57">
        <v>1109</v>
      </c>
      <c r="AV71" s="68">
        <v>44960</v>
      </c>
      <c r="AW71" s="74">
        <v>6</v>
      </c>
      <c r="AX71" s="65">
        <f t="shared" si="35"/>
        <v>46724</v>
      </c>
      <c r="AY71" s="68">
        <f t="shared" si="36"/>
        <v>46786</v>
      </c>
      <c r="AZ71" s="68">
        <f t="shared" si="37"/>
        <v>47152</v>
      </c>
      <c r="BA71" s="68">
        <f t="shared" si="38"/>
        <v>46056</v>
      </c>
      <c r="BB71" s="75" t="s">
        <v>489</v>
      </c>
      <c r="BC71" s="70">
        <v>2</v>
      </c>
      <c r="BD71" s="75"/>
      <c r="BE71" s="61"/>
      <c r="BF71" s="105"/>
      <c r="BG71" s="67"/>
    </row>
    <row r="72" spans="1:59" ht="42" customHeight="1" x14ac:dyDescent="0.2">
      <c r="A72" s="167">
        <v>66</v>
      </c>
      <c r="B72" s="50">
        <v>42719</v>
      </c>
      <c r="C72" s="51" t="s">
        <v>413</v>
      </c>
      <c r="D72" s="51" t="s">
        <v>490</v>
      </c>
      <c r="E72" s="51" t="s">
        <v>491</v>
      </c>
      <c r="F72" s="52" t="s">
        <v>492</v>
      </c>
      <c r="G72" s="50">
        <v>106794</v>
      </c>
      <c r="H72" s="50"/>
      <c r="I72" s="50" t="s">
        <v>313</v>
      </c>
      <c r="J72" s="50" t="s">
        <v>79</v>
      </c>
      <c r="K72" s="50"/>
      <c r="L72" s="50"/>
      <c r="M72" s="50"/>
      <c r="N72" s="51" t="s">
        <v>80</v>
      </c>
      <c r="O72" s="50" t="s">
        <v>81</v>
      </c>
      <c r="P72" s="53" t="s">
        <v>82</v>
      </c>
      <c r="Q72" s="51" t="s">
        <v>83</v>
      </c>
      <c r="R72" s="51" t="s">
        <v>84</v>
      </c>
      <c r="S72" s="50" t="s">
        <v>85</v>
      </c>
      <c r="T72" s="50" t="s">
        <v>86</v>
      </c>
      <c r="U72" s="50" t="s">
        <v>86</v>
      </c>
      <c r="V72" s="50" t="s">
        <v>86</v>
      </c>
      <c r="W72" s="50">
        <v>159</v>
      </c>
      <c r="X72" s="50" t="s">
        <v>87</v>
      </c>
      <c r="Y72" s="120" t="s">
        <v>493</v>
      </c>
      <c r="Z72" s="54" t="s">
        <v>494</v>
      </c>
      <c r="AA72" s="73" t="s">
        <v>495</v>
      </c>
      <c r="AB72" s="55" t="s">
        <v>99</v>
      </c>
      <c r="AC72" s="56" t="str">
        <f t="shared" ca="1" si="34"/>
        <v>Si</v>
      </c>
      <c r="AD72" s="94">
        <v>1110</v>
      </c>
      <c r="AE72" s="58">
        <v>1110</v>
      </c>
      <c r="AF72" s="59">
        <v>44960</v>
      </c>
      <c r="AG72" s="58">
        <v>7</v>
      </c>
      <c r="AH72" s="60">
        <f t="shared" si="12"/>
        <v>47090</v>
      </c>
      <c r="AI72" s="59">
        <f t="shared" si="28"/>
        <v>47152</v>
      </c>
      <c r="AJ72" s="59">
        <f t="shared" si="11"/>
        <v>47517</v>
      </c>
      <c r="AK72" s="59"/>
      <c r="AL72" s="144">
        <v>46022</v>
      </c>
      <c r="AM72" s="61" t="s">
        <v>496</v>
      </c>
      <c r="AN72" s="61">
        <v>4</v>
      </c>
      <c r="AO72" s="61"/>
      <c r="AP72" s="61"/>
      <c r="AQ72" s="61"/>
      <c r="AR72" s="50" t="s">
        <v>89</v>
      </c>
      <c r="AS72" s="50" t="s">
        <v>89</v>
      </c>
      <c r="AT72" s="50" t="str">
        <f>'Rutas AAC'!AE93</f>
        <v xml:space="preserve"> </v>
      </c>
      <c r="AU72" s="57">
        <v>1110</v>
      </c>
      <c r="AV72" s="126">
        <v>44960</v>
      </c>
      <c r="AW72" s="74">
        <v>6</v>
      </c>
      <c r="AX72" s="65">
        <f t="shared" si="35"/>
        <v>46724</v>
      </c>
      <c r="AY72" s="68">
        <f t="shared" si="36"/>
        <v>46786</v>
      </c>
      <c r="AZ72" s="68">
        <f t="shared" si="37"/>
        <v>47152</v>
      </c>
      <c r="BA72" s="68">
        <f t="shared" si="38"/>
        <v>46056</v>
      </c>
      <c r="BB72" s="75" t="s">
        <v>497</v>
      </c>
      <c r="BC72" s="70">
        <v>2</v>
      </c>
      <c r="BD72" s="75"/>
      <c r="BE72" s="61"/>
      <c r="BF72" s="105"/>
      <c r="BG72" s="67"/>
    </row>
    <row r="73" spans="1:59" ht="42" customHeight="1" x14ac:dyDescent="0.2">
      <c r="A73" s="167">
        <v>67</v>
      </c>
      <c r="B73" s="50">
        <v>38364</v>
      </c>
      <c r="C73" s="51" t="s">
        <v>413</v>
      </c>
      <c r="D73" s="51" t="s">
        <v>498</v>
      </c>
      <c r="E73" s="51" t="s">
        <v>499</v>
      </c>
      <c r="F73" s="52" t="s">
        <v>500</v>
      </c>
      <c r="G73" s="50">
        <v>105533</v>
      </c>
      <c r="H73" s="50"/>
      <c r="I73" s="50" t="s">
        <v>112</v>
      </c>
      <c r="J73" s="50" t="s">
        <v>259</v>
      </c>
      <c r="K73" s="50"/>
      <c r="L73" s="50"/>
      <c r="M73" s="50"/>
      <c r="N73" s="51" t="s">
        <v>80</v>
      </c>
      <c r="O73" s="50" t="s">
        <v>147</v>
      </c>
      <c r="P73" s="53" t="s">
        <v>82</v>
      </c>
      <c r="Q73" s="51" t="s">
        <v>95</v>
      </c>
      <c r="R73" s="51" t="s">
        <v>96</v>
      </c>
      <c r="S73" s="50" t="s">
        <v>85</v>
      </c>
      <c r="T73" s="50" t="s">
        <v>97</v>
      </c>
      <c r="U73" s="50" t="s">
        <v>86</v>
      </c>
      <c r="V73" s="50">
        <v>50</v>
      </c>
      <c r="W73" s="50">
        <v>50</v>
      </c>
      <c r="X73" s="50" t="s">
        <v>98</v>
      </c>
      <c r="Y73" s="54"/>
      <c r="Z73" s="54"/>
      <c r="AA73" s="54"/>
      <c r="AB73" s="55">
        <v>0.3</v>
      </c>
      <c r="AC73" s="56" t="str">
        <f t="shared" ca="1" si="34"/>
        <v>Si</v>
      </c>
      <c r="AD73" s="94">
        <v>2571</v>
      </c>
      <c r="AE73" s="58">
        <v>2571</v>
      </c>
      <c r="AF73" s="59">
        <v>44978</v>
      </c>
      <c r="AG73" s="58">
        <v>7</v>
      </c>
      <c r="AH73" s="60">
        <f t="shared" si="12"/>
        <v>47108</v>
      </c>
      <c r="AI73" s="59">
        <f t="shared" si="28"/>
        <v>47170</v>
      </c>
      <c r="AJ73" s="59">
        <f t="shared" si="11"/>
        <v>47535</v>
      </c>
      <c r="AK73" s="59"/>
      <c r="AL73" s="59"/>
      <c r="AM73" s="61" t="s">
        <v>501</v>
      </c>
      <c r="AN73" s="61">
        <v>2</v>
      </c>
      <c r="AO73" s="61"/>
      <c r="AP73" s="61"/>
      <c r="AQ73" s="61"/>
      <c r="AR73" s="50" t="s">
        <v>82</v>
      </c>
      <c r="AS73" s="50"/>
      <c r="AT73" s="50" t="str">
        <f>'Rutas AAC'!AE118</f>
        <v xml:space="preserve"> </v>
      </c>
      <c r="AU73" s="62"/>
      <c r="AV73" s="63"/>
      <c r="AW73" s="64"/>
      <c r="AX73" s="92"/>
      <c r="AY73" s="63"/>
      <c r="AZ73" s="93"/>
      <c r="BA73" s="68"/>
      <c r="BB73" s="69"/>
      <c r="BC73" s="70"/>
      <c r="BD73" s="70"/>
      <c r="BE73" s="61"/>
      <c r="BF73" s="66"/>
      <c r="BG73" s="67"/>
    </row>
    <row r="74" spans="1:59" ht="42" customHeight="1" x14ac:dyDescent="0.2">
      <c r="A74" s="167">
        <v>68</v>
      </c>
      <c r="B74" s="50">
        <v>38410</v>
      </c>
      <c r="C74" s="51" t="s">
        <v>413</v>
      </c>
      <c r="D74" s="51" t="s">
        <v>502</v>
      </c>
      <c r="E74" s="51" t="s">
        <v>503</v>
      </c>
      <c r="F74" s="52" t="s">
        <v>504</v>
      </c>
      <c r="G74" s="50">
        <v>105772</v>
      </c>
      <c r="H74" s="50"/>
      <c r="I74" s="50" t="s">
        <v>505</v>
      </c>
      <c r="J74" s="50" t="s">
        <v>79</v>
      </c>
      <c r="K74" s="50"/>
      <c r="L74" s="50"/>
      <c r="M74" s="50"/>
      <c r="N74" s="51" t="s">
        <v>80</v>
      </c>
      <c r="O74" s="50"/>
      <c r="P74" s="53" t="s">
        <v>82</v>
      </c>
      <c r="Q74" s="51" t="s">
        <v>169</v>
      </c>
      <c r="R74" s="51" t="s">
        <v>96</v>
      </c>
      <c r="S74" s="50" t="s">
        <v>85</v>
      </c>
      <c r="T74" s="50" t="s">
        <v>162</v>
      </c>
      <c r="U74" s="50">
        <v>115</v>
      </c>
      <c r="V74" s="50" t="s">
        <v>86</v>
      </c>
      <c r="W74" s="50">
        <v>115</v>
      </c>
      <c r="X74" s="50" t="s">
        <v>506</v>
      </c>
      <c r="Y74" s="54"/>
      <c r="Z74" s="54"/>
      <c r="AA74" s="54"/>
      <c r="AB74" s="55">
        <v>0.25</v>
      </c>
      <c r="AC74" s="56" t="str">
        <f t="shared" ca="1" si="34"/>
        <v>Si</v>
      </c>
      <c r="AD74" s="57">
        <v>6543</v>
      </c>
      <c r="AE74" s="58">
        <v>6543</v>
      </c>
      <c r="AF74" s="59">
        <v>45037</v>
      </c>
      <c r="AG74" s="58">
        <v>7</v>
      </c>
      <c r="AH74" s="60">
        <f t="shared" si="12"/>
        <v>47170</v>
      </c>
      <c r="AI74" s="59">
        <f t="shared" si="28"/>
        <v>47229</v>
      </c>
      <c r="AJ74" s="59">
        <f t="shared" si="11"/>
        <v>47594</v>
      </c>
      <c r="AK74" s="59"/>
      <c r="AL74" s="59"/>
      <c r="AM74" s="61" t="s">
        <v>507</v>
      </c>
      <c r="AN74" s="61">
        <v>2</v>
      </c>
      <c r="AO74" s="61"/>
      <c r="AP74" s="61"/>
      <c r="AQ74" s="61"/>
      <c r="AR74" s="50" t="s">
        <v>82</v>
      </c>
      <c r="AS74" s="50"/>
      <c r="AT74" s="50" t="str">
        <f>'Rutas AAC'!AE121</f>
        <v xml:space="preserve"> </v>
      </c>
      <c r="AU74" s="62"/>
      <c r="AV74" s="63"/>
      <c r="AW74" s="64"/>
      <c r="AX74" s="92"/>
      <c r="AY74" s="63"/>
      <c r="AZ74" s="93"/>
      <c r="BA74" s="68"/>
      <c r="BB74" s="69"/>
      <c r="BC74" s="70"/>
      <c r="BD74" s="70"/>
      <c r="BE74" s="61"/>
      <c r="BF74" s="176"/>
      <c r="BG74" s="67"/>
    </row>
    <row r="75" spans="1:59" ht="42" customHeight="1" x14ac:dyDescent="0.2">
      <c r="A75" s="167">
        <v>69</v>
      </c>
      <c r="B75" s="50">
        <v>27432</v>
      </c>
      <c r="C75" s="51" t="s">
        <v>413</v>
      </c>
      <c r="D75" s="51" t="s">
        <v>508</v>
      </c>
      <c r="E75" s="51" t="s">
        <v>509</v>
      </c>
      <c r="F75" s="52" t="s">
        <v>510</v>
      </c>
      <c r="G75" s="50">
        <v>4010</v>
      </c>
      <c r="H75" s="50"/>
      <c r="I75" s="50" t="s">
        <v>288</v>
      </c>
      <c r="J75" s="50" t="s">
        <v>79</v>
      </c>
      <c r="K75" s="50"/>
      <c r="L75" s="50"/>
      <c r="M75" s="50"/>
      <c r="N75" s="51" t="s">
        <v>80</v>
      </c>
      <c r="O75" s="50" t="s">
        <v>81</v>
      </c>
      <c r="P75" s="53" t="s">
        <v>82</v>
      </c>
      <c r="Q75" s="51" t="s">
        <v>83</v>
      </c>
      <c r="R75" s="51" t="s">
        <v>84</v>
      </c>
      <c r="S75" s="50" t="s">
        <v>85</v>
      </c>
      <c r="T75" s="50" t="s">
        <v>86</v>
      </c>
      <c r="U75" s="50" t="s">
        <v>86</v>
      </c>
      <c r="V75" s="50" t="s">
        <v>86</v>
      </c>
      <c r="W75" s="50">
        <v>164</v>
      </c>
      <c r="X75" s="50" t="s">
        <v>87</v>
      </c>
      <c r="Y75" s="73" t="s">
        <v>511</v>
      </c>
      <c r="Z75" s="54"/>
      <c r="AA75" s="54"/>
      <c r="AB75" s="55" t="s">
        <v>99</v>
      </c>
      <c r="AC75" s="56" t="str">
        <f t="shared" ca="1" si="34"/>
        <v>Si</v>
      </c>
      <c r="AD75" s="94">
        <v>7568</v>
      </c>
      <c r="AE75" s="58">
        <v>7568</v>
      </c>
      <c r="AF75" s="59">
        <v>45054</v>
      </c>
      <c r="AG75" s="58">
        <v>7</v>
      </c>
      <c r="AH75" s="60">
        <f t="shared" si="12"/>
        <v>47185</v>
      </c>
      <c r="AI75" s="59">
        <f t="shared" si="28"/>
        <v>47246</v>
      </c>
      <c r="AJ75" s="59">
        <f t="shared" si="11"/>
        <v>47611</v>
      </c>
      <c r="AK75" s="59"/>
      <c r="AL75" s="144">
        <v>45930</v>
      </c>
      <c r="AM75" s="61" t="s">
        <v>512</v>
      </c>
      <c r="AN75" s="61">
        <v>4</v>
      </c>
      <c r="AO75" s="61" t="s">
        <v>89</v>
      </c>
      <c r="AP75" s="61" t="s">
        <v>513</v>
      </c>
      <c r="AQ75" s="61"/>
      <c r="AR75" s="50" t="s">
        <v>89</v>
      </c>
      <c r="AS75" s="50" t="s">
        <v>89</v>
      </c>
      <c r="AT75" s="50" t="str">
        <f>'Rutas AAC'!AE90</f>
        <v xml:space="preserve"> </v>
      </c>
      <c r="AU75" s="57">
        <v>7568</v>
      </c>
      <c r="AV75" s="68">
        <v>45054</v>
      </c>
      <c r="AW75" s="74">
        <v>4</v>
      </c>
      <c r="AX75" s="65">
        <f t="shared" ref="AX75:AX77" si="39">EDATE(AV75,(AW75*12)-14)</f>
        <v>46089</v>
      </c>
      <c r="AY75" s="68">
        <f t="shared" ref="AY75:AY77" si="40">EDATE(AV75,(AW75*12)-12)</f>
        <v>46150</v>
      </c>
      <c r="AZ75" s="68">
        <f t="shared" ref="AZ75:AZ77" si="41">EDATE(AV75,(AW75*12))</f>
        <v>46515</v>
      </c>
      <c r="BA75" s="68">
        <f t="shared" ref="BA75:BA77" si="42">EDATE(AV75,((AW75/2)*12))</f>
        <v>45785</v>
      </c>
      <c r="BB75" s="69" t="s">
        <v>514</v>
      </c>
      <c r="BC75" s="70">
        <v>1</v>
      </c>
      <c r="BD75" s="70"/>
      <c r="BE75" s="61"/>
      <c r="BF75" s="177"/>
      <c r="BG75" s="67"/>
    </row>
    <row r="76" spans="1:59" ht="42" customHeight="1" x14ac:dyDescent="0.2">
      <c r="A76" s="167">
        <v>70</v>
      </c>
      <c r="B76" s="50">
        <v>25383</v>
      </c>
      <c r="C76" s="51" t="s">
        <v>413</v>
      </c>
      <c r="D76" s="51" t="s">
        <v>515</v>
      </c>
      <c r="E76" s="51" t="s">
        <v>516</v>
      </c>
      <c r="F76" s="52" t="s">
        <v>517</v>
      </c>
      <c r="G76" s="50">
        <v>2130</v>
      </c>
      <c r="H76" s="50"/>
      <c r="I76" s="50" t="s">
        <v>313</v>
      </c>
      <c r="J76" s="50" t="s">
        <v>79</v>
      </c>
      <c r="K76" s="50"/>
      <c r="L76" s="50"/>
      <c r="M76" s="50"/>
      <c r="N76" s="51" t="s">
        <v>80</v>
      </c>
      <c r="O76" s="50" t="s">
        <v>81</v>
      </c>
      <c r="P76" s="53" t="s">
        <v>82</v>
      </c>
      <c r="Q76" s="51" t="s">
        <v>83</v>
      </c>
      <c r="R76" s="51" t="s">
        <v>84</v>
      </c>
      <c r="S76" s="50" t="s">
        <v>85</v>
      </c>
      <c r="T76" s="50" t="s">
        <v>86</v>
      </c>
      <c r="U76" s="50" t="s">
        <v>86</v>
      </c>
      <c r="V76" s="50" t="s">
        <v>86</v>
      </c>
      <c r="W76" s="50">
        <v>160</v>
      </c>
      <c r="X76" s="50" t="s">
        <v>87</v>
      </c>
      <c r="Y76" s="54"/>
      <c r="Z76" s="54"/>
      <c r="AA76" s="73" t="s">
        <v>518</v>
      </c>
      <c r="AB76" s="55">
        <v>0.15</v>
      </c>
      <c r="AC76" s="56" t="str">
        <f t="shared" ca="1" si="34"/>
        <v>Si</v>
      </c>
      <c r="AD76" s="94">
        <v>8922</v>
      </c>
      <c r="AE76" s="58">
        <v>8922</v>
      </c>
      <c r="AF76" s="59">
        <v>45075</v>
      </c>
      <c r="AG76" s="58">
        <v>7</v>
      </c>
      <c r="AH76" s="60">
        <f t="shared" si="12"/>
        <v>47206</v>
      </c>
      <c r="AI76" s="59">
        <f t="shared" si="28"/>
        <v>47267</v>
      </c>
      <c r="AJ76" s="59">
        <f t="shared" si="11"/>
        <v>47632</v>
      </c>
      <c r="AK76" s="59"/>
      <c r="AL76" s="144">
        <v>45930</v>
      </c>
      <c r="AM76" s="61" t="s">
        <v>519</v>
      </c>
      <c r="AN76" s="61">
        <v>4</v>
      </c>
      <c r="AO76" s="61" t="s">
        <v>89</v>
      </c>
      <c r="AP76" s="61"/>
      <c r="AQ76" s="61"/>
      <c r="AR76" s="50" t="s">
        <v>89</v>
      </c>
      <c r="AS76" s="50" t="s">
        <v>89</v>
      </c>
      <c r="AT76" s="50" t="str">
        <f>'Rutas AAC'!AE86</f>
        <v xml:space="preserve"> </v>
      </c>
      <c r="AU76" s="57">
        <v>8922</v>
      </c>
      <c r="AV76" s="68">
        <v>45075</v>
      </c>
      <c r="AW76" s="74">
        <v>6</v>
      </c>
      <c r="AX76" s="65">
        <f t="shared" si="39"/>
        <v>46841</v>
      </c>
      <c r="AY76" s="68">
        <f t="shared" si="40"/>
        <v>46902</v>
      </c>
      <c r="AZ76" s="68">
        <f t="shared" si="41"/>
        <v>47267</v>
      </c>
      <c r="BA76" s="68">
        <f t="shared" si="42"/>
        <v>46171</v>
      </c>
      <c r="BB76" s="69" t="s">
        <v>520</v>
      </c>
      <c r="BC76" s="70">
        <v>2</v>
      </c>
      <c r="BD76" s="70"/>
      <c r="BE76" s="61"/>
      <c r="BF76" s="71"/>
      <c r="BG76" s="67"/>
    </row>
    <row r="77" spans="1:59" ht="42" customHeight="1" x14ac:dyDescent="0.2">
      <c r="A77" s="167">
        <v>71</v>
      </c>
      <c r="B77" s="50">
        <v>38359</v>
      </c>
      <c r="C77" s="51" t="s">
        <v>413</v>
      </c>
      <c r="D77" s="51" t="s">
        <v>521</v>
      </c>
      <c r="E77" s="51" t="s">
        <v>522</v>
      </c>
      <c r="F77" s="52" t="s">
        <v>523</v>
      </c>
      <c r="G77" s="50">
        <v>105532</v>
      </c>
      <c r="H77" s="50"/>
      <c r="I77" s="50" t="s">
        <v>288</v>
      </c>
      <c r="J77" s="50" t="s">
        <v>259</v>
      </c>
      <c r="K77" s="50"/>
      <c r="L77" s="50"/>
      <c r="M77" s="50"/>
      <c r="N77" s="51" t="s">
        <v>80</v>
      </c>
      <c r="O77" s="50" t="s">
        <v>147</v>
      </c>
      <c r="P77" s="53" t="s">
        <v>82</v>
      </c>
      <c r="Q77" s="51" t="s">
        <v>148</v>
      </c>
      <c r="R77" s="51" t="s">
        <v>96</v>
      </c>
      <c r="S77" s="50" t="s">
        <v>85</v>
      </c>
      <c r="T77" s="50" t="s">
        <v>97</v>
      </c>
      <c r="U77" s="50" t="s">
        <v>86</v>
      </c>
      <c r="V77" s="50">
        <v>28</v>
      </c>
      <c r="W77" s="50">
        <v>28</v>
      </c>
      <c r="X77" s="50" t="s">
        <v>156</v>
      </c>
      <c r="Y77" s="54"/>
      <c r="Z77" s="54"/>
      <c r="AA77" s="54"/>
      <c r="AB77" s="55">
        <v>0.15</v>
      </c>
      <c r="AC77" s="56" t="str">
        <f t="shared" ca="1" si="34"/>
        <v>Si</v>
      </c>
      <c r="AD77" s="94">
        <v>9286</v>
      </c>
      <c r="AE77" s="58">
        <v>9286</v>
      </c>
      <c r="AF77" s="59">
        <v>45083</v>
      </c>
      <c r="AG77" s="58">
        <v>7</v>
      </c>
      <c r="AH77" s="60">
        <f t="shared" si="12"/>
        <v>47214</v>
      </c>
      <c r="AI77" s="59">
        <f t="shared" si="28"/>
        <v>47275</v>
      </c>
      <c r="AJ77" s="59">
        <f t="shared" si="11"/>
        <v>47640</v>
      </c>
      <c r="AK77" s="59"/>
      <c r="AL77" s="59"/>
      <c r="AM77" s="61" t="s">
        <v>524</v>
      </c>
      <c r="AN77" s="61">
        <v>2</v>
      </c>
      <c r="AO77" s="61"/>
      <c r="AP77" s="61"/>
      <c r="AQ77" s="61"/>
      <c r="AR77" s="50" t="s">
        <v>86</v>
      </c>
      <c r="AS77" s="50"/>
      <c r="AT77" s="50" t="str">
        <f>'Rutas AAC'!AE117</f>
        <v xml:space="preserve"> </v>
      </c>
      <c r="AU77" s="62" t="s">
        <v>86</v>
      </c>
      <c r="AV77" s="63" t="s">
        <v>86</v>
      </c>
      <c r="AW77" s="64" t="s">
        <v>86</v>
      </c>
      <c r="AX77" s="65" t="e">
        <f t="shared" si="39"/>
        <v>#VALUE!</v>
      </c>
      <c r="AY77" s="68" t="e">
        <f t="shared" si="40"/>
        <v>#VALUE!</v>
      </c>
      <c r="AZ77" s="68" t="e">
        <f t="shared" si="41"/>
        <v>#VALUE!</v>
      </c>
      <c r="BA77" s="68" t="e">
        <f t="shared" si="42"/>
        <v>#VALUE!</v>
      </c>
      <c r="BB77" s="69"/>
      <c r="BC77" s="70"/>
      <c r="BD77" s="70"/>
      <c r="BE77" s="61"/>
      <c r="BF77" s="66"/>
      <c r="BG77" s="67"/>
    </row>
    <row r="78" spans="1:59" ht="42" customHeight="1" x14ac:dyDescent="0.2">
      <c r="A78" s="167">
        <v>72</v>
      </c>
      <c r="B78" s="50">
        <v>19877</v>
      </c>
      <c r="C78" s="51" t="s">
        <v>413</v>
      </c>
      <c r="D78" s="51" t="s">
        <v>525</v>
      </c>
      <c r="E78" s="51" t="s">
        <v>526</v>
      </c>
      <c r="F78" s="52" t="s">
        <v>527</v>
      </c>
      <c r="G78" s="50">
        <v>90576</v>
      </c>
      <c r="H78" s="50"/>
      <c r="I78" s="50" t="s">
        <v>528</v>
      </c>
      <c r="J78" s="50" t="s">
        <v>94</v>
      </c>
      <c r="K78" s="50"/>
      <c r="L78" s="50"/>
      <c r="M78" s="50"/>
      <c r="N78" s="51" t="s">
        <v>80</v>
      </c>
      <c r="O78" s="50" t="s">
        <v>81</v>
      </c>
      <c r="P78" s="53" t="s">
        <v>82</v>
      </c>
      <c r="Q78" s="51" t="s">
        <v>95</v>
      </c>
      <c r="R78" s="51" t="s">
        <v>96</v>
      </c>
      <c r="S78" s="50" t="s">
        <v>85</v>
      </c>
      <c r="T78" s="50" t="s">
        <v>97</v>
      </c>
      <c r="U78" s="50" t="s">
        <v>86</v>
      </c>
      <c r="V78" s="50">
        <v>50</v>
      </c>
      <c r="W78" s="50">
        <v>50</v>
      </c>
      <c r="X78" s="50" t="s">
        <v>98</v>
      </c>
      <c r="Y78" s="54"/>
      <c r="Z78" s="54"/>
      <c r="AA78" s="54"/>
      <c r="AB78" s="55">
        <v>0.25</v>
      </c>
      <c r="AC78" s="56" t="str">
        <f t="shared" ca="1" si="34"/>
        <v>Si</v>
      </c>
      <c r="AD78" s="94">
        <v>14447</v>
      </c>
      <c r="AE78" s="58">
        <v>14447</v>
      </c>
      <c r="AF78" s="59">
        <v>45163</v>
      </c>
      <c r="AG78" s="58">
        <v>7</v>
      </c>
      <c r="AH78" s="60">
        <f t="shared" si="12"/>
        <v>47294</v>
      </c>
      <c r="AI78" s="59">
        <f t="shared" si="28"/>
        <v>47355</v>
      </c>
      <c r="AJ78" s="59">
        <f t="shared" si="11"/>
        <v>47720</v>
      </c>
      <c r="AK78" s="59"/>
      <c r="AL78" s="59"/>
      <c r="AM78" s="61" t="s">
        <v>529</v>
      </c>
      <c r="AN78" s="61">
        <v>2</v>
      </c>
      <c r="AO78" s="61"/>
      <c r="AP78" s="61"/>
      <c r="AQ78" s="61"/>
      <c r="AR78" s="50" t="s">
        <v>82</v>
      </c>
      <c r="AS78" s="50"/>
      <c r="AT78" s="50" t="str">
        <f>'Rutas AAC'!AE99</f>
        <v xml:space="preserve"> </v>
      </c>
      <c r="AU78" s="62"/>
      <c r="AV78" s="68"/>
      <c r="AW78" s="64"/>
      <c r="AX78" s="92"/>
      <c r="AY78" s="63"/>
      <c r="AZ78" s="106"/>
      <c r="BA78" s="68"/>
      <c r="BB78" s="69"/>
      <c r="BC78" s="70"/>
      <c r="BD78" s="70"/>
      <c r="BE78" s="61"/>
      <c r="BF78" s="71"/>
      <c r="BG78" s="67"/>
    </row>
    <row r="79" spans="1:59" ht="42" customHeight="1" x14ac:dyDescent="0.2">
      <c r="A79" s="167">
        <v>73</v>
      </c>
      <c r="B79" s="50">
        <v>13136</v>
      </c>
      <c r="C79" s="51" t="s">
        <v>413</v>
      </c>
      <c r="D79" s="51" t="s">
        <v>530</v>
      </c>
      <c r="E79" s="51" t="s">
        <v>531</v>
      </c>
      <c r="F79" s="52" t="s">
        <v>532</v>
      </c>
      <c r="G79" s="50">
        <v>7170</v>
      </c>
      <c r="H79" s="50"/>
      <c r="I79" s="50" t="s">
        <v>533</v>
      </c>
      <c r="J79" s="50" t="s">
        <v>94</v>
      </c>
      <c r="K79" s="50"/>
      <c r="L79" s="50"/>
      <c r="M79" s="50"/>
      <c r="N79" s="51" t="s">
        <v>80</v>
      </c>
      <c r="O79" s="50" t="s">
        <v>81</v>
      </c>
      <c r="P79" s="53" t="s">
        <v>82</v>
      </c>
      <c r="Q79" s="51" t="s">
        <v>169</v>
      </c>
      <c r="R79" s="51" t="s">
        <v>96</v>
      </c>
      <c r="S79" s="50" t="s">
        <v>85</v>
      </c>
      <c r="T79" s="50" t="s">
        <v>162</v>
      </c>
      <c r="U79" s="50">
        <v>80</v>
      </c>
      <c r="V79" s="50" t="s">
        <v>86</v>
      </c>
      <c r="W79" s="50">
        <f>U79</f>
        <v>80</v>
      </c>
      <c r="X79" s="50" t="s">
        <v>87</v>
      </c>
      <c r="Y79" s="54"/>
      <c r="Z79" s="54"/>
      <c r="AA79" s="54"/>
      <c r="AB79" s="55" t="s">
        <v>99</v>
      </c>
      <c r="AC79" s="56" t="str">
        <f t="shared" ca="1" si="34"/>
        <v>Si</v>
      </c>
      <c r="AD79" s="57">
        <v>16903</v>
      </c>
      <c r="AE79" s="58">
        <v>16903</v>
      </c>
      <c r="AF79" s="59">
        <v>45189</v>
      </c>
      <c r="AG79" s="58">
        <v>7</v>
      </c>
      <c r="AH79" s="60">
        <f t="shared" si="12"/>
        <v>47319</v>
      </c>
      <c r="AI79" s="59">
        <f t="shared" si="28"/>
        <v>47381</v>
      </c>
      <c r="AJ79" s="59">
        <f t="shared" si="11"/>
        <v>47746</v>
      </c>
      <c r="AK79" s="59"/>
      <c r="AL79" s="144">
        <v>46022</v>
      </c>
      <c r="AM79" s="61" t="s">
        <v>534</v>
      </c>
      <c r="AN79" s="61">
        <v>3</v>
      </c>
      <c r="AO79" s="61"/>
      <c r="AP79" s="61"/>
      <c r="AQ79" s="61"/>
      <c r="AR79" s="50"/>
      <c r="AS79" s="50" t="s">
        <v>89</v>
      </c>
      <c r="AT79" s="50" t="str">
        <f>'Rutas AAC'!AE125</f>
        <v xml:space="preserve"> </v>
      </c>
      <c r="AU79" s="57">
        <v>16903</v>
      </c>
      <c r="AV79" s="126">
        <v>45189</v>
      </c>
      <c r="AW79" s="127">
        <v>6</v>
      </c>
      <c r="AX79" s="65">
        <f>EDATE(AV79,(AW79*12)-14)</f>
        <v>46954</v>
      </c>
      <c r="AY79" s="68">
        <f>EDATE(AV79,(AW79*12)-12)</f>
        <v>47016</v>
      </c>
      <c r="AZ79" s="68">
        <f>EDATE(AV79,(AW79*12))</f>
        <v>47381</v>
      </c>
      <c r="BA79" s="68">
        <f>EDATE(AV79,((AW79/2)*12))</f>
        <v>46285</v>
      </c>
      <c r="BB79" s="69"/>
      <c r="BC79" s="70"/>
      <c r="BD79" s="70"/>
      <c r="BE79" s="61"/>
      <c r="BF79" s="105"/>
      <c r="BG79" s="67"/>
    </row>
    <row r="80" spans="1:59" ht="42" customHeight="1" x14ac:dyDescent="0.2">
      <c r="A80" s="167">
        <v>74</v>
      </c>
      <c r="B80" s="50">
        <v>5330</v>
      </c>
      <c r="C80" s="51" t="s">
        <v>413</v>
      </c>
      <c r="D80" s="51" t="s">
        <v>535</v>
      </c>
      <c r="E80" s="51" t="s">
        <v>536</v>
      </c>
      <c r="F80" s="52"/>
      <c r="G80" s="50">
        <v>105656</v>
      </c>
      <c r="H80" s="50"/>
      <c r="I80" s="50" t="s">
        <v>537</v>
      </c>
      <c r="J80" s="50" t="s">
        <v>94</v>
      </c>
      <c r="K80" s="50"/>
      <c r="L80" s="50"/>
      <c r="M80" s="50"/>
      <c r="N80" s="51" t="s">
        <v>80</v>
      </c>
      <c r="O80" s="50" t="s">
        <v>81</v>
      </c>
      <c r="P80" s="53" t="s">
        <v>82</v>
      </c>
      <c r="Q80" s="51" t="s">
        <v>169</v>
      </c>
      <c r="R80" s="51" t="s">
        <v>96</v>
      </c>
      <c r="S80" s="50" t="s">
        <v>85</v>
      </c>
      <c r="T80" s="50" t="s">
        <v>86</v>
      </c>
      <c r="U80" s="50" t="s">
        <v>86</v>
      </c>
      <c r="V80" s="50" t="s">
        <v>86</v>
      </c>
      <c r="W80" s="50">
        <v>122</v>
      </c>
      <c r="X80" s="50" t="s">
        <v>343</v>
      </c>
      <c r="Y80" s="54"/>
      <c r="Z80" s="54"/>
      <c r="AA80" s="73"/>
      <c r="AB80" s="55">
        <v>0.4</v>
      </c>
      <c r="AC80" s="56" t="s">
        <v>538</v>
      </c>
      <c r="AD80" s="94">
        <v>17692</v>
      </c>
      <c r="AE80" s="58">
        <v>17692</v>
      </c>
      <c r="AF80" s="59">
        <v>45196</v>
      </c>
      <c r="AG80" s="58">
        <v>7</v>
      </c>
      <c r="AH80" s="60">
        <f t="shared" si="12"/>
        <v>47326</v>
      </c>
      <c r="AI80" s="59">
        <f t="shared" si="28"/>
        <v>47388</v>
      </c>
      <c r="AJ80" s="59">
        <f t="shared" si="11"/>
        <v>47753</v>
      </c>
      <c r="AK80" s="59"/>
      <c r="AL80" s="59"/>
      <c r="AM80" s="61" t="s">
        <v>539</v>
      </c>
      <c r="AN80" s="61">
        <v>1</v>
      </c>
      <c r="AO80" s="61" t="s">
        <v>179</v>
      </c>
      <c r="AP80" s="61"/>
      <c r="AQ80" s="61"/>
      <c r="AR80" s="50"/>
      <c r="AS80" s="50"/>
      <c r="AT80" s="50"/>
      <c r="AU80" s="57"/>
      <c r="AV80" s="68"/>
      <c r="AW80" s="74"/>
      <c r="AX80" s="65"/>
      <c r="AY80" s="68"/>
      <c r="AZ80" s="68"/>
      <c r="BA80" s="68"/>
      <c r="BB80" s="69"/>
      <c r="BC80" s="70"/>
      <c r="BD80" s="70"/>
      <c r="BE80" s="61"/>
      <c r="BF80" s="71"/>
      <c r="BG80" s="67"/>
    </row>
    <row r="81" spans="1:59" ht="42" customHeight="1" x14ac:dyDescent="0.2">
      <c r="A81" s="167">
        <v>75</v>
      </c>
      <c r="B81" s="50">
        <v>38388</v>
      </c>
      <c r="C81" s="51" t="s">
        <v>413</v>
      </c>
      <c r="D81" s="51" t="s">
        <v>540</v>
      </c>
      <c r="E81" s="51" t="s">
        <v>541</v>
      </c>
      <c r="F81" s="52" t="s">
        <v>542</v>
      </c>
      <c r="G81" s="50">
        <v>105661</v>
      </c>
      <c r="H81" s="50"/>
      <c r="I81" s="50" t="s">
        <v>543</v>
      </c>
      <c r="J81" s="50" t="s">
        <v>94</v>
      </c>
      <c r="K81" s="50"/>
      <c r="L81" s="50"/>
      <c r="M81" s="50"/>
      <c r="N81" s="51" t="s">
        <v>80</v>
      </c>
      <c r="O81" s="50" t="s">
        <v>81</v>
      </c>
      <c r="P81" s="53" t="s">
        <v>82</v>
      </c>
      <c r="Q81" s="51" t="s">
        <v>169</v>
      </c>
      <c r="R81" s="51" t="s">
        <v>96</v>
      </c>
      <c r="S81" s="50" t="s">
        <v>85</v>
      </c>
      <c r="T81" s="50" t="s">
        <v>162</v>
      </c>
      <c r="U81" s="50">
        <v>118</v>
      </c>
      <c r="V81" s="50" t="s">
        <v>86</v>
      </c>
      <c r="W81" s="50">
        <v>118</v>
      </c>
      <c r="X81" s="50" t="s">
        <v>506</v>
      </c>
      <c r="Y81" s="54"/>
      <c r="Z81" s="54"/>
      <c r="AA81" s="54"/>
      <c r="AB81" s="55">
        <v>0.25</v>
      </c>
      <c r="AC81" s="56" t="str">
        <f t="shared" ref="AC81:AC85" ca="1" si="43">IF(AJ81&gt;TODAY(),"Si","No")</f>
        <v>Si</v>
      </c>
      <c r="AD81" s="94">
        <v>17691</v>
      </c>
      <c r="AE81" s="58">
        <v>17691</v>
      </c>
      <c r="AF81" s="59">
        <v>45196</v>
      </c>
      <c r="AG81" s="58">
        <v>7</v>
      </c>
      <c r="AH81" s="60">
        <f t="shared" si="12"/>
        <v>47326</v>
      </c>
      <c r="AI81" s="59">
        <f t="shared" si="28"/>
        <v>47388</v>
      </c>
      <c r="AJ81" s="59">
        <f t="shared" si="11"/>
        <v>47753</v>
      </c>
      <c r="AK81" s="59"/>
      <c r="AL81" s="59"/>
      <c r="AM81" s="61" t="s">
        <v>544</v>
      </c>
      <c r="AN81" s="61">
        <v>1</v>
      </c>
      <c r="AO81" s="61"/>
      <c r="AP81" s="61"/>
      <c r="AQ81" s="61"/>
      <c r="AR81" s="50" t="s">
        <v>82</v>
      </c>
      <c r="AS81" s="50"/>
      <c r="AT81" s="50" t="str">
        <f>'Rutas AAC'!AE120</f>
        <v xml:space="preserve"> </v>
      </c>
      <c r="AU81" s="62"/>
      <c r="AV81" s="63"/>
      <c r="AW81" s="64"/>
      <c r="AX81" s="92"/>
      <c r="AY81" s="63"/>
      <c r="AZ81" s="93"/>
      <c r="BA81" s="68"/>
      <c r="BB81" s="69"/>
      <c r="BC81" s="70"/>
      <c r="BD81" s="70"/>
      <c r="BE81" s="61"/>
      <c r="BF81" s="178"/>
      <c r="BG81" s="67"/>
    </row>
    <row r="82" spans="1:59" ht="42" customHeight="1" x14ac:dyDescent="0.2">
      <c r="A82" s="167">
        <v>76</v>
      </c>
      <c r="B82" s="50" t="s">
        <v>545</v>
      </c>
      <c r="C82" s="51" t="s">
        <v>413</v>
      </c>
      <c r="D82" s="51" t="s">
        <v>546</v>
      </c>
      <c r="E82" s="51" t="s">
        <v>547</v>
      </c>
      <c r="F82" s="52" t="s">
        <v>548</v>
      </c>
      <c r="G82" s="50">
        <v>256</v>
      </c>
      <c r="H82" s="50"/>
      <c r="I82" s="50" t="s">
        <v>549</v>
      </c>
      <c r="J82" s="50" t="s">
        <v>259</v>
      </c>
      <c r="K82" s="50"/>
      <c r="L82" s="50"/>
      <c r="M82" s="50"/>
      <c r="N82" s="51" t="s">
        <v>80</v>
      </c>
      <c r="O82" s="50" t="s">
        <v>81</v>
      </c>
      <c r="P82" s="53" t="s">
        <v>82</v>
      </c>
      <c r="Q82" s="51" t="s">
        <v>95</v>
      </c>
      <c r="R82" s="51" t="s">
        <v>96</v>
      </c>
      <c r="S82" s="50" t="s">
        <v>85</v>
      </c>
      <c r="T82" s="50" t="s">
        <v>97</v>
      </c>
      <c r="U82" s="50" t="s">
        <v>86</v>
      </c>
      <c r="V82" s="50">
        <v>50</v>
      </c>
      <c r="W82" s="50">
        <v>50</v>
      </c>
      <c r="X82" s="50" t="s">
        <v>233</v>
      </c>
      <c r="Y82" s="73" t="s">
        <v>550</v>
      </c>
      <c r="Z82" s="54"/>
      <c r="AA82" s="54"/>
      <c r="AB82" s="55">
        <v>0.3</v>
      </c>
      <c r="AC82" s="56" t="str">
        <f t="shared" ca="1" si="43"/>
        <v>Si</v>
      </c>
      <c r="AD82" s="94">
        <v>22249</v>
      </c>
      <c r="AE82" s="58">
        <v>22249</v>
      </c>
      <c r="AF82" s="59">
        <v>45253</v>
      </c>
      <c r="AG82" s="58">
        <v>7</v>
      </c>
      <c r="AH82" s="60">
        <f t="shared" si="12"/>
        <v>47384</v>
      </c>
      <c r="AI82" s="59">
        <f t="shared" si="28"/>
        <v>47445</v>
      </c>
      <c r="AJ82" s="59">
        <f t="shared" si="11"/>
        <v>47810</v>
      </c>
      <c r="AK82" s="59"/>
      <c r="AL82" s="59"/>
      <c r="AM82" s="61" t="s">
        <v>551</v>
      </c>
      <c r="AN82" s="61">
        <v>4</v>
      </c>
      <c r="AO82" s="61"/>
      <c r="AP82" s="61"/>
      <c r="AQ82" s="61">
        <v>42</v>
      </c>
      <c r="AR82" s="50" t="s">
        <v>89</v>
      </c>
      <c r="AS82" s="50" t="s">
        <v>89</v>
      </c>
      <c r="AT82" s="50"/>
      <c r="AU82" s="94">
        <v>22249</v>
      </c>
      <c r="AV82" s="68">
        <v>45253</v>
      </c>
      <c r="AW82" s="74">
        <v>6</v>
      </c>
      <c r="AX82" s="65">
        <f>EDATE(AV82,(AW82*12)-14)</f>
        <v>47019</v>
      </c>
      <c r="AY82" s="68">
        <f>EDATE(AV82,(AW82*12)-12)</f>
        <v>47080</v>
      </c>
      <c r="AZ82" s="68">
        <f>EDATE(AV82,(AW82*12))</f>
        <v>47445</v>
      </c>
      <c r="BA82" s="68">
        <f>EDATE(AV82,((AW82/2)*12))</f>
        <v>46349</v>
      </c>
      <c r="BB82" s="69"/>
      <c r="BC82" s="70"/>
      <c r="BD82" s="70"/>
      <c r="BE82" s="61"/>
      <c r="BF82" s="66"/>
      <c r="BG82" s="67"/>
    </row>
    <row r="83" spans="1:59" ht="42" customHeight="1" x14ac:dyDescent="0.2">
      <c r="A83" s="167">
        <v>77</v>
      </c>
      <c r="B83" s="50">
        <v>41862</v>
      </c>
      <c r="C83" s="51" t="s">
        <v>413</v>
      </c>
      <c r="D83" s="51" t="s">
        <v>552</v>
      </c>
      <c r="E83" s="51" t="s">
        <v>553</v>
      </c>
      <c r="F83" s="52" t="s">
        <v>554</v>
      </c>
      <c r="G83" s="50">
        <v>90909</v>
      </c>
      <c r="H83" s="50"/>
      <c r="I83" s="50" t="s">
        <v>555</v>
      </c>
      <c r="J83" s="50" t="s">
        <v>94</v>
      </c>
      <c r="K83" s="50"/>
      <c r="L83" s="50"/>
      <c r="M83" s="50"/>
      <c r="N83" s="51" t="s">
        <v>80</v>
      </c>
      <c r="O83" s="50" t="s">
        <v>81</v>
      </c>
      <c r="P83" s="53" t="s">
        <v>82</v>
      </c>
      <c r="Q83" s="51" t="s">
        <v>95</v>
      </c>
      <c r="R83" s="51" t="s">
        <v>96</v>
      </c>
      <c r="S83" s="50" t="s">
        <v>85</v>
      </c>
      <c r="T83" s="50" t="s">
        <v>162</v>
      </c>
      <c r="U83" s="50">
        <v>52</v>
      </c>
      <c r="V83" s="50" t="s">
        <v>86</v>
      </c>
      <c r="W83" s="50">
        <v>52</v>
      </c>
      <c r="X83" s="52" t="s">
        <v>98</v>
      </c>
      <c r="Y83" s="54"/>
      <c r="Z83" s="54"/>
      <c r="AA83" s="54"/>
      <c r="AB83" s="55">
        <v>0.2</v>
      </c>
      <c r="AC83" s="56" t="str">
        <f t="shared" ca="1" si="43"/>
        <v>Si</v>
      </c>
      <c r="AD83" s="94">
        <v>23635</v>
      </c>
      <c r="AE83" s="58">
        <v>9552</v>
      </c>
      <c r="AF83" s="59">
        <v>45265</v>
      </c>
      <c r="AG83" s="58">
        <v>7</v>
      </c>
      <c r="AH83" s="60">
        <f t="shared" si="12"/>
        <v>47396</v>
      </c>
      <c r="AI83" s="59">
        <f t="shared" si="28"/>
        <v>47457</v>
      </c>
      <c r="AJ83" s="59">
        <f t="shared" si="11"/>
        <v>47822</v>
      </c>
      <c r="AK83" s="59"/>
      <c r="AL83" s="144">
        <v>45930</v>
      </c>
      <c r="AM83" s="61" t="s">
        <v>556</v>
      </c>
      <c r="AN83" s="61">
        <v>2</v>
      </c>
      <c r="AO83" s="61"/>
      <c r="AP83" s="61"/>
      <c r="AQ83" s="61"/>
      <c r="AR83" s="50" t="s">
        <v>82</v>
      </c>
      <c r="AS83" s="50"/>
      <c r="AT83" s="50" t="str">
        <f>'Rutas AAC'!AE100</f>
        <v xml:space="preserve"> </v>
      </c>
      <c r="AU83" s="62"/>
      <c r="AV83" s="68"/>
      <c r="AW83" s="64"/>
      <c r="AX83" s="92"/>
      <c r="AY83" s="63"/>
      <c r="AZ83" s="106"/>
      <c r="BA83" s="68"/>
      <c r="BB83" s="69"/>
      <c r="BC83" s="70"/>
      <c r="BD83" s="70"/>
      <c r="BE83" s="61"/>
      <c r="BF83" s="71"/>
      <c r="BG83" s="67"/>
    </row>
    <row r="84" spans="1:59" ht="42" customHeight="1" x14ac:dyDescent="0.2">
      <c r="A84" s="167">
        <v>78</v>
      </c>
      <c r="B84" s="50">
        <v>34563</v>
      </c>
      <c r="C84" s="51" t="s">
        <v>413</v>
      </c>
      <c r="D84" s="51" t="s">
        <v>557</v>
      </c>
      <c r="E84" s="51" t="s">
        <v>558</v>
      </c>
      <c r="F84" s="52" t="s">
        <v>559</v>
      </c>
      <c r="G84" s="50">
        <v>53943</v>
      </c>
      <c r="H84" s="50"/>
      <c r="I84" s="50" t="s">
        <v>560</v>
      </c>
      <c r="J84" s="50" t="s">
        <v>94</v>
      </c>
      <c r="K84" s="50"/>
      <c r="L84" s="50"/>
      <c r="M84" s="50"/>
      <c r="N84" s="51" t="s">
        <v>80</v>
      </c>
      <c r="O84" s="50" t="s">
        <v>81</v>
      </c>
      <c r="P84" s="53"/>
      <c r="Q84" s="51" t="s">
        <v>169</v>
      </c>
      <c r="R84" s="51" t="s">
        <v>96</v>
      </c>
      <c r="S84" s="50" t="s">
        <v>85</v>
      </c>
      <c r="T84" s="50" t="s">
        <v>162</v>
      </c>
      <c r="U84" s="50">
        <v>80</v>
      </c>
      <c r="V84" s="50" t="s">
        <v>86</v>
      </c>
      <c r="W84" s="50">
        <v>80</v>
      </c>
      <c r="X84" s="50" t="s">
        <v>170</v>
      </c>
      <c r="Y84" s="54"/>
      <c r="Z84" s="54"/>
      <c r="AA84" s="54"/>
      <c r="AB84" s="55">
        <v>0.6</v>
      </c>
      <c r="AC84" s="56" t="str">
        <f t="shared" ca="1" si="43"/>
        <v>Si</v>
      </c>
      <c r="AD84" s="94">
        <v>1125</v>
      </c>
      <c r="AE84" s="58">
        <v>1125</v>
      </c>
      <c r="AF84" s="59">
        <v>45335</v>
      </c>
      <c r="AG84" s="58">
        <v>7</v>
      </c>
      <c r="AH84" s="60">
        <f t="shared" si="12"/>
        <v>47465</v>
      </c>
      <c r="AI84" s="59">
        <f t="shared" si="28"/>
        <v>47527</v>
      </c>
      <c r="AJ84" s="59">
        <f t="shared" si="11"/>
        <v>47892</v>
      </c>
      <c r="AK84" s="59"/>
      <c r="AL84" s="59"/>
      <c r="AM84" s="61" t="s">
        <v>561</v>
      </c>
      <c r="AN84" s="61">
        <v>3</v>
      </c>
      <c r="AO84" s="61"/>
      <c r="AP84" s="61"/>
      <c r="AQ84" s="61"/>
      <c r="AR84" s="50" t="s">
        <v>538</v>
      </c>
      <c r="AS84" s="50" t="s">
        <v>89</v>
      </c>
      <c r="AT84" s="50" t="e">
        <f>'[5]Rutas AAC'!AE107</f>
        <v>#REF!</v>
      </c>
      <c r="AU84" s="94">
        <v>1125</v>
      </c>
      <c r="AV84" s="126">
        <v>45335</v>
      </c>
      <c r="AW84" s="127">
        <v>6</v>
      </c>
      <c r="AX84" s="65">
        <f t="shared" ref="AX84:AX85" si="44">EDATE(AV84,(AW84*12)-14)</f>
        <v>47100</v>
      </c>
      <c r="AY84" s="68">
        <f t="shared" ref="AY84:AY85" si="45">EDATE(AV84,(AW84*12)-12)</f>
        <v>47162</v>
      </c>
      <c r="AZ84" s="68">
        <f t="shared" ref="AZ84:AZ85" si="46">EDATE(AV84,(AW84*12))</f>
        <v>47527</v>
      </c>
      <c r="BA84" s="68">
        <f t="shared" ref="BA84:BA85" si="47">EDATE(AV84,((AW84/2)*12))</f>
        <v>46431</v>
      </c>
      <c r="BB84" s="70"/>
      <c r="BC84" s="70"/>
      <c r="BD84" s="61"/>
      <c r="BE84" s="142"/>
      <c r="BF84" s="67"/>
      <c r="BG84" s="67"/>
    </row>
    <row r="85" spans="1:59" ht="42" customHeight="1" x14ac:dyDescent="0.2">
      <c r="A85" s="167">
        <v>79</v>
      </c>
      <c r="B85" s="50">
        <v>42763</v>
      </c>
      <c r="C85" s="51" t="s">
        <v>413</v>
      </c>
      <c r="D85" s="51" t="s">
        <v>562</v>
      </c>
      <c r="E85" s="51" t="s">
        <v>563</v>
      </c>
      <c r="F85" s="52" t="s">
        <v>564</v>
      </c>
      <c r="G85" s="50">
        <v>229</v>
      </c>
      <c r="H85" s="50"/>
      <c r="I85" s="50" t="s">
        <v>565</v>
      </c>
      <c r="J85" s="50" t="s">
        <v>79</v>
      </c>
      <c r="K85" s="50"/>
      <c r="L85" s="50"/>
      <c r="M85" s="50"/>
      <c r="N85" s="51" t="s">
        <v>80</v>
      </c>
      <c r="O85" s="50" t="s">
        <v>81</v>
      </c>
      <c r="P85" s="53" t="s">
        <v>82</v>
      </c>
      <c r="Q85" s="51" t="s">
        <v>83</v>
      </c>
      <c r="R85" s="51" t="s">
        <v>84</v>
      </c>
      <c r="S85" s="50" t="s">
        <v>85</v>
      </c>
      <c r="T85" s="50" t="s">
        <v>86</v>
      </c>
      <c r="U85" s="50" t="s">
        <v>86</v>
      </c>
      <c r="V85" s="50" t="s">
        <v>86</v>
      </c>
      <c r="W85" s="50">
        <v>166</v>
      </c>
      <c r="X85" s="52" t="s">
        <v>87</v>
      </c>
      <c r="Y85" s="73" t="s">
        <v>566</v>
      </c>
      <c r="Z85" s="54"/>
      <c r="AA85" s="54"/>
      <c r="AB85" s="55">
        <v>0.4</v>
      </c>
      <c r="AC85" s="56" t="str">
        <f t="shared" ca="1" si="43"/>
        <v>Si</v>
      </c>
      <c r="AD85" s="94">
        <v>2015</v>
      </c>
      <c r="AE85" s="179">
        <f>AD85</f>
        <v>2015</v>
      </c>
      <c r="AF85" s="59">
        <v>45350</v>
      </c>
      <c r="AG85" s="58">
        <v>7</v>
      </c>
      <c r="AH85" s="60">
        <f t="shared" si="12"/>
        <v>47480</v>
      </c>
      <c r="AI85" s="59">
        <f t="shared" si="28"/>
        <v>47542</v>
      </c>
      <c r="AJ85" s="59">
        <f t="shared" si="11"/>
        <v>47907</v>
      </c>
      <c r="AK85" s="59"/>
      <c r="AL85" s="144">
        <v>45930</v>
      </c>
      <c r="AM85" s="61" t="s">
        <v>567</v>
      </c>
      <c r="AN85" s="61">
        <v>3</v>
      </c>
      <c r="AO85" s="61" t="s">
        <v>89</v>
      </c>
      <c r="AP85" s="61"/>
      <c r="AQ85" s="61"/>
      <c r="AR85" s="50" t="s">
        <v>89</v>
      </c>
      <c r="AS85" s="50" t="s">
        <v>89</v>
      </c>
      <c r="AT85" s="50" t="str">
        <f>'Rutas AAC'!AE84</f>
        <v xml:space="preserve"> </v>
      </c>
      <c r="AU85" s="180">
        <v>2015</v>
      </c>
      <c r="AV85" s="68">
        <v>45350</v>
      </c>
      <c r="AW85" s="74">
        <v>6</v>
      </c>
      <c r="AX85" s="65">
        <f t="shared" si="44"/>
        <v>47115</v>
      </c>
      <c r="AY85" s="68">
        <f t="shared" si="45"/>
        <v>47177</v>
      </c>
      <c r="AZ85" s="68">
        <f t="shared" si="46"/>
        <v>47542</v>
      </c>
      <c r="BA85" s="68">
        <f t="shared" si="47"/>
        <v>46446</v>
      </c>
      <c r="BB85" s="75" t="s">
        <v>568</v>
      </c>
      <c r="BC85" s="75">
        <v>1</v>
      </c>
      <c r="BD85" s="75" t="s">
        <v>569</v>
      </c>
      <c r="BE85" s="61"/>
      <c r="BF85" s="71"/>
      <c r="BG85" s="67"/>
    </row>
    <row r="86" spans="1:59" ht="42" customHeight="1" x14ac:dyDescent="0.2">
      <c r="A86" s="167">
        <v>80</v>
      </c>
      <c r="B86" s="50">
        <v>20891</v>
      </c>
      <c r="C86" s="51" t="s">
        <v>413</v>
      </c>
      <c r="D86" s="51" t="s">
        <v>570</v>
      </c>
      <c r="E86" s="51" t="s">
        <v>571</v>
      </c>
      <c r="F86" s="52" t="s">
        <v>572</v>
      </c>
      <c r="G86" s="50">
        <v>106198</v>
      </c>
      <c r="H86" s="50"/>
      <c r="I86" s="50" t="s">
        <v>573</v>
      </c>
      <c r="J86" s="50"/>
      <c r="K86" s="50"/>
      <c r="L86" s="50"/>
      <c r="M86" s="50"/>
      <c r="N86" s="181" t="s">
        <v>337</v>
      </c>
      <c r="O86" s="50" t="s">
        <v>81</v>
      </c>
      <c r="P86" s="53" t="s">
        <v>82</v>
      </c>
      <c r="Q86" s="51" t="s">
        <v>95</v>
      </c>
      <c r="R86" s="51" t="s">
        <v>96</v>
      </c>
      <c r="S86" s="50" t="s">
        <v>85</v>
      </c>
      <c r="T86" s="50" t="s">
        <v>162</v>
      </c>
      <c r="U86" s="50">
        <v>42</v>
      </c>
      <c r="V86" s="50">
        <v>41</v>
      </c>
      <c r="W86" s="50">
        <v>83</v>
      </c>
      <c r="X86" s="52" t="s">
        <v>98</v>
      </c>
      <c r="Y86" s="73"/>
      <c r="Z86" s="54"/>
      <c r="AA86" s="54"/>
      <c r="AB86" s="55"/>
      <c r="AC86" s="56" t="s">
        <v>89</v>
      </c>
      <c r="AD86" s="94">
        <v>21473</v>
      </c>
      <c r="AE86" s="58">
        <v>21473</v>
      </c>
      <c r="AF86" s="59">
        <v>45968</v>
      </c>
      <c r="AG86" s="58">
        <v>7</v>
      </c>
      <c r="AH86" s="60">
        <f t="shared" si="12"/>
        <v>48098</v>
      </c>
      <c r="AI86" s="59">
        <f t="shared" si="28"/>
        <v>48159</v>
      </c>
      <c r="AJ86" s="59">
        <f t="shared" si="11"/>
        <v>48525</v>
      </c>
      <c r="AK86" s="59"/>
      <c r="AL86" s="59"/>
      <c r="AM86" s="61"/>
      <c r="AN86" s="61"/>
      <c r="AO86" s="61"/>
      <c r="AP86" s="61"/>
      <c r="AQ86" s="61"/>
      <c r="AR86" s="50"/>
      <c r="AS86" s="50"/>
      <c r="AT86" s="50"/>
      <c r="AU86" s="180"/>
      <c r="AV86" s="68"/>
      <c r="AW86" s="74"/>
      <c r="AX86" s="65"/>
      <c r="AY86" s="68"/>
      <c r="AZ86" s="68"/>
      <c r="BA86" s="68"/>
      <c r="BB86" s="75"/>
      <c r="BC86" s="75"/>
      <c r="BD86" s="75"/>
      <c r="BE86" s="61"/>
      <c r="BF86" s="71"/>
      <c r="BG86" s="67"/>
    </row>
    <row r="87" spans="1:59" ht="42" customHeight="1" x14ac:dyDescent="0.2">
      <c r="A87" s="182">
        <v>81</v>
      </c>
      <c r="B87" s="50">
        <v>23110</v>
      </c>
      <c r="C87" s="51" t="s">
        <v>574</v>
      </c>
      <c r="D87" s="51" t="s">
        <v>575</v>
      </c>
      <c r="E87" s="51" t="s">
        <v>576</v>
      </c>
      <c r="F87" s="52" t="s">
        <v>577</v>
      </c>
      <c r="G87" s="50">
        <v>233</v>
      </c>
      <c r="H87" s="50"/>
      <c r="I87" s="50" t="s">
        <v>578</v>
      </c>
      <c r="J87" s="50" t="s">
        <v>79</v>
      </c>
      <c r="K87" s="50"/>
      <c r="L87" s="50"/>
      <c r="M87" s="50"/>
      <c r="N87" s="51" t="s">
        <v>80</v>
      </c>
      <c r="O87" s="50" t="s">
        <v>579</v>
      </c>
      <c r="P87" s="53" t="s">
        <v>89</v>
      </c>
      <c r="Q87" s="51" t="s">
        <v>83</v>
      </c>
      <c r="R87" s="51" t="s">
        <v>84</v>
      </c>
      <c r="S87" s="50" t="s">
        <v>85</v>
      </c>
      <c r="T87" s="50" t="s">
        <v>86</v>
      </c>
      <c r="U87" s="50" t="s">
        <v>86</v>
      </c>
      <c r="V87" s="50" t="s">
        <v>86</v>
      </c>
      <c r="W87" s="50">
        <v>174</v>
      </c>
      <c r="X87" s="52" t="s">
        <v>329</v>
      </c>
      <c r="Y87" s="73" t="s">
        <v>580</v>
      </c>
      <c r="Z87" s="54"/>
      <c r="AA87" s="54"/>
      <c r="AB87" s="55">
        <v>0.3</v>
      </c>
      <c r="AC87" s="56" t="str">
        <f t="shared" ref="AC87:AC92" ca="1" si="48">IF(AJ87&gt;TODAY(),"Si","No")</f>
        <v>Si</v>
      </c>
      <c r="AD87" s="57">
        <v>8977</v>
      </c>
      <c r="AE87" s="58">
        <v>8977</v>
      </c>
      <c r="AF87" s="59">
        <v>43704</v>
      </c>
      <c r="AG87" s="58">
        <v>7</v>
      </c>
      <c r="AH87" s="60">
        <f t="shared" si="12"/>
        <v>45835</v>
      </c>
      <c r="AI87" s="59">
        <f t="shared" si="28"/>
        <v>45896</v>
      </c>
      <c r="AJ87" s="59">
        <f t="shared" si="11"/>
        <v>46261</v>
      </c>
      <c r="AK87" s="59"/>
      <c r="AL87" s="59"/>
      <c r="AM87" s="61" t="s">
        <v>581</v>
      </c>
      <c r="AN87" s="61">
        <v>3</v>
      </c>
      <c r="AO87" s="61"/>
      <c r="AP87" s="61"/>
      <c r="AQ87" s="61"/>
      <c r="AR87" s="50" t="s">
        <v>89</v>
      </c>
      <c r="AS87" s="50"/>
      <c r="AT87" s="50" t="str">
        <f>'Rutas AAC'!AE130</f>
        <v xml:space="preserve"> </v>
      </c>
      <c r="AU87" s="62"/>
      <c r="AV87" s="63"/>
      <c r="AW87" s="64"/>
      <c r="AX87" s="92"/>
      <c r="AY87" s="63"/>
      <c r="AZ87" s="63"/>
      <c r="BA87" s="68"/>
      <c r="BB87" s="70" t="s">
        <v>582</v>
      </c>
      <c r="BC87" s="61">
        <v>1</v>
      </c>
      <c r="BD87" s="61"/>
      <c r="BE87" s="61"/>
      <c r="BF87" s="71"/>
      <c r="BG87" s="67"/>
    </row>
    <row r="88" spans="1:59" ht="42" customHeight="1" x14ac:dyDescent="0.2">
      <c r="A88" s="182">
        <v>82</v>
      </c>
      <c r="B88" s="50">
        <v>25384</v>
      </c>
      <c r="C88" s="51" t="s">
        <v>574</v>
      </c>
      <c r="D88" s="51" t="s">
        <v>583</v>
      </c>
      <c r="E88" s="51" t="s">
        <v>584</v>
      </c>
      <c r="F88" s="52" t="s">
        <v>585</v>
      </c>
      <c r="G88" s="50">
        <v>8170</v>
      </c>
      <c r="H88" s="50"/>
      <c r="I88" s="50" t="s">
        <v>586</v>
      </c>
      <c r="J88" s="50" t="s">
        <v>94</v>
      </c>
      <c r="K88" s="50"/>
      <c r="L88" s="50"/>
      <c r="M88" s="50"/>
      <c r="N88" s="51" t="s">
        <v>80</v>
      </c>
      <c r="O88" s="50" t="s">
        <v>81</v>
      </c>
      <c r="P88" s="53" t="s">
        <v>82</v>
      </c>
      <c r="Q88" s="51" t="s">
        <v>83</v>
      </c>
      <c r="R88" s="51" t="s">
        <v>84</v>
      </c>
      <c r="S88" s="50" t="s">
        <v>85</v>
      </c>
      <c r="T88" s="50" t="s">
        <v>86</v>
      </c>
      <c r="U88" s="50" t="s">
        <v>86</v>
      </c>
      <c r="V88" s="50" t="s">
        <v>86</v>
      </c>
      <c r="W88" s="50">
        <v>146</v>
      </c>
      <c r="X88" s="52" t="s">
        <v>121</v>
      </c>
      <c r="Y88" s="73" t="s">
        <v>587</v>
      </c>
      <c r="Z88" s="54"/>
      <c r="AA88" s="54"/>
      <c r="AB88" s="55">
        <v>0.4</v>
      </c>
      <c r="AC88" s="56" t="str">
        <f t="shared" ca="1" si="48"/>
        <v>Si</v>
      </c>
      <c r="AD88" s="183">
        <v>7110</v>
      </c>
      <c r="AE88" s="184">
        <v>7110</v>
      </c>
      <c r="AF88" s="59">
        <v>46091</v>
      </c>
      <c r="AG88" s="58">
        <v>7</v>
      </c>
      <c r="AH88" s="60">
        <f t="shared" si="12"/>
        <v>48223</v>
      </c>
      <c r="AI88" s="59">
        <f t="shared" si="28"/>
        <v>48283</v>
      </c>
      <c r="AJ88" s="59">
        <f t="shared" si="11"/>
        <v>48648</v>
      </c>
      <c r="AK88" s="59"/>
      <c r="AL88" s="59"/>
      <c r="AM88" s="61" t="s">
        <v>588</v>
      </c>
      <c r="AN88" s="61">
        <v>3</v>
      </c>
      <c r="AO88" s="61"/>
      <c r="AP88" s="61"/>
      <c r="AQ88" s="61"/>
      <c r="AR88" s="50" t="s">
        <v>89</v>
      </c>
      <c r="AS88" s="50"/>
      <c r="AT88" s="50" t="str">
        <f>'Rutas AAC'!AE128</f>
        <v xml:space="preserve"> </v>
      </c>
      <c r="AU88" s="185"/>
      <c r="AV88" s="126"/>
      <c r="AW88" s="127"/>
      <c r="AX88" s="92"/>
      <c r="AY88" s="63"/>
      <c r="AZ88" s="63"/>
      <c r="BA88" s="68"/>
      <c r="BB88" s="69"/>
      <c r="BC88" s="70"/>
      <c r="BD88" s="70"/>
      <c r="BE88" s="61"/>
      <c r="BF88" s="105"/>
      <c r="BG88" s="67"/>
    </row>
    <row r="89" spans="1:59" ht="42.75" customHeight="1" x14ac:dyDescent="0.2">
      <c r="A89" s="182">
        <v>83</v>
      </c>
      <c r="B89" s="50">
        <v>27458</v>
      </c>
      <c r="C89" s="51" t="s">
        <v>574</v>
      </c>
      <c r="D89" s="51" t="s">
        <v>575</v>
      </c>
      <c r="E89" s="51" t="s">
        <v>576</v>
      </c>
      <c r="F89" s="52" t="s">
        <v>577</v>
      </c>
      <c r="G89" s="50">
        <v>102182</v>
      </c>
      <c r="H89" s="50"/>
      <c r="I89" s="50" t="s">
        <v>201</v>
      </c>
      <c r="J89" s="50" t="s">
        <v>79</v>
      </c>
      <c r="K89" s="50"/>
      <c r="L89" s="50"/>
      <c r="M89" s="50"/>
      <c r="N89" s="181" t="s">
        <v>337</v>
      </c>
      <c r="O89" s="50" t="s">
        <v>579</v>
      </c>
      <c r="P89" s="53" t="s">
        <v>89</v>
      </c>
      <c r="Q89" s="51" t="s">
        <v>83</v>
      </c>
      <c r="R89" s="51" t="s">
        <v>84</v>
      </c>
      <c r="S89" s="50" t="s">
        <v>85</v>
      </c>
      <c r="T89" s="50" t="s">
        <v>86</v>
      </c>
      <c r="U89" s="50" t="s">
        <v>86</v>
      </c>
      <c r="V89" s="50" t="s">
        <v>86</v>
      </c>
      <c r="W89" s="50">
        <v>174</v>
      </c>
      <c r="X89" s="52" t="s">
        <v>329</v>
      </c>
      <c r="Y89" s="54"/>
      <c r="Z89" s="54"/>
      <c r="AA89" s="54"/>
      <c r="AB89" s="55">
        <v>0.3</v>
      </c>
      <c r="AC89" s="56" t="str">
        <f t="shared" ca="1" si="48"/>
        <v>Si</v>
      </c>
      <c r="AD89" s="57">
        <v>9061</v>
      </c>
      <c r="AE89" s="58">
        <v>9061</v>
      </c>
      <c r="AF89" s="59">
        <v>43705</v>
      </c>
      <c r="AG89" s="58">
        <v>7</v>
      </c>
      <c r="AH89" s="60">
        <f t="shared" si="12"/>
        <v>45836</v>
      </c>
      <c r="AI89" s="59">
        <f t="shared" si="28"/>
        <v>45897</v>
      </c>
      <c r="AJ89" s="59">
        <f t="shared" si="11"/>
        <v>46262</v>
      </c>
      <c r="AK89" s="59"/>
      <c r="AL89" s="59"/>
      <c r="AM89" s="61" t="s">
        <v>589</v>
      </c>
      <c r="AN89" s="61">
        <v>1</v>
      </c>
      <c r="AO89" s="61"/>
      <c r="AP89" s="61"/>
      <c r="AQ89" s="61"/>
      <c r="AR89" s="50" t="s">
        <v>82</v>
      </c>
      <c r="AS89" s="50"/>
      <c r="AT89" s="50" t="str">
        <f>'Rutas AAC'!AE129</f>
        <v xml:space="preserve"> </v>
      </c>
      <c r="AU89" s="62"/>
      <c r="AV89" s="63"/>
      <c r="AW89" s="64"/>
      <c r="AX89" s="92"/>
      <c r="AY89" s="63"/>
      <c r="AZ89" s="63"/>
      <c r="BA89" s="68"/>
      <c r="BB89" s="70" t="s">
        <v>590</v>
      </c>
      <c r="BC89" s="70">
        <v>1</v>
      </c>
      <c r="BD89" s="70"/>
      <c r="BE89" s="61"/>
      <c r="BF89" s="172"/>
      <c r="BG89" s="67"/>
    </row>
    <row r="90" spans="1:59" ht="42" customHeight="1" x14ac:dyDescent="0.2">
      <c r="A90" s="182">
        <v>84</v>
      </c>
      <c r="B90" s="50">
        <v>35011</v>
      </c>
      <c r="C90" s="51" t="s">
        <v>574</v>
      </c>
      <c r="D90" s="51" t="s">
        <v>591</v>
      </c>
      <c r="E90" s="51" t="s">
        <v>592</v>
      </c>
      <c r="F90" s="52" t="s">
        <v>593</v>
      </c>
      <c r="G90" s="50">
        <v>4080</v>
      </c>
      <c r="H90" s="50"/>
      <c r="I90" s="50" t="s">
        <v>384</v>
      </c>
      <c r="J90" s="50" t="s">
        <v>79</v>
      </c>
      <c r="K90" s="50"/>
      <c r="L90" s="50"/>
      <c r="M90" s="50"/>
      <c r="N90" s="51" t="s">
        <v>80</v>
      </c>
      <c r="O90" s="50" t="s">
        <v>81</v>
      </c>
      <c r="P90" s="53" t="s">
        <v>82</v>
      </c>
      <c r="Q90" s="51" t="s">
        <v>83</v>
      </c>
      <c r="R90" s="51" t="s">
        <v>84</v>
      </c>
      <c r="S90" s="50" t="s">
        <v>85</v>
      </c>
      <c r="T90" s="50" t="s">
        <v>86</v>
      </c>
      <c r="U90" s="50" t="s">
        <v>86</v>
      </c>
      <c r="V90" s="50" t="s">
        <v>86</v>
      </c>
      <c r="W90" s="50">
        <v>123</v>
      </c>
      <c r="X90" s="50" t="s">
        <v>343</v>
      </c>
      <c r="Y90" s="73" t="s">
        <v>594</v>
      </c>
      <c r="Z90" s="54"/>
      <c r="AA90" s="54"/>
      <c r="AB90" s="55">
        <v>0.2</v>
      </c>
      <c r="AC90" s="56" t="str">
        <f t="shared" ca="1" si="48"/>
        <v>Si</v>
      </c>
      <c r="AD90" s="57">
        <v>9958</v>
      </c>
      <c r="AE90" s="58">
        <v>9958</v>
      </c>
      <c r="AF90" s="59">
        <v>44349</v>
      </c>
      <c r="AG90" s="58">
        <v>7</v>
      </c>
      <c r="AH90" s="60">
        <f t="shared" si="12"/>
        <v>46479</v>
      </c>
      <c r="AI90" s="59">
        <f t="shared" si="28"/>
        <v>46540</v>
      </c>
      <c r="AJ90" s="59">
        <f t="shared" si="11"/>
        <v>46906</v>
      </c>
      <c r="AK90" s="59"/>
      <c r="AL90" s="59"/>
      <c r="AM90" s="61" t="s">
        <v>595</v>
      </c>
      <c r="AN90" s="61">
        <v>2</v>
      </c>
      <c r="AO90" s="61"/>
      <c r="AP90" s="61"/>
      <c r="AQ90" s="61"/>
      <c r="AR90" s="50" t="s">
        <v>89</v>
      </c>
      <c r="AS90" s="50"/>
      <c r="AT90" s="50" t="str">
        <f>'Rutas AAC'!AE127</f>
        <v xml:space="preserve"> </v>
      </c>
      <c r="AU90" s="62"/>
      <c r="AV90" s="63"/>
      <c r="AW90" s="64"/>
      <c r="AX90" s="92"/>
      <c r="AY90" s="63"/>
      <c r="AZ90" s="63"/>
      <c r="BA90" s="68"/>
      <c r="BB90" s="69"/>
      <c r="BC90" s="70"/>
      <c r="BD90" s="70"/>
      <c r="BE90" s="61"/>
      <c r="BF90" s="71"/>
      <c r="BG90" s="67"/>
    </row>
    <row r="91" spans="1:59" ht="42" customHeight="1" x14ac:dyDescent="0.2">
      <c r="A91" s="182">
        <v>85</v>
      </c>
      <c r="B91" s="50">
        <v>33869</v>
      </c>
      <c r="C91" s="51" t="s">
        <v>574</v>
      </c>
      <c r="D91" s="51" t="s">
        <v>596</v>
      </c>
      <c r="E91" s="51" t="s">
        <v>597</v>
      </c>
      <c r="F91" s="52" t="s">
        <v>598</v>
      </c>
      <c r="G91" s="50">
        <v>103788</v>
      </c>
      <c r="H91" s="50"/>
      <c r="I91" s="50" t="s">
        <v>78</v>
      </c>
      <c r="J91" s="50" t="s">
        <v>79</v>
      </c>
      <c r="K91" s="50"/>
      <c r="L91" s="50"/>
      <c r="M91" s="50"/>
      <c r="N91" s="51" t="s">
        <v>80</v>
      </c>
      <c r="O91" s="50" t="s">
        <v>147</v>
      </c>
      <c r="P91" s="53" t="s">
        <v>82</v>
      </c>
      <c r="Q91" s="51" t="s">
        <v>148</v>
      </c>
      <c r="R91" s="51" t="s">
        <v>96</v>
      </c>
      <c r="S91" s="50" t="s">
        <v>85</v>
      </c>
      <c r="T91" s="50" t="s">
        <v>97</v>
      </c>
      <c r="U91" s="50" t="s">
        <v>86</v>
      </c>
      <c r="V91" s="50">
        <v>24</v>
      </c>
      <c r="W91" s="50">
        <v>24</v>
      </c>
      <c r="X91" s="50" t="s">
        <v>156</v>
      </c>
      <c r="Y91" s="54"/>
      <c r="Z91" s="54"/>
      <c r="AA91" s="54"/>
      <c r="AB91" s="55">
        <v>0.2</v>
      </c>
      <c r="AC91" s="56" t="str">
        <f t="shared" ca="1" si="48"/>
        <v>Si</v>
      </c>
      <c r="AD91" s="57">
        <v>11630</v>
      </c>
      <c r="AE91" s="58">
        <v>11630</v>
      </c>
      <c r="AF91" s="59">
        <v>44376</v>
      </c>
      <c r="AG91" s="58">
        <v>7</v>
      </c>
      <c r="AH91" s="60">
        <f t="shared" si="12"/>
        <v>46506</v>
      </c>
      <c r="AI91" s="59">
        <f t="shared" si="28"/>
        <v>46567</v>
      </c>
      <c r="AJ91" s="59">
        <f t="shared" si="11"/>
        <v>46933</v>
      </c>
      <c r="AK91" s="59"/>
      <c r="AL91" s="59"/>
      <c r="AM91" s="61" t="s">
        <v>599</v>
      </c>
      <c r="AN91" s="61">
        <v>2</v>
      </c>
      <c r="AO91" s="61"/>
      <c r="AP91" s="61"/>
      <c r="AQ91" s="61"/>
      <c r="AR91" s="50" t="s">
        <v>86</v>
      </c>
      <c r="AS91" s="50"/>
      <c r="AT91" s="50" t="str">
        <f>'Rutas AAC'!AE138</f>
        <v xml:space="preserve"> </v>
      </c>
      <c r="AU91" s="62" t="s">
        <v>86</v>
      </c>
      <c r="AV91" s="63" t="s">
        <v>86</v>
      </c>
      <c r="AW91" s="64" t="s">
        <v>86</v>
      </c>
      <c r="AX91" s="85" t="s">
        <v>86</v>
      </c>
      <c r="AY91" s="64" t="s">
        <v>86</v>
      </c>
      <c r="AZ91" s="64" t="s">
        <v>86</v>
      </c>
      <c r="BA91" s="68"/>
      <c r="BB91" s="69"/>
      <c r="BC91" s="70"/>
      <c r="BD91" s="70"/>
      <c r="BE91" s="61"/>
      <c r="BF91" s="78"/>
      <c r="BG91" s="67"/>
    </row>
    <row r="92" spans="1:59" ht="42" customHeight="1" x14ac:dyDescent="0.2">
      <c r="A92" s="182">
        <v>86</v>
      </c>
      <c r="B92" s="50">
        <v>30038</v>
      </c>
      <c r="C92" s="51" t="s">
        <v>574</v>
      </c>
      <c r="D92" s="51" t="s">
        <v>600</v>
      </c>
      <c r="E92" s="51" t="s">
        <v>601</v>
      </c>
      <c r="F92" s="52" t="s">
        <v>602</v>
      </c>
      <c r="G92" s="50">
        <v>102803</v>
      </c>
      <c r="H92" s="50"/>
      <c r="I92" s="50" t="s">
        <v>78</v>
      </c>
      <c r="J92" s="50" t="s">
        <v>94</v>
      </c>
      <c r="K92" s="50"/>
      <c r="L92" s="50"/>
      <c r="M92" s="50"/>
      <c r="N92" s="51" t="s">
        <v>80</v>
      </c>
      <c r="O92" s="50" t="s">
        <v>81</v>
      </c>
      <c r="P92" s="53"/>
      <c r="Q92" s="51" t="s">
        <v>148</v>
      </c>
      <c r="R92" s="51" t="s">
        <v>96</v>
      </c>
      <c r="S92" s="50" t="s">
        <v>85</v>
      </c>
      <c r="T92" s="50" t="s">
        <v>97</v>
      </c>
      <c r="U92" s="50" t="s">
        <v>86</v>
      </c>
      <c r="V92" s="50">
        <v>26</v>
      </c>
      <c r="W92" s="50">
        <v>26</v>
      </c>
      <c r="X92" s="50" t="s">
        <v>196</v>
      </c>
      <c r="Y92" s="54"/>
      <c r="Z92" s="54"/>
      <c r="AA92" s="54"/>
      <c r="AB92" s="55">
        <v>0.2</v>
      </c>
      <c r="AC92" s="56" t="str">
        <f t="shared" ca="1" si="48"/>
        <v>Si</v>
      </c>
      <c r="AD92" s="57">
        <v>14229</v>
      </c>
      <c r="AE92" s="58">
        <v>14229</v>
      </c>
      <c r="AF92" s="59">
        <v>44414</v>
      </c>
      <c r="AG92" s="58">
        <v>7</v>
      </c>
      <c r="AH92" s="60">
        <f t="shared" si="12"/>
        <v>46544</v>
      </c>
      <c r="AI92" s="59">
        <f t="shared" si="28"/>
        <v>46605</v>
      </c>
      <c r="AJ92" s="59">
        <f t="shared" si="11"/>
        <v>46971</v>
      </c>
      <c r="AK92" s="59"/>
      <c r="AL92" s="59"/>
      <c r="AM92" s="61" t="s">
        <v>603</v>
      </c>
      <c r="AN92" s="61">
        <v>2</v>
      </c>
      <c r="AO92" s="61"/>
      <c r="AP92" s="61"/>
      <c r="AQ92" s="61"/>
      <c r="AR92" s="50" t="s">
        <v>86</v>
      </c>
      <c r="AS92" s="50"/>
      <c r="AT92" s="50" t="str">
        <f>'Rutas AAC'!AE132</f>
        <v xml:space="preserve"> </v>
      </c>
      <c r="AU92" s="62" t="s">
        <v>86</v>
      </c>
      <c r="AV92" s="63" t="s">
        <v>86</v>
      </c>
      <c r="AW92" s="64" t="s">
        <v>86</v>
      </c>
      <c r="AX92" s="85" t="s">
        <v>86</v>
      </c>
      <c r="AY92" s="64" t="s">
        <v>86</v>
      </c>
      <c r="AZ92" s="64" t="s">
        <v>86</v>
      </c>
      <c r="BA92" s="68"/>
      <c r="BB92" s="69"/>
      <c r="BC92" s="70"/>
      <c r="BD92" s="70"/>
      <c r="BE92" s="61"/>
      <c r="BF92" s="186"/>
      <c r="BG92" s="67"/>
    </row>
    <row r="93" spans="1:59" ht="42" customHeight="1" x14ac:dyDescent="0.2">
      <c r="A93" s="182">
        <v>87</v>
      </c>
      <c r="B93" s="50">
        <v>24709</v>
      </c>
      <c r="C93" s="51" t="s">
        <v>574</v>
      </c>
      <c r="D93" s="51" t="s">
        <v>604</v>
      </c>
      <c r="E93" s="51" t="s">
        <v>605</v>
      </c>
      <c r="F93" s="52" t="s">
        <v>606</v>
      </c>
      <c r="G93" s="50">
        <v>106623</v>
      </c>
      <c r="H93" s="50"/>
      <c r="I93" s="50" t="s">
        <v>607</v>
      </c>
      <c r="J93" s="50" t="s">
        <v>79</v>
      </c>
      <c r="K93" s="50"/>
      <c r="L93" s="50"/>
      <c r="M93" s="50"/>
      <c r="N93" s="51" t="s">
        <v>80</v>
      </c>
      <c r="O93" s="102" t="s">
        <v>81</v>
      </c>
      <c r="P93" s="53" t="s">
        <v>82</v>
      </c>
      <c r="Q93" s="51" t="s">
        <v>148</v>
      </c>
      <c r="R93" s="51" t="s">
        <v>96</v>
      </c>
      <c r="S93" s="50" t="s">
        <v>85</v>
      </c>
      <c r="T93" s="50"/>
      <c r="U93" s="50"/>
      <c r="V93" s="50"/>
      <c r="W93" s="50">
        <v>24</v>
      </c>
      <c r="X93" s="50" t="s">
        <v>156</v>
      </c>
      <c r="Y93" s="89"/>
      <c r="Z93" s="89"/>
      <c r="AA93" s="89"/>
      <c r="AB93" s="55"/>
      <c r="AC93" s="56" t="s">
        <v>89</v>
      </c>
      <c r="AD93" s="187">
        <v>23526</v>
      </c>
      <c r="AE93" s="58">
        <v>23526</v>
      </c>
      <c r="AF93" s="59">
        <v>45989</v>
      </c>
      <c r="AG93" s="58">
        <v>7</v>
      </c>
      <c r="AH93" s="60">
        <f t="shared" si="12"/>
        <v>48119</v>
      </c>
      <c r="AI93" s="59">
        <f t="shared" si="28"/>
        <v>48180</v>
      </c>
      <c r="AJ93" s="59">
        <f t="shared" si="11"/>
        <v>48546</v>
      </c>
      <c r="AK93" s="59"/>
      <c r="AL93" s="59"/>
      <c r="AM93" s="188" t="s">
        <v>608</v>
      </c>
      <c r="AN93" s="102">
        <v>1</v>
      </c>
      <c r="AO93" s="61"/>
      <c r="AP93" s="61"/>
      <c r="AQ93" s="61"/>
      <c r="AR93" s="50"/>
      <c r="AS93" s="50"/>
      <c r="AT93" s="50"/>
      <c r="AU93" s="62"/>
      <c r="AV93" s="63"/>
      <c r="AW93" s="64"/>
      <c r="AX93" s="85"/>
      <c r="AY93" s="64"/>
      <c r="AZ93" s="64"/>
      <c r="BA93" s="68"/>
      <c r="BB93" s="69"/>
      <c r="BC93" s="70"/>
      <c r="BD93" s="70"/>
      <c r="BE93" s="61"/>
      <c r="BF93" s="66"/>
      <c r="BG93" s="67"/>
    </row>
    <row r="94" spans="1:59" ht="49.5" customHeight="1" x14ac:dyDescent="0.2">
      <c r="A94" s="189">
        <v>88</v>
      </c>
      <c r="B94" s="50">
        <v>27796</v>
      </c>
      <c r="C94" s="51" t="s">
        <v>609</v>
      </c>
      <c r="D94" s="51" t="s">
        <v>610</v>
      </c>
      <c r="E94" s="51" t="s">
        <v>611</v>
      </c>
      <c r="F94" s="52" t="s">
        <v>612</v>
      </c>
      <c r="G94" s="50">
        <v>246</v>
      </c>
      <c r="H94" s="50"/>
      <c r="I94" s="50" t="s">
        <v>613</v>
      </c>
      <c r="J94" s="50" t="s">
        <v>94</v>
      </c>
      <c r="K94" s="50"/>
      <c r="L94" s="50"/>
      <c r="M94" s="50"/>
      <c r="N94" s="51" t="s">
        <v>80</v>
      </c>
      <c r="O94" s="50" t="s">
        <v>81</v>
      </c>
      <c r="P94" s="53" t="s">
        <v>82</v>
      </c>
      <c r="Q94" s="51" t="s">
        <v>148</v>
      </c>
      <c r="R94" s="51" t="s">
        <v>96</v>
      </c>
      <c r="S94" s="50" t="s">
        <v>85</v>
      </c>
      <c r="T94" s="50" t="s">
        <v>97</v>
      </c>
      <c r="U94" s="50" t="s">
        <v>86</v>
      </c>
      <c r="V94" s="50">
        <v>24</v>
      </c>
      <c r="W94" s="50">
        <v>24</v>
      </c>
      <c r="X94" s="50" t="s">
        <v>156</v>
      </c>
      <c r="Y94" s="73" t="s">
        <v>614</v>
      </c>
      <c r="Z94" s="73" t="s">
        <v>615</v>
      </c>
      <c r="AA94" s="73" t="s">
        <v>616</v>
      </c>
      <c r="AB94" s="55">
        <v>0.1</v>
      </c>
      <c r="AC94" s="56" t="str">
        <f ca="1">IF(AJ94&gt;TODAY(),"Si","No")</f>
        <v>Si</v>
      </c>
      <c r="AD94" s="183">
        <v>9097</v>
      </c>
      <c r="AE94" s="58">
        <v>9097</v>
      </c>
      <c r="AF94" s="59">
        <v>46113</v>
      </c>
      <c r="AG94" s="58">
        <v>7</v>
      </c>
      <c r="AH94" s="60">
        <f t="shared" si="12"/>
        <v>48245</v>
      </c>
      <c r="AI94" s="59">
        <f t="shared" si="28"/>
        <v>48305</v>
      </c>
      <c r="AJ94" s="59">
        <f t="shared" si="11"/>
        <v>48670</v>
      </c>
      <c r="AK94" s="59"/>
      <c r="AL94" s="59"/>
      <c r="AM94" s="61" t="s">
        <v>617</v>
      </c>
      <c r="AN94" s="61">
        <v>4</v>
      </c>
      <c r="AO94" s="61"/>
      <c r="AP94" s="61"/>
      <c r="AQ94" s="61"/>
      <c r="AR94" s="50" t="s">
        <v>86</v>
      </c>
      <c r="AS94" s="50"/>
      <c r="AT94" s="50" t="str">
        <f>'Rutas AAC'!AE146</f>
        <v xml:space="preserve"> </v>
      </c>
      <c r="AU94" s="62" t="s">
        <v>86</v>
      </c>
      <c r="AV94" s="63" t="s">
        <v>86</v>
      </c>
      <c r="AW94" s="64" t="s">
        <v>86</v>
      </c>
      <c r="AX94" s="85" t="s">
        <v>86</v>
      </c>
      <c r="AY94" s="64" t="s">
        <v>86</v>
      </c>
      <c r="AZ94" s="64" t="s">
        <v>86</v>
      </c>
      <c r="BA94" s="68"/>
      <c r="BB94" s="69"/>
      <c r="BC94" s="70"/>
      <c r="BD94" s="70"/>
      <c r="BE94" s="61"/>
      <c r="BF94" s="66"/>
      <c r="BG94" s="67"/>
    </row>
    <row r="95" spans="1:59" ht="42" customHeight="1" x14ac:dyDescent="0.2">
      <c r="A95" s="189">
        <v>89</v>
      </c>
      <c r="B95" s="72">
        <v>49808</v>
      </c>
      <c r="C95" s="51" t="s">
        <v>609</v>
      </c>
      <c r="D95" s="181" t="s">
        <v>618</v>
      </c>
      <c r="E95" s="181" t="s">
        <v>619</v>
      </c>
      <c r="F95" s="52" t="s">
        <v>620</v>
      </c>
      <c r="G95" s="50">
        <v>108684</v>
      </c>
      <c r="H95" s="50"/>
      <c r="I95" s="50" t="s">
        <v>621</v>
      </c>
      <c r="J95" s="50" t="s">
        <v>94</v>
      </c>
      <c r="K95" s="50"/>
      <c r="L95" s="50"/>
      <c r="M95" s="50"/>
      <c r="N95" s="51" t="s">
        <v>80</v>
      </c>
      <c r="O95" s="50" t="s">
        <v>81</v>
      </c>
      <c r="P95" s="53" t="s">
        <v>82</v>
      </c>
      <c r="Q95" s="51" t="s">
        <v>95</v>
      </c>
      <c r="R95" s="51" t="s">
        <v>96</v>
      </c>
      <c r="S95" s="50" t="s">
        <v>85</v>
      </c>
      <c r="T95" s="50" t="s">
        <v>622</v>
      </c>
      <c r="U95" s="50">
        <v>48</v>
      </c>
      <c r="V95" s="50">
        <v>48</v>
      </c>
      <c r="W95" s="50">
        <v>96</v>
      </c>
      <c r="X95" s="50" t="s">
        <v>233</v>
      </c>
      <c r="Y95" s="54"/>
      <c r="Z95" s="54"/>
      <c r="AA95" s="54"/>
      <c r="AB95" s="55">
        <v>0.7</v>
      </c>
      <c r="AC95" s="56" t="s">
        <v>89</v>
      </c>
      <c r="AD95" s="57">
        <v>14826</v>
      </c>
      <c r="AE95" s="58">
        <v>14826</v>
      </c>
      <c r="AF95" s="59">
        <v>43816</v>
      </c>
      <c r="AG95" s="58">
        <v>7</v>
      </c>
      <c r="AH95" s="60">
        <f t="shared" si="12"/>
        <v>45947</v>
      </c>
      <c r="AI95" s="59">
        <f t="shared" si="28"/>
        <v>46008</v>
      </c>
      <c r="AJ95" s="59">
        <f t="shared" si="11"/>
        <v>46373</v>
      </c>
      <c r="AK95" s="59"/>
      <c r="AL95" s="59"/>
      <c r="AM95" s="61"/>
      <c r="AN95" s="61"/>
      <c r="AO95" s="61"/>
      <c r="AP95" s="61"/>
      <c r="AQ95" s="61"/>
      <c r="AR95" s="50" t="s">
        <v>82</v>
      </c>
      <c r="AS95" s="50"/>
      <c r="AT95" s="50"/>
      <c r="AU95" s="62"/>
      <c r="AV95" s="63"/>
      <c r="AW95" s="64"/>
      <c r="AX95" s="92"/>
      <c r="AY95" s="63"/>
      <c r="AZ95" s="190"/>
      <c r="BA95" s="68"/>
      <c r="BB95" s="69"/>
      <c r="BC95" s="70"/>
      <c r="BD95" s="70"/>
      <c r="BE95" s="61"/>
      <c r="BF95" s="66"/>
      <c r="BG95" s="67"/>
    </row>
    <row r="96" spans="1:59" ht="42" customHeight="1" x14ac:dyDescent="0.2">
      <c r="A96" s="189">
        <v>90</v>
      </c>
      <c r="B96" s="72">
        <v>50598</v>
      </c>
      <c r="C96" s="51" t="s">
        <v>609</v>
      </c>
      <c r="D96" s="181" t="s">
        <v>623</v>
      </c>
      <c r="E96" s="181" t="s">
        <v>624</v>
      </c>
      <c r="F96" s="52" t="s">
        <v>625</v>
      </c>
      <c r="G96" s="50">
        <v>109143</v>
      </c>
      <c r="H96" s="50"/>
      <c r="I96" s="50" t="s">
        <v>626</v>
      </c>
      <c r="J96" s="50" t="s">
        <v>259</v>
      </c>
      <c r="K96" s="50"/>
      <c r="L96" s="50"/>
      <c r="M96" s="50"/>
      <c r="N96" s="51" t="s">
        <v>80</v>
      </c>
      <c r="O96" s="50" t="s">
        <v>81</v>
      </c>
      <c r="P96" s="53" t="s">
        <v>82</v>
      </c>
      <c r="Q96" s="51" t="s">
        <v>95</v>
      </c>
      <c r="R96" s="51" t="s">
        <v>96</v>
      </c>
      <c r="S96" s="50" t="s">
        <v>85</v>
      </c>
      <c r="T96" s="50" t="s">
        <v>162</v>
      </c>
      <c r="U96" s="50">
        <v>49</v>
      </c>
      <c r="V96" s="50" t="s">
        <v>86</v>
      </c>
      <c r="W96" s="50">
        <v>49</v>
      </c>
      <c r="X96" s="50" t="s">
        <v>233</v>
      </c>
      <c r="Y96" s="54"/>
      <c r="Z96" s="54"/>
      <c r="AA96" s="54"/>
      <c r="AB96" s="55">
        <v>0.3</v>
      </c>
      <c r="AC96" s="56" t="s">
        <v>89</v>
      </c>
      <c r="AD96" s="57">
        <v>16956</v>
      </c>
      <c r="AE96" s="58">
        <v>16956</v>
      </c>
      <c r="AF96" s="59">
        <v>43826</v>
      </c>
      <c r="AG96" s="58">
        <v>7</v>
      </c>
      <c r="AH96" s="60">
        <f t="shared" si="12"/>
        <v>45957</v>
      </c>
      <c r="AI96" s="59">
        <f t="shared" si="28"/>
        <v>46018</v>
      </c>
      <c r="AJ96" s="59">
        <f t="shared" si="11"/>
        <v>46383</v>
      </c>
      <c r="AK96" s="59"/>
      <c r="AL96" s="59"/>
      <c r="AM96" s="61"/>
      <c r="AN96" s="61"/>
      <c r="AO96" s="61"/>
      <c r="AP96" s="61"/>
      <c r="AQ96" s="61"/>
      <c r="AR96" s="50" t="s">
        <v>82</v>
      </c>
      <c r="AS96" s="50"/>
      <c r="AT96" s="50"/>
      <c r="AU96" s="62"/>
      <c r="AV96" s="63"/>
      <c r="AW96" s="64"/>
      <c r="AX96" s="92"/>
      <c r="AY96" s="63"/>
      <c r="AZ96" s="190"/>
      <c r="BA96" s="68"/>
      <c r="BB96" s="69"/>
      <c r="BC96" s="70"/>
      <c r="BD96" s="70"/>
      <c r="BE96" s="61"/>
      <c r="BF96" s="66"/>
      <c r="BG96" s="67"/>
    </row>
    <row r="97" spans="1:59" ht="42" customHeight="1" x14ac:dyDescent="0.2">
      <c r="A97" s="189">
        <v>91</v>
      </c>
      <c r="B97" s="50">
        <v>29682</v>
      </c>
      <c r="C97" s="51" t="s">
        <v>609</v>
      </c>
      <c r="D97" s="51" t="s">
        <v>627</v>
      </c>
      <c r="E97" s="51" t="s">
        <v>628</v>
      </c>
      <c r="F97" s="52" t="s">
        <v>629</v>
      </c>
      <c r="G97" s="50">
        <v>8704</v>
      </c>
      <c r="H97" s="50"/>
      <c r="I97" s="50" t="s">
        <v>630</v>
      </c>
      <c r="J97" s="50" t="s">
        <v>79</v>
      </c>
      <c r="K97" s="50"/>
      <c r="L97" s="50"/>
      <c r="M97" s="50"/>
      <c r="N97" s="51" t="s">
        <v>80</v>
      </c>
      <c r="O97" s="50" t="s">
        <v>81</v>
      </c>
      <c r="P97" s="53" t="s">
        <v>82</v>
      </c>
      <c r="Q97" s="51" t="s">
        <v>83</v>
      </c>
      <c r="R97" s="51" t="s">
        <v>84</v>
      </c>
      <c r="S97" s="50" t="s">
        <v>85</v>
      </c>
      <c r="T97" s="50" t="s">
        <v>86</v>
      </c>
      <c r="U97" s="50" t="s">
        <v>86</v>
      </c>
      <c r="V97" s="50" t="s">
        <v>86</v>
      </c>
      <c r="W97" s="50">
        <v>170</v>
      </c>
      <c r="X97" s="50" t="s">
        <v>87</v>
      </c>
      <c r="Y97" s="54"/>
      <c r="Z97" s="54"/>
      <c r="AA97" s="54"/>
      <c r="AB97" s="55">
        <v>0.16</v>
      </c>
      <c r="AC97" s="56" t="str">
        <f ca="1">IF(AJ97&gt;TODAY(),"Si","No")</f>
        <v>Si</v>
      </c>
      <c r="AD97" s="57">
        <v>9823</v>
      </c>
      <c r="AE97" s="58">
        <v>9823</v>
      </c>
      <c r="AF97" s="59">
        <v>43998</v>
      </c>
      <c r="AG97" s="58">
        <v>7</v>
      </c>
      <c r="AH97" s="60">
        <f t="shared" si="12"/>
        <v>46128</v>
      </c>
      <c r="AI97" s="59">
        <f t="shared" si="28"/>
        <v>46189</v>
      </c>
      <c r="AJ97" s="59">
        <f t="shared" si="11"/>
        <v>46554</v>
      </c>
      <c r="AK97" s="59"/>
      <c r="AL97" s="59"/>
      <c r="AM97" s="61" t="s">
        <v>631</v>
      </c>
      <c r="AN97" s="61">
        <v>3</v>
      </c>
      <c r="AO97" s="61"/>
      <c r="AP97" s="61"/>
      <c r="AQ97" s="61"/>
      <c r="AR97" s="50" t="s">
        <v>89</v>
      </c>
      <c r="AS97" s="50"/>
      <c r="AT97" s="50" t="str">
        <f>'Rutas AAC'!AE148</f>
        <v xml:space="preserve"> </v>
      </c>
      <c r="AU97" s="62"/>
      <c r="AV97" s="63"/>
      <c r="AW97" s="64"/>
      <c r="AX97" s="92"/>
      <c r="AY97" s="63"/>
      <c r="AZ97" s="63"/>
      <c r="BA97" s="68"/>
      <c r="BB97" s="191"/>
      <c r="BC97" s="75"/>
      <c r="BD97" s="75"/>
      <c r="BE97" s="61">
        <v>2018</v>
      </c>
      <c r="BF97" s="105"/>
      <c r="BG97" s="67"/>
    </row>
    <row r="98" spans="1:59" ht="42" customHeight="1" x14ac:dyDescent="0.2">
      <c r="A98" s="189">
        <v>92</v>
      </c>
      <c r="B98" s="50">
        <v>4444</v>
      </c>
      <c r="C98" s="51" t="s">
        <v>609</v>
      </c>
      <c r="D98" s="51" t="s">
        <v>632</v>
      </c>
      <c r="E98" s="51" t="s">
        <v>633</v>
      </c>
      <c r="F98" s="52" t="s">
        <v>634</v>
      </c>
      <c r="G98" s="50"/>
      <c r="H98" s="50"/>
      <c r="I98" s="50" t="s">
        <v>635</v>
      </c>
      <c r="J98" s="50" t="s">
        <v>79</v>
      </c>
      <c r="K98" s="50"/>
      <c r="L98" s="50"/>
      <c r="M98" s="50"/>
      <c r="N98" s="51" t="s">
        <v>80</v>
      </c>
      <c r="O98" s="50" t="s">
        <v>81</v>
      </c>
      <c r="P98" s="53" t="s">
        <v>82</v>
      </c>
      <c r="Q98" s="51" t="s">
        <v>83</v>
      </c>
      <c r="R98" s="51" t="s">
        <v>84</v>
      </c>
      <c r="S98" s="50" t="s">
        <v>636</v>
      </c>
      <c r="T98" s="50" t="s">
        <v>86</v>
      </c>
      <c r="U98" s="50" t="s">
        <v>86</v>
      </c>
      <c r="V98" s="50" t="s">
        <v>86</v>
      </c>
      <c r="W98" s="50">
        <v>136</v>
      </c>
      <c r="X98" s="50" t="s">
        <v>637</v>
      </c>
      <c r="Y98" s="89"/>
      <c r="Z98" s="54"/>
      <c r="AA98" s="54"/>
      <c r="AB98" s="55">
        <v>1</v>
      </c>
      <c r="AC98" s="56" t="s">
        <v>300</v>
      </c>
      <c r="AD98" s="183">
        <v>9385</v>
      </c>
      <c r="AE98" s="58">
        <v>9385</v>
      </c>
      <c r="AF98" s="59">
        <v>46113</v>
      </c>
      <c r="AG98" s="58">
        <v>7</v>
      </c>
      <c r="AH98" s="60">
        <f t="shared" si="12"/>
        <v>48245</v>
      </c>
      <c r="AI98" s="59">
        <f t="shared" si="28"/>
        <v>48305</v>
      </c>
      <c r="AJ98" s="59">
        <f t="shared" si="11"/>
        <v>48670</v>
      </c>
      <c r="AK98" s="59"/>
      <c r="AL98" s="59"/>
      <c r="AM98" s="61"/>
      <c r="AN98" s="61"/>
      <c r="AO98" s="61"/>
      <c r="AP98" s="61"/>
      <c r="AQ98" s="61"/>
      <c r="AR98" s="50"/>
      <c r="AS98" s="50"/>
      <c r="AT98" s="50"/>
      <c r="AU98" s="62"/>
      <c r="AV98" s="63"/>
      <c r="AW98" s="64"/>
      <c r="AX98" s="85"/>
      <c r="AY98" s="64"/>
      <c r="AZ98" s="64"/>
      <c r="BA98" s="68"/>
      <c r="BB98" s="69"/>
      <c r="BC98" s="70"/>
      <c r="BD98" s="70"/>
      <c r="BE98" s="61"/>
      <c r="BF98" s="186"/>
      <c r="BG98" s="67"/>
    </row>
    <row r="99" spans="1:59" ht="42" customHeight="1" x14ac:dyDescent="0.2">
      <c r="A99" s="189">
        <v>93</v>
      </c>
      <c r="B99" s="50">
        <v>29685</v>
      </c>
      <c r="C99" s="51" t="s">
        <v>609</v>
      </c>
      <c r="D99" s="51" t="s">
        <v>638</v>
      </c>
      <c r="E99" s="51" t="s">
        <v>639</v>
      </c>
      <c r="F99" s="52" t="s">
        <v>640</v>
      </c>
      <c r="G99" s="50">
        <v>4730</v>
      </c>
      <c r="H99" s="50"/>
      <c r="I99" s="50" t="s">
        <v>641</v>
      </c>
      <c r="J99" s="50" t="s">
        <v>94</v>
      </c>
      <c r="K99" s="50"/>
      <c r="L99" s="50"/>
      <c r="M99" s="50"/>
      <c r="N99" s="51" t="s">
        <v>80</v>
      </c>
      <c r="O99" s="50" t="s">
        <v>81</v>
      </c>
      <c r="P99" s="53" t="s">
        <v>82</v>
      </c>
      <c r="Q99" s="51" t="s">
        <v>148</v>
      </c>
      <c r="R99" s="51" t="s">
        <v>96</v>
      </c>
      <c r="S99" s="50" t="s">
        <v>85</v>
      </c>
      <c r="T99" s="50" t="s">
        <v>97</v>
      </c>
      <c r="U99" s="50" t="s">
        <v>86</v>
      </c>
      <c r="V99" s="50">
        <v>24</v>
      </c>
      <c r="W99" s="50">
        <v>24</v>
      </c>
      <c r="X99" s="50" t="s">
        <v>156</v>
      </c>
      <c r="Y99" s="73" t="s">
        <v>642</v>
      </c>
      <c r="Z99" s="54"/>
      <c r="AA99" s="54"/>
      <c r="AB99" s="55">
        <v>0.15</v>
      </c>
      <c r="AC99" s="56" t="str">
        <f ca="1">IF(AJ99&gt;TODAY(),"Si","No")</f>
        <v>Si</v>
      </c>
      <c r="AD99" s="57">
        <v>14165</v>
      </c>
      <c r="AE99" s="58">
        <v>14165</v>
      </c>
      <c r="AF99" s="59">
        <v>44047</v>
      </c>
      <c r="AG99" s="58">
        <v>7</v>
      </c>
      <c r="AH99" s="60">
        <f t="shared" si="12"/>
        <v>46177</v>
      </c>
      <c r="AI99" s="59">
        <f t="shared" si="28"/>
        <v>46238</v>
      </c>
      <c r="AJ99" s="59">
        <f t="shared" si="11"/>
        <v>46603</v>
      </c>
      <c r="AK99" s="59"/>
      <c r="AL99" s="59"/>
      <c r="AM99" s="61" t="s">
        <v>643</v>
      </c>
      <c r="AN99" s="61">
        <v>2</v>
      </c>
      <c r="AO99" s="61"/>
      <c r="AP99" s="61"/>
      <c r="AQ99" s="61"/>
      <c r="AR99" s="50" t="s">
        <v>86</v>
      </c>
      <c r="AS99" s="50"/>
      <c r="AT99" s="50" t="str">
        <f>'Rutas AAC'!AE147</f>
        <v xml:space="preserve"> </v>
      </c>
      <c r="AU99" s="62" t="s">
        <v>86</v>
      </c>
      <c r="AV99" s="63" t="s">
        <v>86</v>
      </c>
      <c r="AW99" s="64" t="s">
        <v>86</v>
      </c>
      <c r="AX99" s="85" t="s">
        <v>86</v>
      </c>
      <c r="AY99" s="64" t="s">
        <v>86</v>
      </c>
      <c r="AZ99" s="64" t="s">
        <v>86</v>
      </c>
      <c r="BA99" s="68"/>
      <c r="BB99" s="69"/>
      <c r="BC99" s="70"/>
      <c r="BD99" s="70"/>
      <c r="BE99" s="61"/>
      <c r="BF99" s="186"/>
      <c r="BG99" s="67"/>
    </row>
    <row r="100" spans="1:59" ht="42" customHeight="1" x14ac:dyDescent="0.2">
      <c r="A100" s="189">
        <v>94</v>
      </c>
      <c r="B100" s="50">
        <v>27478</v>
      </c>
      <c r="C100" s="51" t="s">
        <v>609</v>
      </c>
      <c r="D100" s="51" t="s">
        <v>644</v>
      </c>
      <c r="E100" s="51" t="s">
        <v>645</v>
      </c>
      <c r="F100" s="52" t="s">
        <v>646</v>
      </c>
      <c r="G100" s="50">
        <v>102471</v>
      </c>
      <c r="H100" s="50"/>
      <c r="I100" s="50" t="s">
        <v>630</v>
      </c>
      <c r="J100" s="50" t="s">
        <v>79</v>
      </c>
      <c r="K100" s="50"/>
      <c r="L100" s="50"/>
      <c r="M100" s="50"/>
      <c r="N100" s="51" t="s">
        <v>337</v>
      </c>
      <c r="O100" s="50" t="s">
        <v>147</v>
      </c>
      <c r="P100" s="53" t="s">
        <v>89</v>
      </c>
      <c r="Q100" s="51" t="s">
        <v>83</v>
      </c>
      <c r="R100" s="51" t="s">
        <v>84</v>
      </c>
      <c r="S100" s="50" t="s">
        <v>85</v>
      </c>
      <c r="T100" s="50" t="s">
        <v>86</v>
      </c>
      <c r="U100" s="50" t="s">
        <v>86</v>
      </c>
      <c r="V100" s="50" t="s">
        <v>86</v>
      </c>
      <c r="W100" s="50">
        <v>177</v>
      </c>
      <c r="X100" s="50" t="s">
        <v>87</v>
      </c>
      <c r="Y100" s="54"/>
      <c r="Z100" s="54"/>
      <c r="AA100" s="54"/>
      <c r="AB100" s="55">
        <v>0.35</v>
      </c>
      <c r="AC100" s="56" t="s">
        <v>89</v>
      </c>
      <c r="AD100" s="57">
        <v>17486</v>
      </c>
      <c r="AE100" s="58">
        <v>17486</v>
      </c>
      <c r="AF100" s="59">
        <v>44095</v>
      </c>
      <c r="AG100" s="58">
        <v>7</v>
      </c>
      <c r="AH100" s="60">
        <f t="shared" si="12"/>
        <v>46224</v>
      </c>
      <c r="AI100" s="59">
        <f t="shared" si="28"/>
        <v>46286</v>
      </c>
      <c r="AJ100" s="59">
        <f t="shared" si="11"/>
        <v>46651</v>
      </c>
      <c r="AK100" s="59"/>
      <c r="AL100" s="59"/>
      <c r="AM100" s="61" t="s">
        <v>647</v>
      </c>
      <c r="AN100" s="61"/>
      <c r="AO100" s="61"/>
      <c r="AP100" s="61"/>
      <c r="AQ100" s="61"/>
      <c r="AR100" s="50" t="s">
        <v>82</v>
      </c>
      <c r="AS100" s="50"/>
      <c r="AT100" s="50" t="s">
        <v>279</v>
      </c>
      <c r="AU100" s="62"/>
      <c r="AV100" s="63"/>
      <c r="AW100" s="64"/>
      <c r="AX100" s="92"/>
      <c r="AY100" s="63"/>
      <c r="AZ100" s="63"/>
      <c r="BA100" s="68"/>
      <c r="BB100" s="69"/>
      <c r="BC100" s="70"/>
      <c r="BD100" s="70"/>
      <c r="BE100" s="61">
        <v>2013</v>
      </c>
      <c r="BF100" s="66"/>
      <c r="BG100" s="67"/>
    </row>
    <row r="101" spans="1:59" ht="42" customHeight="1" x14ac:dyDescent="0.2">
      <c r="A101" s="189">
        <v>95</v>
      </c>
      <c r="B101" s="50">
        <v>35329</v>
      </c>
      <c r="C101" s="51" t="s">
        <v>609</v>
      </c>
      <c r="D101" s="51" t="s">
        <v>648</v>
      </c>
      <c r="E101" s="51" t="s">
        <v>649</v>
      </c>
      <c r="F101" s="52" t="s">
        <v>650</v>
      </c>
      <c r="G101" s="50">
        <v>104528</v>
      </c>
      <c r="H101" s="50"/>
      <c r="I101" s="50" t="s">
        <v>228</v>
      </c>
      <c r="J101" s="50" t="s">
        <v>79</v>
      </c>
      <c r="K101" s="50"/>
      <c r="L101" s="50"/>
      <c r="M101" s="50"/>
      <c r="N101" s="51" t="s">
        <v>80</v>
      </c>
      <c r="O101" s="50" t="s">
        <v>81</v>
      </c>
      <c r="P101" s="53" t="s">
        <v>82</v>
      </c>
      <c r="Q101" s="51" t="s">
        <v>95</v>
      </c>
      <c r="R101" s="51" t="s">
        <v>96</v>
      </c>
      <c r="S101" s="50" t="s">
        <v>85</v>
      </c>
      <c r="T101" s="50" t="s">
        <v>97</v>
      </c>
      <c r="U101" s="50" t="s">
        <v>86</v>
      </c>
      <c r="V101" s="50">
        <v>48</v>
      </c>
      <c r="W101" s="50">
        <v>48</v>
      </c>
      <c r="X101" s="50" t="s">
        <v>98</v>
      </c>
      <c r="Y101" s="54"/>
      <c r="Z101" s="54"/>
      <c r="AA101" s="54"/>
      <c r="AB101" s="55">
        <v>0.3</v>
      </c>
      <c r="AC101" s="56" t="str">
        <f t="shared" ref="AC101:AC103" ca="1" si="49">IF(AJ101&gt;TODAY(),"Si","No")</f>
        <v>Si</v>
      </c>
      <c r="AD101" s="104">
        <v>19205</v>
      </c>
      <c r="AE101" s="58">
        <v>19205</v>
      </c>
      <c r="AF101" s="59">
        <v>44480</v>
      </c>
      <c r="AG101" s="58">
        <v>7</v>
      </c>
      <c r="AH101" s="60">
        <f t="shared" si="12"/>
        <v>46610</v>
      </c>
      <c r="AI101" s="59">
        <f t="shared" si="28"/>
        <v>46671</v>
      </c>
      <c r="AJ101" s="59">
        <f t="shared" si="11"/>
        <v>47037</v>
      </c>
      <c r="AK101" s="59"/>
      <c r="AL101" s="59"/>
      <c r="AM101" s="61" t="s">
        <v>651</v>
      </c>
      <c r="AN101" s="61">
        <v>2</v>
      </c>
      <c r="AO101" s="61"/>
      <c r="AP101" s="61"/>
      <c r="AQ101" s="61"/>
      <c r="AR101" s="50" t="s">
        <v>82</v>
      </c>
      <c r="AS101" s="50"/>
      <c r="AT101" s="50" t="str">
        <f>'Rutas AAC'!AE153</f>
        <v xml:space="preserve"> </v>
      </c>
      <c r="AU101" s="62"/>
      <c r="AV101" s="63"/>
      <c r="AW101" s="64"/>
      <c r="AX101" s="92"/>
      <c r="AY101" s="63"/>
      <c r="AZ101" s="106"/>
      <c r="BA101" s="68"/>
      <c r="BB101" s="69"/>
      <c r="BC101" s="70"/>
      <c r="BD101" s="70"/>
      <c r="BE101" s="61"/>
      <c r="BF101" s="66"/>
      <c r="BG101" s="67"/>
    </row>
    <row r="102" spans="1:59" ht="42" customHeight="1" x14ac:dyDescent="0.2">
      <c r="A102" s="189">
        <v>96</v>
      </c>
      <c r="B102" s="50">
        <v>35417</v>
      </c>
      <c r="C102" s="51" t="s">
        <v>609</v>
      </c>
      <c r="D102" s="181" t="s">
        <v>652</v>
      </c>
      <c r="E102" s="181" t="s">
        <v>653</v>
      </c>
      <c r="F102" s="52" t="s">
        <v>654</v>
      </c>
      <c r="G102" s="72">
        <v>104611</v>
      </c>
      <c r="H102" s="72"/>
      <c r="I102" s="72" t="s">
        <v>228</v>
      </c>
      <c r="J102" s="72" t="s">
        <v>79</v>
      </c>
      <c r="K102" s="72"/>
      <c r="L102" s="72"/>
      <c r="M102" s="72"/>
      <c r="N102" s="51" t="s">
        <v>80</v>
      </c>
      <c r="O102" s="50" t="s">
        <v>81</v>
      </c>
      <c r="P102" s="53" t="s">
        <v>82</v>
      </c>
      <c r="Q102" s="51" t="s">
        <v>95</v>
      </c>
      <c r="R102" s="51" t="s">
        <v>96</v>
      </c>
      <c r="S102" s="50" t="s">
        <v>85</v>
      </c>
      <c r="T102" s="50" t="s">
        <v>97</v>
      </c>
      <c r="U102" s="50" t="s">
        <v>86</v>
      </c>
      <c r="V102" s="50">
        <v>49</v>
      </c>
      <c r="W102" s="50">
        <v>49</v>
      </c>
      <c r="X102" s="50" t="s">
        <v>98</v>
      </c>
      <c r="Y102" s="54"/>
      <c r="Z102" s="54"/>
      <c r="AA102" s="54"/>
      <c r="AB102" s="55">
        <v>0.3</v>
      </c>
      <c r="AC102" s="56" t="str">
        <f t="shared" ca="1" si="49"/>
        <v>Si</v>
      </c>
      <c r="AD102" s="57">
        <v>19206</v>
      </c>
      <c r="AE102" s="58">
        <v>19206</v>
      </c>
      <c r="AF102" s="59">
        <v>44480</v>
      </c>
      <c r="AG102" s="58">
        <v>7</v>
      </c>
      <c r="AH102" s="60">
        <f t="shared" si="12"/>
        <v>46610</v>
      </c>
      <c r="AI102" s="59">
        <f t="shared" si="28"/>
        <v>46671</v>
      </c>
      <c r="AJ102" s="59">
        <f t="shared" si="11"/>
        <v>47037</v>
      </c>
      <c r="AK102" s="59"/>
      <c r="AL102" s="59"/>
      <c r="AM102" s="61" t="s">
        <v>655</v>
      </c>
      <c r="AN102" s="61">
        <v>2</v>
      </c>
      <c r="AO102" s="61"/>
      <c r="AP102" s="61"/>
      <c r="AQ102" s="61"/>
      <c r="AR102" s="50" t="s">
        <v>82</v>
      </c>
      <c r="AS102" s="50"/>
      <c r="AT102" s="50" t="str">
        <f>'Rutas AAC'!AE154</f>
        <v xml:space="preserve"> </v>
      </c>
      <c r="AU102" s="62"/>
      <c r="AV102" s="63"/>
      <c r="AW102" s="64"/>
      <c r="AX102" s="92"/>
      <c r="AY102" s="63"/>
      <c r="AZ102" s="106"/>
      <c r="BA102" s="68"/>
      <c r="BB102" s="69"/>
      <c r="BC102" s="70"/>
      <c r="BD102" s="70"/>
      <c r="BE102" s="61"/>
      <c r="BF102" s="71"/>
      <c r="BG102" s="67" t="s">
        <v>656</v>
      </c>
    </row>
    <row r="103" spans="1:59" ht="42" customHeight="1" x14ac:dyDescent="0.2">
      <c r="A103" s="189">
        <v>97</v>
      </c>
      <c r="B103" s="50">
        <v>31611</v>
      </c>
      <c r="C103" s="51" t="s">
        <v>609</v>
      </c>
      <c r="D103" s="51" t="s">
        <v>657</v>
      </c>
      <c r="E103" s="51" t="s">
        <v>658</v>
      </c>
      <c r="F103" s="52" t="s">
        <v>659</v>
      </c>
      <c r="G103" s="50">
        <v>222</v>
      </c>
      <c r="H103" s="50"/>
      <c r="I103" s="50" t="s">
        <v>228</v>
      </c>
      <c r="J103" s="50" t="s">
        <v>94</v>
      </c>
      <c r="K103" s="50"/>
      <c r="L103" s="50"/>
      <c r="M103" s="50"/>
      <c r="N103" s="51" t="s">
        <v>80</v>
      </c>
      <c r="O103" s="50" t="s">
        <v>81</v>
      </c>
      <c r="P103" s="53" t="s">
        <v>82</v>
      </c>
      <c r="Q103" s="51" t="s">
        <v>660</v>
      </c>
      <c r="R103" s="51" t="s">
        <v>84</v>
      </c>
      <c r="S103" s="50" t="s">
        <v>85</v>
      </c>
      <c r="T103" s="50" t="s">
        <v>86</v>
      </c>
      <c r="U103" s="50" t="s">
        <v>86</v>
      </c>
      <c r="V103" s="50" t="s">
        <v>86</v>
      </c>
      <c r="W103" s="50">
        <v>95</v>
      </c>
      <c r="X103" s="50" t="s">
        <v>661</v>
      </c>
      <c r="Y103" s="73" t="s">
        <v>662</v>
      </c>
      <c r="Z103" s="54"/>
      <c r="AA103" s="120" t="s">
        <v>663</v>
      </c>
      <c r="AB103" s="55">
        <v>0.1</v>
      </c>
      <c r="AC103" s="56" t="str">
        <f t="shared" ca="1" si="49"/>
        <v>Si</v>
      </c>
      <c r="AD103" s="57">
        <v>19316</v>
      </c>
      <c r="AE103" s="58">
        <v>19316</v>
      </c>
      <c r="AF103" s="59">
        <v>44482</v>
      </c>
      <c r="AG103" s="58">
        <v>7</v>
      </c>
      <c r="AH103" s="60">
        <f t="shared" si="12"/>
        <v>46612</v>
      </c>
      <c r="AI103" s="59">
        <f t="shared" si="28"/>
        <v>46673</v>
      </c>
      <c r="AJ103" s="59">
        <f t="shared" si="11"/>
        <v>47039</v>
      </c>
      <c r="AK103" s="59"/>
      <c r="AL103" s="59"/>
      <c r="AM103" s="61" t="s">
        <v>664</v>
      </c>
      <c r="AN103" s="61">
        <v>3</v>
      </c>
      <c r="AO103" s="61"/>
      <c r="AP103" s="61"/>
      <c r="AQ103" s="61"/>
      <c r="AR103" s="50" t="s">
        <v>89</v>
      </c>
      <c r="AS103" s="50"/>
      <c r="AT103" s="50" t="str">
        <f>'Rutas AAC'!AE144</f>
        <v xml:space="preserve"> </v>
      </c>
      <c r="AU103" s="62"/>
      <c r="AV103" s="63"/>
      <c r="AW103" s="64"/>
      <c r="AX103" s="92"/>
      <c r="AY103" s="63"/>
      <c r="AZ103" s="63"/>
      <c r="BA103" s="68"/>
      <c r="BB103" s="69"/>
      <c r="BC103" s="70"/>
      <c r="BD103" s="70"/>
      <c r="BE103" s="61"/>
      <c r="BF103" s="66"/>
      <c r="BG103" s="67"/>
    </row>
    <row r="104" spans="1:59" ht="42" customHeight="1" x14ac:dyDescent="0.2">
      <c r="A104" s="189">
        <v>98</v>
      </c>
      <c r="B104" s="50">
        <v>5555</v>
      </c>
      <c r="C104" s="51" t="s">
        <v>609</v>
      </c>
      <c r="D104" s="51" t="s">
        <v>665</v>
      </c>
      <c r="E104" s="51" t="s">
        <v>666</v>
      </c>
      <c r="F104" s="52" t="s">
        <v>667</v>
      </c>
      <c r="G104" s="50" t="s">
        <v>668</v>
      </c>
      <c r="H104" s="50"/>
      <c r="I104" s="50" t="s">
        <v>78</v>
      </c>
      <c r="J104" s="50" t="s">
        <v>94</v>
      </c>
      <c r="K104" s="50"/>
      <c r="L104" s="50"/>
      <c r="M104" s="50"/>
      <c r="N104" s="51" t="s">
        <v>80</v>
      </c>
      <c r="O104" s="50" t="s">
        <v>81</v>
      </c>
      <c r="P104" s="53" t="s">
        <v>82</v>
      </c>
      <c r="Q104" s="51" t="s">
        <v>95</v>
      </c>
      <c r="R104" s="51" t="s">
        <v>96</v>
      </c>
      <c r="S104" s="50" t="s">
        <v>85</v>
      </c>
      <c r="T104" s="50" t="s">
        <v>97</v>
      </c>
      <c r="U104" s="50">
        <v>48</v>
      </c>
      <c r="V104" s="50">
        <v>48</v>
      </c>
      <c r="W104" s="50">
        <v>96</v>
      </c>
      <c r="X104" s="50" t="s">
        <v>98</v>
      </c>
      <c r="Y104" s="54"/>
      <c r="Z104" s="54"/>
      <c r="AA104" s="54"/>
      <c r="AB104" s="55">
        <v>0.3</v>
      </c>
      <c r="AC104" s="56" t="s">
        <v>538</v>
      </c>
      <c r="AD104" s="57">
        <v>23675</v>
      </c>
      <c r="AE104" s="58">
        <v>23675</v>
      </c>
      <c r="AF104" s="59">
        <v>44540</v>
      </c>
      <c r="AG104" s="58">
        <v>7</v>
      </c>
      <c r="AH104" s="60">
        <f t="shared" si="12"/>
        <v>46670</v>
      </c>
      <c r="AI104" s="59">
        <f t="shared" si="28"/>
        <v>46731</v>
      </c>
      <c r="AJ104" s="59">
        <f t="shared" si="11"/>
        <v>47097</v>
      </c>
      <c r="AK104" s="59"/>
      <c r="AL104" s="59"/>
      <c r="AM104" s="61"/>
      <c r="AN104" s="61"/>
      <c r="AO104" s="61"/>
      <c r="AP104" s="61"/>
      <c r="AQ104" s="61"/>
      <c r="AR104" s="50"/>
      <c r="AS104" s="50"/>
      <c r="AT104" s="50"/>
      <c r="AU104" s="62"/>
      <c r="AV104" s="63"/>
      <c r="AW104" s="64"/>
      <c r="AX104" s="92"/>
      <c r="AY104" s="63"/>
      <c r="AZ104" s="63"/>
      <c r="BA104" s="68"/>
      <c r="BB104" s="191"/>
      <c r="BC104" s="75"/>
      <c r="BD104" s="75"/>
      <c r="BE104" s="61"/>
      <c r="BF104" s="105"/>
      <c r="BG104" s="67"/>
    </row>
    <row r="105" spans="1:59" ht="42" customHeight="1" x14ac:dyDescent="0.2">
      <c r="A105" s="189">
        <v>99</v>
      </c>
      <c r="B105" s="50">
        <v>35300</v>
      </c>
      <c r="C105" s="51" t="s">
        <v>609</v>
      </c>
      <c r="D105" s="51" t="s">
        <v>665</v>
      </c>
      <c r="E105" s="51" t="s">
        <v>666</v>
      </c>
      <c r="F105" s="52" t="s">
        <v>667</v>
      </c>
      <c r="G105" s="50" t="s">
        <v>669</v>
      </c>
      <c r="H105" s="50"/>
      <c r="I105" s="50" t="s">
        <v>78</v>
      </c>
      <c r="J105" s="50" t="s">
        <v>94</v>
      </c>
      <c r="K105" s="50"/>
      <c r="L105" s="50"/>
      <c r="M105" s="50"/>
      <c r="N105" s="51" t="s">
        <v>80</v>
      </c>
      <c r="O105" s="50" t="s">
        <v>81</v>
      </c>
      <c r="P105" s="53" t="s">
        <v>82</v>
      </c>
      <c r="Q105" s="51" t="s">
        <v>95</v>
      </c>
      <c r="R105" s="51" t="s">
        <v>96</v>
      </c>
      <c r="S105" s="50" t="s">
        <v>85</v>
      </c>
      <c r="T105" s="50" t="s">
        <v>622</v>
      </c>
      <c r="U105" s="50">
        <v>48</v>
      </c>
      <c r="V105" s="50">
        <v>48</v>
      </c>
      <c r="W105" s="50">
        <v>96</v>
      </c>
      <c r="X105" s="50" t="s">
        <v>98</v>
      </c>
      <c r="Y105" s="54"/>
      <c r="Z105" s="54"/>
      <c r="AA105" s="54"/>
      <c r="AB105" s="55">
        <v>0.3</v>
      </c>
      <c r="AC105" s="56" t="str">
        <f t="shared" ref="AC105:AC113" ca="1" si="50">IF(AJ105&gt;TODAY(),"Si","No")</f>
        <v>Si</v>
      </c>
      <c r="AD105" s="192" t="s">
        <v>670</v>
      </c>
      <c r="AE105" s="58" t="s">
        <v>670</v>
      </c>
      <c r="AF105" s="59">
        <v>44540</v>
      </c>
      <c r="AG105" s="58">
        <v>7</v>
      </c>
      <c r="AH105" s="60">
        <f t="shared" si="12"/>
        <v>46670</v>
      </c>
      <c r="AI105" s="59">
        <f t="shared" si="28"/>
        <v>46731</v>
      </c>
      <c r="AJ105" s="59">
        <f t="shared" si="11"/>
        <v>47097</v>
      </c>
      <c r="AK105" s="59"/>
      <c r="AL105" s="59"/>
      <c r="AM105" s="50" t="s">
        <v>671</v>
      </c>
      <c r="AN105" s="50">
        <v>4</v>
      </c>
      <c r="AO105" s="50"/>
      <c r="AP105" s="50"/>
      <c r="AQ105" s="50"/>
      <c r="AR105" s="50" t="s">
        <v>82</v>
      </c>
      <c r="AS105" s="50"/>
      <c r="AT105" s="50" t="str">
        <f>'Rutas AAC'!AE152</f>
        <v xml:space="preserve"> </v>
      </c>
      <c r="AU105" s="62"/>
      <c r="AV105" s="63"/>
      <c r="AW105" s="64"/>
      <c r="AX105" s="92"/>
      <c r="AY105" s="63"/>
      <c r="AZ105" s="63"/>
      <c r="BA105" s="68"/>
      <c r="BB105" s="193"/>
      <c r="BC105" s="72"/>
      <c r="BD105" s="72"/>
      <c r="BE105" s="50"/>
      <c r="BF105" s="71"/>
      <c r="BG105" s="67" t="s">
        <v>672</v>
      </c>
    </row>
    <row r="106" spans="1:59" ht="42" customHeight="1" x14ac:dyDescent="0.2">
      <c r="A106" s="189">
        <v>100</v>
      </c>
      <c r="B106" s="72">
        <v>38311</v>
      </c>
      <c r="C106" s="51" t="s">
        <v>609</v>
      </c>
      <c r="D106" s="181" t="s">
        <v>673</v>
      </c>
      <c r="E106" s="181" t="s">
        <v>674</v>
      </c>
      <c r="F106" s="52" t="s">
        <v>675</v>
      </c>
      <c r="G106" s="50">
        <v>105455</v>
      </c>
      <c r="H106" s="50"/>
      <c r="I106" s="50" t="s">
        <v>365</v>
      </c>
      <c r="J106" s="50" t="s">
        <v>94</v>
      </c>
      <c r="K106" s="50"/>
      <c r="L106" s="50"/>
      <c r="M106" s="50"/>
      <c r="N106" s="51" t="s">
        <v>80</v>
      </c>
      <c r="O106" s="50" t="s">
        <v>322</v>
      </c>
      <c r="P106" s="53" t="s">
        <v>82</v>
      </c>
      <c r="Q106" s="51" t="s">
        <v>95</v>
      </c>
      <c r="R106" s="51" t="s">
        <v>96</v>
      </c>
      <c r="S106" s="50" t="s">
        <v>85</v>
      </c>
      <c r="T106" s="50" t="s">
        <v>162</v>
      </c>
      <c r="U106" s="50">
        <v>48</v>
      </c>
      <c r="V106" s="50">
        <v>48</v>
      </c>
      <c r="W106" s="50">
        <v>96</v>
      </c>
      <c r="X106" s="50" t="s">
        <v>163</v>
      </c>
      <c r="Y106" s="54"/>
      <c r="Z106" s="54"/>
      <c r="AA106" s="54"/>
      <c r="AB106" s="55">
        <v>0.5</v>
      </c>
      <c r="AC106" s="56" t="str">
        <f t="shared" ca="1" si="50"/>
        <v>Si</v>
      </c>
      <c r="AD106" s="57">
        <v>11559</v>
      </c>
      <c r="AE106" s="58">
        <v>11559</v>
      </c>
      <c r="AF106" s="59">
        <v>44735</v>
      </c>
      <c r="AG106" s="58">
        <v>7</v>
      </c>
      <c r="AH106" s="60">
        <f t="shared" si="12"/>
        <v>46866</v>
      </c>
      <c r="AI106" s="59">
        <f t="shared" si="28"/>
        <v>46927</v>
      </c>
      <c r="AJ106" s="59">
        <f t="shared" si="11"/>
        <v>47292</v>
      </c>
      <c r="AK106" s="59"/>
      <c r="AL106" s="59"/>
      <c r="AM106" s="61" t="s">
        <v>676</v>
      </c>
      <c r="AN106" s="61">
        <v>2</v>
      </c>
      <c r="AO106" s="61"/>
      <c r="AP106" s="61"/>
      <c r="AQ106" s="61"/>
      <c r="AR106" s="50" t="s">
        <v>82</v>
      </c>
      <c r="AS106" s="50"/>
      <c r="AT106" s="50" t="str">
        <f>'Rutas AAC'!AE155</f>
        <v xml:space="preserve"> </v>
      </c>
      <c r="AU106" s="62"/>
      <c r="AV106" s="63"/>
      <c r="AW106" s="64"/>
      <c r="AX106" s="92"/>
      <c r="AY106" s="63"/>
      <c r="AZ106" s="190"/>
      <c r="BA106" s="68"/>
      <c r="BB106" s="69"/>
      <c r="BC106" s="70"/>
      <c r="BD106" s="70"/>
      <c r="BE106" s="61"/>
      <c r="BF106" s="66"/>
      <c r="BG106" s="67"/>
    </row>
    <row r="107" spans="1:59" ht="42" customHeight="1" x14ac:dyDescent="0.2">
      <c r="A107" s="189">
        <v>101</v>
      </c>
      <c r="B107" s="72">
        <v>37823</v>
      </c>
      <c r="C107" s="51" t="s">
        <v>609</v>
      </c>
      <c r="D107" s="181" t="s">
        <v>677</v>
      </c>
      <c r="E107" s="181" t="s">
        <v>678</v>
      </c>
      <c r="F107" s="52" t="s">
        <v>679</v>
      </c>
      <c r="G107" s="50">
        <v>105480</v>
      </c>
      <c r="H107" s="50"/>
      <c r="I107" s="50" t="s">
        <v>680</v>
      </c>
      <c r="J107" s="50" t="s">
        <v>94</v>
      </c>
      <c r="K107" s="50"/>
      <c r="L107" s="50"/>
      <c r="M107" s="50"/>
      <c r="N107" s="51" t="s">
        <v>80</v>
      </c>
      <c r="O107" s="50" t="s">
        <v>81</v>
      </c>
      <c r="P107" s="53" t="s">
        <v>82</v>
      </c>
      <c r="Q107" s="51" t="s">
        <v>148</v>
      </c>
      <c r="R107" s="51" t="s">
        <v>96</v>
      </c>
      <c r="S107" s="50" t="s">
        <v>464</v>
      </c>
      <c r="T107" s="50" t="s">
        <v>97</v>
      </c>
      <c r="U107" s="50" t="s">
        <v>86</v>
      </c>
      <c r="V107" s="50">
        <v>24</v>
      </c>
      <c r="W107" s="50">
        <v>24</v>
      </c>
      <c r="X107" s="50" t="s">
        <v>149</v>
      </c>
      <c r="Y107" s="54"/>
      <c r="Z107" s="54"/>
      <c r="AA107" s="54"/>
      <c r="AB107" s="55">
        <v>0.7</v>
      </c>
      <c r="AC107" s="56" t="str">
        <f t="shared" ca="1" si="50"/>
        <v>Si</v>
      </c>
      <c r="AD107" s="57">
        <v>2574</v>
      </c>
      <c r="AE107" s="58">
        <v>2574</v>
      </c>
      <c r="AF107" s="59">
        <v>44978</v>
      </c>
      <c r="AG107" s="58">
        <v>7</v>
      </c>
      <c r="AH107" s="60">
        <f t="shared" si="12"/>
        <v>47108</v>
      </c>
      <c r="AI107" s="59">
        <f t="shared" si="28"/>
        <v>47170</v>
      </c>
      <c r="AJ107" s="59">
        <f t="shared" si="11"/>
        <v>47535</v>
      </c>
      <c r="AK107" s="59"/>
      <c r="AL107" s="59"/>
      <c r="AM107" s="61" t="s">
        <v>681</v>
      </c>
      <c r="AN107" s="61">
        <v>2</v>
      </c>
      <c r="AO107" s="61"/>
      <c r="AP107" s="61"/>
      <c r="AQ107" s="61"/>
      <c r="AR107" s="50" t="s">
        <v>86</v>
      </c>
      <c r="AS107" s="50"/>
      <c r="AT107" s="50" t="e">
        <f>'[6]Rutas AAC'!AE157</f>
        <v>#REF!</v>
      </c>
      <c r="AU107" s="62" t="s">
        <v>86</v>
      </c>
      <c r="AV107" s="63" t="s">
        <v>86</v>
      </c>
      <c r="AW107" s="64" t="s">
        <v>86</v>
      </c>
      <c r="AX107" s="85" t="s">
        <v>86</v>
      </c>
      <c r="AY107" s="64" t="s">
        <v>86</v>
      </c>
      <c r="AZ107" s="64" t="s">
        <v>86</v>
      </c>
      <c r="BA107" s="68"/>
      <c r="BB107" s="69"/>
      <c r="BC107" s="70"/>
      <c r="BD107" s="70"/>
      <c r="BE107" s="61"/>
      <c r="BF107" s="66"/>
      <c r="BG107" s="67"/>
    </row>
    <row r="108" spans="1:59" ht="42" customHeight="1" x14ac:dyDescent="0.2">
      <c r="A108" s="189">
        <v>102</v>
      </c>
      <c r="B108" s="50">
        <v>33905</v>
      </c>
      <c r="C108" s="51" t="s">
        <v>609</v>
      </c>
      <c r="D108" s="51" t="s">
        <v>644</v>
      </c>
      <c r="E108" s="51" t="s">
        <v>645</v>
      </c>
      <c r="F108" s="52" t="s">
        <v>646</v>
      </c>
      <c r="G108" s="50">
        <v>236</v>
      </c>
      <c r="H108" s="50"/>
      <c r="I108" s="50" t="s">
        <v>682</v>
      </c>
      <c r="J108" s="50" t="s">
        <v>79</v>
      </c>
      <c r="K108" s="50"/>
      <c r="L108" s="50"/>
      <c r="M108" s="50"/>
      <c r="N108" s="51" t="s">
        <v>80</v>
      </c>
      <c r="O108" s="50" t="s">
        <v>81</v>
      </c>
      <c r="P108" s="53" t="s">
        <v>82</v>
      </c>
      <c r="Q108" s="51" t="s">
        <v>83</v>
      </c>
      <c r="R108" s="51" t="s">
        <v>84</v>
      </c>
      <c r="S108" s="50" t="s">
        <v>85</v>
      </c>
      <c r="T108" s="50" t="s">
        <v>86</v>
      </c>
      <c r="U108" s="50" t="s">
        <v>86</v>
      </c>
      <c r="V108" s="50" t="s">
        <v>86</v>
      </c>
      <c r="W108" s="50">
        <v>177</v>
      </c>
      <c r="X108" s="50" t="s">
        <v>87</v>
      </c>
      <c r="Y108" s="54" t="s">
        <v>683</v>
      </c>
      <c r="Z108" s="54"/>
      <c r="AA108" s="54"/>
      <c r="AB108" s="55">
        <v>0.35</v>
      </c>
      <c r="AC108" s="56" t="str">
        <f t="shared" ca="1" si="50"/>
        <v>Si</v>
      </c>
      <c r="AD108" s="57">
        <v>8598</v>
      </c>
      <c r="AE108" s="58">
        <v>8598</v>
      </c>
      <c r="AF108" s="59">
        <v>45071</v>
      </c>
      <c r="AG108" s="58">
        <v>7</v>
      </c>
      <c r="AH108" s="60">
        <f t="shared" si="12"/>
        <v>47202</v>
      </c>
      <c r="AI108" s="59">
        <f t="shared" si="28"/>
        <v>47263</v>
      </c>
      <c r="AJ108" s="59">
        <f t="shared" si="11"/>
        <v>47628</v>
      </c>
      <c r="AK108" s="59"/>
      <c r="AL108" s="59"/>
      <c r="AM108" s="61" t="s">
        <v>684</v>
      </c>
      <c r="AN108" s="61">
        <v>4</v>
      </c>
      <c r="AO108" s="61"/>
      <c r="AP108" s="61"/>
      <c r="AQ108" s="61"/>
      <c r="AR108" s="50" t="s">
        <v>89</v>
      </c>
      <c r="AS108" s="50" t="s">
        <v>89</v>
      </c>
      <c r="AT108" s="50" t="str">
        <f>'Rutas AAC'!AE145</f>
        <v xml:space="preserve"> </v>
      </c>
      <c r="AU108" s="57">
        <v>8598</v>
      </c>
      <c r="AV108" s="68">
        <v>45071</v>
      </c>
      <c r="AW108" s="74">
        <v>6</v>
      </c>
      <c r="AX108" s="65">
        <f>EDATE(AV108,(AW108*12)-14)</f>
        <v>46837</v>
      </c>
      <c r="AY108" s="68">
        <f>EDATE(AV108,(AW108*12)-12)</f>
        <v>46898</v>
      </c>
      <c r="AZ108" s="68">
        <f>EDATE(AV108,(AW108*12))</f>
        <v>47263</v>
      </c>
      <c r="BA108" s="68">
        <f>EDATE(AV108,((AW108/2)*12))</f>
        <v>46167</v>
      </c>
      <c r="BB108" s="194" t="s">
        <v>685</v>
      </c>
      <c r="BC108" s="194">
        <v>3</v>
      </c>
      <c r="BD108" s="194"/>
      <c r="BE108" s="61"/>
      <c r="BF108" s="139"/>
      <c r="BG108" s="67"/>
    </row>
    <row r="109" spans="1:59" ht="42" customHeight="1" x14ac:dyDescent="0.2">
      <c r="A109" s="189">
        <v>103</v>
      </c>
      <c r="B109" s="50">
        <v>40454</v>
      </c>
      <c r="C109" s="51" t="s">
        <v>609</v>
      </c>
      <c r="D109" s="51" t="s">
        <v>686</v>
      </c>
      <c r="E109" s="51" t="s">
        <v>687</v>
      </c>
      <c r="F109" s="52" t="s">
        <v>688</v>
      </c>
      <c r="G109" s="50">
        <v>106111</v>
      </c>
      <c r="H109" s="50"/>
      <c r="I109" s="50" t="s">
        <v>689</v>
      </c>
      <c r="J109" s="50" t="s">
        <v>79</v>
      </c>
      <c r="K109" s="50"/>
      <c r="L109" s="50"/>
      <c r="M109" s="50"/>
      <c r="N109" s="51" t="s">
        <v>80</v>
      </c>
      <c r="O109" s="50" t="s">
        <v>81</v>
      </c>
      <c r="P109" s="53" t="s">
        <v>89</v>
      </c>
      <c r="Q109" s="51" t="s">
        <v>83</v>
      </c>
      <c r="R109" s="51" t="s">
        <v>84</v>
      </c>
      <c r="S109" s="50" t="s">
        <v>85</v>
      </c>
      <c r="T109" s="50" t="s">
        <v>86</v>
      </c>
      <c r="U109" s="50" t="s">
        <v>86</v>
      </c>
      <c r="V109" s="50" t="s">
        <v>86</v>
      </c>
      <c r="W109" s="50">
        <v>160</v>
      </c>
      <c r="X109" s="50" t="s">
        <v>121</v>
      </c>
      <c r="Y109" s="54"/>
      <c r="Z109" s="54"/>
      <c r="AA109" s="54"/>
      <c r="AB109" s="55">
        <v>0.2</v>
      </c>
      <c r="AC109" s="56" t="str">
        <f t="shared" ca="1" si="50"/>
        <v>Si</v>
      </c>
      <c r="AD109" s="57">
        <v>17701</v>
      </c>
      <c r="AE109" s="58">
        <v>17701</v>
      </c>
      <c r="AF109" s="59">
        <v>45196</v>
      </c>
      <c r="AG109" s="58">
        <v>7</v>
      </c>
      <c r="AH109" s="60">
        <f t="shared" si="12"/>
        <v>47326</v>
      </c>
      <c r="AI109" s="59">
        <f t="shared" si="28"/>
        <v>47388</v>
      </c>
      <c r="AJ109" s="59">
        <f t="shared" si="11"/>
        <v>47753</v>
      </c>
      <c r="AK109" s="59"/>
      <c r="AL109" s="144">
        <v>45930</v>
      </c>
      <c r="AM109" s="61" t="s">
        <v>690</v>
      </c>
      <c r="AN109" s="61"/>
      <c r="AO109" s="61"/>
      <c r="AP109" s="61"/>
      <c r="AQ109" s="61"/>
      <c r="AR109" s="50" t="s">
        <v>82</v>
      </c>
      <c r="AS109" s="50"/>
      <c r="AT109" s="50" t="str">
        <f>'Rutas AAC'!AE159</f>
        <v xml:space="preserve"> </v>
      </c>
      <c r="AU109" s="195"/>
      <c r="AV109" s="196"/>
      <c r="AW109" s="197"/>
      <c r="AX109" s="92"/>
      <c r="AY109" s="63"/>
      <c r="AZ109" s="63"/>
      <c r="BA109" s="68"/>
      <c r="BB109" s="117"/>
      <c r="BC109" s="61"/>
      <c r="BD109" s="61"/>
      <c r="BE109" s="61"/>
      <c r="BF109" s="71"/>
      <c r="BG109" s="67"/>
    </row>
    <row r="110" spans="1:59" ht="42" customHeight="1" x14ac:dyDescent="0.2">
      <c r="A110" s="198">
        <v>104</v>
      </c>
      <c r="B110" s="50">
        <v>25217</v>
      </c>
      <c r="C110" s="51" t="s">
        <v>691</v>
      </c>
      <c r="D110" s="51" t="s">
        <v>692</v>
      </c>
      <c r="E110" s="51" t="s">
        <v>693</v>
      </c>
      <c r="F110" s="52" t="s">
        <v>694</v>
      </c>
      <c r="G110" s="50">
        <v>101755</v>
      </c>
      <c r="H110" s="180" t="s">
        <v>695</v>
      </c>
      <c r="I110" s="50" t="s">
        <v>696</v>
      </c>
      <c r="J110" s="50" t="s">
        <v>94</v>
      </c>
      <c r="K110" s="50"/>
      <c r="L110" s="50"/>
      <c r="M110" s="50"/>
      <c r="N110" s="51" t="s">
        <v>697</v>
      </c>
      <c r="O110" s="50" t="s">
        <v>155</v>
      </c>
      <c r="P110" s="53" t="s">
        <v>89</v>
      </c>
      <c r="Q110" s="51" t="s">
        <v>148</v>
      </c>
      <c r="R110" s="51" t="s">
        <v>96</v>
      </c>
      <c r="S110" s="50" t="s">
        <v>85</v>
      </c>
      <c r="T110" s="50" t="s">
        <v>97</v>
      </c>
      <c r="U110" s="50" t="s">
        <v>86</v>
      </c>
      <c r="V110" s="50">
        <v>24</v>
      </c>
      <c r="W110" s="50">
        <v>24</v>
      </c>
      <c r="X110" s="50" t="s">
        <v>196</v>
      </c>
      <c r="Y110" s="54"/>
      <c r="Z110" s="54"/>
      <c r="AA110" s="54"/>
      <c r="AB110" s="55">
        <v>0.8</v>
      </c>
      <c r="AC110" s="56" t="str">
        <f t="shared" ca="1" si="50"/>
        <v>Si</v>
      </c>
      <c r="AD110" s="57">
        <v>9064</v>
      </c>
      <c r="AE110" s="58">
        <v>9064</v>
      </c>
      <c r="AF110" s="59">
        <v>43705</v>
      </c>
      <c r="AG110" s="58">
        <v>7</v>
      </c>
      <c r="AH110" s="60">
        <f t="shared" si="12"/>
        <v>45836</v>
      </c>
      <c r="AI110" s="59">
        <f t="shared" si="28"/>
        <v>45897</v>
      </c>
      <c r="AJ110" s="59">
        <f t="shared" si="11"/>
        <v>46262</v>
      </c>
      <c r="AK110" s="59"/>
      <c r="AL110" s="59"/>
      <c r="AM110" s="61" t="s">
        <v>698</v>
      </c>
      <c r="AN110" s="61">
        <v>1</v>
      </c>
      <c r="AO110" s="61"/>
      <c r="AP110" s="61"/>
      <c r="AQ110" s="61"/>
      <c r="AR110" s="50" t="s">
        <v>86</v>
      </c>
      <c r="AS110" s="50"/>
      <c r="AT110" s="50" t="str">
        <f>'Rutas AAC'!AE172</f>
        <v xml:space="preserve"> </v>
      </c>
      <c r="AU110" s="62" t="s">
        <v>86</v>
      </c>
      <c r="AV110" s="63" t="s">
        <v>86</v>
      </c>
      <c r="AW110" s="64" t="s">
        <v>86</v>
      </c>
      <c r="AX110" s="85" t="s">
        <v>86</v>
      </c>
      <c r="AY110" s="64" t="s">
        <v>86</v>
      </c>
      <c r="AZ110" s="64" t="s">
        <v>86</v>
      </c>
      <c r="BA110" s="64"/>
      <c r="BB110" s="69"/>
      <c r="BC110" s="70"/>
      <c r="BD110" s="70"/>
      <c r="BE110" s="61"/>
      <c r="BF110" s="66"/>
      <c r="BG110" s="67"/>
    </row>
    <row r="111" spans="1:59" ht="42" customHeight="1" x14ac:dyDescent="0.2">
      <c r="A111" s="198">
        <v>105</v>
      </c>
      <c r="B111" s="50">
        <v>26532</v>
      </c>
      <c r="C111" s="51" t="s">
        <v>691</v>
      </c>
      <c r="D111" s="51" t="s">
        <v>692</v>
      </c>
      <c r="E111" s="51" t="s">
        <v>693</v>
      </c>
      <c r="F111" s="52" t="s">
        <v>699</v>
      </c>
      <c r="G111" s="50">
        <v>4615</v>
      </c>
      <c r="H111" s="180" t="s">
        <v>695</v>
      </c>
      <c r="I111" s="50" t="s">
        <v>700</v>
      </c>
      <c r="J111" s="50" t="s">
        <v>259</v>
      </c>
      <c r="K111" s="50"/>
      <c r="L111" s="50"/>
      <c r="M111" s="50"/>
      <c r="N111" s="51" t="s">
        <v>80</v>
      </c>
      <c r="O111" s="50" t="s">
        <v>81</v>
      </c>
      <c r="P111" s="53" t="s">
        <v>82</v>
      </c>
      <c r="Q111" s="51" t="s">
        <v>148</v>
      </c>
      <c r="R111" s="51" t="s">
        <v>96</v>
      </c>
      <c r="S111" s="50" t="s">
        <v>85</v>
      </c>
      <c r="T111" s="50" t="s">
        <v>97</v>
      </c>
      <c r="U111" s="50" t="s">
        <v>86</v>
      </c>
      <c r="V111" s="50">
        <v>24</v>
      </c>
      <c r="W111" s="50">
        <v>24</v>
      </c>
      <c r="X111" s="50" t="s">
        <v>196</v>
      </c>
      <c r="Y111" s="54"/>
      <c r="Z111" s="54"/>
      <c r="AA111" s="54"/>
      <c r="AB111" s="55">
        <v>0.8</v>
      </c>
      <c r="AC111" s="56" t="str">
        <f t="shared" ca="1" si="50"/>
        <v>Si</v>
      </c>
      <c r="AD111" s="57">
        <v>14253</v>
      </c>
      <c r="AE111" s="58">
        <v>14253</v>
      </c>
      <c r="AF111" s="59">
        <v>43809</v>
      </c>
      <c r="AG111" s="58">
        <v>7</v>
      </c>
      <c r="AH111" s="60">
        <f t="shared" si="12"/>
        <v>45940</v>
      </c>
      <c r="AI111" s="59">
        <f t="shared" si="28"/>
        <v>46001</v>
      </c>
      <c r="AJ111" s="59">
        <f t="shared" si="11"/>
        <v>46366</v>
      </c>
      <c r="AK111" s="59"/>
      <c r="AL111" s="59"/>
      <c r="AM111" s="61" t="s">
        <v>701</v>
      </c>
      <c r="AN111" s="61">
        <v>2</v>
      </c>
      <c r="AO111" s="61"/>
      <c r="AP111" s="61"/>
      <c r="AQ111" s="61"/>
      <c r="AR111" s="50" t="s">
        <v>86</v>
      </c>
      <c r="AS111" s="50"/>
      <c r="AT111" s="50" t="str">
        <f>'Rutas AAC'!AE163</f>
        <v xml:space="preserve"> </v>
      </c>
      <c r="AU111" s="62" t="s">
        <v>86</v>
      </c>
      <c r="AV111" s="63" t="s">
        <v>86</v>
      </c>
      <c r="AW111" s="64" t="s">
        <v>86</v>
      </c>
      <c r="AX111" s="85" t="s">
        <v>86</v>
      </c>
      <c r="AY111" s="64" t="s">
        <v>86</v>
      </c>
      <c r="AZ111" s="64" t="s">
        <v>86</v>
      </c>
      <c r="BA111" s="68"/>
      <c r="BB111" s="118"/>
      <c r="BC111" s="118"/>
      <c r="BD111" s="118"/>
      <c r="BE111" s="61"/>
      <c r="BF111" s="66"/>
      <c r="BG111" s="67"/>
    </row>
    <row r="112" spans="1:59" ht="42" customHeight="1" x14ac:dyDescent="0.2">
      <c r="A112" s="198">
        <v>106</v>
      </c>
      <c r="B112" s="50">
        <v>21391</v>
      </c>
      <c r="C112" s="51" t="s">
        <v>691</v>
      </c>
      <c r="D112" s="51" t="s">
        <v>702</v>
      </c>
      <c r="E112" s="51" t="s">
        <v>703</v>
      </c>
      <c r="F112" s="52" t="s">
        <v>704</v>
      </c>
      <c r="G112" s="50">
        <v>238</v>
      </c>
      <c r="H112" s="50"/>
      <c r="I112" s="50" t="s">
        <v>705</v>
      </c>
      <c r="J112" s="50" t="s">
        <v>79</v>
      </c>
      <c r="K112" s="50"/>
      <c r="L112" s="50"/>
      <c r="M112" s="50"/>
      <c r="N112" s="51" t="s">
        <v>80</v>
      </c>
      <c r="O112" s="50" t="s">
        <v>81</v>
      </c>
      <c r="P112" s="53" t="s">
        <v>82</v>
      </c>
      <c r="Q112" s="51" t="s">
        <v>83</v>
      </c>
      <c r="R112" s="51" t="s">
        <v>84</v>
      </c>
      <c r="S112" s="50" t="s">
        <v>85</v>
      </c>
      <c r="T112" s="50" t="s">
        <v>86</v>
      </c>
      <c r="U112" s="50" t="s">
        <v>86</v>
      </c>
      <c r="V112" s="50" t="s">
        <v>86</v>
      </c>
      <c r="W112" s="50">
        <v>180</v>
      </c>
      <c r="X112" s="50" t="s">
        <v>87</v>
      </c>
      <c r="Y112" s="73" t="s">
        <v>706</v>
      </c>
      <c r="Z112" s="73" t="s">
        <v>707</v>
      </c>
      <c r="AA112" s="54"/>
      <c r="AB112" s="55">
        <v>0.3</v>
      </c>
      <c r="AC112" s="56" t="str">
        <f t="shared" ca="1" si="50"/>
        <v>Si</v>
      </c>
      <c r="AD112" s="57">
        <v>4006</v>
      </c>
      <c r="AE112" s="58">
        <v>9063</v>
      </c>
      <c r="AF112" s="59">
        <v>43567</v>
      </c>
      <c r="AG112" s="58">
        <v>8</v>
      </c>
      <c r="AH112" s="60">
        <f t="shared" si="12"/>
        <v>46065</v>
      </c>
      <c r="AI112" s="59">
        <f t="shared" si="28"/>
        <v>46124</v>
      </c>
      <c r="AJ112" s="59">
        <f t="shared" si="11"/>
        <v>46489</v>
      </c>
      <c r="AK112" s="59"/>
      <c r="AL112" s="59"/>
      <c r="AM112" s="61" t="s">
        <v>708</v>
      </c>
      <c r="AN112" s="61">
        <v>4</v>
      </c>
      <c r="AO112" s="61"/>
      <c r="AP112" s="61"/>
      <c r="AQ112" s="61"/>
      <c r="AR112" s="50" t="s">
        <v>89</v>
      </c>
      <c r="AS112" s="50" t="s">
        <v>89</v>
      </c>
      <c r="AT112" s="50" t="str">
        <f>'Rutas AAC'!AE161</f>
        <v xml:space="preserve"> </v>
      </c>
      <c r="AU112" s="57">
        <v>4006</v>
      </c>
      <c r="AV112" s="68">
        <v>43567</v>
      </c>
      <c r="AW112" s="74">
        <v>8</v>
      </c>
      <c r="AX112" s="65">
        <f t="shared" ref="AX112:AX113" si="51">EDATE(AV112,(AW112*12)-14)</f>
        <v>46065</v>
      </c>
      <c r="AY112" s="68">
        <f t="shared" ref="AY112:AY113" si="52">EDATE(AV112,(AW112*12)-12)</f>
        <v>46124</v>
      </c>
      <c r="AZ112" s="68">
        <f t="shared" ref="AZ112:AZ113" si="53">EDATE(AV112,(AW112*12))</f>
        <v>46489</v>
      </c>
      <c r="BA112" s="68">
        <f t="shared" ref="BA112:BA113" si="54">EDATE(AV112,((AW112/2)*12))</f>
        <v>45028</v>
      </c>
      <c r="BB112" s="61" t="s">
        <v>709</v>
      </c>
      <c r="BC112" s="61">
        <v>3</v>
      </c>
      <c r="BD112" s="61"/>
      <c r="BE112" s="61"/>
      <c r="BF112" s="131" t="s">
        <v>180</v>
      </c>
      <c r="BG112" s="67"/>
    </row>
    <row r="113" spans="1:59" ht="42" customHeight="1" x14ac:dyDescent="0.2">
      <c r="A113" s="198">
        <v>107</v>
      </c>
      <c r="B113" s="50">
        <v>34907</v>
      </c>
      <c r="C113" s="51" t="s">
        <v>691</v>
      </c>
      <c r="D113" s="51" t="s">
        <v>710</v>
      </c>
      <c r="E113" s="51" t="s">
        <v>711</v>
      </c>
      <c r="F113" s="52" t="s">
        <v>712</v>
      </c>
      <c r="G113" s="50">
        <v>90930</v>
      </c>
      <c r="H113" s="84"/>
      <c r="I113" s="50" t="s">
        <v>713</v>
      </c>
      <c r="J113" s="50" t="s">
        <v>79</v>
      </c>
      <c r="K113" s="50"/>
      <c r="L113" s="50"/>
      <c r="M113" s="50"/>
      <c r="N113" s="51" t="s">
        <v>80</v>
      </c>
      <c r="O113" s="50" t="s">
        <v>81</v>
      </c>
      <c r="P113" s="53" t="s">
        <v>82</v>
      </c>
      <c r="Q113" s="51" t="s">
        <v>95</v>
      </c>
      <c r="R113" s="51" t="s">
        <v>96</v>
      </c>
      <c r="S113" s="50" t="s">
        <v>85</v>
      </c>
      <c r="T113" s="50" t="s">
        <v>162</v>
      </c>
      <c r="U113" s="50">
        <v>50</v>
      </c>
      <c r="V113" s="50" t="s">
        <v>86</v>
      </c>
      <c r="W113" s="50">
        <v>50</v>
      </c>
      <c r="X113" s="50" t="s">
        <v>233</v>
      </c>
      <c r="Y113" s="54"/>
      <c r="Z113" s="73" t="s">
        <v>714</v>
      </c>
      <c r="AA113" s="54" t="s">
        <v>715</v>
      </c>
      <c r="AB113" s="55" t="s">
        <v>99</v>
      </c>
      <c r="AC113" s="56" t="str">
        <f t="shared" ca="1" si="50"/>
        <v>Si</v>
      </c>
      <c r="AD113" s="57">
        <v>16108</v>
      </c>
      <c r="AE113" s="58">
        <v>16108</v>
      </c>
      <c r="AF113" s="59">
        <v>43670</v>
      </c>
      <c r="AG113" s="58">
        <v>8</v>
      </c>
      <c r="AH113" s="60">
        <f t="shared" si="12"/>
        <v>46166</v>
      </c>
      <c r="AI113" s="59">
        <f t="shared" si="28"/>
        <v>46227</v>
      </c>
      <c r="AJ113" s="59">
        <f t="shared" si="11"/>
        <v>46592</v>
      </c>
      <c r="AK113" s="59"/>
      <c r="AL113" s="59"/>
      <c r="AM113" s="61" t="s">
        <v>716</v>
      </c>
      <c r="AN113" s="61">
        <v>3</v>
      </c>
      <c r="AO113" s="61"/>
      <c r="AP113" s="61"/>
      <c r="AQ113" s="61">
        <v>89</v>
      </c>
      <c r="AR113" s="50" t="s">
        <v>89</v>
      </c>
      <c r="AS113" s="50" t="s">
        <v>89</v>
      </c>
      <c r="AT113" s="50" t="str">
        <f>'Rutas AAC'!AE171</f>
        <v xml:space="preserve"> </v>
      </c>
      <c r="AU113" s="57">
        <v>7576</v>
      </c>
      <c r="AV113" s="68">
        <v>43670</v>
      </c>
      <c r="AW113" s="74">
        <v>8</v>
      </c>
      <c r="AX113" s="65">
        <f t="shared" si="51"/>
        <v>46166</v>
      </c>
      <c r="AY113" s="68">
        <f t="shared" si="52"/>
        <v>46227</v>
      </c>
      <c r="AZ113" s="68">
        <f t="shared" si="53"/>
        <v>46592</v>
      </c>
      <c r="BA113" s="68">
        <f t="shared" si="54"/>
        <v>45131</v>
      </c>
      <c r="BB113" s="199"/>
      <c r="BC113" s="70">
        <v>1</v>
      </c>
      <c r="BD113" s="200"/>
      <c r="BE113" s="61"/>
      <c r="BF113" s="71"/>
      <c r="BG113" s="67"/>
    </row>
    <row r="114" spans="1:59" ht="68.25" customHeight="1" x14ac:dyDescent="0.2">
      <c r="A114" s="198">
        <v>108</v>
      </c>
      <c r="B114" s="50">
        <v>52755</v>
      </c>
      <c r="C114" s="51" t="s">
        <v>691</v>
      </c>
      <c r="D114" s="51" t="s">
        <v>717</v>
      </c>
      <c r="E114" s="51" t="s">
        <v>718</v>
      </c>
      <c r="F114" s="52" t="s">
        <v>719</v>
      </c>
      <c r="G114" s="72">
        <v>109668</v>
      </c>
      <c r="H114" s="72"/>
      <c r="I114" s="72" t="s">
        <v>354</v>
      </c>
      <c r="J114" s="72" t="s">
        <v>94</v>
      </c>
      <c r="K114" s="72"/>
      <c r="L114" s="72"/>
      <c r="M114" s="72"/>
      <c r="N114" s="51" t="s">
        <v>80</v>
      </c>
      <c r="O114" s="50" t="s">
        <v>81</v>
      </c>
      <c r="P114" s="53" t="s">
        <v>82</v>
      </c>
      <c r="Q114" s="51" t="s">
        <v>169</v>
      </c>
      <c r="R114" s="51" t="s">
        <v>96</v>
      </c>
      <c r="S114" s="50" t="s">
        <v>85</v>
      </c>
      <c r="T114" s="50" t="s">
        <v>162</v>
      </c>
      <c r="U114" s="50">
        <v>105</v>
      </c>
      <c r="V114" s="50" t="s">
        <v>86</v>
      </c>
      <c r="W114" s="50">
        <v>105</v>
      </c>
      <c r="X114" s="50" t="s">
        <v>170</v>
      </c>
      <c r="Y114" s="54"/>
      <c r="Z114" s="54"/>
      <c r="AA114" s="54"/>
      <c r="AB114" s="201">
        <v>0.9</v>
      </c>
      <c r="AC114" s="56" t="s">
        <v>89</v>
      </c>
      <c r="AD114" s="202">
        <v>14594</v>
      </c>
      <c r="AE114" s="58">
        <v>14594</v>
      </c>
      <c r="AF114" s="59">
        <v>44049</v>
      </c>
      <c r="AG114" s="58">
        <v>7</v>
      </c>
      <c r="AH114" s="60">
        <f t="shared" si="12"/>
        <v>46179</v>
      </c>
      <c r="AI114" s="59">
        <f t="shared" si="28"/>
        <v>46240</v>
      </c>
      <c r="AJ114" s="59">
        <f t="shared" si="11"/>
        <v>46605</v>
      </c>
      <c r="AK114" s="59"/>
      <c r="AL114" s="59"/>
      <c r="AM114" s="61"/>
      <c r="AN114" s="61"/>
      <c r="AO114" s="61"/>
      <c r="AP114" s="61"/>
      <c r="AQ114" s="61"/>
      <c r="AR114" s="50" t="s">
        <v>82</v>
      </c>
      <c r="AS114" s="50"/>
      <c r="AT114" s="50"/>
      <c r="AU114" s="62"/>
      <c r="AV114" s="63"/>
      <c r="AW114" s="64"/>
      <c r="AX114" s="92"/>
      <c r="AY114" s="63"/>
      <c r="AZ114" s="63"/>
      <c r="BA114" s="63"/>
      <c r="BB114" s="118"/>
      <c r="BC114" s="118"/>
      <c r="BD114" s="118"/>
      <c r="BE114" s="61"/>
      <c r="BF114" s="105"/>
      <c r="BG114" s="67"/>
    </row>
    <row r="115" spans="1:59" ht="42" customHeight="1" x14ac:dyDescent="0.2">
      <c r="A115" s="198">
        <v>109</v>
      </c>
      <c r="B115" s="50">
        <v>18011</v>
      </c>
      <c r="C115" s="51" t="s">
        <v>691</v>
      </c>
      <c r="D115" s="51" t="s">
        <v>720</v>
      </c>
      <c r="E115" s="51" t="s">
        <v>721</v>
      </c>
      <c r="F115" s="52" t="s">
        <v>722</v>
      </c>
      <c r="G115" s="50">
        <v>223</v>
      </c>
      <c r="H115" s="50"/>
      <c r="I115" s="50" t="s">
        <v>723</v>
      </c>
      <c r="J115" s="50" t="s">
        <v>94</v>
      </c>
      <c r="K115" s="50"/>
      <c r="L115" s="50"/>
      <c r="M115" s="50"/>
      <c r="N115" s="51" t="s">
        <v>80</v>
      </c>
      <c r="O115" s="50" t="s">
        <v>81</v>
      </c>
      <c r="P115" s="53" t="s">
        <v>82</v>
      </c>
      <c r="Q115" s="51" t="s">
        <v>660</v>
      </c>
      <c r="R115" s="51" t="s">
        <v>84</v>
      </c>
      <c r="S115" s="50" t="s">
        <v>85</v>
      </c>
      <c r="T115" s="50" t="s">
        <v>86</v>
      </c>
      <c r="U115" s="50" t="s">
        <v>86</v>
      </c>
      <c r="V115" s="50" t="s">
        <v>86</v>
      </c>
      <c r="W115" s="50">
        <v>96</v>
      </c>
      <c r="X115" s="50" t="s">
        <v>661</v>
      </c>
      <c r="Y115" s="203" t="s">
        <v>724</v>
      </c>
      <c r="Z115" s="204"/>
      <c r="AA115" s="73" t="s">
        <v>725</v>
      </c>
      <c r="AB115" s="55">
        <v>1</v>
      </c>
      <c r="AC115" s="56" t="str">
        <f t="shared" ref="AC115:AC124" ca="1" si="55">IF(AJ115&gt;TODAY(),"Si","No")</f>
        <v>Si</v>
      </c>
      <c r="AD115" s="57">
        <v>13233</v>
      </c>
      <c r="AE115" s="58">
        <v>1322</v>
      </c>
      <c r="AF115" s="68">
        <v>44029</v>
      </c>
      <c r="AG115" s="58">
        <v>7</v>
      </c>
      <c r="AH115" s="60">
        <f t="shared" si="12"/>
        <v>46159</v>
      </c>
      <c r="AI115" s="59">
        <f t="shared" si="28"/>
        <v>46220</v>
      </c>
      <c r="AJ115" s="59">
        <f t="shared" si="11"/>
        <v>46585</v>
      </c>
      <c r="AK115" s="59"/>
      <c r="AL115" s="59"/>
      <c r="AM115" s="61" t="s">
        <v>726</v>
      </c>
      <c r="AN115" s="61">
        <v>3</v>
      </c>
      <c r="AO115" s="61"/>
      <c r="AP115" s="61"/>
      <c r="AQ115" s="61"/>
      <c r="AR115" s="50" t="s">
        <v>89</v>
      </c>
      <c r="AS115" s="50" t="s">
        <v>89</v>
      </c>
      <c r="AT115" s="50" t="str">
        <f>'Rutas AAC'!AE160</f>
        <v xml:space="preserve"> </v>
      </c>
      <c r="AU115" s="57">
        <v>13233</v>
      </c>
      <c r="AV115" s="68">
        <v>44029</v>
      </c>
      <c r="AW115" s="74">
        <v>6</v>
      </c>
      <c r="AX115" s="65">
        <f t="shared" ref="AX115:AX116" si="56">EDATE(AV115,(AW115*12)-14)</f>
        <v>45794</v>
      </c>
      <c r="AY115" s="68">
        <f t="shared" ref="AY115:AY116" si="57">EDATE(AV115,(AW115*12)-12)</f>
        <v>45855</v>
      </c>
      <c r="AZ115" s="68">
        <f t="shared" ref="AZ115:AZ116" si="58">EDATE(AV115,(AW115*12))</f>
        <v>46220</v>
      </c>
      <c r="BA115" s="68">
        <f t="shared" ref="BA115:BA116" si="59">EDATE(AV115,((AW115/2)*12))</f>
        <v>45124</v>
      </c>
      <c r="BB115" s="118"/>
      <c r="BC115" s="118"/>
      <c r="BD115" s="118"/>
      <c r="BE115" s="61"/>
      <c r="BF115" s="172"/>
      <c r="BG115" s="67"/>
    </row>
    <row r="116" spans="1:59" ht="42" customHeight="1" x14ac:dyDescent="0.2">
      <c r="A116" s="198">
        <v>110</v>
      </c>
      <c r="B116" s="50">
        <v>22220</v>
      </c>
      <c r="C116" s="51" t="s">
        <v>691</v>
      </c>
      <c r="D116" s="51" t="s">
        <v>727</v>
      </c>
      <c r="E116" s="51" t="s">
        <v>728</v>
      </c>
      <c r="F116" s="52" t="s">
        <v>729</v>
      </c>
      <c r="G116" s="50">
        <v>7520</v>
      </c>
      <c r="H116" s="50"/>
      <c r="I116" s="50" t="s">
        <v>730</v>
      </c>
      <c r="J116" s="50" t="s">
        <v>79</v>
      </c>
      <c r="K116" s="50"/>
      <c r="L116" s="50"/>
      <c r="M116" s="50"/>
      <c r="N116" s="51" t="s">
        <v>80</v>
      </c>
      <c r="O116" s="50" t="s">
        <v>81</v>
      </c>
      <c r="P116" s="53" t="s">
        <v>82</v>
      </c>
      <c r="Q116" s="51" t="s">
        <v>83</v>
      </c>
      <c r="R116" s="51" t="s">
        <v>84</v>
      </c>
      <c r="S116" s="50" t="s">
        <v>85</v>
      </c>
      <c r="T116" s="50" t="s">
        <v>86</v>
      </c>
      <c r="U116" s="50" t="s">
        <v>86</v>
      </c>
      <c r="V116" s="50" t="s">
        <v>86</v>
      </c>
      <c r="W116" s="50">
        <v>170</v>
      </c>
      <c r="X116" s="50" t="s">
        <v>87</v>
      </c>
      <c r="Y116" s="54"/>
      <c r="Z116" s="54"/>
      <c r="AA116" s="54"/>
      <c r="AB116" s="55">
        <v>0.8</v>
      </c>
      <c r="AC116" s="56" t="str">
        <f t="shared" ca="1" si="55"/>
        <v>Si</v>
      </c>
      <c r="AD116" s="57">
        <v>3248</v>
      </c>
      <c r="AE116" s="58">
        <v>3248</v>
      </c>
      <c r="AF116" s="59">
        <v>43895</v>
      </c>
      <c r="AG116" s="58">
        <v>8</v>
      </c>
      <c r="AH116" s="60">
        <f t="shared" si="12"/>
        <v>46392</v>
      </c>
      <c r="AI116" s="59">
        <f t="shared" si="28"/>
        <v>46451</v>
      </c>
      <c r="AJ116" s="59">
        <f t="shared" si="11"/>
        <v>46817</v>
      </c>
      <c r="AK116" s="59"/>
      <c r="AL116" s="59"/>
      <c r="AM116" s="61" t="s">
        <v>731</v>
      </c>
      <c r="AN116" s="61">
        <v>3</v>
      </c>
      <c r="AO116" s="61"/>
      <c r="AP116" s="61"/>
      <c r="AQ116" s="61"/>
      <c r="AR116" s="50" t="s">
        <v>89</v>
      </c>
      <c r="AS116" s="50" t="s">
        <v>89</v>
      </c>
      <c r="AT116" s="50" t="str">
        <f>'Rutas AAC'!AE165</f>
        <v xml:space="preserve"> </v>
      </c>
      <c r="AU116" s="57">
        <v>3248</v>
      </c>
      <c r="AV116" s="68">
        <v>43895</v>
      </c>
      <c r="AW116" s="74">
        <v>8</v>
      </c>
      <c r="AX116" s="65">
        <f t="shared" si="56"/>
        <v>46392</v>
      </c>
      <c r="AY116" s="68">
        <f t="shared" si="57"/>
        <v>46451</v>
      </c>
      <c r="AZ116" s="68">
        <f t="shared" si="58"/>
        <v>46817</v>
      </c>
      <c r="BA116" s="68">
        <f t="shared" si="59"/>
        <v>45356</v>
      </c>
      <c r="BB116" s="118" t="s">
        <v>732</v>
      </c>
      <c r="BC116" s="61">
        <v>1</v>
      </c>
      <c r="BD116" s="118"/>
      <c r="BE116" s="61"/>
      <c r="BF116" s="71"/>
      <c r="BG116" s="67"/>
    </row>
    <row r="117" spans="1:59" ht="42" customHeight="1" x14ac:dyDescent="0.2">
      <c r="A117" s="198">
        <v>111</v>
      </c>
      <c r="B117" s="50">
        <v>34710</v>
      </c>
      <c r="C117" s="51" t="s">
        <v>691</v>
      </c>
      <c r="D117" s="51" t="s">
        <v>733</v>
      </c>
      <c r="E117" s="51" t="s">
        <v>734</v>
      </c>
      <c r="F117" s="52">
        <v>1978</v>
      </c>
      <c r="G117" s="50">
        <v>252</v>
      </c>
      <c r="H117" s="50"/>
      <c r="I117" s="50" t="s">
        <v>735</v>
      </c>
      <c r="J117" s="50" t="s">
        <v>94</v>
      </c>
      <c r="K117" s="50"/>
      <c r="L117" s="50"/>
      <c r="M117" s="50"/>
      <c r="N117" s="51" t="s">
        <v>80</v>
      </c>
      <c r="O117" s="50" t="s">
        <v>81</v>
      </c>
      <c r="P117" s="53" t="s">
        <v>82</v>
      </c>
      <c r="Q117" s="51" t="s">
        <v>95</v>
      </c>
      <c r="R117" s="51" t="s">
        <v>96</v>
      </c>
      <c r="S117" s="50" t="s">
        <v>85</v>
      </c>
      <c r="T117" s="50" t="s">
        <v>162</v>
      </c>
      <c r="U117" s="50">
        <v>50</v>
      </c>
      <c r="V117" s="50" t="s">
        <v>86</v>
      </c>
      <c r="W117" s="50">
        <v>50</v>
      </c>
      <c r="X117" s="50" t="s">
        <v>233</v>
      </c>
      <c r="Y117" s="73" t="s">
        <v>736</v>
      </c>
      <c r="Z117" s="54"/>
      <c r="AA117" s="54"/>
      <c r="AB117" s="55">
        <v>0.75</v>
      </c>
      <c r="AC117" s="56" t="str">
        <f t="shared" ca="1" si="55"/>
        <v>Si</v>
      </c>
      <c r="AD117" s="57">
        <v>12658</v>
      </c>
      <c r="AE117" s="58">
        <v>12658</v>
      </c>
      <c r="AF117" s="59">
        <v>44390</v>
      </c>
      <c r="AG117" s="58">
        <v>7</v>
      </c>
      <c r="AH117" s="60">
        <f t="shared" si="12"/>
        <v>46520</v>
      </c>
      <c r="AI117" s="59">
        <f t="shared" si="28"/>
        <v>46581</v>
      </c>
      <c r="AJ117" s="59">
        <f t="shared" si="11"/>
        <v>46947</v>
      </c>
      <c r="AK117" s="59"/>
      <c r="AL117" s="59"/>
      <c r="AM117" s="61" t="s">
        <v>737</v>
      </c>
      <c r="AN117" s="61">
        <v>3</v>
      </c>
      <c r="AO117" s="61"/>
      <c r="AP117" s="61"/>
      <c r="AQ117" s="61">
        <v>40</v>
      </c>
      <c r="AR117" s="50" t="s">
        <v>89</v>
      </c>
      <c r="AS117" s="50"/>
      <c r="AT117" s="50" t="str">
        <f>'Rutas AAC'!AE162</f>
        <v xml:space="preserve"> </v>
      </c>
      <c r="AU117" s="62"/>
      <c r="AV117" s="63"/>
      <c r="AW117" s="64"/>
      <c r="AX117" s="92"/>
      <c r="AY117" s="63"/>
      <c r="AZ117" s="106"/>
      <c r="BA117" s="68"/>
      <c r="BB117" s="199"/>
      <c r="BC117" s="200"/>
      <c r="BD117" s="200"/>
      <c r="BE117" s="61"/>
      <c r="BF117" s="66"/>
      <c r="BG117" s="67"/>
    </row>
    <row r="118" spans="1:59" ht="42" customHeight="1" x14ac:dyDescent="0.2">
      <c r="A118" s="198">
        <v>112</v>
      </c>
      <c r="B118" s="50">
        <v>34480</v>
      </c>
      <c r="C118" s="51" t="s">
        <v>691</v>
      </c>
      <c r="D118" s="51" t="s">
        <v>738</v>
      </c>
      <c r="E118" s="51" t="s">
        <v>739</v>
      </c>
      <c r="F118" s="52" t="s">
        <v>740</v>
      </c>
      <c r="G118" s="50">
        <v>53918</v>
      </c>
      <c r="H118" s="50"/>
      <c r="I118" s="50" t="s">
        <v>741</v>
      </c>
      <c r="J118" s="50" t="s">
        <v>94</v>
      </c>
      <c r="K118" s="50"/>
      <c r="L118" s="50"/>
      <c r="M118" s="50"/>
      <c r="N118" s="51" t="s">
        <v>80</v>
      </c>
      <c r="O118" s="50" t="s">
        <v>81</v>
      </c>
      <c r="P118" s="53" t="s">
        <v>82</v>
      </c>
      <c r="Q118" s="51" t="s">
        <v>169</v>
      </c>
      <c r="R118" s="51" t="s">
        <v>96</v>
      </c>
      <c r="S118" s="50" t="s">
        <v>85</v>
      </c>
      <c r="T118" s="50" t="s">
        <v>162</v>
      </c>
      <c r="U118" s="50">
        <v>146</v>
      </c>
      <c r="V118" s="50" t="s">
        <v>86</v>
      </c>
      <c r="W118" s="50">
        <v>146</v>
      </c>
      <c r="X118" s="50" t="s">
        <v>87</v>
      </c>
      <c r="Y118" s="54"/>
      <c r="Z118" s="54"/>
      <c r="AA118" s="205"/>
      <c r="AB118" s="55" t="s">
        <v>99</v>
      </c>
      <c r="AC118" s="56" t="str">
        <f t="shared" ca="1" si="55"/>
        <v>Si</v>
      </c>
      <c r="AD118" s="57">
        <v>16771</v>
      </c>
      <c r="AE118" s="58">
        <v>16771</v>
      </c>
      <c r="AF118" s="59">
        <v>44447</v>
      </c>
      <c r="AG118" s="58">
        <v>7</v>
      </c>
      <c r="AH118" s="60">
        <f t="shared" si="12"/>
        <v>46576</v>
      </c>
      <c r="AI118" s="59">
        <f t="shared" si="28"/>
        <v>46638</v>
      </c>
      <c r="AJ118" s="59">
        <f t="shared" si="11"/>
        <v>47004</v>
      </c>
      <c r="AK118" s="59"/>
      <c r="AL118" s="59"/>
      <c r="AM118" s="61" t="s">
        <v>742</v>
      </c>
      <c r="AN118" s="61">
        <v>2</v>
      </c>
      <c r="AO118" s="61"/>
      <c r="AP118" s="61"/>
      <c r="AQ118" s="61">
        <v>8</v>
      </c>
      <c r="AR118" s="50" t="s">
        <v>89</v>
      </c>
      <c r="AS118" s="50" t="s">
        <v>89</v>
      </c>
      <c r="AT118" s="50">
        <f>'Rutas AAC'!AE168</f>
        <v>2</v>
      </c>
      <c r="AU118" s="57">
        <v>16771</v>
      </c>
      <c r="AV118" s="68">
        <v>44447</v>
      </c>
      <c r="AW118" s="74">
        <v>6</v>
      </c>
      <c r="AX118" s="65">
        <f>EDATE(AV118,(AW118*12)-14)</f>
        <v>46211</v>
      </c>
      <c r="AY118" s="68">
        <f>EDATE(AV118,(AW118*12)-12)</f>
        <v>46273</v>
      </c>
      <c r="AZ118" s="68">
        <f>EDATE(AV118,(AW118*12))</f>
        <v>46638</v>
      </c>
      <c r="BA118" s="68">
        <f>EDATE(AV118,((AW118/2)*12))</f>
        <v>45543</v>
      </c>
      <c r="BB118" s="118"/>
      <c r="BC118" s="61">
        <v>1</v>
      </c>
      <c r="BD118" s="118"/>
      <c r="BE118" s="61"/>
      <c r="BF118" s="123"/>
      <c r="BG118" s="67"/>
    </row>
    <row r="119" spans="1:59" ht="42" customHeight="1" x14ac:dyDescent="0.2">
      <c r="A119" s="198">
        <v>113</v>
      </c>
      <c r="B119" s="50">
        <v>35486</v>
      </c>
      <c r="C119" s="51" t="s">
        <v>691</v>
      </c>
      <c r="D119" s="51" t="s">
        <v>743</v>
      </c>
      <c r="E119" s="51" t="s">
        <v>744</v>
      </c>
      <c r="F119" s="52" t="s">
        <v>745</v>
      </c>
      <c r="G119" s="50">
        <v>104646</v>
      </c>
      <c r="H119" s="50"/>
      <c r="I119" s="50" t="s">
        <v>746</v>
      </c>
      <c r="J119" s="50" t="s">
        <v>94</v>
      </c>
      <c r="K119" s="50"/>
      <c r="L119" s="50"/>
      <c r="M119" s="50"/>
      <c r="N119" s="51" t="s">
        <v>80</v>
      </c>
      <c r="O119" s="50" t="s">
        <v>81</v>
      </c>
      <c r="P119" s="53" t="s">
        <v>82</v>
      </c>
      <c r="Q119" s="51" t="s">
        <v>95</v>
      </c>
      <c r="R119" s="51" t="s">
        <v>96</v>
      </c>
      <c r="S119" s="50" t="s">
        <v>85</v>
      </c>
      <c r="T119" s="50" t="s">
        <v>97</v>
      </c>
      <c r="U119" s="50" t="s">
        <v>86</v>
      </c>
      <c r="V119" s="50">
        <v>50</v>
      </c>
      <c r="W119" s="50">
        <v>50</v>
      </c>
      <c r="X119" s="50" t="s">
        <v>98</v>
      </c>
      <c r="Y119" s="54"/>
      <c r="Z119" s="54"/>
      <c r="AA119" s="54"/>
      <c r="AB119" s="55">
        <v>0.75</v>
      </c>
      <c r="AC119" s="56" t="str">
        <f t="shared" ca="1" si="55"/>
        <v>Si</v>
      </c>
      <c r="AD119" s="57">
        <v>19209</v>
      </c>
      <c r="AE119" s="58">
        <v>19209</v>
      </c>
      <c r="AF119" s="59">
        <v>44480</v>
      </c>
      <c r="AG119" s="58">
        <v>7</v>
      </c>
      <c r="AH119" s="60">
        <f t="shared" si="12"/>
        <v>46610</v>
      </c>
      <c r="AI119" s="59">
        <f t="shared" si="28"/>
        <v>46671</v>
      </c>
      <c r="AJ119" s="59">
        <f t="shared" si="11"/>
        <v>47037</v>
      </c>
      <c r="AK119" s="59"/>
      <c r="AL119" s="59"/>
      <c r="AM119" s="61" t="s">
        <v>747</v>
      </c>
      <c r="AN119" s="61">
        <v>2</v>
      </c>
      <c r="AO119" s="61"/>
      <c r="AP119" s="61"/>
      <c r="AQ119" s="61"/>
      <c r="AR119" s="50" t="s">
        <v>82</v>
      </c>
      <c r="AS119" s="50"/>
      <c r="AT119" s="50" t="str">
        <f>'Rutas AAC'!AE173</f>
        <v xml:space="preserve"> </v>
      </c>
      <c r="AU119" s="62"/>
      <c r="AV119" s="63"/>
      <c r="AW119" s="64"/>
      <c r="AX119" s="92"/>
      <c r="AY119" s="63"/>
      <c r="AZ119" s="106"/>
      <c r="BA119" s="106"/>
      <c r="BB119" s="69"/>
      <c r="BC119" s="70"/>
      <c r="BD119" s="70"/>
      <c r="BE119" s="61"/>
      <c r="BF119" s="66"/>
      <c r="BG119" s="67"/>
    </row>
    <row r="120" spans="1:59" ht="42" customHeight="1" x14ac:dyDescent="0.2">
      <c r="A120" s="198">
        <v>114</v>
      </c>
      <c r="B120" s="50">
        <v>37637</v>
      </c>
      <c r="C120" s="51" t="s">
        <v>691</v>
      </c>
      <c r="D120" s="51" t="s">
        <v>748</v>
      </c>
      <c r="E120" s="51" t="s">
        <v>744</v>
      </c>
      <c r="F120" s="52" t="s">
        <v>749</v>
      </c>
      <c r="G120" s="50">
        <v>105149</v>
      </c>
      <c r="H120" s="50"/>
      <c r="I120" s="50" t="s">
        <v>365</v>
      </c>
      <c r="J120" s="50" t="s">
        <v>94</v>
      </c>
      <c r="K120" s="50"/>
      <c r="L120" s="50"/>
      <c r="M120" s="50"/>
      <c r="N120" s="51" t="s">
        <v>80</v>
      </c>
      <c r="O120" s="206" t="s">
        <v>155</v>
      </c>
      <c r="P120" s="53" t="s">
        <v>82</v>
      </c>
      <c r="Q120" s="51" t="s">
        <v>148</v>
      </c>
      <c r="R120" s="51" t="s">
        <v>96</v>
      </c>
      <c r="S120" s="50" t="s">
        <v>85</v>
      </c>
      <c r="T120" s="50" t="s">
        <v>97</v>
      </c>
      <c r="U120" s="50" t="s">
        <v>86</v>
      </c>
      <c r="V120" s="50">
        <v>24</v>
      </c>
      <c r="W120" s="50">
        <v>24</v>
      </c>
      <c r="X120" s="50" t="s">
        <v>149</v>
      </c>
      <c r="Y120" s="54"/>
      <c r="Z120" s="54"/>
      <c r="AA120" s="54"/>
      <c r="AB120" s="55">
        <v>0.7</v>
      </c>
      <c r="AC120" s="56" t="str">
        <f t="shared" ca="1" si="55"/>
        <v>Si</v>
      </c>
      <c r="AD120" s="57">
        <v>11564</v>
      </c>
      <c r="AE120" s="58">
        <v>11564</v>
      </c>
      <c r="AF120" s="59">
        <v>44735</v>
      </c>
      <c r="AG120" s="58">
        <v>7</v>
      </c>
      <c r="AH120" s="60">
        <f t="shared" si="12"/>
        <v>46866</v>
      </c>
      <c r="AI120" s="59">
        <f t="shared" si="28"/>
        <v>46927</v>
      </c>
      <c r="AJ120" s="59">
        <f t="shared" si="11"/>
        <v>47292</v>
      </c>
      <c r="AK120" s="59"/>
      <c r="AL120" s="59"/>
      <c r="AM120" s="61" t="s">
        <v>750</v>
      </c>
      <c r="AN120" s="61">
        <v>2</v>
      </c>
      <c r="AO120" s="61"/>
      <c r="AP120" s="61"/>
      <c r="AQ120" s="61"/>
      <c r="AR120" s="50" t="s">
        <v>86</v>
      </c>
      <c r="AS120" s="50"/>
      <c r="AT120" s="50" t="str">
        <f>'Rutas AAC'!AE174</f>
        <v xml:space="preserve"> </v>
      </c>
      <c r="AU120" s="62" t="s">
        <v>86</v>
      </c>
      <c r="AV120" s="63" t="s">
        <v>86</v>
      </c>
      <c r="AW120" s="64" t="s">
        <v>86</v>
      </c>
      <c r="AX120" s="85" t="s">
        <v>86</v>
      </c>
      <c r="AY120" s="64" t="s">
        <v>86</v>
      </c>
      <c r="AZ120" s="64" t="s">
        <v>86</v>
      </c>
      <c r="BA120" s="64"/>
      <c r="BB120" s="69"/>
      <c r="BC120" s="70"/>
      <c r="BD120" s="70"/>
      <c r="BE120" s="61"/>
      <c r="BF120" s="66"/>
      <c r="BG120" s="67"/>
    </row>
    <row r="121" spans="1:59" ht="42" customHeight="1" x14ac:dyDescent="0.2">
      <c r="A121" s="198">
        <v>115</v>
      </c>
      <c r="B121" s="50">
        <v>33956</v>
      </c>
      <c r="C121" s="51" t="s">
        <v>691</v>
      </c>
      <c r="D121" s="51" t="s">
        <v>751</v>
      </c>
      <c r="E121" s="51" t="s">
        <v>752</v>
      </c>
      <c r="F121" s="52" t="s">
        <v>753</v>
      </c>
      <c r="G121" s="50">
        <v>55175</v>
      </c>
      <c r="H121" s="50"/>
      <c r="I121" s="50" t="s">
        <v>754</v>
      </c>
      <c r="J121" s="50" t="s">
        <v>94</v>
      </c>
      <c r="K121" s="50"/>
      <c r="L121" s="50"/>
      <c r="M121" s="50"/>
      <c r="N121" s="51" t="s">
        <v>80</v>
      </c>
      <c r="O121" s="206" t="s">
        <v>81</v>
      </c>
      <c r="P121" s="53" t="s">
        <v>82</v>
      </c>
      <c r="Q121" s="51" t="s">
        <v>95</v>
      </c>
      <c r="R121" s="51" t="s">
        <v>96</v>
      </c>
      <c r="S121" s="50" t="s">
        <v>85</v>
      </c>
      <c r="T121" s="50" t="s">
        <v>162</v>
      </c>
      <c r="U121" s="50">
        <v>50</v>
      </c>
      <c r="V121" s="50" t="s">
        <v>86</v>
      </c>
      <c r="W121" s="50">
        <v>50</v>
      </c>
      <c r="X121" s="50" t="s">
        <v>233</v>
      </c>
      <c r="Y121" s="73" t="s">
        <v>755</v>
      </c>
      <c r="Z121" s="54"/>
      <c r="AA121" s="54"/>
      <c r="AB121" s="55">
        <v>0.4</v>
      </c>
      <c r="AC121" s="56" t="str">
        <f t="shared" ca="1" si="55"/>
        <v>Si</v>
      </c>
      <c r="AD121" s="192">
        <v>20074</v>
      </c>
      <c r="AE121" s="58">
        <v>20074</v>
      </c>
      <c r="AF121" s="59">
        <v>45230</v>
      </c>
      <c r="AG121" s="58">
        <v>7</v>
      </c>
      <c r="AH121" s="60">
        <f t="shared" si="12"/>
        <v>47361</v>
      </c>
      <c r="AI121" s="59">
        <f t="shared" si="28"/>
        <v>47422</v>
      </c>
      <c r="AJ121" s="59">
        <f t="shared" si="11"/>
        <v>47787</v>
      </c>
      <c r="AK121" s="59"/>
      <c r="AL121" s="59"/>
      <c r="AM121" s="61" t="s">
        <v>756</v>
      </c>
      <c r="AN121" s="61">
        <v>3</v>
      </c>
      <c r="AO121" s="61"/>
      <c r="AP121" s="61"/>
      <c r="AQ121" s="61"/>
      <c r="AR121" s="50" t="s">
        <v>82</v>
      </c>
      <c r="AS121" s="50" t="s">
        <v>89</v>
      </c>
      <c r="AT121" s="50" t="str">
        <f>'Rutas AAC'!AE170</f>
        <v xml:space="preserve"> </v>
      </c>
      <c r="AU121" s="192">
        <v>20074</v>
      </c>
      <c r="AV121" s="68">
        <v>45230</v>
      </c>
      <c r="AW121" s="74">
        <v>4</v>
      </c>
      <c r="AX121" s="65">
        <f t="shared" ref="AX121:AX123" si="60">EDATE(AV121,(AW121*12)-14)</f>
        <v>46265</v>
      </c>
      <c r="AY121" s="68">
        <f t="shared" ref="AY121:AY123" si="61">EDATE(AV121,(AW121*12)-12)</f>
        <v>46326</v>
      </c>
      <c r="AZ121" s="68">
        <f t="shared" ref="AZ121:AZ123" si="62">EDATE(AV121,(AW121*12))</f>
        <v>46691</v>
      </c>
      <c r="BA121" s="68">
        <f t="shared" ref="BA121:BA123" si="63">EDATE(AV121,((AW121/2)*12))</f>
        <v>45961</v>
      </c>
      <c r="BB121" s="118" t="s">
        <v>757</v>
      </c>
      <c r="BC121" s="118">
        <v>1</v>
      </c>
      <c r="BD121" s="118"/>
      <c r="BE121" s="61"/>
      <c r="BF121" s="71"/>
      <c r="BG121" s="67"/>
    </row>
    <row r="122" spans="1:59" ht="42" customHeight="1" x14ac:dyDescent="0.2">
      <c r="A122" s="198">
        <v>116</v>
      </c>
      <c r="B122" s="207">
        <v>34919</v>
      </c>
      <c r="C122" s="208" t="s">
        <v>691</v>
      </c>
      <c r="D122" s="208" t="s">
        <v>758</v>
      </c>
      <c r="E122" s="208" t="s">
        <v>759</v>
      </c>
      <c r="F122" s="209" t="s">
        <v>760</v>
      </c>
      <c r="G122" s="207">
        <v>54103</v>
      </c>
      <c r="H122" s="207"/>
      <c r="I122" s="207" t="s">
        <v>761</v>
      </c>
      <c r="J122" s="207" t="s">
        <v>94</v>
      </c>
      <c r="K122" s="207"/>
      <c r="L122" s="207"/>
      <c r="M122" s="207"/>
      <c r="N122" s="208" t="s">
        <v>80</v>
      </c>
      <c r="O122" s="210" t="s">
        <v>81</v>
      </c>
      <c r="P122" s="211" t="s">
        <v>82</v>
      </c>
      <c r="Q122" s="208" t="s">
        <v>169</v>
      </c>
      <c r="R122" s="208" t="s">
        <v>96</v>
      </c>
      <c r="S122" s="207" t="s">
        <v>85</v>
      </c>
      <c r="T122" s="207" t="s">
        <v>162</v>
      </c>
      <c r="U122" s="207">
        <v>125</v>
      </c>
      <c r="V122" s="207" t="s">
        <v>86</v>
      </c>
      <c r="W122" s="207">
        <v>125</v>
      </c>
      <c r="X122" s="207" t="s">
        <v>87</v>
      </c>
      <c r="Y122" s="212"/>
      <c r="Z122" s="212"/>
      <c r="AA122" s="212"/>
      <c r="AB122" s="213">
        <v>0.78</v>
      </c>
      <c r="AC122" s="214" t="str">
        <f t="shared" ca="1" si="55"/>
        <v>Si</v>
      </c>
      <c r="AD122" s="215">
        <v>20075</v>
      </c>
      <c r="AE122" s="216">
        <v>20075</v>
      </c>
      <c r="AF122" s="217">
        <v>45230</v>
      </c>
      <c r="AG122" s="216">
        <v>7</v>
      </c>
      <c r="AH122" s="218">
        <f t="shared" si="12"/>
        <v>47361</v>
      </c>
      <c r="AI122" s="217">
        <f t="shared" si="28"/>
        <v>47422</v>
      </c>
      <c r="AJ122" s="217">
        <f t="shared" si="11"/>
        <v>47787</v>
      </c>
      <c r="AK122" s="217"/>
      <c r="AL122" s="217"/>
      <c r="AM122" s="219" t="s">
        <v>762</v>
      </c>
      <c r="AN122" s="219">
        <v>3</v>
      </c>
      <c r="AO122" s="219"/>
      <c r="AP122" s="219"/>
      <c r="AQ122" s="219">
        <v>11</v>
      </c>
      <c r="AR122" s="207" t="s">
        <v>89</v>
      </c>
      <c r="AS122" s="207" t="s">
        <v>89</v>
      </c>
      <c r="AT122" s="207" t="str">
        <f>'Rutas AAC'!AE169</f>
        <v xml:space="preserve"> </v>
      </c>
      <c r="AU122" s="220">
        <v>20075</v>
      </c>
      <c r="AV122" s="221">
        <v>45230</v>
      </c>
      <c r="AW122" s="222">
        <v>6</v>
      </c>
      <c r="AX122" s="223">
        <f t="shared" si="60"/>
        <v>46996</v>
      </c>
      <c r="AY122" s="221">
        <f t="shared" si="61"/>
        <v>47057</v>
      </c>
      <c r="AZ122" s="221">
        <f t="shared" si="62"/>
        <v>47422</v>
      </c>
      <c r="BA122" s="221">
        <f t="shared" si="63"/>
        <v>46326</v>
      </c>
      <c r="BB122" s="224" t="s">
        <v>763</v>
      </c>
      <c r="BC122" s="224"/>
      <c r="BD122" s="224"/>
      <c r="BE122" s="219"/>
      <c r="BF122" s="225"/>
      <c r="BG122" s="226"/>
    </row>
    <row r="123" spans="1:59" ht="42" customHeight="1" x14ac:dyDescent="0.2">
      <c r="A123" s="198">
        <v>117</v>
      </c>
      <c r="B123" s="227">
        <v>32820</v>
      </c>
      <c r="C123" s="228" t="s">
        <v>691</v>
      </c>
      <c r="D123" s="228" t="s">
        <v>764</v>
      </c>
      <c r="E123" s="228" t="s">
        <v>765</v>
      </c>
      <c r="F123" s="227" t="s">
        <v>766</v>
      </c>
      <c r="G123" s="227">
        <v>53505</v>
      </c>
      <c r="H123" s="227"/>
      <c r="I123" s="227" t="s">
        <v>767</v>
      </c>
      <c r="J123" s="227" t="s">
        <v>94</v>
      </c>
      <c r="K123" s="227"/>
      <c r="L123" s="227"/>
      <c r="M123" s="227"/>
      <c r="N123" s="228" t="s">
        <v>80</v>
      </c>
      <c r="O123" s="227" t="s">
        <v>81</v>
      </c>
      <c r="P123" s="229" t="s">
        <v>82</v>
      </c>
      <c r="Q123" s="228" t="s">
        <v>95</v>
      </c>
      <c r="R123" s="228" t="s">
        <v>96</v>
      </c>
      <c r="S123" s="227" t="s">
        <v>85</v>
      </c>
      <c r="T123" s="227" t="s">
        <v>162</v>
      </c>
      <c r="U123" s="227">
        <v>50</v>
      </c>
      <c r="V123" s="227" t="s">
        <v>86</v>
      </c>
      <c r="W123" s="227">
        <v>50</v>
      </c>
      <c r="X123" s="227" t="s">
        <v>233</v>
      </c>
      <c r="Y123" s="230"/>
      <c r="Z123" s="230"/>
      <c r="AA123" s="230"/>
      <c r="AB123" s="231">
        <v>0.8</v>
      </c>
      <c r="AC123" s="232" t="str">
        <f t="shared" ca="1" si="55"/>
        <v>Si</v>
      </c>
      <c r="AD123" s="233">
        <v>20747</v>
      </c>
      <c r="AE123" s="234">
        <v>20747</v>
      </c>
      <c r="AF123" s="235">
        <v>45232</v>
      </c>
      <c r="AG123" s="234">
        <v>7</v>
      </c>
      <c r="AH123" s="236">
        <f t="shared" si="12"/>
        <v>47363</v>
      </c>
      <c r="AI123" s="235">
        <f t="shared" si="28"/>
        <v>47424</v>
      </c>
      <c r="AJ123" s="235">
        <f t="shared" si="11"/>
        <v>47789</v>
      </c>
      <c r="AK123" s="235"/>
      <c r="AL123" s="235"/>
      <c r="AM123" s="237" t="s">
        <v>768</v>
      </c>
      <c r="AN123" s="237">
        <v>3</v>
      </c>
      <c r="AO123" s="237"/>
      <c r="AP123" s="237"/>
      <c r="AQ123" s="237">
        <v>23</v>
      </c>
      <c r="AR123" s="227" t="s">
        <v>89</v>
      </c>
      <c r="AS123" s="227" t="s">
        <v>89</v>
      </c>
      <c r="AT123" s="227" t="str">
        <f>'Rutas AAC'!AE167</f>
        <v xml:space="preserve"> </v>
      </c>
      <c r="AU123" s="233">
        <v>20747</v>
      </c>
      <c r="AV123" s="238">
        <v>45232</v>
      </c>
      <c r="AW123" s="239">
        <v>6</v>
      </c>
      <c r="AX123" s="240">
        <f t="shared" si="60"/>
        <v>46998</v>
      </c>
      <c r="AY123" s="238">
        <f t="shared" si="61"/>
        <v>47059</v>
      </c>
      <c r="AZ123" s="238">
        <f t="shared" si="62"/>
        <v>47424</v>
      </c>
      <c r="BA123" s="238">
        <f t="shared" si="63"/>
        <v>46328</v>
      </c>
      <c r="BB123" s="241" t="s">
        <v>769</v>
      </c>
      <c r="BC123" s="241"/>
      <c r="BD123" s="241"/>
      <c r="BE123" s="237"/>
      <c r="BF123" s="242"/>
      <c r="BG123" s="227"/>
    </row>
    <row r="124" spans="1:59" ht="42" customHeight="1" x14ac:dyDescent="0.2">
      <c r="A124" s="198">
        <v>118</v>
      </c>
      <c r="B124" s="227">
        <v>25382</v>
      </c>
      <c r="C124" s="228" t="s">
        <v>691</v>
      </c>
      <c r="D124" s="228" t="s">
        <v>770</v>
      </c>
      <c r="E124" s="228" t="s">
        <v>771</v>
      </c>
      <c r="F124" s="227" t="s">
        <v>772</v>
      </c>
      <c r="G124" s="227">
        <v>7519</v>
      </c>
      <c r="H124" s="227"/>
      <c r="I124" s="227" t="s">
        <v>201</v>
      </c>
      <c r="J124" s="227" t="s">
        <v>79</v>
      </c>
      <c r="K124" s="227"/>
      <c r="L124" s="227"/>
      <c r="M124" s="227"/>
      <c r="N124" s="228" t="s">
        <v>80</v>
      </c>
      <c r="O124" s="227" t="s">
        <v>81</v>
      </c>
      <c r="P124" s="229" t="s">
        <v>82</v>
      </c>
      <c r="Q124" s="228" t="s">
        <v>83</v>
      </c>
      <c r="R124" s="228" t="s">
        <v>84</v>
      </c>
      <c r="S124" s="227" t="s">
        <v>85</v>
      </c>
      <c r="T124" s="227" t="s">
        <v>86</v>
      </c>
      <c r="U124" s="227" t="s">
        <v>86</v>
      </c>
      <c r="V124" s="227" t="s">
        <v>86</v>
      </c>
      <c r="W124" s="227">
        <v>157</v>
      </c>
      <c r="X124" s="227" t="s">
        <v>87</v>
      </c>
      <c r="Y124" s="230" t="s">
        <v>773</v>
      </c>
      <c r="Z124" s="230"/>
      <c r="AA124" s="230"/>
      <c r="AB124" s="231">
        <v>0.6</v>
      </c>
      <c r="AC124" s="232" t="str">
        <f t="shared" ca="1" si="55"/>
        <v>Si</v>
      </c>
      <c r="AD124" s="233">
        <v>12185</v>
      </c>
      <c r="AE124" s="234">
        <v>12185</v>
      </c>
      <c r="AF124" s="235">
        <v>45495</v>
      </c>
      <c r="AG124" s="234">
        <v>7</v>
      </c>
      <c r="AH124" s="236">
        <f t="shared" si="12"/>
        <v>47625</v>
      </c>
      <c r="AI124" s="235">
        <f t="shared" si="28"/>
        <v>47686</v>
      </c>
      <c r="AJ124" s="235">
        <f t="shared" si="11"/>
        <v>48051</v>
      </c>
      <c r="AK124" s="235"/>
      <c r="AL124" s="235"/>
      <c r="AM124" s="237" t="s">
        <v>774</v>
      </c>
      <c r="AN124" s="237">
        <v>4</v>
      </c>
      <c r="AO124" s="237" t="s">
        <v>775</v>
      </c>
      <c r="AP124" s="237"/>
      <c r="AQ124" s="237"/>
      <c r="AR124" s="227" t="s">
        <v>89</v>
      </c>
      <c r="AS124" s="227" t="s">
        <v>82</v>
      </c>
      <c r="AT124" s="227" t="str">
        <f>'Rutas AAC'!AE164</f>
        <v xml:space="preserve"> </v>
      </c>
      <c r="AU124" s="243"/>
      <c r="AV124" s="238"/>
      <c r="AW124" s="239"/>
      <c r="AX124" s="240"/>
      <c r="AY124" s="238"/>
      <c r="AZ124" s="238"/>
      <c r="BA124" s="238"/>
      <c r="BB124" s="237" t="s">
        <v>776</v>
      </c>
      <c r="BC124" s="244">
        <v>2</v>
      </c>
      <c r="BD124" s="244"/>
      <c r="BE124" s="237"/>
      <c r="BF124" s="227"/>
      <c r="BG124" s="245"/>
    </row>
    <row r="125" spans="1:59" ht="15" customHeight="1" x14ac:dyDescent="0.2">
      <c r="AB125" s="246"/>
      <c r="AV125" s="21"/>
    </row>
    <row r="126" spans="1:59" ht="12.75" x14ac:dyDescent="0.2">
      <c r="AB126" s="17"/>
      <c r="AV126" s="21"/>
    </row>
    <row r="127" spans="1:59" ht="12.75" x14ac:dyDescent="0.2">
      <c r="AB127" s="17"/>
      <c r="AV127" s="21"/>
    </row>
    <row r="128" spans="1:59" ht="12.75" x14ac:dyDescent="0.2">
      <c r="AB128" s="17"/>
      <c r="AV128" s="21"/>
    </row>
    <row r="129" spans="28:48" ht="12.75" x14ac:dyDescent="0.2">
      <c r="AB129" s="17"/>
      <c r="AV129" s="21"/>
    </row>
    <row r="130" spans="28:48" ht="12.75" x14ac:dyDescent="0.2">
      <c r="AB130" s="17"/>
      <c r="AV130" s="21"/>
    </row>
    <row r="131" spans="28:48" ht="12.75" x14ac:dyDescent="0.2">
      <c r="AB131" s="17"/>
      <c r="AV131" s="21"/>
    </row>
    <row r="132" spans="28:48" ht="12.75" x14ac:dyDescent="0.2">
      <c r="AB132" s="17"/>
      <c r="AV132" s="21"/>
    </row>
    <row r="133" spans="28:48" ht="12.75" x14ac:dyDescent="0.2">
      <c r="AB133" s="17"/>
      <c r="AV133" s="21"/>
    </row>
    <row r="134" spans="28:48" ht="12.75" x14ac:dyDescent="0.2">
      <c r="AB134" s="17"/>
      <c r="AV134" s="21"/>
    </row>
    <row r="135" spans="28:48" ht="12.75" x14ac:dyDescent="0.2">
      <c r="AB135" s="17"/>
      <c r="AV135" s="21"/>
    </row>
    <row r="136" spans="28:48" ht="12.75" x14ac:dyDescent="0.2">
      <c r="AB136" s="17"/>
      <c r="AV136" s="21"/>
    </row>
    <row r="137" spans="28:48" ht="12.75" x14ac:dyDescent="0.2">
      <c r="AB137" s="17"/>
      <c r="AV137" s="21"/>
    </row>
    <row r="138" spans="28:48" ht="12.75" x14ac:dyDescent="0.2">
      <c r="AB138" s="17"/>
      <c r="AV138" s="21"/>
    </row>
    <row r="139" spans="28:48" ht="12.75" x14ac:dyDescent="0.2">
      <c r="AB139" s="17"/>
      <c r="AV139" s="21"/>
    </row>
    <row r="140" spans="28:48" ht="12.75" x14ac:dyDescent="0.2">
      <c r="AB140" s="17"/>
      <c r="AV140" s="21"/>
    </row>
    <row r="141" spans="28:48" ht="12.75" x14ac:dyDescent="0.2">
      <c r="AB141" s="17"/>
      <c r="AV141" s="21"/>
    </row>
    <row r="142" spans="28:48" ht="12.75" x14ac:dyDescent="0.2">
      <c r="AB142" s="17"/>
      <c r="AV142" s="21"/>
    </row>
    <row r="143" spans="28:48" ht="12.75" x14ac:dyDescent="0.2">
      <c r="AB143" s="17"/>
      <c r="AV143" s="21"/>
    </row>
    <row r="144" spans="28:48" ht="12.75" x14ac:dyDescent="0.2">
      <c r="AB144" s="17"/>
      <c r="AV144" s="21"/>
    </row>
    <row r="145" spans="28:48" ht="12.75" x14ac:dyDescent="0.2">
      <c r="AB145" s="17"/>
      <c r="AV145" s="21"/>
    </row>
    <row r="146" spans="28:48" ht="12.75" x14ac:dyDescent="0.2">
      <c r="AB146" s="17"/>
      <c r="AV146" s="21"/>
    </row>
    <row r="147" spans="28:48" ht="12.75" x14ac:dyDescent="0.2">
      <c r="AB147" s="17"/>
      <c r="AV147" s="21"/>
    </row>
    <row r="148" spans="28:48" ht="12.75" x14ac:dyDescent="0.2">
      <c r="AB148" s="17"/>
      <c r="AV148" s="21"/>
    </row>
    <row r="149" spans="28:48" ht="12.75" x14ac:dyDescent="0.2">
      <c r="AB149" s="17"/>
      <c r="AV149" s="21"/>
    </row>
    <row r="150" spans="28:48" ht="12.75" x14ac:dyDescent="0.2">
      <c r="AB150" s="17"/>
      <c r="AV150" s="21"/>
    </row>
    <row r="151" spans="28:48" ht="12.75" x14ac:dyDescent="0.2">
      <c r="AB151" s="17"/>
      <c r="AV151" s="21"/>
    </row>
    <row r="152" spans="28:48" ht="12.75" x14ac:dyDescent="0.2">
      <c r="AB152" s="17"/>
      <c r="AV152" s="21"/>
    </row>
    <row r="153" spans="28:48" ht="12.75" x14ac:dyDescent="0.2">
      <c r="AB153" s="17"/>
      <c r="AV153" s="21"/>
    </row>
    <row r="154" spans="28:48" ht="12.75" x14ac:dyDescent="0.2">
      <c r="AB154" s="17"/>
      <c r="AV154" s="21"/>
    </row>
    <row r="155" spans="28:48" ht="12.75" x14ac:dyDescent="0.2">
      <c r="AB155" s="17"/>
      <c r="AV155" s="21"/>
    </row>
    <row r="156" spans="28:48" ht="12.75" x14ac:dyDescent="0.2">
      <c r="AB156" s="17"/>
      <c r="AV156" s="21"/>
    </row>
    <row r="157" spans="28:48" ht="12.75" x14ac:dyDescent="0.2">
      <c r="AB157" s="17"/>
      <c r="AV157" s="21"/>
    </row>
    <row r="158" spans="28:48" ht="12.75" x14ac:dyDescent="0.2">
      <c r="AB158" s="17"/>
      <c r="AV158" s="21"/>
    </row>
    <row r="159" spans="28:48" ht="12.75" x14ac:dyDescent="0.2">
      <c r="AB159" s="17"/>
      <c r="AV159" s="21"/>
    </row>
    <row r="160" spans="28:48" ht="12.75" x14ac:dyDescent="0.2">
      <c r="AB160" s="17"/>
      <c r="AV160" s="21"/>
    </row>
    <row r="161" spans="28:48" ht="12.75" x14ac:dyDescent="0.2">
      <c r="AB161" s="17"/>
      <c r="AV161" s="21"/>
    </row>
    <row r="162" spans="28:48" ht="12.75" x14ac:dyDescent="0.2">
      <c r="AB162" s="17"/>
      <c r="AV162" s="21"/>
    </row>
    <row r="163" spans="28:48" ht="12.75" x14ac:dyDescent="0.2">
      <c r="AB163" s="17"/>
      <c r="AV163" s="21"/>
    </row>
    <row r="164" spans="28:48" ht="12.75" x14ac:dyDescent="0.2">
      <c r="AB164" s="17"/>
      <c r="AV164" s="21"/>
    </row>
    <row r="165" spans="28:48" ht="12.75" x14ac:dyDescent="0.2">
      <c r="AB165" s="17"/>
      <c r="AV165" s="21"/>
    </row>
    <row r="166" spans="28:48" ht="12.75" x14ac:dyDescent="0.2">
      <c r="AB166" s="17"/>
      <c r="AV166" s="21"/>
    </row>
    <row r="167" spans="28:48" ht="12.75" x14ac:dyDescent="0.2">
      <c r="AB167" s="17"/>
      <c r="AV167" s="21"/>
    </row>
    <row r="168" spans="28:48" ht="12.75" x14ac:dyDescent="0.2">
      <c r="AB168" s="17"/>
      <c r="AV168" s="21"/>
    </row>
    <row r="169" spans="28:48" ht="12.75" x14ac:dyDescent="0.2">
      <c r="AB169" s="17"/>
      <c r="AV169" s="21"/>
    </row>
    <row r="170" spans="28:48" ht="12.75" x14ac:dyDescent="0.2">
      <c r="AB170" s="17"/>
      <c r="AV170" s="21"/>
    </row>
    <row r="171" spans="28:48" ht="12.75" x14ac:dyDescent="0.2">
      <c r="AB171" s="17"/>
      <c r="AV171" s="21"/>
    </row>
    <row r="172" spans="28:48" ht="12.75" x14ac:dyDescent="0.2">
      <c r="AB172" s="17"/>
      <c r="AV172" s="21"/>
    </row>
    <row r="173" spans="28:48" ht="12.75" x14ac:dyDescent="0.2">
      <c r="AB173" s="17"/>
      <c r="AV173" s="21"/>
    </row>
    <row r="174" spans="28:48" ht="12.75" x14ac:dyDescent="0.2">
      <c r="AB174" s="17"/>
      <c r="AV174" s="21"/>
    </row>
    <row r="175" spans="28:48" ht="12.75" x14ac:dyDescent="0.2">
      <c r="AB175" s="17"/>
      <c r="AV175" s="21"/>
    </row>
    <row r="176" spans="28:48" ht="12.75" x14ac:dyDescent="0.2">
      <c r="AB176" s="17"/>
      <c r="AV176" s="21"/>
    </row>
    <row r="177" spans="28:48" ht="12.75" x14ac:dyDescent="0.2">
      <c r="AB177" s="17"/>
      <c r="AV177" s="21"/>
    </row>
    <row r="178" spans="28:48" ht="12.75" x14ac:dyDescent="0.2">
      <c r="AB178" s="17"/>
      <c r="AV178" s="21"/>
    </row>
    <row r="179" spans="28:48" ht="12.75" x14ac:dyDescent="0.2">
      <c r="AB179" s="17"/>
      <c r="AV179" s="21"/>
    </row>
    <row r="180" spans="28:48" ht="12.75" x14ac:dyDescent="0.2">
      <c r="AB180" s="17"/>
      <c r="AV180" s="21"/>
    </row>
    <row r="181" spans="28:48" ht="12.75" x14ac:dyDescent="0.2">
      <c r="AB181" s="17"/>
      <c r="AV181" s="21"/>
    </row>
    <row r="182" spans="28:48" ht="12.75" x14ac:dyDescent="0.2">
      <c r="AB182" s="17"/>
      <c r="AV182" s="21"/>
    </row>
    <row r="183" spans="28:48" ht="12.75" x14ac:dyDescent="0.2">
      <c r="AB183" s="17"/>
      <c r="AV183" s="21"/>
    </row>
    <row r="184" spans="28:48" ht="12.75" x14ac:dyDescent="0.2">
      <c r="AB184" s="17"/>
      <c r="AV184" s="21"/>
    </row>
    <row r="185" spans="28:48" ht="12.75" x14ac:dyDescent="0.2">
      <c r="AB185" s="17"/>
      <c r="AV185" s="21"/>
    </row>
    <row r="186" spans="28:48" ht="12.75" x14ac:dyDescent="0.2">
      <c r="AB186" s="17"/>
      <c r="AV186" s="21"/>
    </row>
    <row r="187" spans="28:48" ht="12.75" x14ac:dyDescent="0.2">
      <c r="AB187" s="17"/>
      <c r="AV187" s="21"/>
    </row>
    <row r="188" spans="28:48" ht="12.75" x14ac:dyDescent="0.2">
      <c r="AB188" s="17"/>
      <c r="AV188" s="21"/>
    </row>
    <row r="189" spans="28:48" ht="12.75" x14ac:dyDescent="0.2">
      <c r="AB189" s="17"/>
      <c r="AV189" s="21"/>
    </row>
    <row r="190" spans="28:48" ht="12.75" x14ac:dyDescent="0.2">
      <c r="AB190" s="17"/>
      <c r="AV190" s="21"/>
    </row>
    <row r="191" spans="28:48" ht="12.75" x14ac:dyDescent="0.2">
      <c r="AB191" s="17"/>
      <c r="AV191" s="21"/>
    </row>
    <row r="192" spans="28:48" ht="12.75" x14ac:dyDescent="0.2">
      <c r="AB192" s="17"/>
      <c r="AV192" s="21"/>
    </row>
    <row r="193" spans="28:48" ht="12.75" x14ac:dyDescent="0.2">
      <c r="AB193" s="17"/>
      <c r="AV193" s="21"/>
    </row>
    <row r="194" spans="28:48" ht="12.75" x14ac:dyDescent="0.2">
      <c r="AB194" s="17"/>
      <c r="AV194" s="21"/>
    </row>
    <row r="195" spans="28:48" ht="12.75" x14ac:dyDescent="0.2">
      <c r="AB195" s="17"/>
      <c r="AV195" s="21"/>
    </row>
    <row r="196" spans="28:48" ht="12.75" x14ac:dyDescent="0.2">
      <c r="AB196" s="17"/>
      <c r="AV196" s="21"/>
    </row>
    <row r="197" spans="28:48" ht="12.75" x14ac:dyDescent="0.2">
      <c r="AB197" s="17"/>
      <c r="AV197" s="21"/>
    </row>
    <row r="198" spans="28:48" ht="12.75" x14ac:dyDescent="0.2">
      <c r="AB198" s="17"/>
      <c r="AV198" s="21"/>
    </row>
    <row r="199" spans="28:48" ht="12.75" x14ac:dyDescent="0.2">
      <c r="AB199" s="17"/>
      <c r="AV199" s="21"/>
    </row>
    <row r="200" spans="28:48" ht="12.75" x14ac:dyDescent="0.2">
      <c r="AB200" s="17"/>
      <c r="AV200" s="21"/>
    </row>
    <row r="201" spans="28:48" ht="12.75" x14ac:dyDescent="0.2">
      <c r="AB201" s="17"/>
      <c r="AV201" s="21"/>
    </row>
    <row r="202" spans="28:48" ht="12.75" x14ac:dyDescent="0.2">
      <c r="AB202" s="17"/>
      <c r="AV202" s="21"/>
    </row>
    <row r="203" spans="28:48" ht="12.75" x14ac:dyDescent="0.2">
      <c r="AB203" s="17"/>
      <c r="AV203" s="21"/>
    </row>
    <row r="204" spans="28:48" ht="12.75" x14ac:dyDescent="0.2">
      <c r="AB204" s="17"/>
      <c r="AV204" s="21"/>
    </row>
    <row r="205" spans="28:48" ht="12.75" x14ac:dyDescent="0.2">
      <c r="AB205" s="17"/>
      <c r="AV205" s="21"/>
    </row>
    <row r="206" spans="28:48" ht="12.75" x14ac:dyDescent="0.2">
      <c r="AB206" s="17"/>
      <c r="AV206" s="21"/>
    </row>
    <row r="207" spans="28:48" ht="12.75" x14ac:dyDescent="0.2">
      <c r="AB207" s="17"/>
      <c r="AV207" s="21"/>
    </row>
    <row r="208" spans="28:48" ht="12.75" x14ac:dyDescent="0.2">
      <c r="AB208" s="17"/>
      <c r="AV208" s="21"/>
    </row>
    <row r="209" spans="28:48" ht="12.75" x14ac:dyDescent="0.2">
      <c r="AB209" s="17"/>
      <c r="AV209" s="21"/>
    </row>
    <row r="210" spans="28:48" ht="12.75" x14ac:dyDescent="0.2">
      <c r="AB210" s="17"/>
      <c r="AV210" s="21"/>
    </row>
    <row r="211" spans="28:48" ht="12.75" x14ac:dyDescent="0.2">
      <c r="AB211" s="17"/>
      <c r="AV211" s="21"/>
    </row>
    <row r="212" spans="28:48" ht="12.75" x14ac:dyDescent="0.2">
      <c r="AB212" s="17"/>
      <c r="AV212" s="21"/>
    </row>
    <row r="213" spans="28:48" ht="12.75" x14ac:dyDescent="0.2">
      <c r="AB213" s="17"/>
      <c r="AV213" s="21"/>
    </row>
    <row r="214" spans="28:48" ht="12.75" x14ac:dyDescent="0.2">
      <c r="AB214" s="17"/>
      <c r="AV214" s="21"/>
    </row>
    <row r="215" spans="28:48" ht="12.75" x14ac:dyDescent="0.2">
      <c r="AB215" s="17"/>
      <c r="AV215" s="21"/>
    </row>
    <row r="216" spans="28:48" ht="12.75" x14ac:dyDescent="0.2">
      <c r="AB216" s="17"/>
      <c r="AV216" s="21"/>
    </row>
    <row r="217" spans="28:48" ht="12.75" x14ac:dyDescent="0.2">
      <c r="AB217" s="17"/>
      <c r="AV217" s="21"/>
    </row>
    <row r="218" spans="28:48" ht="12.75" x14ac:dyDescent="0.2">
      <c r="AB218" s="17"/>
      <c r="AV218" s="21"/>
    </row>
    <row r="219" spans="28:48" ht="12.75" x14ac:dyDescent="0.2">
      <c r="AB219" s="17"/>
      <c r="AV219" s="21"/>
    </row>
    <row r="220" spans="28:48" ht="12.75" x14ac:dyDescent="0.2">
      <c r="AB220" s="17"/>
      <c r="AV220" s="21"/>
    </row>
    <row r="221" spans="28:48" ht="12.75" x14ac:dyDescent="0.2">
      <c r="AB221" s="17"/>
      <c r="AV221" s="21"/>
    </row>
    <row r="222" spans="28:48" ht="12.75" x14ac:dyDescent="0.2">
      <c r="AB222" s="17"/>
      <c r="AV222" s="21"/>
    </row>
    <row r="223" spans="28:48" ht="12.75" x14ac:dyDescent="0.2">
      <c r="AB223" s="17"/>
      <c r="AV223" s="21"/>
    </row>
    <row r="224" spans="28:48" ht="12.75" x14ac:dyDescent="0.2">
      <c r="AB224" s="17"/>
      <c r="AV224" s="21"/>
    </row>
    <row r="225" spans="28:48" ht="12.75" x14ac:dyDescent="0.2">
      <c r="AB225" s="17"/>
      <c r="AV225" s="21"/>
    </row>
    <row r="226" spans="28:48" ht="12.75" x14ac:dyDescent="0.2">
      <c r="AB226" s="17"/>
      <c r="AV226" s="21"/>
    </row>
    <row r="227" spans="28:48" ht="12.75" x14ac:dyDescent="0.2">
      <c r="AB227" s="17"/>
      <c r="AV227" s="21"/>
    </row>
    <row r="228" spans="28:48" ht="12.75" x14ac:dyDescent="0.2">
      <c r="AB228" s="17"/>
      <c r="AV228" s="21"/>
    </row>
    <row r="229" spans="28:48" ht="12.75" x14ac:dyDescent="0.2">
      <c r="AB229" s="17"/>
      <c r="AV229" s="21"/>
    </row>
    <row r="230" spans="28:48" ht="12.75" x14ac:dyDescent="0.2">
      <c r="AB230" s="17"/>
      <c r="AV230" s="21"/>
    </row>
    <row r="231" spans="28:48" ht="12.75" x14ac:dyDescent="0.2">
      <c r="AB231" s="17"/>
      <c r="AV231" s="21"/>
    </row>
    <row r="232" spans="28:48" ht="12.75" x14ac:dyDescent="0.2">
      <c r="AB232" s="17"/>
      <c r="AV232" s="21"/>
    </row>
    <row r="233" spans="28:48" ht="12.75" x14ac:dyDescent="0.2">
      <c r="AB233" s="17"/>
      <c r="AV233" s="21"/>
    </row>
    <row r="234" spans="28:48" ht="12.75" x14ac:dyDescent="0.2">
      <c r="AB234" s="17"/>
      <c r="AV234" s="21"/>
    </row>
    <row r="235" spans="28:48" ht="12.75" x14ac:dyDescent="0.2">
      <c r="AB235" s="17"/>
      <c r="AV235" s="21"/>
    </row>
    <row r="236" spans="28:48" ht="12.75" x14ac:dyDescent="0.2">
      <c r="AB236" s="17"/>
      <c r="AV236" s="21"/>
    </row>
    <row r="237" spans="28:48" ht="12.75" x14ac:dyDescent="0.2">
      <c r="AB237" s="17"/>
      <c r="AV237" s="21"/>
    </row>
    <row r="238" spans="28:48" ht="12.75" x14ac:dyDescent="0.2">
      <c r="AB238" s="17"/>
      <c r="AV238" s="21"/>
    </row>
    <row r="239" spans="28:48" ht="12.75" x14ac:dyDescent="0.2">
      <c r="AB239" s="17"/>
      <c r="AV239" s="21"/>
    </row>
    <row r="240" spans="28:48" ht="12.75" x14ac:dyDescent="0.2">
      <c r="AB240" s="17"/>
      <c r="AV240" s="21"/>
    </row>
    <row r="241" spans="28:48" ht="12.75" x14ac:dyDescent="0.2">
      <c r="AB241" s="17"/>
      <c r="AV241" s="21"/>
    </row>
    <row r="242" spans="28:48" ht="12.75" x14ac:dyDescent="0.2">
      <c r="AB242" s="17"/>
      <c r="AV242" s="21"/>
    </row>
    <row r="243" spans="28:48" ht="12.75" x14ac:dyDescent="0.2">
      <c r="AB243" s="17"/>
      <c r="AV243" s="21"/>
    </row>
    <row r="244" spans="28:48" ht="12.75" x14ac:dyDescent="0.2">
      <c r="AB244" s="17"/>
      <c r="AV244" s="21"/>
    </row>
    <row r="245" spans="28:48" ht="12.75" x14ac:dyDescent="0.2">
      <c r="AB245" s="17"/>
      <c r="AV245" s="21"/>
    </row>
    <row r="246" spans="28:48" ht="12.75" x14ac:dyDescent="0.2">
      <c r="AB246" s="17"/>
      <c r="AV246" s="21"/>
    </row>
    <row r="247" spans="28:48" ht="12.75" x14ac:dyDescent="0.2">
      <c r="AB247" s="17"/>
      <c r="AV247" s="21"/>
    </row>
    <row r="248" spans="28:48" ht="12.75" x14ac:dyDescent="0.2">
      <c r="AB248" s="17"/>
      <c r="AV248" s="21"/>
    </row>
    <row r="249" spans="28:48" ht="12.75" x14ac:dyDescent="0.2">
      <c r="AB249" s="17"/>
      <c r="AV249" s="21"/>
    </row>
    <row r="250" spans="28:48" ht="12.75" x14ac:dyDescent="0.2">
      <c r="AB250" s="17"/>
      <c r="AV250" s="21"/>
    </row>
    <row r="251" spans="28:48" ht="12.75" x14ac:dyDescent="0.2">
      <c r="AB251" s="17"/>
      <c r="AV251" s="21"/>
    </row>
    <row r="252" spans="28:48" ht="12.75" x14ac:dyDescent="0.2">
      <c r="AB252" s="17"/>
      <c r="AV252" s="21"/>
    </row>
    <row r="253" spans="28:48" ht="12.75" x14ac:dyDescent="0.2">
      <c r="AB253" s="17"/>
      <c r="AV253" s="21"/>
    </row>
    <row r="254" spans="28:48" ht="12.75" x14ac:dyDescent="0.2">
      <c r="AB254" s="17"/>
      <c r="AV254" s="21"/>
    </row>
    <row r="255" spans="28:48" ht="12.75" x14ac:dyDescent="0.2">
      <c r="AB255" s="17"/>
      <c r="AV255" s="21"/>
    </row>
    <row r="256" spans="28:48" ht="12.75" x14ac:dyDescent="0.2">
      <c r="AB256" s="17"/>
      <c r="AV256" s="21"/>
    </row>
    <row r="257" spans="28:48" ht="12.75" x14ac:dyDescent="0.2">
      <c r="AB257" s="17"/>
      <c r="AV257" s="21"/>
    </row>
    <row r="258" spans="28:48" ht="12.75" x14ac:dyDescent="0.2">
      <c r="AB258" s="17"/>
      <c r="AV258" s="21"/>
    </row>
    <row r="259" spans="28:48" ht="12.75" x14ac:dyDescent="0.2">
      <c r="AB259" s="17"/>
      <c r="AV259" s="21"/>
    </row>
    <row r="260" spans="28:48" ht="12.75" x14ac:dyDescent="0.2">
      <c r="AB260" s="17"/>
      <c r="AV260" s="21"/>
    </row>
    <row r="261" spans="28:48" ht="12.75" x14ac:dyDescent="0.2">
      <c r="AB261" s="17"/>
      <c r="AV261" s="21"/>
    </row>
    <row r="262" spans="28:48" ht="12.75" x14ac:dyDescent="0.2">
      <c r="AB262" s="17"/>
      <c r="AV262" s="21"/>
    </row>
    <row r="263" spans="28:48" ht="12.75" x14ac:dyDescent="0.2">
      <c r="AB263" s="17"/>
      <c r="AV263" s="21"/>
    </row>
    <row r="264" spans="28:48" ht="12.75" x14ac:dyDescent="0.2">
      <c r="AB264" s="17"/>
      <c r="AV264" s="21"/>
    </row>
    <row r="265" spans="28:48" ht="12.75" x14ac:dyDescent="0.2">
      <c r="AB265" s="17"/>
      <c r="AV265" s="21"/>
    </row>
    <row r="266" spans="28:48" ht="12.75" x14ac:dyDescent="0.2">
      <c r="AB266" s="17"/>
      <c r="AV266" s="21"/>
    </row>
    <row r="267" spans="28:48" ht="12.75" x14ac:dyDescent="0.2">
      <c r="AB267" s="17"/>
      <c r="AV267" s="21"/>
    </row>
    <row r="268" spans="28:48" ht="12.75" x14ac:dyDescent="0.2">
      <c r="AB268" s="17"/>
      <c r="AV268" s="21"/>
    </row>
    <row r="269" spans="28:48" ht="12.75" x14ac:dyDescent="0.2">
      <c r="AB269" s="17"/>
      <c r="AV269" s="21"/>
    </row>
    <row r="270" spans="28:48" ht="12.75" x14ac:dyDescent="0.2">
      <c r="AB270" s="17"/>
      <c r="AV270" s="21"/>
    </row>
    <row r="271" spans="28:48" ht="12.75" x14ac:dyDescent="0.2">
      <c r="AB271" s="17"/>
      <c r="AV271" s="21"/>
    </row>
    <row r="272" spans="28:48" ht="12.75" x14ac:dyDescent="0.2">
      <c r="AB272" s="17"/>
      <c r="AV272" s="21"/>
    </row>
    <row r="273" spans="28:48" ht="12.75" x14ac:dyDescent="0.2">
      <c r="AB273" s="17"/>
      <c r="AV273" s="21"/>
    </row>
    <row r="274" spans="28:48" ht="12.75" x14ac:dyDescent="0.2">
      <c r="AB274" s="17"/>
      <c r="AV274" s="21"/>
    </row>
    <row r="275" spans="28:48" ht="12.75" x14ac:dyDescent="0.2">
      <c r="AB275" s="17"/>
      <c r="AV275" s="21"/>
    </row>
    <row r="276" spans="28:48" ht="12.75" x14ac:dyDescent="0.2">
      <c r="AB276" s="17"/>
      <c r="AV276" s="21"/>
    </row>
    <row r="277" spans="28:48" ht="12.75" x14ac:dyDescent="0.2">
      <c r="AB277" s="17"/>
      <c r="AV277" s="21"/>
    </row>
    <row r="278" spans="28:48" ht="12.75" x14ac:dyDescent="0.2">
      <c r="AB278" s="17"/>
      <c r="AV278" s="21"/>
    </row>
    <row r="279" spans="28:48" ht="12.75" x14ac:dyDescent="0.2">
      <c r="AB279" s="17"/>
      <c r="AV279" s="21"/>
    </row>
    <row r="280" spans="28:48" ht="12.75" x14ac:dyDescent="0.2">
      <c r="AB280" s="17"/>
      <c r="AV280" s="21"/>
    </row>
    <row r="281" spans="28:48" ht="12.75" x14ac:dyDescent="0.2">
      <c r="AB281" s="17"/>
      <c r="AV281" s="21"/>
    </row>
    <row r="282" spans="28:48" ht="12.75" x14ac:dyDescent="0.2">
      <c r="AB282" s="17"/>
      <c r="AV282" s="21"/>
    </row>
    <row r="283" spans="28:48" ht="12.75" x14ac:dyDescent="0.2">
      <c r="AB283" s="17"/>
      <c r="AV283" s="21"/>
    </row>
    <row r="284" spans="28:48" ht="12.75" x14ac:dyDescent="0.2">
      <c r="AB284" s="17"/>
      <c r="AV284" s="21"/>
    </row>
    <row r="285" spans="28:48" ht="12.75" x14ac:dyDescent="0.2">
      <c r="AB285" s="17"/>
      <c r="AV285" s="21"/>
    </row>
    <row r="286" spans="28:48" ht="12.75" x14ac:dyDescent="0.2">
      <c r="AB286" s="17"/>
      <c r="AV286" s="21"/>
    </row>
    <row r="287" spans="28:48" ht="12.75" x14ac:dyDescent="0.2">
      <c r="AB287" s="17"/>
      <c r="AV287" s="21"/>
    </row>
    <row r="288" spans="28:48" ht="12.75" x14ac:dyDescent="0.2">
      <c r="AB288" s="17"/>
      <c r="AV288" s="21"/>
    </row>
    <row r="289" spans="28:48" ht="12.75" x14ac:dyDescent="0.2">
      <c r="AB289" s="17"/>
      <c r="AV289" s="21"/>
    </row>
    <row r="290" spans="28:48" ht="12.75" x14ac:dyDescent="0.2">
      <c r="AB290" s="17"/>
      <c r="AV290" s="21"/>
    </row>
    <row r="291" spans="28:48" ht="12.75" x14ac:dyDescent="0.2">
      <c r="AB291" s="17"/>
      <c r="AV291" s="21"/>
    </row>
    <row r="292" spans="28:48" ht="12.75" x14ac:dyDescent="0.2">
      <c r="AB292" s="17"/>
      <c r="AV292" s="21"/>
    </row>
    <row r="293" spans="28:48" ht="12.75" x14ac:dyDescent="0.2">
      <c r="AB293" s="17"/>
      <c r="AV293" s="21"/>
    </row>
    <row r="294" spans="28:48" ht="12.75" x14ac:dyDescent="0.2">
      <c r="AB294" s="17"/>
      <c r="AV294" s="21"/>
    </row>
    <row r="295" spans="28:48" ht="12.75" x14ac:dyDescent="0.2">
      <c r="AB295" s="17"/>
      <c r="AV295" s="21"/>
    </row>
    <row r="296" spans="28:48" ht="12.75" x14ac:dyDescent="0.2">
      <c r="AB296" s="17"/>
      <c r="AV296" s="21"/>
    </row>
    <row r="297" spans="28:48" ht="12.75" x14ac:dyDescent="0.2">
      <c r="AB297" s="17"/>
      <c r="AV297" s="21"/>
    </row>
    <row r="298" spans="28:48" ht="12.75" x14ac:dyDescent="0.2">
      <c r="AB298" s="17"/>
      <c r="AV298" s="21"/>
    </row>
    <row r="299" spans="28:48" ht="12.75" x14ac:dyDescent="0.2">
      <c r="AB299" s="17"/>
      <c r="AV299" s="21"/>
    </row>
    <row r="300" spans="28:48" ht="12.75" x14ac:dyDescent="0.2">
      <c r="AB300" s="17"/>
      <c r="AV300" s="21"/>
    </row>
    <row r="301" spans="28:48" ht="12.75" x14ac:dyDescent="0.2">
      <c r="AB301" s="17"/>
      <c r="AV301" s="21"/>
    </row>
    <row r="302" spans="28:48" ht="12.75" x14ac:dyDescent="0.2">
      <c r="AB302" s="17"/>
      <c r="AV302" s="21"/>
    </row>
    <row r="303" spans="28:48" ht="12.75" x14ac:dyDescent="0.2">
      <c r="AB303" s="17"/>
      <c r="AV303" s="21"/>
    </row>
    <row r="304" spans="28:48" ht="12.75" x14ac:dyDescent="0.2">
      <c r="AB304" s="17"/>
      <c r="AV304" s="21"/>
    </row>
    <row r="305" spans="28:48" ht="12.75" x14ac:dyDescent="0.2">
      <c r="AB305" s="17"/>
      <c r="AV305" s="21"/>
    </row>
    <row r="306" spans="28:48" ht="12.75" x14ac:dyDescent="0.2">
      <c r="AB306" s="17"/>
      <c r="AV306" s="21"/>
    </row>
    <row r="307" spans="28:48" ht="12.75" x14ac:dyDescent="0.2">
      <c r="AB307" s="17"/>
      <c r="AV307" s="21"/>
    </row>
    <row r="308" spans="28:48" ht="12.75" x14ac:dyDescent="0.2">
      <c r="AB308" s="17"/>
      <c r="AV308" s="21"/>
    </row>
    <row r="309" spans="28:48" ht="12.75" x14ac:dyDescent="0.2">
      <c r="AB309" s="17"/>
      <c r="AV309" s="21"/>
    </row>
    <row r="310" spans="28:48" ht="12.75" x14ac:dyDescent="0.2">
      <c r="AB310" s="17"/>
      <c r="AV310" s="21"/>
    </row>
    <row r="311" spans="28:48" ht="12.75" x14ac:dyDescent="0.2">
      <c r="AB311" s="17"/>
      <c r="AV311" s="21"/>
    </row>
    <row r="312" spans="28:48" ht="12.75" x14ac:dyDescent="0.2">
      <c r="AB312" s="17"/>
      <c r="AV312" s="21"/>
    </row>
    <row r="313" spans="28:48" ht="12.75" x14ac:dyDescent="0.2">
      <c r="AB313" s="17"/>
      <c r="AV313" s="21"/>
    </row>
    <row r="314" spans="28:48" ht="12.75" x14ac:dyDescent="0.2">
      <c r="AB314" s="17"/>
      <c r="AV314" s="21"/>
    </row>
    <row r="315" spans="28:48" ht="12.75" x14ac:dyDescent="0.2">
      <c r="AB315" s="17"/>
      <c r="AV315" s="21"/>
    </row>
    <row r="316" spans="28:48" ht="12.75" x14ac:dyDescent="0.2">
      <c r="AB316" s="17"/>
      <c r="AV316" s="21"/>
    </row>
    <row r="317" spans="28:48" ht="12.75" x14ac:dyDescent="0.2">
      <c r="AB317" s="17"/>
      <c r="AV317" s="21"/>
    </row>
    <row r="318" spans="28:48" ht="12.75" x14ac:dyDescent="0.2">
      <c r="AB318" s="17"/>
      <c r="AV318" s="21"/>
    </row>
    <row r="319" spans="28:48" ht="12.75" x14ac:dyDescent="0.2">
      <c r="AB319" s="17"/>
      <c r="AV319" s="21"/>
    </row>
    <row r="320" spans="28:48" ht="12.75" x14ac:dyDescent="0.2">
      <c r="AB320" s="17"/>
      <c r="AV320" s="21"/>
    </row>
    <row r="321" spans="28:48" ht="12.75" x14ac:dyDescent="0.2">
      <c r="AB321" s="17"/>
      <c r="AV321" s="21"/>
    </row>
    <row r="322" spans="28:48" ht="12.75" x14ac:dyDescent="0.2">
      <c r="AB322" s="17"/>
      <c r="AV322" s="21"/>
    </row>
    <row r="323" spans="28:48" ht="12.75" x14ac:dyDescent="0.2">
      <c r="AB323" s="17"/>
      <c r="AV323" s="21"/>
    </row>
    <row r="324" spans="28:48" ht="12.75" x14ac:dyDescent="0.2">
      <c r="AB324" s="17"/>
      <c r="AV324" s="21"/>
    </row>
    <row r="325" spans="28:48" ht="12.75" x14ac:dyDescent="0.2">
      <c r="AB325" s="17"/>
      <c r="AV325" s="21"/>
    </row>
    <row r="326" spans="28:48" ht="12.75" x14ac:dyDescent="0.2">
      <c r="AB326" s="17"/>
      <c r="AV326" s="21"/>
    </row>
    <row r="327" spans="28:48" ht="12.75" x14ac:dyDescent="0.2">
      <c r="AB327" s="17"/>
      <c r="AV327" s="21"/>
    </row>
    <row r="328" spans="28:48" ht="12.75" x14ac:dyDescent="0.2">
      <c r="AB328" s="17"/>
      <c r="AV328" s="21"/>
    </row>
    <row r="329" spans="28:48" ht="12.75" x14ac:dyDescent="0.2">
      <c r="AB329" s="17"/>
      <c r="AV329" s="21"/>
    </row>
    <row r="330" spans="28:48" ht="12.75" x14ac:dyDescent="0.2">
      <c r="AB330" s="17"/>
      <c r="AV330" s="21"/>
    </row>
    <row r="331" spans="28:48" ht="12.75" x14ac:dyDescent="0.2">
      <c r="AB331" s="17"/>
      <c r="AV331" s="21"/>
    </row>
    <row r="332" spans="28:48" ht="12.75" x14ac:dyDescent="0.2">
      <c r="AB332" s="17"/>
      <c r="AV332" s="21"/>
    </row>
    <row r="333" spans="28:48" ht="12.75" x14ac:dyDescent="0.2">
      <c r="AB333" s="17"/>
      <c r="AV333" s="21"/>
    </row>
    <row r="334" spans="28:48" ht="12.75" x14ac:dyDescent="0.2">
      <c r="AB334" s="17"/>
      <c r="AV334" s="21"/>
    </row>
    <row r="335" spans="28:48" ht="12.75" x14ac:dyDescent="0.2">
      <c r="AB335" s="17"/>
      <c r="AV335" s="21"/>
    </row>
    <row r="336" spans="28:48" ht="12.75" x14ac:dyDescent="0.2">
      <c r="AB336" s="17"/>
      <c r="AV336" s="21"/>
    </row>
    <row r="337" spans="28:48" ht="12.75" x14ac:dyDescent="0.2">
      <c r="AB337" s="17"/>
      <c r="AV337" s="21"/>
    </row>
    <row r="338" spans="28:48" ht="12.75" x14ac:dyDescent="0.2">
      <c r="AB338" s="17"/>
      <c r="AV338" s="21"/>
    </row>
    <row r="339" spans="28:48" ht="12.75" x14ac:dyDescent="0.2">
      <c r="AB339" s="17"/>
      <c r="AV339" s="21"/>
    </row>
    <row r="340" spans="28:48" ht="12.75" x14ac:dyDescent="0.2">
      <c r="AB340" s="17"/>
      <c r="AV340" s="21"/>
    </row>
    <row r="341" spans="28:48" ht="12.75" x14ac:dyDescent="0.2">
      <c r="AB341" s="17"/>
      <c r="AV341" s="21"/>
    </row>
    <row r="342" spans="28:48" ht="12.75" x14ac:dyDescent="0.2">
      <c r="AB342" s="17"/>
      <c r="AV342" s="21"/>
    </row>
    <row r="343" spans="28:48" ht="12.75" x14ac:dyDescent="0.2">
      <c r="AB343" s="17"/>
      <c r="AV343" s="21"/>
    </row>
    <row r="344" spans="28:48" ht="12.75" x14ac:dyDescent="0.2">
      <c r="AB344" s="17"/>
      <c r="AV344" s="21"/>
    </row>
    <row r="345" spans="28:48" ht="12.75" x14ac:dyDescent="0.2">
      <c r="AB345" s="17"/>
      <c r="AV345" s="21"/>
    </row>
    <row r="346" spans="28:48" ht="12.75" x14ac:dyDescent="0.2">
      <c r="AB346" s="17"/>
      <c r="AV346" s="21"/>
    </row>
    <row r="347" spans="28:48" ht="12.75" x14ac:dyDescent="0.2">
      <c r="AB347" s="17"/>
      <c r="AV347" s="21"/>
    </row>
    <row r="348" spans="28:48" ht="12.75" x14ac:dyDescent="0.2">
      <c r="AB348" s="17"/>
      <c r="AV348" s="21"/>
    </row>
    <row r="349" spans="28:48" ht="12.75" x14ac:dyDescent="0.2">
      <c r="AB349" s="17"/>
      <c r="AV349" s="21"/>
    </row>
    <row r="350" spans="28:48" ht="12.75" x14ac:dyDescent="0.2">
      <c r="AB350" s="17"/>
      <c r="AV350" s="21"/>
    </row>
    <row r="351" spans="28:48" ht="12.75" x14ac:dyDescent="0.2">
      <c r="AB351" s="17"/>
      <c r="AV351" s="21"/>
    </row>
    <row r="352" spans="28:48" ht="12.75" x14ac:dyDescent="0.2">
      <c r="AB352" s="17"/>
      <c r="AV352" s="21"/>
    </row>
    <row r="353" spans="28:48" ht="12.75" x14ac:dyDescent="0.2">
      <c r="AB353" s="17"/>
      <c r="AV353" s="21"/>
    </row>
    <row r="354" spans="28:48" ht="12.75" x14ac:dyDescent="0.2">
      <c r="AB354" s="17"/>
      <c r="AV354" s="21"/>
    </row>
    <row r="355" spans="28:48" ht="12.75" x14ac:dyDescent="0.2">
      <c r="AB355" s="17"/>
      <c r="AV355" s="21"/>
    </row>
    <row r="356" spans="28:48" ht="12.75" x14ac:dyDescent="0.2">
      <c r="AB356" s="17"/>
      <c r="AV356" s="21"/>
    </row>
    <row r="357" spans="28:48" ht="12.75" x14ac:dyDescent="0.2">
      <c r="AB357" s="17"/>
      <c r="AV357" s="21"/>
    </row>
    <row r="358" spans="28:48" ht="12.75" x14ac:dyDescent="0.2">
      <c r="AB358" s="17"/>
      <c r="AV358" s="21"/>
    </row>
    <row r="359" spans="28:48" ht="12.75" x14ac:dyDescent="0.2">
      <c r="AB359" s="17"/>
      <c r="AV359" s="21"/>
    </row>
    <row r="360" spans="28:48" ht="12.75" x14ac:dyDescent="0.2">
      <c r="AB360" s="17"/>
      <c r="AV360" s="21"/>
    </row>
    <row r="361" spans="28:48" ht="12.75" x14ac:dyDescent="0.2">
      <c r="AB361" s="17"/>
      <c r="AV361" s="21"/>
    </row>
    <row r="362" spans="28:48" ht="12.75" x14ac:dyDescent="0.2">
      <c r="AB362" s="17"/>
      <c r="AV362" s="21"/>
    </row>
    <row r="363" spans="28:48" ht="12.75" x14ac:dyDescent="0.2">
      <c r="AB363" s="17"/>
      <c r="AV363" s="21"/>
    </row>
    <row r="364" spans="28:48" ht="12.75" x14ac:dyDescent="0.2">
      <c r="AB364" s="17"/>
      <c r="AV364" s="21"/>
    </row>
    <row r="365" spans="28:48" ht="12.75" x14ac:dyDescent="0.2">
      <c r="AB365" s="17"/>
      <c r="AV365" s="21"/>
    </row>
    <row r="366" spans="28:48" ht="12.75" x14ac:dyDescent="0.2">
      <c r="AB366" s="17"/>
      <c r="AV366" s="21"/>
    </row>
    <row r="367" spans="28:48" ht="12.75" x14ac:dyDescent="0.2">
      <c r="AB367" s="17"/>
      <c r="AV367" s="21"/>
    </row>
    <row r="368" spans="28:48" ht="12.75" x14ac:dyDescent="0.2">
      <c r="AB368" s="17"/>
      <c r="AV368" s="21"/>
    </row>
    <row r="369" spans="28:48" ht="12.75" x14ac:dyDescent="0.2">
      <c r="AB369" s="17"/>
      <c r="AV369" s="21"/>
    </row>
    <row r="370" spans="28:48" ht="12.75" x14ac:dyDescent="0.2">
      <c r="AB370" s="17"/>
      <c r="AV370" s="21"/>
    </row>
    <row r="371" spans="28:48" ht="12.75" x14ac:dyDescent="0.2">
      <c r="AB371" s="17"/>
      <c r="AV371" s="21"/>
    </row>
    <row r="372" spans="28:48" ht="12.75" x14ac:dyDescent="0.2">
      <c r="AB372" s="17"/>
      <c r="AV372" s="21"/>
    </row>
    <row r="373" spans="28:48" ht="12.75" x14ac:dyDescent="0.2">
      <c r="AB373" s="17"/>
      <c r="AV373" s="21"/>
    </row>
    <row r="374" spans="28:48" ht="12.75" x14ac:dyDescent="0.2">
      <c r="AB374" s="17"/>
      <c r="AV374" s="21"/>
    </row>
    <row r="375" spans="28:48" ht="12.75" x14ac:dyDescent="0.2">
      <c r="AB375" s="17"/>
      <c r="AV375" s="21"/>
    </row>
    <row r="376" spans="28:48" ht="12.75" x14ac:dyDescent="0.2">
      <c r="AB376" s="17"/>
      <c r="AV376" s="21"/>
    </row>
    <row r="377" spans="28:48" ht="12.75" x14ac:dyDescent="0.2">
      <c r="AB377" s="17"/>
      <c r="AV377" s="21"/>
    </row>
    <row r="378" spans="28:48" ht="12.75" x14ac:dyDescent="0.2">
      <c r="AB378" s="17"/>
      <c r="AV378" s="21"/>
    </row>
    <row r="379" spans="28:48" ht="12.75" x14ac:dyDescent="0.2">
      <c r="AB379" s="17"/>
      <c r="AV379" s="21"/>
    </row>
    <row r="380" spans="28:48" ht="12.75" x14ac:dyDescent="0.2">
      <c r="AB380" s="17"/>
      <c r="AV380" s="21"/>
    </row>
    <row r="381" spans="28:48" ht="12.75" x14ac:dyDescent="0.2">
      <c r="AB381" s="17"/>
      <c r="AV381" s="21"/>
    </row>
    <row r="382" spans="28:48" ht="12.75" x14ac:dyDescent="0.2">
      <c r="AB382" s="17"/>
      <c r="AV382" s="21"/>
    </row>
    <row r="383" spans="28:48" ht="12.75" x14ac:dyDescent="0.2">
      <c r="AB383" s="17"/>
      <c r="AV383" s="21"/>
    </row>
    <row r="384" spans="28:48" ht="12.75" x14ac:dyDescent="0.2">
      <c r="AB384" s="17"/>
      <c r="AV384" s="21"/>
    </row>
    <row r="385" spans="28:48" ht="12.75" x14ac:dyDescent="0.2">
      <c r="AB385" s="17"/>
      <c r="AV385" s="21"/>
    </row>
    <row r="386" spans="28:48" ht="12.75" x14ac:dyDescent="0.2">
      <c r="AB386" s="17"/>
      <c r="AV386" s="21"/>
    </row>
    <row r="387" spans="28:48" ht="12.75" x14ac:dyDescent="0.2">
      <c r="AB387" s="17"/>
      <c r="AV387" s="21"/>
    </row>
    <row r="388" spans="28:48" ht="12.75" x14ac:dyDescent="0.2">
      <c r="AB388" s="17"/>
      <c r="AV388" s="21"/>
    </row>
    <row r="389" spans="28:48" ht="12.75" x14ac:dyDescent="0.2">
      <c r="AB389" s="17"/>
      <c r="AV389" s="21"/>
    </row>
    <row r="390" spans="28:48" ht="12.75" x14ac:dyDescent="0.2">
      <c r="AB390" s="17"/>
      <c r="AV390" s="21"/>
    </row>
    <row r="391" spans="28:48" ht="12.75" x14ac:dyDescent="0.2">
      <c r="AB391" s="17"/>
      <c r="AV391" s="21"/>
    </row>
    <row r="392" spans="28:48" ht="12.75" x14ac:dyDescent="0.2">
      <c r="AB392" s="17"/>
      <c r="AV392" s="21"/>
    </row>
    <row r="393" spans="28:48" ht="12.75" x14ac:dyDescent="0.2">
      <c r="AB393" s="17"/>
      <c r="AV393" s="21"/>
    </row>
    <row r="394" spans="28:48" ht="12.75" x14ac:dyDescent="0.2">
      <c r="AB394" s="17"/>
      <c r="AV394" s="21"/>
    </row>
    <row r="395" spans="28:48" ht="12.75" x14ac:dyDescent="0.2">
      <c r="AB395" s="17"/>
      <c r="AV395" s="21"/>
    </row>
    <row r="396" spans="28:48" ht="12.75" x14ac:dyDescent="0.2">
      <c r="AB396" s="17"/>
      <c r="AV396" s="21"/>
    </row>
    <row r="397" spans="28:48" ht="12.75" x14ac:dyDescent="0.2">
      <c r="AB397" s="17"/>
      <c r="AV397" s="21"/>
    </row>
    <row r="398" spans="28:48" ht="12.75" x14ac:dyDescent="0.2">
      <c r="AB398" s="17"/>
      <c r="AV398" s="21"/>
    </row>
    <row r="399" spans="28:48" ht="12.75" x14ac:dyDescent="0.2">
      <c r="AB399" s="17"/>
      <c r="AV399" s="21"/>
    </row>
    <row r="400" spans="28:48" ht="12.75" x14ac:dyDescent="0.2">
      <c r="AB400" s="17"/>
      <c r="AV400" s="21"/>
    </row>
    <row r="401" spans="28:48" ht="12.75" x14ac:dyDescent="0.2">
      <c r="AB401" s="17"/>
      <c r="AV401" s="21"/>
    </row>
    <row r="402" spans="28:48" ht="12.75" x14ac:dyDescent="0.2">
      <c r="AB402" s="17"/>
      <c r="AV402" s="21"/>
    </row>
    <row r="403" spans="28:48" ht="12.75" x14ac:dyDescent="0.2">
      <c r="AB403" s="17"/>
      <c r="AV403" s="21"/>
    </row>
    <row r="404" spans="28:48" ht="12.75" x14ac:dyDescent="0.2">
      <c r="AB404" s="17"/>
      <c r="AV404" s="21"/>
    </row>
    <row r="405" spans="28:48" ht="12.75" x14ac:dyDescent="0.2">
      <c r="AB405" s="17"/>
      <c r="AV405" s="21"/>
    </row>
    <row r="406" spans="28:48" ht="12.75" x14ac:dyDescent="0.2">
      <c r="AB406" s="17"/>
      <c r="AV406" s="21"/>
    </row>
    <row r="407" spans="28:48" ht="12.75" x14ac:dyDescent="0.2">
      <c r="AB407" s="17"/>
      <c r="AV407" s="21"/>
    </row>
    <row r="408" spans="28:48" ht="12.75" x14ac:dyDescent="0.2">
      <c r="AB408" s="17"/>
      <c r="AV408" s="21"/>
    </row>
    <row r="409" spans="28:48" ht="12.75" x14ac:dyDescent="0.2">
      <c r="AB409" s="17"/>
      <c r="AV409" s="21"/>
    </row>
    <row r="410" spans="28:48" ht="12.75" x14ac:dyDescent="0.2">
      <c r="AB410" s="17"/>
      <c r="AV410" s="21"/>
    </row>
    <row r="411" spans="28:48" ht="12.75" x14ac:dyDescent="0.2">
      <c r="AB411" s="17"/>
      <c r="AV411" s="21"/>
    </row>
    <row r="412" spans="28:48" ht="12.75" x14ac:dyDescent="0.2">
      <c r="AB412" s="17"/>
      <c r="AV412" s="21"/>
    </row>
    <row r="413" spans="28:48" ht="12.75" x14ac:dyDescent="0.2">
      <c r="AB413" s="17"/>
      <c r="AV413" s="21"/>
    </row>
    <row r="414" spans="28:48" ht="12.75" x14ac:dyDescent="0.2">
      <c r="AB414" s="17"/>
      <c r="AV414" s="21"/>
    </row>
    <row r="415" spans="28:48" ht="12.75" x14ac:dyDescent="0.2">
      <c r="AB415" s="17"/>
      <c r="AV415" s="21"/>
    </row>
    <row r="416" spans="28:48" ht="12.75" x14ac:dyDescent="0.2">
      <c r="AB416" s="17"/>
      <c r="AV416" s="21"/>
    </row>
    <row r="417" spans="28:48" ht="12.75" x14ac:dyDescent="0.2">
      <c r="AB417" s="17"/>
      <c r="AV417" s="21"/>
    </row>
    <row r="418" spans="28:48" ht="12.75" x14ac:dyDescent="0.2">
      <c r="AB418" s="17"/>
      <c r="AV418" s="21"/>
    </row>
    <row r="419" spans="28:48" ht="12.75" x14ac:dyDescent="0.2">
      <c r="AB419" s="17"/>
      <c r="AV419" s="21"/>
    </row>
    <row r="420" spans="28:48" ht="12.75" x14ac:dyDescent="0.2">
      <c r="AB420" s="17"/>
      <c r="AV420" s="21"/>
    </row>
    <row r="421" spans="28:48" ht="12.75" x14ac:dyDescent="0.2">
      <c r="AB421" s="17"/>
      <c r="AV421" s="21"/>
    </row>
    <row r="422" spans="28:48" ht="12.75" x14ac:dyDescent="0.2">
      <c r="AB422" s="17"/>
      <c r="AV422" s="21"/>
    </row>
    <row r="423" spans="28:48" ht="12.75" x14ac:dyDescent="0.2">
      <c r="AB423" s="17"/>
      <c r="AV423" s="21"/>
    </row>
    <row r="424" spans="28:48" ht="12.75" x14ac:dyDescent="0.2">
      <c r="AB424" s="17"/>
      <c r="AV424" s="21"/>
    </row>
    <row r="425" spans="28:48" ht="12.75" x14ac:dyDescent="0.2">
      <c r="AB425" s="17"/>
      <c r="AV425" s="21"/>
    </row>
    <row r="426" spans="28:48" ht="12.75" x14ac:dyDescent="0.2">
      <c r="AB426" s="17"/>
      <c r="AV426" s="21"/>
    </row>
    <row r="427" spans="28:48" ht="12.75" x14ac:dyDescent="0.2">
      <c r="AB427" s="17"/>
      <c r="AV427" s="21"/>
    </row>
    <row r="428" spans="28:48" ht="12.75" x14ac:dyDescent="0.2">
      <c r="AB428" s="17"/>
      <c r="AV428" s="21"/>
    </row>
    <row r="429" spans="28:48" ht="12.75" x14ac:dyDescent="0.2">
      <c r="AB429" s="17"/>
      <c r="AV429" s="21"/>
    </row>
    <row r="430" spans="28:48" ht="12.75" x14ac:dyDescent="0.2">
      <c r="AB430" s="17"/>
      <c r="AV430" s="21"/>
    </row>
    <row r="431" spans="28:48" ht="12.75" x14ac:dyDescent="0.2">
      <c r="AB431" s="17"/>
      <c r="AV431" s="21"/>
    </row>
    <row r="432" spans="28:48" ht="12.75" x14ac:dyDescent="0.2">
      <c r="AB432" s="17"/>
      <c r="AV432" s="21"/>
    </row>
    <row r="433" spans="28:48" ht="12.75" x14ac:dyDescent="0.2">
      <c r="AB433" s="17"/>
      <c r="AV433" s="21"/>
    </row>
    <row r="434" spans="28:48" ht="12.75" x14ac:dyDescent="0.2">
      <c r="AB434" s="17"/>
      <c r="AV434" s="21"/>
    </row>
    <row r="435" spans="28:48" ht="12.75" x14ac:dyDescent="0.2">
      <c r="AB435" s="17"/>
      <c r="AV435" s="21"/>
    </row>
    <row r="436" spans="28:48" ht="12.75" x14ac:dyDescent="0.2">
      <c r="AB436" s="17"/>
      <c r="AV436" s="21"/>
    </row>
    <row r="437" spans="28:48" ht="12.75" x14ac:dyDescent="0.2">
      <c r="AB437" s="17"/>
      <c r="AV437" s="21"/>
    </row>
    <row r="438" spans="28:48" ht="12.75" x14ac:dyDescent="0.2">
      <c r="AB438" s="17"/>
      <c r="AV438" s="21"/>
    </row>
    <row r="439" spans="28:48" ht="12.75" x14ac:dyDescent="0.2">
      <c r="AB439" s="17"/>
      <c r="AV439" s="21"/>
    </row>
    <row r="440" spans="28:48" ht="12.75" x14ac:dyDescent="0.2">
      <c r="AB440" s="17"/>
      <c r="AV440" s="21"/>
    </row>
    <row r="441" spans="28:48" ht="12.75" x14ac:dyDescent="0.2">
      <c r="AB441" s="17"/>
      <c r="AV441" s="21"/>
    </row>
    <row r="442" spans="28:48" ht="12.75" x14ac:dyDescent="0.2">
      <c r="AB442" s="17"/>
      <c r="AV442" s="21"/>
    </row>
    <row r="443" spans="28:48" ht="12.75" x14ac:dyDescent="0.2">
      <c r="AB443" s="17"/>
      <c r="AV443" s="21"/>
    </row>
    <row r="444" spans="28:48" ht="12.75" x14ac:dyDescent="0.2">
      <c r="AB444" s="17"/>
      <c r="AV444" s="21"/>
    </row>
    <row r="445" spans="28:48" ht="12.75" x14ac:dyDescent="0.2">
      <c r="AB445" s="17"/>
      <c r="AV445" s="21"/>
    </row>
    <row r="446" spans="28:48" ht="12.75" x14ac:dyDescent="0.2">
      <c r="AB446" s="17"/>
      <c r="AV446" s="21"/>
    </row>
    <row r="447" spans="28:48" ht="12.75" x14ac:dyDescent="0.2">
      <c r="AB447" s="17"/>
      <c r="AV447" s="21"/>
    </row>
    <row r="448" spans="28:48" ht="12.75" x14ac:dyDescent="0.2">
      <c r="AB448" s="17"/>
      <c r="AV448" s="21"/>
    </row>
    <row r="449" spans="28:48" ht="12.75" x14ac:dyDescent="0.2">
      <c r="AB449" s="17"/>
      <c r="AV449" s="21"/>
    </row>
    <row r="450" spans="28:48" ht="12.75" x14ac:dyDescent="0.2">
      <c r="AB450" s="17"/>
      <c r="AV450" s="21"/>
    </row>
    <row r="451" spans="28:48" ht="12.75" x14ac:dyDescent="0.2">
      <c r="AB451" s="17"/>
      <c r="AV451" s="21"/>
    </row>
    <row r="452" spans="28:48" ht="12.75" x14ac:dyDescent="0.2">
      <c r="AB452" s="17"/>
      <c r="AV452" s="21"/>
    </row>
    <row r="453" spans="28:48" ht="12.75" x14ac:dyDescent="0.2">
      <c r="AB453" s="17"/>
      <c r="AV453" s="21"/>
    </row>
    <row r="454" spans="28:48" ht="12.75" x14ac:dyDescent="0.2">
      <c r="AB454" s="17"/>
      <c r="AV454" s="21"/>
    </row>
    <row r="455" spans="28:48" ht="12.75" x14ac:dyDescent="0.2">
      <c r="AB455" s="17"/>
      <c r="AV455" s="21"/>
    </row>
    <row r="456" spans="28:48" ht="12.75" x14ac:dyDescent="0.2">
      <c r="AB456" s="17"/>
      <c r="AV456" s="21"/>
    </row>
    <row r="457" spans="28:48" ht="12.75" x14ac:dyDescent="0.2">
      <c r="AB457" s="17"/>
      <c r="AV457" s="21"/>
    </row>
    <row r="458" spans="28:48" ht="12.75" x14ac:dyDescent="0.2">
      <c r="AB458" s="17"/>
      <c r="AV458" s="21"/>
    </row>
    <row r="459" spans="28:48" ht="12.75" x14ac:dyDescent="0.2">
      <c r="AB459" s="17"/>
      <c r="AV459" s="21"/>
    </row>
    <row r="460" spans="28:48" ht="12.75" x14ac:dyDescent="0.2">
      <c r="AB460" s="17"/>
      <c r="AV460" s="21"/>
    </row>
    <row r="461" spans="28:48" ht="12.75" x14ac:dyDescent="0.2">
      <c r="AB461" s="17"/>
      <c r="AV461" s="21"/>
    </row>
    <row r="462" spans="28:48" ht="12.75" x14ac:dyDescent="0.2">
      <c r="AB462" s="17"/>
      <c r="AV462" s="21"/>
    </row>
    <row r="463" spans="28:48" ht="12.75" x14ac:dyDescent="0.2">
      <c r="AB463" s="17"/>
      <c r="AV463" s="21"/>
    </row>
    <row r="464" spans="28:48" ht="12.75" x14ac:dyDescent="0.2">
      <c r="AB464" s="17"/>
      <c r="AV464" s="21"/>
    </row>
    <row r="465" spans="28:48" ht="12.75" x14ac:dyDescent="0.2">
      <c r="AB465" s="17"/>
      <c r="AV465" s="21"/>
    </row>
    <row r="466" spans="28:48" ht="12.75" x14ac:dyDescent="0.2">
      <c r="AB466" s="17"/>
      <c r="AV466" s="21"/>
    </row>
    <row r="467" spans="28:48" ht="12.75" x14ac:dyDescent="0.2">
      <c r="AB467" s="17"/>
      <c r="AV467" s="21"/>
    </row>
    <row r="468" spans="28:48" ht="12.75" x14ac:dyDescent="0.2">
      <c r="AB468" s="17"/>
      <c r="AV468" s="21"/>
    </row>
    <row r="469" spans="28:48" ht="12.75" x14ac:dyDescent="0.2">
      <c r="AB469" s="17"/>
      <c r="AV469" s="21"/>
    </row>
    <row r="470" spans="28:48" ht="12.75" x14ac:dyDescent="0.2">
      <c r="AB470" s="17"/>
      <c r="AV470" s="21"/>
    </row>
    <row r="471" spans="28:48" ht="12.75" x14ac:dyDescent="0.2">
      <c r="AB471" s="17"/>
      <c r="AV471" s="21"/>
    </row>
    <row r="472" spans="28:48" ht="12.75" x14ac:dyDescent="0.2">
      <c r="AB472" s="17"/>
      <c r="AV472" s="21"/>
    </row>
    <row r="473" spans="28:48" ht="12.75" x14ac:dyDescent="0.2">
      <c r="AB473" s="17"/>
      <c r="AV473" s="21"/>
    </row>
    <row r="474" spans="28:48" ht="12.75" x14ac:dyDescent="0.2">
      <c r="AB474" s="17"/>
      <c r="AV474" s="21"/>
    </row>
    <row r="475" spans="28:48" ht="12.75" x14ac:dyDescent="0.2">
      <c r="AB475" s="17"/>
      <c r="AV475" s="21"/>
    </row>
    <row r="476" spans="28:48" ht="12.75" x14ac:dyDescent="0.2">
      <c r="AB476" s="17"/>
      <c r="AV476" s="21"/>
    </row>
    <row r="477" spans="28:48" ht="12.75" x14ac:dyDescent="0.2">
      <c r="AB477" s="17"/>
      <c r="AV477" s="21"/>
    </row>
    <row r="478" spans="28:48" ht="12.75" x14ac:dyDescent="0.2">
      <c r="AB478" s="17"/>
      <c r="AV478" s="21"/>
    </row>
    <row r="479" spans="28:48" ht="12.75" x14ac:dyDescent="0.2">
      <c r="AB479" s="17"/>
      <c r="AV479" s="21"/>
    </row>
    <row r="480" spans="28:48" ht="12.75" x14ac:dyDescent="0.2">
      <c r="AB480" s="17"/>
      <c r="AV480" s="21"/>
    </row>
    <row r="481" spans="28:48" ht="12.75" x14ac:dyDescent="0.2">
      <c r="AB481" s="17"/>
      <c r="AV481" s="21"/>
    </row>
    <row r="482" spans="28:48" ht="12.75" x14ac:dyDescent="0.2">
      <c r="AB482" s="17"/>
      <c r="AV482" s="21"/>
    </row>
    <row r="483" spans="28:48" ht="12.75" x14ac:dyDescent="0.2">
      <c r="AB483" s="17"/>
      <c r="AV483" s="21"/>
    </row>
    <row r="484" spans="28:48" ht="12.75" x14ac:dyDescent="0.2">
      <c r="AB484" s="17"/>
      <c r="AV484" s="21"/>
    </row>
    <row r="485" spans="28:48" ht="12.75" x14ac:dyDescent="0.2">
      <c r="AB485" s="17"/>
      <c r="AV485" s="21"/>
    </row>
    <row r="486" spans="28:48" ht="12.75" x14ac:dyDescent="0.2">
      <c r="AB486" s="17"/>
      <c r="AV486" s="21"/>
    </row>
    <row r="487" spans="28:48" ht="12.75" x14ac:dyDescent="0.2">
      <c r="AB487" s="17"/>
      <c r="AV487" s="21"/>
    </row>
    <row r="488" spans="28:48" ht="12.75" x14ac:dyDescent="0.2">
      <c r="AB488" s="17"/>
      <c r="AV488" s="21"/>
    </row>
    <row r="489" spans="28:48" ht="12.75" x14ac:dyDescent="0.2">
      <c r="AB489" s="17"/>
      <c r="AV489" s="21"/>
    </row>
    <row r="490" spans="28:48" ht="12.75" x14ac:dyDescent="0.2">
      <c r="AB490" s="17"/>
      <c r="AV490" s="21"/>
    </row>
    <row r="491" spans="28:48" ht="12.75" x14ac:dyDescent="0.2">
      <c r="AB491" s="17"/>
      <c r="AV491" s="21"/>
    </row>
    <row r="492" spans="28:48" ht="12.75" x14ac:dyDescent="0.2">
      <c r="AB492" s="17"/>
      <c r="AV492" s="21"/>
    </row>
    <row r="493" spans="28:48" ht="12.75" x14ac:dyDescent="0.2">
      <c r="AB493" s="17"/>
      <c r="AV493" s="21"/>
    </row>
    <row r="494" spans="28:48" ht="12.75" x14ac:dyDescent="0.2">
      <c r="AB494" s="17"/>
      <c r="AV494" s="21"/>
    </row>
    <row r="495" spans="28:48" ht="12.75" x14ac:dyDescent="0.2">
      <c r="AB495" s="17"/>
      <c r="AV495" s="21"/>
    </row>
    <row r="496" spans="28:48" ht="12.75" x14ac:dyDescent="0.2">
      <c r="AB496" s="17"/>
      <c r="AV496" s="21"/>
    </row>
    <row r="497" spans="28:48" ht="12.75" x14ac:dyDescent="0.2">
      <c r="AB497" s="17"/>
      <c r="AV497" s="21"/>
    </row>
    <row r="498" spans="28:48" ht="12.75" x14ac:dyDescent="0.2">
      <c r="AB498" s="17"/>
      <c r="AV498" s="21"/>
    </row>
    <row r="499" spans="28:48" ht="12.75" x14ac:dyDescent="0.2">
      <c r="AB499" s="17"/>
      <c r="AV499" s="21"/>
    </row>
    <row r="500" spans="28:48" ht="12.75" x14ac:dyDescent="0.2">
      <c r="AB500" s="17"/>
      <c r="AV500" s="21"/>
    </row>
    <row r="501" spans="28:48" ht="12.75" x14ac:dyDescent="0.2">
      <c r="AB501" s="17"/>
      <c r="AV501" s="21"/>
    </row>
    <row r="502" spans="28:48" ht="12.75" x14ac:dyDescent="0.2">
      <c r="AB502" s="17"/>
      <c r="AV502" s="21"/>
    </row>
    <row r="503" spans="28:48" ht="12.75" x14ac:dyDescent="0.2">
      <c r="AB503" s="17"/>
      <c r="AV503" s="21"/>
    </row>
    <row r="504" spans="28:48" ht="12.75" x14ac:dyDescent="0.2">
      <c r="AB504" s="17"/>
      <c r="AV504" s="21"/>
    </row>
    <row r="505" spans="28:48" ht="12.75" x14ac:dyDescent="0.2">
      <c r="AB505" s="17"/>
      <c r="AV505" s="21"/>
    </row>
    <row r="506" spans="28:48" ht="12.75" x14ac:dyDescent="0.2">
      <c r="AB506" s="17"/>
      <c r="AV506" s="21"/>
    </row>
    <row r="507" spans="28:48" ht="12.75" x14ac:dyDescent="0.2">
      <c r="AB507" s="17"/>
      <c r="AV507" s="21"/>
    </row>
    <row r="508" spans="28:48" ht="12.75" x14ac:dyDescent="0.2">
      <c r="AB508" s="17"/>
      <c r="AV508" s="21"/>
    </row>
    <row r="509" spans="28:48" ht="12.75" x14ac:dyDescent="0.2">
      <c r="AB509" s="17"/>
      <c r="AV509" s="21"/>
    </row>
    <row r="510" spans="28:48" ht="12.75" x14ac:dyDescent="0.2">
      <c r="AB510" s="17"/>
      <c r="AV510" s="21"/>
    </row>
    <row r="511" spans="28:48" ht="12.75" x14ac:dyDescent="0.2">
      <c r="AB511" s="17"/>
      <c r="AV511" s="21"/>
    </row>
    <row r="512" spans="28:48" ht="12.75" x14ac:dyDescent="0.2">
      <c r="AB512" s="17"/>
      <c r="AV512" s="21"/>
    </row>
    <row r="513" spans="28:48" ht="12.75" x14ac:dyDescent="0.2">
      <c r="AB513" s="17"/>
      <c r="AV513" s="21"/>
    </row>
    <row r="514" spans="28:48" ht="12.75" x14ac:dyDescent="0.2">
      <c r="AB514" s="17"/>
      <c r="AV514" s="21"/>
    </row>
    <row r="515" spans="28:48" ht="12.75" x14ac:dyDescent="0.2">
      <c r="AB515" s="17"/>
      <c r="AV515" s="21"/>
    </row>
    <row r="516" spans="28:48" ht="12.75" x14ac:dyDescent="0.2">
      <c r="AB516" s="17"/>
      <c r="AV516" s="21"/>
    </row>
    <row r="517" spans="28:48" ht="12.75" x14ac:dyDescent="0.2">
      <c r="AB517" s="17"/>
      <c r="AV517" s="21"/>
    </row>
    <row r="518" spans="28:48" ht="12.75" x14ac:dyDescent="0.2">
      <c r="AB518" s="17"/>
      <c r="AV518" s="21"/>
    </row>
    <row r="519" spans="28:48" ht="12.75" x14ac:dyDescent="0.2">
      <c r="AB519" s="17"/>
      <c r="AV519" s="21"/>
    </row>
    <row r="520" spans="28:48" ht="12.75" x14ac:dyDescent="0.2">
      <c r="AB520" s="17"/>
      <c r="AV520" s="21"/>
    </row>
    <row r="521" spans="28:48" ht="12.75" x14ac:dyDescent="0.2">
      <c r="AB521" s="17"/>
      <c r="AV521" s="21"/>
    </row>
    <row r="522" spans="28:48" ht="12.75" x14ac:dyDescent="0.2">
      <c r="AB522" s="17"/>
      <c r="AV522" s="21"/>
    </row>
    <row r="523" spans="28:48" ht="12.75" x14ac:dyDescent="0.2">
      <c r="AB523" s="17"/>
      <c r="AV523" s="21"/>
    </row>
    <row r="524" spans="28:48" ht="12.75" x14ac:dyDescent="0.2">
      <c r="AB524" s="17"/>
      <c r="AV524" s="21"/>
    </row>
    <row r="525" spans="28:48" ht="12.75" x14ac:dyDescent="0.2">
      <c r="AB525" s="17"/>
      <c r="AV525" s="21"/>
    </row>
    <row r="526" spans="28:48" ht="12.75" x14ac:dyDescent="0.2">
      <c r="AB526" s="17"/>
      <c r="AV526" s="21"/>
    </row>
    <row r="527" spans="28:48" ht="12.75" x14ac:dyDescent="0.2">
      <c r="AB527" s="17"/>
      <c r="AV527" s="21"/>
    </row>
    <row r="528" spans="28:48" ht="12.75" x14ac:dyDescent="0.2">
      <c r="AB528" s="17"/>
      <c r="AV528" s="21"/>
    </row>
    <row r="529" spans="28:48" ht="12.75" x14ac:dyDescent="0.2">
      <c r="AB529" s="17"/>
      <c r="AV529" s="21"/>
    </row>
    <row r="530" spans="28:48" ht="12.75" x14ac:dyDescent="0.2">
      <c r="AB530" s="17"/>
      <c r="AV530" s="21"/>
    </row>
    <row r="531" spans="28:48" ht="12.75" x14ac:dyDescent="0.2">
      <c r="AB531" s="17"/>
      <c r="AV531" s="21"/>
    </row>
    <row r="532" spans="28:48" ht="12.75" x14ac:dyDescent="0.2">
      <c r="AB532" s="17"/>
      <c r="AV532" s="21"/>
    </row>
    <row r="533" spans="28:48" ht="12.75" x14ac:dyDescent="0.2">
      <c r="AB533" s="17"/>
      <c r="AV533" s="21"/>
    </row>
    <row r="534" spans="28:48" ht="12.75" x14ac:dyDescent="0.2">
      <c r="AB534" s="17"/>
      <c r="AV534" s="21"/>
    </row>
    <row r="535" spans="28:48" ht="12.75" x14ac:dyDescent="0.2">
      <c r="AB535" s="17"/>
      <c r="AV535" s="21"/>
    </row>
    <row r="536" spans="28:48" ht="12.75" x14ac:dyDescent="0.2">
      <c r="AB536" s="17"/>
      <c r="AV536" s="21"/>
    </row>
    <row r="537" spans="28:48" ht="12.75" x14ac:dyDescent="0.2">
      <c r="AB537" s="17"/>
      <c r="AV537" s="21"/>
    </row>
    <row r="538" spans="28:48" ht="12.75" x14ac:dyDescent="0.2">
      <c r="AB538" s="17"/>
      <c r="AV538" s="21"/>
    </row>
    <row r="539" spans="28:48" ht="12.75" x14ac:dyDescent="0.2">
      <c r="AB539" s="17"/>
      <c r="AV539" s="21"/>
    </row>
    <row r="540" spans="28:48" ht="12.75" x14ac:dyDescent="0.2">
      <c r="AB540" s="17"/>
      <c r="AV540" s="21"/>
    </row>
    <row r="541" spans="28:48" ht="12.75" x14ac:dyDescent="0.2">
      <c r="AB541" s="17"/>
      <c r="AV541" s="21"/>
    </row>
    <row r="542" spans="28:48" ht="12.75" x14ac:dyDescent="0.2">
      <c r="AB542" s="17"/>
      <c r="AV542" s="21"/>
    </row>
    <row r="543" spans="28:48" ht="12.75" x14ac:dyDescent="0.2">
      <c r="AB543" s="17"/>
      <c r="AV543" s="21"/>
    </row>
    <row r="544" spans="28:48" ht="12.75" x14ac:dyDescent="0.2">
      <c r="AB544" s="17"/>
      <c r="AV544" s="21"/>
    </row>
    <row r="545" spans="28:48" ht="12.75" x14ac:dyDescent="0.2">
      <c r="AB545" s="17"/>
      <c r="AV545" s="21"/>
    </row>
    <row r="546" spans="28:48" ht="12.75" x14ac:dyDescent="0.2">
      <c r="AB546" s="17"/>
      <c r="AV546" s="21"/>
    </row>
    <row r="547" spans="28:48" ht="12.75" x14ac:dyDescent="0.2">
      <c r="AB547" s="17"/>
      <c r="AV547" s="21"/>
    </row>
    <row r="548" spans="28:48" ht="12.75" x14ac:dyDescent="0.2">
      <c r="AB548" s="17"/>
      <c r="AV548" s="21"/>
    </row>
    <row r="549" spans="28:48" ht="12.75" x14ac:dyDescent="0.2">
      <c r="AB549" s="17"/>
      <c r="AV549" s="21"/>
    </row>
    <row r="550" spans="28:48" ht="12.75" x14ac:dyDescent="0.2">
      <c r="AB550" s="17"/>
      <c r="AV550" s="21"/>
    </row>
    <row r="551" spans="28:48" ht="12.75" x14ac:dyDescent="0.2">
      <c r="AB551" s="17"/>
      <c r="AV551" s="21"/>
    </row>
    <row r="552" spans="28:48" ht="12.75" x14ac:dyDescent="0.2">
      <c r="AB552" s="17"/>
      <c r="AV552" s="21"/>
    </row>
    <row r="553" spans="28:48" ht="12.75" x14ac:dyDescent="0.2">
      <c r="AB553" s="17"/>
      <c r="AV553" s="21"/>
    </row>
    <row r="554" spans="28:48" ht="12.75" x14ac:dyDescent="0.2">
      <c r="AB554" s="17"/>
      <c r="AV554" s="21"/>
    </row>
    <row r="555" spans="28:48" ht="12.75" x14ac:dyDescent="0.2">
      <c r="AB555" s="17"/>
      <c r="AV555" s="21"/>
    </row>
    <row r="556" spans="28:48" ht="12.75" x14ac:dyDescent="0.2">
      <c r="AB556" s="17"/>
      <c r="AV556" s="21"/>
    </row>
    <row r="557" spans="28:48" ht="12.75" x14ac:dyDescent="0.2">
      <c r="AB557" s="17"/>
      <c r="AV557" s="21"/>
    </row>
    <row r="558" spans="28:48" ht="12.75" x14ac:dyDescent="0.2">
      <c r="AB558" s="17"/>
      <c r="AV558" s="21"/>
    </row>
    <row r="559" spans="28:48" ht="12.75" x14ac:dyDescent="0.2">
      <c r="AB559" s="17"/>
      <c r="AV559" s="21"/>
    </row>
    <row r="560" spans="28:48" ht="12.75" x14ac:dyDescent="0.2">
      <c r="AB560" s="17"/>
      <c r="AV560" s="21"/>
    </row>
    <row r="561" spans="28:48" ht="12.75" x14ac:dyDescent="0.2">
      <c r="AB561" s="17"/>
      <c r="AV561" s="21"/>
    </row>
    <row r="562" spans="28:48" ht="12.75" x14ac:dyDescent="0.2">
      <c r="AB562" s="17"/>
      <c r="AV562" s="21"/>
    </row>
    <row r="563" spans="28:48" ht="12.75" x14ac:dyDescent="0.2">
      <c r="AB563" s="17"/>
      <c r="AV563" s="21"/>
    </row>
    <row r="564" spans="28:48" ht="12.75" x14ac:dyDescent="0.2">
      <c r="AB564" s="17"/>
      <c r="AV564" s="21"/>
    </row>
    <row r="565" spans="28:48" ht="12.75" x14ac:dyDescent="0.2">
      <c r="AB565" s="17"/>
      <c r="AV565" s="21"/>
    </row>
    <row r="566" spans="28:48" ht="12.75" x14ac:dyDescent="0.2">
      <c r="AB566" s="17"/>
      <c r="AV566" s="21"/>
    </row>
    <row r="567" spans="28:48" ht="12.75" x14ac:dyDescent="0.2">
      <c r="AB567" s="17"/>
      <c r="AV567" s="21"/>
    </row>
    <row r="568" spans="28:48" ht="12.75" x14ac:dyDescent="0.2">
      <c r="AB568" s="17"/>
      <c r="AV568" s="21"/>
    </row>
    <row r="569" spans="28:48" ht="12.75" x14ac:dyDescent="0.2">
      <c r="AB569" s="17"/>
      <c r="AV569" s="21"/>
    </row>
    <row r="570" spans="28:48" ht="12.75" x14ac:dyDescent="0.2">
      <c r="AB570" s="17"/>
      <c r="AV570" s="21"/>
    </row>
    <row r="571" spans="28:48" ht="12.75" x14ac:dyDescent="0.2">
      <c r="AB571" s="17"/>
      <c r="AV571" s="21"/>
    </row>
    <row r="572" spans="28:48" ht="12.75" x14ac:dyDescent="0.2">
      <c r="AB572" s="17"/>
      <c r="AV572" s="21"/>
    </row>
    <row r="573" spans="28:48" ht="12.75" x14ac:dyDescent="0.2">
      <c r="AB573" s="17"/>
      <c r="AV573" s="21"/>
    </row>
    <row r="574" spans="28:48" ht="12.75" x14ac:dyDescent="0.2">
      <c r="AB574" s="17"/>
      <c r="AV574" s="21"/>
    </row>
    <row r="575" spans="28:48" ht="12.75" x14ac:dyDescent="0.2">
      <c r="AB575" s="17"/>
      <c r="AV575" s="21"/>
    </row>
    <row r="576" spans="28:48" ht="12.75" x14ac:dyDescent="0.2">
      <c r="AB576" s="17"/>
      <c r="AV576" s="21"/>
    </row>
    <row r="577" spans="28:48" ht="12.75" x14ac:dyDescent="0.2">
      <c r="AB577" s="17"/>
      <c r="AV577" s="21"/>
    </row>
    <row r="578" spans="28:48" ht="12.75" x14ac:dyDescent="0.2">
      <c r="AB578" s="17"/>
      <c r="AV578" s="21"/>
    </row>
    <row r="579" spans="28:48" ht="12.75" x14ac:dyDescent="0.2">
      <c r="AB579" s="17"/>
      <c r="AV579" s="21"/>
    </row>
    <row r="580" spans="28:48" ht="12.75" x14ac:dyDescent="0.2">
      <c r="AB580" s="17"/>
      <c r="AV580" s="21"/>
    </row>
    <row r="581" spans="28:48" ht="12.75" x14ac:dyDescent="0.2">
      <c r="AB581" s="17"/>
      <c r="AV581" s="21"/>
    </row>
    <row r="582" spans="28:48" ht="12.75" x14ac:dyDescent="0.2">
      <c r="AB582" s="17"/>
      <c r="AV582" s="21"/>
    </row>
    <row r="583" spans="28:48" ht="12.75" x14ac:dyDescent="0.2">
      <c r="AB583" s="17"/>
      <c r="AV583" s="21"/>
    </row>
    <row r="584" spans="28:48" ht="12.75" x14ac:dyDescent="0.2">
      <c r="AB584" s="17"/>
      <c r="AV584" s="21"/>
    </row>
    <row r="585" spans="28:48" ht="12.75" x14ac:dyDescent="0.2">
      <c r="AB585" s="17"/>
      <c r="AV585" s="21"/>
    </row>
    <row r="586" spans="28:48" ht="12.75" x14ac:dyDescent="0.2">
      <c r="AB586" s="17"/>
      <c r="AV586" s="21"/>
    </row>
    <row r="587" spans="28:48" ht="12.75" x14ac:dyDescent="0.2">
      <c r="AB587" s="17"/>
      <c r="AV587" s="21"/>
    </row>
    <row r="588" spans="28:48" ht="12.75" x14ac:dyDescent="0.2">
      <c r="AB588" s="17"/>
      <c r="AV588" s="21"/>
    </row>
    <row r="589" spans="28:48" ht="12.75" x14ac:dyDescent="0.2">
      <c r="AB589" s="17"/>
      <c r="AV589" s="21"/>
    </row>
    <row r="590" spans="28:48" ht="12.75" x14ac:dyDescent="0.2">
      <c r="AB590" s="17"/>
      <c r="AV590" s="21"/>
    </row>
    <row r="591" spans="28:48" ht="12.75" x14ac:dyDescent="0.2">
      <c r="AB591" s="17"/>
      <c r="AV591" s="21"/>
    </row>
    <row r="592" spans="28:48" ht="12.75" x14ac:dyDescent="0.2">
      <c r="AB592" s="17"/>
      <c r="AV592" s="21"/>
    </row>
    <row r="593" spans="28:48" ht="12.75" x14ac:dyDescent="0.2">
      <c r="AB593" s="17"/>
      <c r="AV593" s="21"/>
    </row>
    <row r="594" spans="28:48" ht="12.75" x14ac:dyDescent="0.2">
      <c r="AB594" s="17"/>
      <c r="AV594" s="21"/>
    </row>
    <row r="595" spans="28:48" ht="12.75" x14ac:dyDescent="0.2">
      <c r="AB595" s="17"/>
      <c r="AV595" s="21"/>
    </row>
    <row r="596" spans="28:48" ht="12.75" x14ac:dyDescent="0.2">
      <c r="AB596" s="17"/>
      <c r="AV596" s="21"/>
    </row>
    <row r="597" spans="28:48" ht="12.75" x14ac:dyDescent="0.2">
      <c r="AB597" s="17"/>
      <c r="AV597" s="21"/>
    </row>
    <row r="598" spans="28:48" ht="12.75" x14ac:dyDescent="0.2">
      <c r="AB598" s="17"/>
      <c r="AV598" s="21"/>
    </row>
    <row r="599" spans="28:48" ht="12.75" x14ac:dyDescent="0.2">
      <c r="AB599" s="17"/>
      <c r="AV599" s="21"/>
    </row>
    <row r="600" spans="28:48" ht="12.75" x14ac:dyDescent="0.2">
      <c r="AB600" s="17"/>
      <c r="AV600" s="21"/>
    </row>
    <row r="601" spans="28:48" ht="12.75" x14ac:dyDescent="0.2">
      <c r="AB601" s="17"/>
      <c r="AV601" s="21"/>
    </row>
    <row r="602" spans="28:48" ht="12.75" x14ac:dyDescent="0.2">
      <c r="AB602" s="17"/>
      <c r="AV602" s="21"/>
    </row>
    <row r="603" spans="28:48" ht="12.75" x14ac:dyDescent="0.2">
      <c r="AB603" s="17"/>
      <c r="AV603" s="21"/>
    </row>
    <row r="604" spans="28:48" ht="12.75" x14ac:dyDescent="0.2">
      <c r="AB604" s="17"/>
      <c r="AV604" s="21"/>
    </row>
    <row r="605" spans="28:48" ht="12.75" x14ac:dyDescent="0.2">
      <c r="AB605" s="17"/>
      <c r="AV605" s="21"/>
    </row>
    <row r="606" spans="28:48" ht="12.75" x14ac:dyDescent="0.2">
      <c r="AB606" s="17"/>
      <c r="AV606" s="21"/>
    </row>
    <row r="607" spans="28:48" ht="12.75" x14ac:dyDescent="0.2">
      <c r="AB607" s="17"/>
      <c r="AV607" s="21"/>
    </row>
    <row r="608" spans="28:48" ht="12.75" x14ac:dyDescent="0.2">
      <c r="AB608" s="17"/>
      <c r="AV608" s="21"/>
    </row>
    <row r="609" spans="28:48" ht="12.75" x14ac:dyDescent="0.2">
      <c r="AB609" s="17"/>
      <c r="AV609" s="21"/>
    </row>
    <row r="610" spans="28:48" ht="12.75" x14ac:dyDescent="0.2">
      <c r="AB610" s="17"/>
      <c r="AV610" s="21"/>
    </row>
    <row r="611" spans="28:48" ht="12.75" x14ac:dyDescent="0.2">
      <c r="AB611" s="17"/>
      <c r="AV611" s="21"/>
    </row>
    <row r="612" spans="28:48" ht="12.75" x14ac:dyDescent="0.2">
      <c r="AB612" s="17"/>
      <c r="AV612" s="21"/>
    </row>
    <row r="613" spans="28:48" ht="12.75" x14ac:dyDescent="0.2">
      <c r="AB613" s="17"/>
      <c r="AV613" s="21"/>
    </row>
    <row r="614" spans="28:48" ht="12.75" x14ac:dyDescent="0.2">
      <c r="AB614" s="17"/>
      <c r="AV614" s="21"/>
    </row>
    <row r="615" spans="28:48" ht="12.75" x14ac:dyDescent="0.2">
      <c r="AB615" s="17"/>
      <c r="AV615" s="21"/>
    </row>
    <row r="616" spans="28:48" ht="12.75" x14ac:dyDescent="0.2">
      <c r="AB616" s="17"/>
      <c r="AV616" s="21"/>
    </row>
    <row r="617" spans="28:48" ht="12.75" x14ac:dyDescent="0.2">
      <c r="AB617" s="17"/>
      <c r="AV617" s="21"/>
    </row>
    <row r="618" spans="28:48" ht="12.75" x14ac:dyDescent="0.2">
      <c r="AB618" s="17"/>
      <c r="AV618" s="21"/>
    </row>
    <row r="619" spans="28:48" ht="12.75" x14ac:dyDescent="0.2">
      <c r="AB619" s="17"/>
      <c r="AV619" s="21"/>
    </row>
    <row r="620" spans="28:48" ht="12.75" x14ac:dyDescent="0.2">
      <c r="AB620" s="17"/>
      <c r="AV620" s="21"/>
    </row>
    <row r="621" spans="28:48" ht="12.75" x14ac:dyDescent="0.2">
      <c r="AB621" s="17"/>
      <c r="AV621" s="21"/>
    </row>
    <row r="622" spans="28:48" ht="12.75" x14ac:dyDescent="0.2">
      <c r="AB622" s="17"/>
      <c r="AV622" s="21"/>
    </row>
    <row r="623" spans="28:48" ht="12.75" x14ac:dyDescent="0.2">
      <c r="AB623" s="17"/>
      <c r="AV623" s="21"/>
    </row>
    <row r="624" spans="28:48" ht="12.75" x14ac:dyDescent="0.2">
      <c r="AB624" s="17"/>
      <c r="AV624" s="21"/>
    </row>
    <row r="625" spans="28:48" ht="12.75" x14ac:dyDescent="0.2">
      <c r="AB625" s="17"/>
      <c r="AV625" s="21"/>
    </row>
    <row r="626" spans="28:48" ht="12.75" x14ac:dyDescent="0.2">
      <c r="AB626" s="17"/>
      <c r="AV626" s="21"/>
    </row>
    <row r="627" spans="28:48" ht="12.75" x14ac:dyDescent="0.2">
      <c r="AB627" s="17"/>
      <c r="AV627" s="21"/>
    </row>
    <row r="628" spans="28:48" ht="12.75" x14ac:dyDescent="0.2">
      <c r="AB628" s="17"/>
      <c r="AV628" s="21"/>
    </row>
    <row r="629" spans="28:48" ht="12.75" x14ac:dyDescent="0.2">
      <c r="AB629" s="17"/>
      <c r="AV629" s="21"/>
    </row>
    <row r="630" spans="28:48" ht="12.75" x14ac:dyDescent="0.2">
      <c r="AB630" s="17"/>
      <c r="AV630" s="21"/>
    </row>
    <row r="631" spans="28:48" ht="12.75" x14ac:dyDescent="0.2">
      <c r="AB631" s="17"/>
      <c r="AV631" s="21"/>
    </row>
    <row r="632" spans="28:48" ht="12.75" x14ac:dyDescent="0.2">
      <c r="AB632" s="17"/>
      <c r="AV632" s="21"/>
    </row>
    <row r="633" spans="28:48" ht="12.75" x14ac:dyDescent="0.2">
      <c r="AB633" s="17"/>
      <c r="AV633" s="21"/>
    </row>
    <row r="634" spans="28:48" ht="12.75" x14ac:dyDescent="0.2">
      <c r="AB634" s="17"/>
      <c r="AV634" s="21"/>
    </row>
    <row r="635" spans="28:48" ht="12.75" x14ac:dyDescent="0.2">
      <c r="AB635" s="17"/>
      <c r="AV635" s="21"/>
    </row>
    <row r="636" spans="28:48" ht="12.75" x14ac:dyDescent="0.2">
      <c r="AB636" s="17"/>
      <c r="AV636" s="21"/>
    </row>
    <row r="637" spans="28:48" ht="12.75" x14ac:dyDescent="0.2">
      <c r="AB637" s="17"/>
      <c r="AV637" s="21"/>
    </row>
    <row r="638" spans="28:48" ht="12.75" x14ac:dyDescent="0.2">
      <c r="AB638" s="17"/>
      <c r="AV638" s="21"/>
    </row>
    <row r="639" spans="28:48" ht="12.75" x14ac:dyDescent="0.2">
      <c r="AB639" s="17"/>
      <c r="AV639" s="21"/>
    </row>
    <row r="640" spans="28:48" ht="12.75" x14ac:dyDescent="0.2">
      <c r="AB640" s="17"/>
      <c r="AV640" s="21"/>
    </row>
    <row r="641" spans="28:48" ht="12.75" x14ac:dyDescent="0.2">
      <c r="AB641" s="17"/>
      <c r="AV641" s="21"/>
    </row>
    <row r="642" spans="28:48" ht="12.75" x14ac:dyDescent="0.2">
      <c r="AB642" s="17"/>
      <c r="AV642" s="21"/>
    </row>
    <row r="643" spans="28:48" ht="12.75" x14ac:dyDescent="0.2">
      <c r="AB643" s="17"/>
      <c r="AV643" s="21"/>
    </row>
    <row r="644" spans="28:48" ht="12.75" x14ac:dyDescent="0.2">
      <c r="AB644" s="17"/>
      <c r="AV644" s="21"/>
    </row>
    <row r="645" spans="28:48" ht="12.75" x14ac:dyDescent="0.2">
      <c r="AB645" s="17"/>
      <c r="AV645" s="21"/>
    </row>
    <row r="646" spans="28:48" ht="12.75" x14ac:dyDescent="0.2">
      <c r="AB646" s="17"/>
      <c r="AV646" s="21"/>
    </row>
    <row r="647" spans="28:48" ht="12.75" x14ac:dyDescent="0.2">
      <c r="AB647" s="17"/>
      <c r="AV647" s="21"/>
    </row>
    <row r="648" spans="28:48" ht="12.75" x14ac:dyDescent="0.2">
      <c r="AB648" s="17"/>
      <c r="AV648" s="21"/>
    </row>
    <row r="649" spans="28:48" ht="12.75" x14ac:dyDescent="0.2">
      <c r="AB649" s="17"/>
      <c r="AV649" s="21"/>
    </row>
    <row r="650" spans="28:48" ht="12.75" x14ac:dyDescent="0.2">
      <c r="AB650" s="17"/>
      <c r="AV650" s="21"/>
    </row>
    <row r="651" spans="28:48" ht="12.75" x14ac:dyDescent="0.2">
      <c r="AB651" s="17"/>
      <c r="AV651" s="21"/>
    </row>
    <row r="652" spans="28:48" ht="12.75" x14ac:dyDescent="0.2">
      <c r="AB652" s="17"/>
      <c r="AV652" s="21"/>
    </row>
    <row r="653" spans="28:48" ht="12.75" x14ac:dyDescent="0.2">
      <c r="AB653" s="17"/>
      <c r="AV653" s="21"/>
    </row>
    <row r="654" spans="28:48" ht="12.75" x14ac:dyDescent="0.2">
      <c r="AB654" s="17"/>
      <c r="AV654" s="21"/>
    </row>
    <row r="655" spans="28:48" ht="12.75" x14ac:dyDescent="0.2">
      <c r="AB655" s="17"/>
      <c r="AV655" s="21"/>
    </row>
    <row r="656" spans="28:48" ht="12.75" x14ac:dyDescent="0.2">
      <c r="AB656" s="17"/>
      <c r="AV656" s="21"/>
    </row>
    <row r="657" spans="28:48" ht="12.75" x14ac:dyDescent="0.2">
      <c r="AB657" s="17"/>
      <c r="AV657" s="21"/>
    </row>
    <row r="658" spans="28:48" ht="12.75" x14ac:dyDescent="0.2">
      <c r="AB658" s="17"/>
      <c r="AV658" s="21"/>
    </row>
    <row r="659" spans="28:48" ht="12.75" x14ac:dyDescent="0.2">
      <c r="AB659" s="17"/>
      <c r="AV659" s="21"/>
    </row>
    <row r="660" spans="28:48" ht="12.75" x14ac:dyDescent="0.2">
      <c r="AB660" s="17"/>
      <c r="AV660" s="21"/>
    </row>
    <row r="661" spans="28:48" ht="12.75" x14ac:dyDescent="0.2">
      <c r="AB661" s="17"/>
      <c r="AV661" s="21"/>
    </row>
    <row r="662" spans="28:48" ht="12.75" x14ac:dyDescent="0.2">
      <c r="AB662" s="17"/>
      <c r="AV662" s="21"/>
    </row>
    <row r="663" spans="28:48" ht="12.75" x14ac:dyDescent="0.2">
      <c r="AB663" s="17"/>
      <c r="AV663" s="21"/>
    </row>
    <row r="664" spans="28:48" ht="12.75" x14ac:dyDescent="0.2">
      <c r="AB664" s="17"/>
      <c r="AV664" s="21"/>
    </row>
    <row r="665" spans="28:48" ht="12.75" x14ac:dyDescent="0.2">
      <c r="AB665" s="17"/>
      <c r="AV665" s="21"/>
    </row>
    <row r="666" spans="28:48" ht="12.75" x14ac:dyDescent="0.2">
      <c r="AB666" s="17"/>
      <c r="AV666" s="21"/>
    </row>
    <row r="667" spans="28:48" ht="12.75" x14ac:dyDescent="0.2">
      <c r="AB667" s="17"/>
      <c r="AV667" s="21"/>
    </row>
    <row r="668" spans="28:48" ht="12.75" x14ac:dyDescent="0.2">
      <c r="AB668" s="17"/>
      <c r="AV668" s="21"/>
    </row>
    <row r="669" spans="28:48" ht="12.75" x14ac:dyDescent="0.2">
      <c r="AB669" s="17"/>
      <c r="AV669" s="21"/>
    </row>
    <row r="670" spans="28:48" ht="12.75" x14ac:dyDescent="0.2">
      <c r="AB670" s="17"/>
      <c r="AV670" s="21"/>
    </row>
    <row r="671" spans="28:48" ht="12.75" x14ac:dyDescent="0.2">
      <c r="AB671" s="17"/>
      <c r="AV671" s="21"/>
    </row>
    <row r="672" spans="28:48" ht="12.75" x14ac:dyDescent="0.2">
      <c r="AB672" s="17"/>
      <c r="AV672" s="21"/>
    </row>
    <row r="673" spans="28:48" ht="12.75" x14ac:dyDescent="0.2">
      <c r="AB673" s="17"/>
      <c r="AV673" s="21"/>
    </row>
    <row r="674" spans="28:48" ht="12.75" x14ac:dyDescent="0.2">
      <c r="AB674" s="17"/>
      <c r="AV674" s="21"/>
    </row>
    <row r="675" spans="28:48" ht="12.75" x14ac:dyDescent="0.2">
      <c r="AB675" s="17"/>
      <c r="AV675" s="21"/>
    </row>
    <row r="676" spans="28:48" ht="12.75" x14ac:dyDescent="0.2">
      <c r="AB676" s="17"/>
      <c r="AV676" s="21"/>
    </row>
    <row r="677" spans="28:48" ht="12.75" x14ac:dyDescent="0.2">
      <c r="AB677" s="17"/>
      <c r="AV677" s="21"/>
    </row>
    <row r="678" spans="28:48" ht="12.75" x14ac:dyDescent="0.2">
      <c r="AB678" s="17"/>
      <c r="AV678" s="21"/>
    </row>
    <row r="679" spans="28:48" ht="12.75" x14ac:dyDescent="0.2">
      <c r="AB679" s="17"/>
      <c r="AV679" s="21"/>
    </row>
    <row r="680" spans="28:48" ht="12.75" x14ac:dyDescent="0.2">
      <c r="AB680" s="17"/>
      <c r="AV680" s="21"/>
    </row>
    <row r="681" spans="28:48" ht="12.75" x14ac:dyDescent="0.2">
      <c r="AB681" s="17"/>
      <c r="AV681" s="21"/>
    </row>
    <row r="682" spans="28:48" ht="12.75" x14ac:dyDescent="0.2">
      <c r="AB682" s="17"/>
      <c r="AV682" s="21"/>
    </row>
    <row r="683" spans="28:48" ht="12.75" x14ac:dyDescent="0.2">
      <c r="AB683" s="17"/>
      <c r="AV683" s="21"/>
    </row>
    <row r="684" spans="28:48" ht="12.75" x14ac:dyDescent="0.2">
      <c r="AB684" s="17"/>
      <c r="AV684" s="21"/>
    </row>
    <row r="685" spans="28:48" ht="12.75" x14ac:dyDescent="0.2">
      <c r="AB685" s="17"/>
      <c r="AV685" s="21"/>
    </row>
    <row r="686" spans="28:48" ht="12.75" x14ac:dyDescent="0.2">
      <c r="AB686" s="17"/>
      <c r="AV686" s="21"/>
    </row>
    <row r="687" spans="28:48" ht="12.75" x14ac:dyDescent="0.2">
      <c r="AB687" s="17"/>
      <c r="AV687" s="21"/>
    </row>
    <row r="688" spans="28:48" ht="12.75" x14ac:dyDescent="0.2">
      <c r="AB688" s="17"/>
      <c r="AV688" s="21"/>
    </row>
    <row r="689" spans="28:48" ht="12.75" x14ac:dyDescent="0.2">
      <c r="AB689" s="17"/>
      <c r="AV689" s="21"/>
    </row>
    <row r="690" spans="28:48" ht="12.75" x14ac:dyDescent="0.2">
      <c r="AB690" s="17"/>
      <c r="AV690" s="21"/>
    </row>
    <row r="691" spans="28:48" ht="12.75" x14ac:dyDescent="0.2">
      <c r="AB691" s="17"/>
      <c r="AV691" s="21"/>
    </row>
    <row r="692" spans="28:48" ht="12.75" x14ac:dyDescent="0.2">
      <c r="AB692" s="17"/>
      <c r="AV692" s="21"/>
    </row>
    <row r="693" spans="28:48" ht="12.75" x14ac:dyDescent="0.2">
      <c r="AB693" s="17"/>
      <c r="AV693" s="21"/>
    </row>
    <row r="694" spans="28:48" ht="12.75" x14ac:dyDescent="0.2">
      <c r="AB694" s="17"/>
      <c r="AV694" s="21"/>
    </row>
    <row r="695" spans="28:48" ht="12.75" x14ac:dyDescent="0.2">
      <c r="AB695" s="17"/>
      <c r="AV695" s="21"/>
    </row>
    <row r="696" spans="28:48" ht="12.75" x14ac:dyDescent="0.2">
      <c r="AB696" s="17"/>
      <c r="AV696" s="21"/>
    </row>
    <row r="697" spans="28:48" ht="12.75" x14ac:dyDescent="0.2">
      <c r="AB697" s="17"/>
      <c r="AV697" s="21"/>
    </row>
    <row r="698" spans="28:48" ht="12.75" x14ac:dyDescent="0.2">
      <c r="AB698" s="17"/>
      <c r="AV698" s="21"/>
    </row>
    <row r="699" spans="28:48" ht="12.75" x14ac:dyDescent="0.2">
      <c r="AB699" s="17"/>
      <c r="AV699" s="21"/>
    </row>
    <row r="700" spans="28:48" ht="12.75" x14ac:dyDescent="0.2">
      <c r="AB700" s="17"/>
      <c r="AV700" s="21"/>
    </row>
    <row r="701" spans="28:48" ht="12.75" x14ac:dyDescent="0.2">
      <c r="AB701" s="17"/>
      <c r="AV701" s="21"/>
    </row>
    <row r="702" spans="28:48" ht="12.75" x14ac:dyDescent="0.2">
      <c r="AB702" s="17"/>
      <c r="AV702" s="21"/>
    </row>
    <row r="703" spans="28:48" ht="12.75" x14ac:dyDescent="0.2">
      <c r="AB703" s="17"/>
      <c r="AV703" s="21"/>
    </row>
    <row r="704" spans="28:48" ht="12.75" x14ac:dyDescent="0.2">
      <c r="AB704" s="17"/>
      <c r="AV704" s="21"/>
    </row>
    <row r="705" spans="28:48" ht="12.75" x14ac:dyDescent="0.2">
      <c r="AB705" s="17"/>
      <c r="AV705" s="21"/>
    </row>
    <row r="706" spans="28:48" ht="12.75" x14ac:dyDescent="0.2">
      <c r="AB706" s="17"/>
      <c r="AV706" s="21"/>
    </row>
    <row r="707" spans="28:48" ht="12.75" x14ac:dyDescent="0.2">
      <c r="AB707" s="17"/>
      <c r="AV707" s="21"/>
    </row>
    <row r="708" spans="28:48" ht="12.75" x14ac:dyDescent="0.2">
      <c r="AB708" s="17"/>
      <c r="AV708" s="21"/>
    </row>
    <row r="709" spans="28:48" ht="12.75" x14ac:dyDescent="0.2">
      <c r="AB709" s="17"/>
      <c r="AV709" s="21"/>
    </row>
    <row r="710" spans="28:48" ht="12.75" x14ac:dyDescent="0.2">
      <c r="AB710" s="17"/>
      <c r="AV710" s="21"/>
    </row>
    <row r="711" spans="28:48" ht="12.75" x14ac:dyDescent="0.2">
      <c r="AB711" s="17"/>
      <c r="AV711" s="21"/>
    </row>
    <row r="712" spans="28:48" ht="12.75" x14ac:dyDescent="0.2">
      <c r="AB712" s="17"/>
      <c r="AV712" s="21"/>
    </row>
    <row r="713" spans="28:48" ht="12.75" x14ac:dyDescent="0.2">
      <c r="AB713" s="17"/>
      <c r="AV713" s="21"/>
    </row>
    <row r="714" spans="28:48" ht="12.75" x14ac:dyDescent="0.2">
      <c r="AB714" s="17"/>
      <c r="AV714" s="21"/>
    </row>
    <row r="715" spans="28:48" ht="12.75" x14ac:dyDescent="0.2">
      <c r="AB715" s="17"/>
      <c r="AV715" s="21"/>
    </row>
    <row r="716" spans="28:48" ht="12.75" x14ac:dyDescent="0.2">
      <c r="AB716" s="17"/>
      <c r="AV716" s="21"/>
    </row>
    <row r="717" spans="28:48" ht="12.75" x14ac:dyDescent="0.2">
      <c r="AB717" s="17"/>
      <c r="AV717" s="21"/>
    </row>
    <row r="718" spans="28:48" ht="12.75" x14ac:dyDescent="0.2">
      <c r="AB718" s="17"/>
      <c r="AV718" s="21"/>
    </row>
    <row r="719" spans="28:48" ht="12.75" x14ac:dyDescent="0.2">
      <c r="AB719" s="17"/>
      <c r="AV719" s="21"/>
    </row>
    <row r="720" spans="28:48" ht="12.75" x14ac:dyDescent="0.2">
      <c r="AB720" s="17"/>
      <c r="AV720" s="21"/>
    </row>
    <row r="721" spans="28:48" ht="12.75" x14ac:dyDescent="0.2">
      <c r="AB721" s="17"/>
      <c r="AV721" s="21"/>
    </row>
    <row r="722" spans="28:48" ht="12.75" x14ac:dyDescent="0.2">
      <c r="AB722" s="17"/>
      <c r="AV722" s="21"/>
    </row>
    <row r="723" spans="28:48" ht="12.75" x14ac:dyDescent="0.2">
      <c r="AB723" s="17"/>
      <c r="AV723" s="21"/>
    </row>
    <row r="724" spans="28:48" ht="12.75" x14ac:dyDescent="0.2">
      <c r="AB724" s="17"/>
      <c r="AV724" s="21"/>
    </row>
    <row r="725" spans="28:48" ht="12.75" x14ac:dyDescent="0.2">
      <c r="AB725" s="17"/>
      <c r="AV725" s="21"/>
    </row>
    <row r="726" spans="28:48" ht="12.75" x14ac:dyDescent="0.2">
      <c r="AB726" s="17"/>
      <c r="AV726" s="21"/>
    </row>
    <row r="727" spans="28:48" ht="12.75" x14ac:dyDescent="0.2">
      <c r="AB727" s="17"/>
      <c r="AV727" s="21"/>
    </row>
    <row r="728" spans="28:48" ht="12.75" x14ac:dyDescent="0.2">
      <c r="AB728" s="17"/>
      <c r="AV728" s="21"/>
    </row>
    <row r="729" spans="28:48" ht="12.75" x14ac:dyDescent="0.2">
      <c r="AB729" s="17"/>
      <c r="AV729" s="21"/>
    </row>
    <row r="730" spans="28:48" ht="12.75" x14ac:dyDescent="0.2">
      <c r="AB730" s="17"/>
      <c r="AV730" s="21"/>
    </row>
    <row r="731" spans="28:48" ht="12.75" x14ac:dyDescent="0.2">
      <c r="AB731" s="17"/>
      <c r="AV731" s="21"/>
    </row>
    <row r="732" spans="28:48" ht="12.75" x14ac:dyDescent="0.2">
      <c r="AB732" s="17"/>
      <c r="AV732" s="21"/>
    </row>
    <row r="733" spans="28:48" ht="12.75" x14ac:dyDescent="0.2">
      <c r="AB733" s="17"/>
      <c r="AV733" s="21"/>
    </row>
    <row r="734" spans="28:48" ht="12.75" x14ac:dyDescent="0.2">
      <c r="AB734" s="17"/>
      <c r="AV734" s="21"/>
    </row>
    <row r="735" spans="28:48" ht="12.75" x14ac:dyDescent="0.2">
      <c r="AB735" s="17"/>
      <c r="AV735" s="21"/>
    </row>
    <row r="736" spans="28:48" ht="12.75" x14ac:dyDescent="0.2">
      <c r="AB736" s="17"/>
      <c r="AV736" s="21"/>
    </row>
    <row r="737" spans="28:48" ht="12.75" x14ac:dyDescent="0.2">
      <c r="AB737" s="17"/>
      <c r="AV737" s="21"/>
    </row>
    <row r="738" spans="28:48" ht="12.75" x14ac:dyDescent="0.2">
      <c r="AB738" s="17"/>
      <c r="AV738" s="21"/>
    </row>
    <row r="739" spans="28:48" ht="12.75" x14ac:dyDescent="0.2">
      <c r="AB739" s="17"/>
      <c r="AV739" s="21"/>
    </row>
    <row r="740" spans="28:48" ht="12.75" x14ac:dyDescent="0.2">
      <c r="AB740" s="17"/>
      <c r="AV740" s="21"/>
    </row>
    <row r="741" spans="28:48" ht="12.75" x14ac:dyDescent="0.2">
      <c r="AB741" s="17"/>
      <c r="AV741" s="21"/>
    </row>
    <row r="742" spans="28:48" ht="12.75" x14ac:dyDescent="0.2">
      <c r="AB742" s="17"/>
      <c r="AV742" s="21"/>
    </row>
    <row r="743" spans="28:48" ht="12.75" x14ac:dyDescent="0.2">
      <c r="AB743" s="17"/>
      <c r="AV743" s="21"/>
    </row>
    <row r="744" spans="28:48" ht="12.75" x14ac:dyDescent="0.2">
      <c r="AB744" s="17"/>
      <c r="AV744" s="21"/>
    </row>
    <row r="745" spans="28:48" ht="12.75" x14ac:dyDescent="0.2">
      <c r="AB745" s="17"/>
      <c r="AV745" s="21"/>
    </row>
    <row r="746" spans="28:48" ht="12.75" x14ac:dyDescent="0.2">
      <c r="AB746" s="17"/>
      <c r="AV746" s="21"/>
    </row>
    <row r="747" spans="28:48" ht="12.75" x14ac:dyDescent="0.2">
      <c r="AB747" s="17"/>
      <c r="AV747" s="21"/>
    </row>
    <row r="748" spans="28:48" ht="12.75" x14ac:dyDescent="0.2">
      <c r="AB748" s="17"/>
      <c r="AV748" s="21"/>
    </row>
    <row r="749" spans="28:48" ht="12.75" x14ac:dyDescent="0.2">
      <c r="AB749" s="17"/>
      <c r="AV749" s="21"/>
    </row>
    <row r="750" spans="28:48" ht="12.75" x14ac:dyDescent="0.2">
      <c r="AB750" s="17"/>
      <c r="AV750" s="21"/>
    </row>
    <row r="751" spans="28:48" ht="12.75" x14ac:dyDescent="0.2">
      <c r="AB751" s="17"/>
      <c r="AV751" s="21"/>
    </row>
    <row r="752" spans="28:48" ht="12.75" x14ac:dyDescent="0.2">
      <c r="AB752" s="17"/>
      <c r="AV752" s="21"/>
    </row>
    <row r="753" spans="28:48" ht="12.75" x14ac:dyDescent="0.2">
      <c r="AB753" s="17"/>
      <c r="AV753" s="21"/>
    </row>
    <row r="754" spans="28:48" ht="12.75" x14ac:dyDescent="0.2">
      <c r="AB754" s="17"/>
      <c r="AV754" s="21"/>
    </row>
    <row r="755" spans="28:48" ht="12.75" x14ac:dyDescent="0.2">
      <c r="AB755" s="17"/>
      <c r="AV755" s="21"/>
    </row>
    <row r="756" spans="28:48" ht="12.75" x14ac:dyDescent="0.2">
      <c r="AB756" s="17"/>
      <c r="AV756" s="21"/>
    </row>
    <row r="757" spans="28:48" ht="12.75" x14ac:dyDescent="0.2">
      <c r="AB757" s="17"/>
      <c r="AV757" s="21"/>
    </row>
    <row r="758" spans="28:48" ht="12.75" x14ac:dyDescent="0.2">
      <c r="AB758" s="17"/>
      <c r="AV758" s="21"/>
    </row>
    <row r="759" spans="28:48" ht="12.75" x14ac:dyDescent="0.2">
      <c r="AB759" s="17"/>
      <c r="AV759" s="21"/>
    </row>
    <row r="760" spans="28:48" ht="12.75" x14ac:dyDescent="0.2">
      <c r="AB760" s="17"/>
      <c r="AV760" s="21"/>
    </row>
    <row r="761" spans="28:48" ht="12.75" x14ac:dyDescent="0.2">
      <c r="AB761" s="17"/>
      <c r="AV761" s="21"/>
    </row>
    <row r="762" spans="28:48" ht="12.75" x14ac:dyDescent="0.2">
      <c r="AB762" s="17"/>
      <c r="AV762" s="21"/>
    </row>
    <row r="763" spans="28:48" ht="12.75" x14ac:dyDescent="0.2">
      <c r="AB763" s="17"/>
      <c r="AV763" s="21"/>
    </row>
    <row r="764" spans="28:48" ht="12.75" x14ac:dyDescent="0.2">
      <c r="AB764" s="17"/>
      <c r="AV764" s="21"/>
    </row>
    <row r="765" spans="28:48" ht="12.75" x14ac:dyDescent="0.2">
      <c r="AB765" s="17"/>
      <c r="AV765" s="21"/>
    </row>
    <row r="766" spans="28:48" ht="12.75" x14ac:dyDescent="0.2">
      <c r="AB766" s="17"/>
      <c r="AV766" s="21"/>
    </row>
    <row r="767" spans="28:48" ht="12.75" x14ac:dyDescent="0.2">
      <c r="AB767" s="17"/>
      <c r="AV767" s="21"/>
    </row>
    <row r="768" spans="28:48" ht="12.75" x14ac:dyDescent="0.2">
      <c r="AB768" s="17"/>
      <c r="AV768" s="21"/>
    </row>
    <row r="769" spans="28:48" ht="12.75" x14ac:dyDescent="0.2">
      <c r="AB769" s="17"/>
      <c r="AV769" s="21"/>
    </row>
    <row r="770" spans="28:48" ht="12.75" x14ac:dyDescent="0.2">
      <c r="AB770" s="17"/>
      <c r="AV770" s="21"/>
    </row>
    <row r="771" spans="28:48" ht="12.75" x14ac:dyDescent="0.2">
      <c r="AB771" s="17"/>
      <c r="AV771" s="21"/>
    </row>
    <row r="772" spans="28:48" ht="12.75" x14ac:dyDescent="0.2">
      <c r="AB772" s="17"/>
      <c r="AV772" s="21"/>
    </row>
    <row r="773" spans="28:48" ht="12.75" x14ac:dyDescent="0.2">
      <c r="AB773" s="17"/>
      <c r="AV773" s="21"/>
    </row>
    <row r="774" spans="28:48" ht="12.75" x14ac:dyDescent="0.2">
      <c r="AB774" s="17"/>
      <c r="AV774" s="21"/>
    </row>
    <row r="775" spans="28:48" ht="12.75" x14ac:dyDescent="0.2">
      <c r="AB775" s="17"/>
      <c r="AV775" s="21"/>
    </row>
    <row r="776" spans="28:48" ht="12.75" x14ac:dyDescent="0.2">
      <c r="AB776" s="17"/>
      <c r="AV776" s="21"/>
    </row>
    <row r="777" spans="28:48" ht="12.75" x14ac:dyDescent="0.2">
      <c r="AB777" s="17"/>
      <c r="AV777" s="21"/>
    </row>
    <row r="778" spans="28:48" ht="12.75" x14ac:dyDescent="0.2">
      <c r="AB778" s="17"/>
      <c r="AV778" s="21"/>
    </row>
    <row r="779" spans="28:48" ht="12.75" x14ac:dyDescent="0.2">
      <c r="AB779" s="17"/>
      <c r="AV779" s="21"/>
    </row>
    <row r="780" spans="28:48" ht="12.75" x14ac:dyDescent="0.2">
      <c r="AB780" s="17"/>
      <c r="AV780" s="21"/>
    </row>
    <row r="781" spans="28:48" ht="12.75" x14ac:dyDescent="0.2">
      <c r="AB781" s="17"/>
      <c r="AV781" s="21"/>
    </row>
    <row r="782" spans="28:48" ht="12.75" x14ac:dyDescent="0.2">
      <c r="AB782" s="17"/>
      <c r="AV782" s="21"/>
    </row>
    <row r="783" spans="28:48" ht="12.75" x14ac:dyDescent="0.2">
      <c r="AB783" s="17"/>
      <c r="AV783" s="21"/>
    </row>
    <row r="784" spans="28:48" ht="12.75" x14ac:dyDescent="0.2">
      <c r="AB784" s="17"/>
      <c r="AV784" s="21"/>
    </row>
    <row r="785" spans="28:48" ht="12.75" x14ac:dyDescent="0.2">
      <c r="AB785" s="17"/>
      <c r="AV785" s="21"/>
    </row>
    <row r="786" spans="28:48" ht="12.75" x14ac:dyDescent="0.2">
      <c r="AB786" s="17"/>
      <c r="AV786" s="21"/>
    </row>
    <row r="787" spans="28:48" ht="12.75" x14ac:dyDescent="0.2">
      <c r="AB787" s="17"/>
      <c r="AV787" s="21"/>
    </row>
    <row r="788" spans="28:48" ht="12.75" x14ac:dyDescent="0.2">
      <c r="AB788" s="17"/>
      <c r="AV788" s="21"/>
    </row>
    <row r="789" spans="28:48" ht="12.75" x14ac:dyDescent="0.2">
      <c r="AB789" s="17"/>
      <c r="AV789" s="21"/>
    </row>
    <row r="790" spans="28:48" ht="12.75" x14ac:dyDescent="0.2">
      <c r="AB790" s="17"/>
      <c r="AV790" s="21"/>
    </row>
    <row r="791" spans="28:48" ht="12.75" x14ac:dyDescent="0.2">
      <c r="AB791" s="17"/>
      <c r="AV791" s="21"/>
    </row>
    <row r="792" spans="28:48" ht="12.75" x14ac:dyDescent="0.2">
      <c r="AB792" s="17"/>
      <c r="AV792" s="21"/>
    </row>
    <row r="793" spans="28:48" ht="12.75" x14ac:dyDescent="0.2">
      <c r="AB793" s="17"/>
      <c r="AV793" s="21"/>
    </row>
    <row r="794" spans="28:48" ht="12.75" x14ac:dyDescent="0.2">
      <c r="AB794" s="17"/>
      <c r="AV794" s="21"/>
    </row>
    <row r="795" spans="28:48" ht="12.75" x14ac:dyDescent="0.2">
      <c r="AB795" s="17"/>
      <c r="AV795" s="21"/>
    </row>
    <row r="796" spans="28:48" ht="12.75" x14ac:dyDescent="0.2">
      <c r="AB796" s="17"/>
      <c r="AV796" s="21"/>
    </row>
    <row r="797" spans="28:48" ht="12.75" x14ac:dyDescent="0.2">
      <c r="AB797" s="17"/>
      <c r="AV797" s="21"/>
    </row>
    <row r="798" spans="28:48" ht="12.75" x14ac:dyDescent="0.2">
      <c r="AB798" s="17"/>
      <c r="AV798" s="21"/>
    </row>
    <row r="799" spans="28:48" ht="12.75" x14ac:dyDescent="0.2">
      <c r="AB799" s="17"/>
      <c r="AV799" s="21"/>
    </row>
    <row r="800" spans="28:48" ht="12.75" x14ac:dyDescent="0.2">
      <c r="AB800" s="17"/>
      <c r="AV800" s="21"/>
    </row>
    <row r="801" spans="28:48" ht="12.75" x14ac:dyDescent="0.2">
      <c r="AB801" s="17"/>
      <c r="AV801" s="21"/>
    </row>
    <row r="802" spans="28:48" ht="12.75" x14ac:dyDescent="0.2">
      <c r="AB802" s="17"/>
      <c r="AV802" s="21"/>
    </row>
    <row r="803" spans="28:48" ht="12.75" x14ac:dyDescent="0.2">
      <c r="AB803" s="17"/>
      <c r="AV803" s="21"/>
    </row>
    <row r="804" spans="28:48" ht="12.75" x14ac:dyDescent="0.2">
      <c r="AB804" s="17"/>
      <c r="AV804" s="21"/>
    </row>
    <row r="805" spans="28:48" ht="12.75" x14ac:dyDescent="0.2">
      <c r="AB805" s="17"/>
      <c r="AV805" s="21"/>
    </row>
    <row r="806" spans="28:48" ht="12.75" x14ac:dyDescent="0.2">
      <c r="AB806" s="17"/>
      <c r="AV806" s="21"/>
    </row>
    <row r="807" spans="28:48" ht="12.75" x14ac:dyDescent="0.2">
      <c r="AB807" s="17"/>
      <c r="AV807" s="21"/>
    </row>
    <row r="808" spans="28:48" ht="12.75" x14ac:dyDescent="0.2">
      <c r="AB808" s="17"/>
      <c r="AV808" s="21"/>
    </row>
    <row r="809" spans="28:48" ht="12.75" x14ac:dyDescent="0.2">
      <c r="AB809" s="17"/>
      <c r="AV809" s="21"/>
    </row>
    <row r="810" spans="28:48" ht="12.75" x14ac:dyDescent="0.2">
      <c r="AB810" s="17"/>
      <c r="AV810" s="21"/>
    </row>
    <row r="811" spans="28:48" ht="12.75" x14ac:dyDescent="0.2">
      <c r="AB811" s="17"/>
      <c r="AV811" s="21"/>
    </row>
    <row r="812" spans="28:48" ht="12.75" x14ac:dyDescent="0.2">
      <c r="AB812" s="17"/>
      <c r="AV812" s="21"/>
    </row>
    <row r="813" spans="28:48" ht="12.75" x14ac:dyDescent="0.2">
      <c r="AB813" s="17"/>
      <c r="AV813" s="21"/>
    </row>
    <row r="814" spans="28:48" ht="12.75" x14ac:dyDescent="0.2">
      <c r="AB814" s="17"/>
      <c r="AV814" s="21"/>
    </row>
    <row r="815" spans="28:48" ht="12.75" x14ac:dyDescent="0.2">
      <c r="AB815" s="17"/>
      <c r="AV815" s="21"/>
    </row>
    <row r="816" spans="28:48" ht="12.75" x14ac:dyDescent="0.2">
      <c r="AB816" s="17"/>
      <c r="AV816" s="21"/>
    </row>
    <row r="817" spans="28:48" ht="12.75" x14ac:dyDescent="0.2">
      <c r="AB817" s="17"/>
      <c r="AV817" s="21"/>
    </row>
    <row r="818" spans="28:48" ht="12.75" x14ac:dyDescent="0.2">
      <c r="AB818" s="17"/>
      <c r="AV818" s="21"/>
    </row>
    <row r="819" spans="28:48" ht="12.75" x14ac:dyDescent="0.2">
      <c r="AB819" s="17"/>
      <c r="AV819" s="21"/>
    </row>
    <row r="820" spans="28:48" ht="12.75" x14ac:dyDescent="0.2">
      <c r="AB820" s="17"/>
      <c r="AV820" s="21"/>
    </row>
    <row r="821" spans="28:48" ht="12.75" x14ac:dyDescent="0.2">
      <c r="AB821" s="17"/>
      <c r="AV821" s="21"/>
    </row>
    <row r="822" spans="28:48" ht="12.75" x14ac:dyDescent="0.2">
      <c r="AB822" s="17"/>
      <c r="AV822" s="21"/>
    </row>
    <row r="823" spans="28:48" ht="12.75" x14ac:dyDescent="0.2">
      <c r="AB823" s="17"/>
      <c r="AV823" s="21"/>
    </row>
    <row r="824" spans="28:48" ht="12.75" x14ac:dyDescent="0.2">
      <c r="AB824" s="17"/>
      <c r="AV824" s="21"/>
    </row>
    <row r="825" spans="28:48" ht="12.75" x14ac:dyDescent="0.2">
      <c r="AB825" s="17"/>
      <c r="AV825" s="21"/>
    </row>
    <row r="826" spans="28:48" ht="12.75" x14ac:dyDescent="0.2">
      <c r="AB826" s="17"/>
      <c r="AV826" s="21"/>
    </row>
    <row r="827" spans="28:48" ht="12.75" x14ac:dyDescent="0.2">
      <c r="AB827" s="17"/>
      <c r="AV827" s="21"/>
    </row>
    <row r="828" spans="28:48" ht="12.75" x14ac:dyDescent="0.2">
      <c r="AB828" s="17"/>
      <c r="AV828" s="21"/>
    </row>
    <row r="829" spans="28:48" ht="12.75" x14ac:dyDescent="0.2">
      <c r="AB829" s="17"/>
      <c r="AV829" s="21"/>
    </row>
    <row r="830" spans="28:48" ht="12.75" x14ac:dyDescent="0.2">
      <c r="AB830" s="17"/>
      <c r="AV830" s="21"/>
    </row>
    <row r="831" spans="28:48" ht="12.75" x14ac:dyDescent="0.2">
      <c r="AB831" s="17"/>
      <c r="AV831" s="21"/>
    </row>
    <row r="832" spans="28:48" ht="12.75" x14ac:dyDescent="0.2">
      <c r="AB832" s="17"/>
      <c r="AV832" s="21"/>
    </row>
    <row r="833" spans="28:48" ht="12.75" x14ac:dyDescent="0.2">
      <c r="AB833" s="17"/>
      <c r="AV833" s="21"/>
    </row>
    <row r="834" spans="28:48" ht="12.75" x14ac:dyDescent="0.2">
      <c r="AB834" s="17"/>
      <c r="AV834" s="21"/>
    </row>
    <row r="835" spans="28:48" ht="12.75" x14ac:dyDescent="0.2">
      <c r="AB835" s="17"/>
      <c r="AV835" s="21"/>
    </row>
    <row r="836" spans="28:48" ht="12.75" x14ac:dyDescent="0.2">
      <c r="AB836" s="17"/>
      <c r="AV836" s="21"/>
    </row>
    <row r="837" spans="28:48" ht="12.75" x14ac:dyDescent="0.2">
      <c r="AB837" s="17"/>
      <c r="AV837" s="21"/>
    </row>
    <row r="838" spans="28:48" ht="12.75" x14ac:dyDescent="0.2">
      <c r="AB838" s="17"/>
      <c r="AV838" s="21"/>
    </row>
    <row r="839" spans="28:48" ht="12.75" x14ac:dyDescent="0.2">
      <c r="AB839" s="17"/>
      <c r="AV839" s="21"/>
    </row>
    <row r="840" spans="28:48" ht="12.75" x14ac:dyDescent="0.2">
      <c r="AB840" s="17"/>
      <c r="AV840" s="21"/>
    </row>
    <row r="841" spans="28:48" ht="12.75" x14ac:dyDescent="0.2">
      <c r="AB841" s="17"/>
      <c r="AV841" s="21"/>
    </row>
    <row r="842" spans="28:48" ht="12.75" x14ac:dyDescent="0.2">
      <c r="AB842" s="17"/>
      <c r="AV842" s="21"/>
    </row>
    <row r="843" spans="28:48" ht="12.75" x14ac:dyDescent="0.2">
      <c r="AB843" s="17"/>
      <c r="AV843" s="21"/>
    </row>
    <row r="844" spans="28:48" ht="12.75" x14ac:dyDescent="0.2">
      <c r="AB844" s="17"/>
      <c r="AV844" s="21"/>
    </row>
    <row r="845" spans="28:48" ht="12.75" x14ac:dyDescent="0.2">
      <c r="AB845" s="17"/>
      <c r="AV845" s="21"/>
    </row>
    <row r="846" spans="28:48" ht="12.75" x14ac:dyDescent="0.2">
      <c r="AB846" s="17"/>
      <c r="AV846" s="21"/>
    </row>
    <row r="847" spans="28:48" ht="12.75" x14ac:dyDescent="0.2">
      <c r="AB847" s="17"/>
      <c r="AV847" s="21"/>
    </row>
    <row r="848" spans="28:48" ht="12.75" x14ac:dyDescent="0.2">
      <c r="AB848" s="17"/>
      <c r="AV848" s="21"/>
    </row>
    <row r="849" spans="28:48" ht="12.75" x14ac:dyDescent="0.2">
      <c r="AB849" s="17"/>
      <c r="AV849" s="21"/>
    </row>
    <row r="850" spans="28:48" ht="12.75" x14ac:dyDescent="0.2">
      <c r="AB850" s="17"/>
      <c r="AV850" s="21"/>
    </row>
    <row r="851" spans="28:48" ht="12.75" x14ac:dyDescent="0.2">
      <c r="AB851" s="17"/>
      <c r="AV851" s="21"/>
    </row>
    <row r="852" spans="28:48" ht="12.75" x14ac:dyDescent="0.2">
      <c r="AB852" s="17"/>
      <c r="AV852" s="21"/>
    </row>
    <row r="853" spans="28:48" ht="12.75" x14ac:dyDescent="0.2">
      <c r="AB853" s="17"/>
      <c r="AV853" s="21"/>
    </row>
    <row r="854" spans="28:48" ht="12.75" x14ac:dyDescent="0.2">
      <c r="AB854" s="17"/>
      <c r="AV854" s="21"/>
    </row>
    <row r="855" spans="28:48" ht="12.75" x14ac:dyDescent="0.2">
      <c r="AB855" s="17"/>
      <c r="AV855" s="21"/>
    </row>
    <row r="856" spans="28:48" ht="12.75" x14ac:dyDescent="0.2">
      <c r="AB856" s="17"/>
      <c r="AV856" s="21"/>
    </row>
    <row r="857" spans="28:48" ht="12.75" x14ac:dyDescent="0.2">
      <c r="AB857" s="17"/>
      <c r="AV857" s="21"/>
    </row>
    <row r="858" spans="28:48" ht="12.75" x14ac:dyDescent="0.2">
      <c r="AB858" s="17"/>
      <c r="AV858" s="21"/>
    </row>
    <row r="859" spans="28:48" ht="12.75" x14ac:dyDescent="0.2">
      <c r="AB859" s="17"/>
      <c r="AV859" s="21"/>
    </row>
    <row r="860" spans="28:48" ht="12.75" x14ac:dyDescent="0.2">
      <c r="AB860" s="17"/>
      <c r="AV860" s="21"/>
    </row>
    <row r="861" spans="28:48" ht="12.75" x14ac:dyDescent="0.2">
      <c r="AB861" s="17"/>
      <c r="AV861" s="21"/>
    </row>
    <row r="862" spans="28:48" ht="12.75" x14ac:dyDescent="0.2">
      <c r="AB862" s="17"/>
      <c r="AV862" s="21"/>
    </row>
    <row r="863" spans="28:48" ht="12.75" x14ac:dyDescent="0.2">
      <c r="AB863" s="17"/>
      <c r="AV863" s="21"/>
    </row>
    <row r="864" spans="28:48" ht="12.75" x14ac:dyDescent="0.2">
      <c r="AB864" s="17"/>
      <c r="AV864" s="21"/>
    </row>
    <row r="865" spans="28:48" ht="12.75" x14ac:dyDescent="0.2">
      <c r="AB865" s="17"/>
      <c r="AV865" s="21"/>
    </row>
    <row r="866" spans="28:48" ht="12.75" x14ac:dyDescent="0.2">
      <c r="AB866" s="17"/>
      <c r="AV866" s="21"/>
    </row>
    <row r="867" spans="28:48" ht="12.75" x14ac:dyDescent="0.2">
      <c r="AB867" s="17"/>
      <c r="AV867" s="21"/>
    </row>
    <row r="868" spans="28:48" ht="12.75" x14ac:dyDescent="0.2">
      <c r="AB868" s="17"/>
      <c r="AV868" s="21"/>
    </row>
    <row r="869" spans="28:48" ht="12.75" x14ac:dyDescent="0.2">
      <c r="AB869" s="17"/>
      <c r="AV869" s="21"/>
    </row>
    <row r="870" spans="28:48" ht="12.75" x14ac:dyDescent="0.2">
      <c r="AB870" s="17"/>
      <c r="AV870" s="21"/>
    </row>
    <row r="871" spans="28:48" ht="12.75" x14ac:dyDescent="0.2">
      <c r="AB871" s="17"/>
      <c r="AV871" s="21"/>
    </row>
    <row r="872" spans="28:48" ht="12.75" x14ac:dyDescent="0.2">
      <c r="AB872" s="17"/>
      <c r="AV872" s="21"/>
    </row>
    <row r="873" spans="28:48" ht="12.75" x14ac:dyDescent="0.2">
      <c r="AB873" s="17"/>
      <c r="AV873" s="21"/>
    </row>
    <row r="874" spans="28:48" ht="12.75" x14ac:dyDescent="0.2">
      <c r="AB874" s="17"/>
      <c r="AV874" s="21"/>
    </row>
    <row r="875" spans="28:48" ht="12.75" x14ac:dyDescent="0.2">
      <c r="AB875" s="17"/>
      <c r="AV875" s="21"/>
    </row>
    <row r="876" spans="28:48" ht="12.75" x14ac:dyDescent="0.2">
      <c r="AB876" s="17"/>
      <c r="AV876" s="21"/>
    </row>
    <row r="877" spans="28:48" ht="12.75" x14ac:dyDescent="0.2">
      <c r="AB877" s="17"/>
      <c r="AV877" s="21"/>
    </row>
    <row r="878" spans="28:48" ht="12.75" x14ac:dyDescent="0.2">
      <c r="AB878" s="17"/>
      <c r="AV878" s="21"/>
    </row>
    <row r="879" spans="28:48" ht="12.75" x14ac:dyDescent="0.2">
      <c r="AB879" s="17"/>
      <c r="AV879" s="21"/>
    </row>
    <row r="880" spans="28:48" ht="12.75" x14ac:dyDescent="0.2">
      <c r="AB880" s="17"/>
      <c r="AV880" s="21"/>
    </row>
    <row r="881" spans="28:48" ht="12.75" x14ac:dyDescent="0.2">
      <c r="AB881" s="17"/>
      <c r="AV881" s="21"/>
    </row>
    <row r="882" spans="28:48" ht="12.75" x14ac:dyDescent="0.2">
      <c r="AB882" s="17"/>
      <c r="AV882" s="21"/>
    </row>
    <row r="883" spans="28:48" ht="12.75" x14ac:dyDescent="0.2">
      <c r="AB883" s="17"/>
      <c r="AV883" s="21"/>
    </row>
    <row r="884" spans="28:48" ht="12.75" x14ac:dyDescent="0.2">
      <c r="AB884" s="17"/>
      <c r="AV884" s="21"/>
    </row>
    <row r="885" spans="28:48" ht="12.75" x14ac:dyDescent="0.2">
      <c r="AB885" s="17"/>
      <c r="AV885" s="21"/>
    </row>
    <row r="886" spans="28:48" ht="12.75" x14ac:dyDescent="0.2">
      <c r="AB886" s="17"/>
      <c r="AV886" s="21"/>
    </row>
    <row r="887" spans="28:48" ht="12.75" x14ac:dyDescent="0.2">
      <c r="AB887" s="17"/>
      <c r="AV887" s="21"/>
    </row>
    <row r="888" spans="28:48" ht="12.75" x14ac:dyDescent="0.2">
      <c r="AB888" s="17"/>
      <c r="AV888" s="21"/>
    </row>
    <row r="889" spans="28:48" ht="12.75" x14ac:dyDescent="0.2">
      <c r="AB889" s="17"/>
      <c r="AV889" s="21"/>
    </row>
    <row r="890" spans="28:48" ht="12.75" x14ac:dyDescent="0.2">
      <c r="AB890" s="17"/>
      <c r="AV890" s="21"/>
    </row>
    <row r="891" spans="28:48" ht="12.75" x14ac:dyDescent="0.2">
      <c r="AB891" s="17"/>
      <c r="AV891" s="21"/>
    </row>
    <row r="892" spans="28:48" ht="12.75" x14ac:dyDescent="0.2">
      <c r="AB892" s="17"/>
      <c r="AV892" s="21"/>
    </row>
    <row r="893" spans="28:48" ht="12.75" x14ac:dyDescent="0.2">
      <c r="AB893" s="17"/>
      <c r="AV893" s="21"/>
    </row>
    <row r="894" spans="28:48" ht="12.75" x14ac:dyDescent="0.2">
      <c r="AB894" s="17"/>
      <c r="AV894" s="21"/>
    </row>
    <row r="895" spans="28:48" ht="12.75" x14ac:dyDescent="0.2">
      <c r="AB895" s="17"/>
      <c r="AV895" s="21"/>
    </row>
    <row r="896" spans="28:48" ht="12.75" x14ac:dyDescent="0.2">
      <c r="AB896" s="17"/>
      <c r="AV896" s="21"/>
    </row>
    <row r="897" spans="28:48" ht="12.75" x14ac:dyDescent="0.2">
      <c r="AB897" s="17"/>
      <c r="AV897" s="21"/>
    </row>
    <row r="898" spans="28:48" ht="12.75" x14ac:dyDescent="0.2">
      <c r="AB898" s="17"/>
      <c r="AV898" s="21"/>
    </row>
    <row r="899" spans="28:48" ht="12.75" x14ac:dyDescent="0.2">
      <c r="AB899" s="17"/>
      <c r="AV899" s="21"/>
    </row>
    <row r="900" spans="28:48" ht="12.75" x14ac:dyDescent="0.2">
      <c r="AB900" s="17"/>
      <c r="AV900" s="21"/>
    </row>
    <row r="901" spans="28:48" ht="12.75" x14ac:dyDescent="0.2">
      <c r="AB901" s="17"/>
      <c r="AV901" s="21"/>
    </row>
    <row r="902" spans="28:48" ht="12.75" x14ac:dyDescent="0.2">
      <c r="AB902" s="17"/>
      <c r="AV902" s="21"/>
    </row>
    <row r="903" spans="28:48" ht="12.75" x14ac:dyDescent="0.2">
      <c r="AB903" s="17"/>
      <c r="AV903" s="21"/>
    </row>
    <row r="904" spans="28:48" ht="12.75" x14ac:dyDescent="0.2">
      <c r="AB904" s="17"/>
      <c r="AV904" s="21"/>
    </row>
    <row r="905" spans="28:48" ht="12.75" x14ac:dyDescent="0.2">
      <c r="AB905" s="17"/>
      <c r="AV905" s="21"/>
    </row>
    <row r="906" spans="28:48" ht="12.75" x14ac:dyDescent="0.2">
      <c r="AB906" s="17"/>
      <c r="AV906" s="21"/>
    </row>
    <row r="907" spans="28:48" ht="12.75" x14ac:dyDescent="0.2">
      <c r="AB907" s="17"/>
      <c r="AV907" s="21"/>
    </row>
    <row r="908" spans="28:48" ht="12.75" x14ac:dyDescent="0.2">
      <c r="AB908" s="17"/>
      <c r="AV908" s="21"/>
    </row>
    <row r="909" spans="28:48" ht="12.75" x14ac:dyDescent="0.2">
      <c r="AB909" s="17"/>
      <c r="AV909" s="21"/>
    </row>
    <row r="910" spans="28:48" ht="12.75" x14ac:dyDescent="0.2">
      <c r="AB910" s="17"/>
      <c r="AV910" s="21"/>
    </row>
    <row r="911" spans="28:48" ht="12.75" x14ac:dyDescent="0.2">
      <c r="AB911" s="17"/>
      <c r="AV911" s="21"/>
    </row>
    <row r="912" spans="28:48" ht="12.75" x14ac:dyDescent="0.2">
      <c r="AB912" s="17"/>
      <c r="AV912" s="21"/>
    </row>
    <row r="913" spans="28:48" ht="12.75" x14ac:dyDescent="0.2">
      <c r="AB913" s="17"/>
      <c r="AV913" s="21"/>
    </row>
    <row r="914" spans="28:48" ht="12.75" x14ac:dyDescent="0.2">
      <c r="AB914" s="17"/>
      <c r="AV914" s="21"/>
    </row>
    <row r="915" spans="28:48" ht="12.75" x14ac:dyDescent="0.2">
      <c r="AB915" s="17"/>
      <c r="AV915" s="21"/>
    </row>
    <row r="916" spans="28:48" ht="12.75" x14ac:dyDescent="0.2">
      <c r="AB916" s="17"/>
      <c r="AV916" s="21"/>
    </row>
    <row r="917" spans="28:48" ht="12.75" x14ac:dyDescent="0.2">
      <c r="AB917" s="17"/>
      <c r="AV917" s="21"/>
    </row>
    <row r="918" spans="28:48" ht="12.75" x14ac:dyDescent="0.2">
      <c r="AB918" s="17"/>
      <c r="AV918" s="21"/>
    </row>
    <row r="919" spans="28:48" ht="12.75" x14ac:dyDescent="0.2">
      <c r="AB919" s="17"/>
      <c r="AV919" s="21"/>
    </row>
    <row r="920" spans="28:48" ht="12.75" x14ac:dyDescent="0.2">
      <c r="AB920" s="17"/>
      <c r="AV920" s="21"/>
    </row>
    <row r="921" spans="28:48" ht="12.75" x14ac:dyDescent="0.2">
      <c r="AB921" s="17"/>
      <c r="AV921" s="21"/>
    </row>
    <row r="922" spans="28:48" ht="12.75" x14ac:dyDescent="0.2">
      <c r="AB922" s="17"/>
      <c r="AV922" s="21"/>
    </row>
    <row r="923" spans="28:48" ht="12.75" x14ac:dyDescent="0.2">
      <c r="AB923" s="17"/>
      <c r="AV923" s="21"/>
    </row>
    <row r="924" spans="28:48" ht="12.75" x14ac:dyDescent="0.2">
      <c r="AB924" s="17"/>
      <c r="AV924" s="21"/>
    </row>
    <row r="925" spans="28:48" ht="12.75" x14ac:dyDescent="0.2">
      <c r="AB925" s="17"/>
      <c r="AV925" s="21"/>
    </row>
    <row r="926" spans="28:48" ht="12.75" x14ac:dyDescent="0.2">
      <c r="AB926" s="17"/>
      <c r="AV926" s="21"/>
    </row>
    <row r="927" spans="28:48" ht="12.75" x14ac:dyDescent="0.2">
      <c r="AB927" s="17"/>
      <c r="AV927" s="21"/>
    </row>
    <row r="928" spans="28:48" ht="12.75" x14ac:dyDescent="0.2">
      <c r="AB928" s="17"/>
      <c r="AV928" s="21"/>
    </row>
    <row r="929" spans="28:48" ht="12.75" x14ac:dyDescent="0.2">
      <c r="AB929" s="17"/>
      <c r="AV929" s="21"/>
    </row>
    <row r="930" spans="28:48" ht="12.75" x14ac:dyDescent="0.2">
      <c r="AB930" s="17"/>
      <c r="AV930" s="21"/>
    </row>
    <row r="931" spans="28:48" ht="12.75" x14ac:dyDescent="0.2">
      <c r="AB931" s="17"/>
      <c r="AV931" s="21"/>
    </row>
    <row r="932" spans="28:48" ht="12.75" x14ac:dyDescent="0.2">
      <c r="AB932" s="17"/>
      <c r="AV932" s="21"/>
    </row>
    <row r="933" spans="28:48" ht="12.75" x14ac:dyDescent="0.2">
      <c r="AB933" s="17"/>
      <c r="AV933" s="21"/>
    </row>
    <row r="934" spans="28:48" ht="12.75" x14ac:dyDescent="0.2">
      <c r="AB934" s="17"/>
      <c r="AV934" s="21"/>
    </row>
    <row r="935" spans="28:48" ht="12.75" x14ac:dyDescent="0.2">
      <c r="AB935" s="17"/>
      <c r="AV935" s="21"/>
    </row>
    <row r="936" spans="28:48" ht="12.75" x14ac:dyDescent="0.2">
      <c r="AB936" s="17"/>
      <c r="AV936" s="21"/>
    </row>
    <row r="937" spans="28:48" ht="12.75" x14ac:dyDescent="0.2">
      <c r="AB937" s="17"/>
      <c r="AV937" s="21"/>
    </row>
    <row r="938" spans="28:48" ht="12.75" x14ac:dyDescent="0.2">
      <c r="AB938" s="17"/>
      <c r="AV938" s="21"/>
    </row>
    <row r="939" spans="28:48" ht="12.75" x14ac:dyDescent="0.2">
      <c r="AB939" s="17"/>
      <c r="AV939" s="21"/>
    </row>
    <row r="940" spans="28:48" ht="12.75" x14ac:dyDescent="0.2">
      <c r="AB940" s="17"/>
      <c r="AV940" s="21"/>
    </row>
    <row r="941" spans="28:48" ht="12.75" x14ac:dyDescent="0.2">
      <c r="AB941" s="17"/>
      <c r="AV941" s="21"/>
    </row>
    <row r="942" spans="28:48" ht="12.75" x14ac:dyDescent="0.2">
      <c r="AB942" s="17"/>
      <c r="AV942" s="21"/>
    </row>
    <row r="943" spans="28:48" ht="12.75" x14ac:dyDescent="0.2">
      <c r="AB943" s="17"/>
      <c r="AV943" s="21"/>
    </row>
    <row r="944" spans="28:48" ht="12.75" x14ac:dyDescent="0.2">
      <c r="AB944" s="17"/>
      <c r="AV944" s="21"/>
    </row>
    <row r="945" spans="28:48" ht="12.75" x14ac:dyDescent="0.2">
      <c r="AB945" s="17"/>
      <c r="AV945" s="21"/>
    </row>
    <row r="946" spans="28:48" ht="12.75" x14ac:dyDescent="0.2">
      <c r="AB946" s="17"/>
      <c r="AV946" s="21"/>
    </row>
    <row r="947" spans="28:48" ht="12.75" x14ac:dyDescent="0.2">
      <c r="AB947" s="17"/>
      <c r="AV947" s="21"/>
    </row>
    <row r="948" spans="28:48" ht="12.75" x14ac:dyDescent="0.2">
      <c r="AB948" s="17"/>
      <c r="AV948" s="21"/>
    </row>
    <row r="949" spans="28:48" ht="12.75" x14ac:dyDescent="0.2">
      <c r="AB949" s="17"/>
      <c r="AV949" s="21"/>
    </row>
    <row r="950" spans="28:48" ht="12.75" x14ac:dyDescent="0.2">
      <c r="AB950" s="17"/>
      <c r="AV950" s="21"/>
    </row>
    <row r="951" spans="28:48" ht="12.75" x14ac:dyDescent="0.2">
      <c r="AB951" s="17"/>
      <c r="AV951" s="21"/>
    </row>
    <row r="952" spans="28:48" ht="12.75" x14ac:dyDescent="0.2">
      <c r="AB952" s="17"/>
      <c r="AV952" s="21"/>
    </row>
    <row r="953" spans="28:48" ht="12.75" x14ac:dyDescent="0.2">
      <c r="AB953" s="17"/>
      <c r="AV953" s="21"/>
    </row>
    <row r="954" spans="28:48" ht="12.75" x14ac:dyDescent="0.2">
      <c r="AB954" s="17"/>
      <c r="AV954" s="21"/>
    </row>
    <row r="955" spans="28:48" ht="12.75" x14ac:dyDescent="0.2">
      <c r="AB955" s="17"/>
      <c r="AV955" s="21"/>
    </row>
    <row r="956" spans="28:48" ht="12.75" x14ac:dyDescent="0.2">
      <c r="AB956" s="17"/>
      <c r="AV956" s="21"/>
    </row>
    <row r="957" spans="28:48" ht="12.75" x14ac:dyDescent="0.2">
      <c r="AB957" s="17"/>
      <c r="AV957" s="21"/>
    </row>
    <row r="958" spans="28:48" ht="12.75" x14ac:dyDescent="0.2">
      <c r="AB958" s="17"/>
      <c r="AV958" s="21"/>
    </row>
    <row r="959" spans="28:48" ht="12.75" x14ac:dyDescent="0.2">
      <c r="AB959" s="17"/>
      <c r="AV959" s="21"/>
    </row>
    <row r="960" spans="28:48" ht="12.75" x14ac:dyDescent="0.2">
      <c r="AB960" s="17"/>
      <c r="AV960" s="21"/>
    </row>
    <row r="961" spans="28:48" ht="12.75" x14ac:dyDescent="0.2">
      <c r="AB961" s="17"/>
      <c r="AV961" s="21"/>
    </row>
    <row r="962" spans="28:48" ht="12.75" x14ac:dyDescent="0.2">
      <c r="AB962" s="17"/>
      <c r="AV962" s="21"/>
    </row>
    <row r="963" spans="28:48" ht="12.75" x14ac:dyDescent="0.2">
      <c r="AB963" s="17"/>
      <c r="AV963" s="21"/>
    </row>
    <row r="964" spans="28:48" ht="12.75" x14ac:dyDescent="0.2">
      <c r="AB964" s="17"/>
      <c r="AV964" s="21"/>
    </row>
    <row r="965" spans="28:48" ht="12.75" x14ac:dyDescent="0.2">
      <c r="AB965" s="17"/>
      <c r="AV965" s="21"/>
    </row>
    <row r="966" spans="28:48" ht="12.75" x14ac:dyDescent="0.2">
      <c r="AB966" s="17"/>
      <c r="AV966" s="21"/>
    </row>
    <row r="967" spans="28:48" ht="12.75" x14ac:dyDescent="0.2">
      <c r="AB967" s="17"/>
      <c r="AV967" s="21"/>
    </row>
    <row r="968" spans="28:48" ht="12.75" x14ac:dyDescent="0.2">
      <c r="AB968" s="17"/>
      <c r="AV968" s="21"/>
    </row>
    <row r="969" spans="28:48" ht="12.75" x14ac:dyDescent="0.2">
      <c r="AB969" s="17"/>
      <c r="AV969" s="21"/>
    </row>
    <row r="970" spans="28:48" ht="12.75" x14ac:dyDescent="0.2">
      <c r="AB970" s="17"/>
      <c r="AV970" s="21"/>
    </row>
    <row r="971" spans="28:48" ht="12.75" x14ac:dyDescent="0.2">
      <c r="AB971" s="17"/>
      <c r="AV971" s="21"/>
    </row>
    <row r="972" spans="28:48" ht="12.75" x14ac:dyDescent="0.2">
      <c r="AB972" s="17"/>
      <c r="AV972" s="21"/>
    </row>
    <row r="973" spans="28:48" ht="12.75" x14ac:dyDescent="0.2">
      <c r="AB973" s="17"/>
      <c r="AV973" s="21"/>
    </row>
    <row r="974" spans="28:48" ht="12.75" x14ac:dyDescent="0.2">
      <c r="AB974" s="17"/>
      <c r="AV974" s="21"/>
    </row>
    <row r="975" spans="28:48" ht="12.75" x14ac:dyDescent="0.2">
      <c r="AB975" s="17"/>
      <c r="AV975" s="21"/>
    </row>
    <row r="976" spans="28:48" ht="12.75" x14ac:dyDescent="0.2">
      <c r="AB976" s="17"/>
      <c r="AV976" s="21"/>
    </row>
    <row r="977" spans="28:48" ht="12.75" x14ac:dyDescent="0.2">
      <c r="AB977" s="17"/>
      <c r="AV977" s="21"/>
    </row>
    <row r="978" spans="28:48" ht="12.75" x14ac:dyDescent="0.2">
      <c r="AB978" s="17"/>
      <c r="AV978" s="21"/>
    </row>
    <row r="979" spans="28:48" ht="12.75" x14ac:dyDescent="0.2">
      <c r="AB979" s="17"/>
      <c r="AV979" s="21"/>
    </row>
    <row r="980" spans="28:48" ht="12.75" x14ac:dyDescent="0.2">
      <c r="AB980" s="17"/>
      <c r="AV980" s="21"/>
    </row>
    <row r="981" spans="28:48" ht="12.75" x14ac:dyDescent="0.2">
      <c r="AB981" s="17"/>
      <c r="AV981" s="21"/>
    </row>
    <row r="982" spans="28:48" ht="12.75" x14ac:dyDescent="0.2">
      <c r="AB982" s="17"/>
      <c r="AV982" s="21"/>
    </row>
    <row r="983" spans="28:48" ht="12.75" x14ac:dyDescent="0.2">
      <c r="AB983" s="17"/>
      <c r="AV983" s="21"/>
    </row>
    <row r="984" spans="28:48" ht="12.75" x14ac:dyDescent="0.2">
      <c r="AB984" s="17"/>
      <c r="AV984" s="21"/>
    </row>
    <row r="985" spans="28:48" ht="12.75" x14ac:dyDescent="0.2">
      <c r="AB985" s="17"/>
      <c r="AV985" s="21"/>
    </row>
    <row r="986" spans="28:48" ht="12.75" x14ac:dyDescent="0.2">
      <c r="AB986" s="17"/>
      <c r="AV986" s="21"/>
    </row>
    <row r="987" spans="28:48" ht="12.75" x14ac:dyDescent="0.2">
      <c r="AB987" s="17"/>
      <c r="AV987" s="21"/>
    </row>
    <row r="988" spans="28:48" ht="12.75" x14ac:dyDescent="0.2">
      <c r="AB988" s="17"/>
      <c r="AV988" s="21"/>
    </row>
    <row r="989" spans="28:48" ht="12.75" x14ac:dyDescent="0.2">
      <c r="AB989" s="17"/>
      <c r="AV989" s="21"/>
    </row>
    <row r="990" spans="28:48" ht="12.75" x14ac:dyDescent="0.2">
      <c r="AB990" s="17"/>
      <c r="AV990" s="21"/>
    </row>
    <row r="991" spans="28:48" ht="12.75" x14ac:dyDescent="0.2">
      <c r="AB991" s="17"/>
      <c r="AV991" s="21"/>
    </row>
    <row r="992" spans="28:48" ht="12.75" x14ac:dyDescent="0.2">
      <c r="AB992" s="17"/>
      <c r="AV992" s="21"/>
    </row>
    <row r="993" spans="28:48" ht="12.75" x14ac:dyDescent="0.2">
      <c r="AB993" s="17"/>
      <c r="AV993" s="21"/>
    </row>
    <row r="994" spans="28:48" ht="12.75" x14ac:dyDescent="0.2">
      <c r="AB994" s="17"/>
      <c r="AV994" s="21"/>
    </row>
    <row r="995" spans="28:48" ht="12.75" x14ac:dyDescent="0.2">
      <c r="AB995" s="17"/>
      <c r="AV995" s="21"/>
    </row>
    <row r="996" spans="28:48" ht="12.75" x14ac:dyDescent="0.2">
      <c r="AB996" s="17"/>
      <c r="AV996" s="21"/>
    </row>
    <row r="997" spans="28:48" ht="12.75" x14ac:dyDescent="0.2">
      <c r="AB997" s="17"/>
      <c r="AV997" s="21"/>
    </row>
    <row r="998" spans="28:48" ht="12.75" x14ac:dyDescent="0.2">
      <c r="AB998" s="17"/>
      <c r="AV998" s="21"/>
    </row>
    <row r="999" spans="28:48" ht="12.75" x14ac:dyDescent="0.2">
      <c r="AB999" s="17"/>
      <c r="AV999" s="21"/>
    </row>
    <row r="1000" spans="28:48" ht="12.75" x14ac:dyDescent="0.2">
      <c r="AB1000" s="17"/>
      <c r="AV1000" s="21"/>
    </row>
    <row r="1001" spans="28:48" ht="12.75" x14ac:dyDescent="0.2">
      <c r="AB1001" s="17"/>
      <c r="AV1001" s="21"/>
    </row>
  </sheetData>
  <autoFilter ref="A6:BG124" xr:uid="{00000000-0009-0000-0000-000001000000}"/>
  <mergeCells count="2">
    <mergeCell ref="A1:BF1"/>
    <mergeCell ref="BB5:BF5"/>
  </mergeCells>
  <dataValidations count="2">
    <dataValidation type="list" allowBlank="1" showErrorMessage="1" sqref="P7:P123" xr:uid="{00000000-0002-0000-0100-000000000000}">
      <formula1>Regionalizacion</formula1>
    </dataValidation>
    <dataValidation type="list" allowBlank="1" showErrorMessage="1" sqref="R7:R123" xr:uid="{00000000-0002-0000-0100-000001000000}">
      <formula1>NivelPrePos</formula1>
    </dataValidation>
  </dataValidations>
  <hyperlinks>
    <hyperlink ref="AD7" r:id="rId1" display="https://drive.google.com/file/d/1M0UbT7uIg6yflz1KZLo_iTX2GeLgnOHg/view?usp=sharing" xr:uid="{00000000-0004-0000-0100-000000000000}"/>
    <hyperlink ref="AD8" r:id="rId2" display="https://drive.google.com/file/d/1xPgxqbaxP6yMKKIbchArpGfdTYw24k_x/view?usp=sharing" xr:uid="{00000000-0004-0000-0100-000001000000}"/>
    <hyperlink ref="Y9" r:id="rId3" xr:uid="{00000000-0004-0000-0100-000002000000}"/>
    <hyperlink ref="AA9" r:id="rId4" xr:uid="{00000000-0004-0000-0100-000003000000}"/>
    <hyperlink ref="AD9" r:id="rId5" display="https://drive.google.com/file/d/1HXkLXaF60oyZk9MV9iLe8OyPzShEdcB4/view?usp=sharing" xr:uid="{00000000-0004-0000-0100-000004000000}"/>
    <hyperlink ref="AU9" r:id="rId6" display="https://drive.google.com/file/d/1HXkLXaF60oyZk9MV9iLe8OyPzShEdcB4/view?usp=sharing" xr:uid="{00000000-0004-0000-0100-000005000000}"/>
    <hyperlink ref="Y10" r:id="rId7" xr:uid="{00000000-0004-0000-0100-000006000000}"/>
    <hyperlink ref="AD10" r:id="rId8" display="https://drive.google.com/file/d/1-9MbcdHyFR6XU4ADrdl2iybOP0cK-IZb/view?usp=sharing" xr:uid="{00000000-0004-0000-0100-000007000000}"/>
    <hyperlink ref="AU10" r:id="rId9" display="https://drive.google.com/file/d/1-9MbcdHyFR6XU4ADrdl2iybOP0cK-IZb/view?usp=sharing" xr:uid="{00000000-0004-0000-0100-000008000000}"/>
    <hyperlink ref="Y11" r:id="rId10" xr:uid="{00000000-0004-0000-0100-000009000000}"/>
    <hyperlink ref="AA11" r:id="rId11" xr:uid="{00000000-0004-0000-0100-00000A000000}"/>
    <hyperlink ref="AD11" r:id="rId12" display="https://drive.google.com/file/d/1nknSA9n3HdjaS1UC6zvQNO37zh_3p4Rk/view?usp=sharing" xr:uid="{00000000-0004-0000-0100-00000B000000}"/>
    <hyperlink ref="AU11" r:id="rId13" display="https://drive.google.com/file/d/1nknSA9n3HdjaS1UC6zvQNO37zh_3p4Rk/view?usp=sharing" xr:uid="{00000000-0004-0000-0100-00000C000000}"/>
    <hyperlink ref="AD12" r:id="rId14" display="https://drive.google.com/file/d/1SC2uCVy7fF1PKcjtSUbKwWyjX95eAPPB/view?usp=sharing" xr:uid="{00000000-0004-0000-0100-00000D000000}"/>
    <hyperlink ref="AU12" r:id="rId15" display="https://drive.google.com/file/d/1SC2uCVy7fF1PKcjtSUbKwWyjX95eAPPB/view?usp=sharing" xr:uid="{00000000-0004-0000-0100-00000E000000}"/>
    <hyperlink ref="N13" r:id="rId16" xr:uid="{00000000-0004-0000-0100-00000F000000}"/>
    <hyperlink ref="AD13" r:id="rId17" xr:uid="{00000000-0004-0000-0100-000010000000}"/>
    <hyperlink ref="AU13" r:id="rId18" display="https://drive.google.com/file/d/1xcQCbpsUOSgdbPEhVL9IA-Zl193moNgW/view?usp=sharing" xr:uid="{00000000-0004-0000-0100-000011000000}"/>
    <hyperlink ref="BF13" r:id="rId19" xr:uid="{00000000-0004-0000-0100-000012000000}"/>
    <hyperlink ref="AD14" r:id="rId20" display="https://drive.google.com/file/d/1WHtMNi5BqFDPfDDOHcXI34Bd9zMoVrqE/view?usp=sharing" xr:uid="{00000000-0004-0000-0100-000013000000}"/>
    <hyperlink ref="AD15" r:id="rId21" display="https://drive.google.com/file/d/11n1VQA9skreNDWcIajY7YcyoJL1JoEkF/view?usp=sharing" xr:uid="{00000000-0004-0000-0100-000014000000}"/>
    <hyperlink ref="AD17" r:id="rId22" display="https://drive.google.com/file/d/1lRKh_kaqj8NKeiqRtHDzzUhHN-G_iRQy/view?usp=sharing" xr:uid="{00000000-0004-0000-0100-000015000000}"/>
    <hyperlink ref="AD18" r:id="rId23" display="https://drive.google.com/file/d/1umHQRHZVmnQd5LPUTRAzahKbwMBD0DYd/view?usp=sharing" xr:uid="{00000000-0004-0000-0100-000016000000}"/>
    <hyperlink ref="AA19" r:id="rId24" xr:uid="{00000000-0004-0000-0100-000017000000}"/>
    <hyperlink ref="AD19" r:id="rId25" display="https://drive.google.com/file/d/1NAbwHaTH7Zowhp8YYbQn1T5BfNC6Vsbt/view?usp=sharing" xr:uid="{00000000-0004-0000-0100-000018000000}"/>
    <hyperlink ref="AU19" r:id="rId26" display="https://drive.google.com/file/d/1NAbwHaTH7Zowhp8YYbQn1T5BfNC6Vsbt/view?usp=sharing" xr:uid="{00000000-0004-0000-0100-000019000000}"/>
    <hyperlink ref="AD20" r:id="rId27" display="https://drive.google.com/file/d/1Qvbr2SnLleVtPacmPFlPjZ4N8rW1KZtQ/view?usp=drive_link" xr:uid="{00000000-0004-0000-0100-00001A000000}"/>
    <hyperlink ref="AD21" r:id="rId28" display="https://drive.google.com/file/d/13mIejXPHyzfgUv8FYk2PFQ3WevNdpXRi/view?usp=sharing" xr:uid="{00000000-0004-0000-0100-00001B000000}"/>
    <hyperlink ref="AD22" r:id="rId29" display="https://drive.google.com/file/d/1kjoAwgnMZTmxj_8k5wWWBGyCLx-hrY7e/view?usp=sharing" xr:uid="{00000000-0004-0000-0100-00001C000000}"/>
    <hyperlink ref="AD23" r:id="rId30" display="https://drive.google.com/file/d/1JfL4loDWH-mjqb-FpYKuSgnb9C7zOXmF/view?usp=sharing" xr:uid="{00000000-0004-0000-0100-00001D000000}"/>
    <hyperlink ref="AD24" r:id="rId31" display="https://drive.google.com/file/d/15cvAKqKUYLNRfqNd5zWXxr_IonVRuKeM/view?usp=sharing" xr:uid="{00000000-0004-0000-0100-00001E000000}"/>
    <hyperlink ref="AD25" r:id="rId32" display="https://drive.google.com/file/d/1A1ps5l0gQyOuTbsAUSpwjA1fmgd9nZ2E/view?usp=sharing" xr:uid="{00000000-0004-0000-0100-00001F000000}"/>
    <hyperlink ref="Y26" r:id="rId33" xr:uid="{00000000-0004-0000-0100-000020000000}"/>
    <hyperlink ref="AA26" r:id="rId34" xr:uid="{00000000-0004-0000-0100-000021000000}"/>
    <hyperlink ref="AD26" r:id="rId35" display="https://drive.google.com/file/d/1Hwr0ocsyMMU3i_Z7d5Xv4oIUwRHlIFiC/view?usp=sharing" xr:uid="{00000000-0004-0000-0100-000022000000}"/>
    <hyperlink ref="AD27" r:id="rId36" display="https://drive.google.com/file/d/1RFy1ShchPQcLAmt9n3ALcqDJ3V6GJin3/view?usp=sharing" xr:uid="{00000000-0004-0000-0100-000023000000}"/>
    <hyperlink ref="AD28" r:id="rId37" display="https://drive.google.com/file/d/1jz5e0wsIV7pfdKmBKZZFtksaP7F8R0UY/view?usp=sharing" xr:uid="{00000000-0004-0000-0100-000024000000}"/>
    <hyperlink ref="AD29" r:id="rId38" display="https://drive.google.com/file/d/1OEq77ob_d7NMLeL8gwKd_00pffnpVi_B/view?usp=sharing" xr:uid="{00000000-0004-0000-0100-000025000000}"/>
    <hyperlink ref="Y30" r:id="rId39" xr:uid="{00000000-0004-0000-0100-000026000000}"/>
    <hyperlink ref="AD30" r:id="rId40" display="https://drive.google.com/file/d/10X8-RgH2VjMk6-n-jqpAy0JK7a9TjxSA/view?usp=sharing" xr:uid="{00000000-0004-0000-0100-000027000000}"/>
    <hyperlink ref="AU30" r:id="rId41" display="https://drive.google.com/file/d/10X8-RgH2VjMk6-n-jqpAy0JK7a9TjxSA/view?usp=sharing" xr:uid="{00000000-0004-0000-0100-000028000000}"/>
    <hyperlink ref="AD31" r:id="rId42" display="https://drive.google.com/file/d/1mM2AL7zsCIQJ2NnEkDDDv7l2pO6gde1f/view?usp=drive_link" xr:uid="{00000000-0004-0000-0100-000029000000}"/>
    <hyperlink ref="AD32" r:id="rId43" display="https://drive.google.com/file/d/1cWbb_iRNB-aWDgTxXtmV2ImR19s5j9b2/view?usp=sharing" xr:uid="{00000000-0004-0000-0100-00002A000000}"/>
    <hyperlink ref="AD33" r:id="rId44" display="https://drive.google.com/file/d/18I2yiCFvkRNQn5-3nlbQsQM01wKwKdBh/view?usp=sharing" xr:uid="{00000000-0004-0000-0100-00002B000000}"/>
    <hyperlink ref="AD34" r:id="rId45" display="https://drive.google.com/file/d/19bIIBidWMQzKXjANbfngXLUcOq2men0f/view?usp=sharing" xr:uid="{00000000-0004-0000-0100-00002C000000}"/>
    <hyperlink ref="AD35" r:id="rId46" display="https://drive.google.com/file/d/1oWXTMpollUpfMHgH8ThagsW8go7NxzDB/view?usp=sharing" xr:uid="{00000000-0004-0000-0100-00002D000000}"/>
    <hyperlink ref="AD36" r:id="rId47" display="https://drive.google.com/file/d/1XGSA6Q5h-6a9TEEQtUTwQ-UpCg-3iIRn/view?usp=sharing" xr:uid="{00000000-0004-0000-0100-00002E000000}"/>
    <hyperlink ref="AD37" r:id="rId48" display="https://drive.google.com/file/d/1gpzMRW8Hgf2eobUVfWnlITj3Xc0Alk2i/view?usp=sharing" xr:uid="{00000000-0004-0000-0100-00002F000000}"/>
    <hyperlink ref="AD38" r:id="rId49" display="https://drive.google.com/file/d/1hsmYE3r1SwV0PVX-hHU1EZTfdPrx6P6_/view?usp=sharing" xr:uid="{00000000-0004-0000-0100-000030000000}"/>
    <hyperlink ref="AD39" r:id="rId50" display="https://drive.google.com/file/d/1jqfo9I4pJ51X-l-gueer0UWcI82jE5Pn/view?usp=drive_link" xr:uid="{00000000-0004-0000-0100-000031000000}"/>
    <hyperlink ref="AU39" r:id="rId51" display="https://drive.google.com/file/d/1jqfo9I4pJ51X-l-gueer0UWcI82jE5Pn/view?usp=drive_link" xr:uid="{00000000-0004-0000-0100-000032000000}"/>
    <hyperlink ref="AD40" r:id="rId52" display="https://drive.google.com/file/d/13CQaoroICLz9rHN_ZuoiaUN_yKniCPiz/view?usp=sharing" xr:uid="{00000000-0004-0000-0100-000033000000}"/>
    <hyperlink ref="AD41" r:id="rId53" display="https://drive.google.com/file/d/1X8DpocQjSaf8Cj6Mr8gJCvRVMOhu26GH/view?usp=drive_link" xr:uid="{00000000-0004-0000-0100-000034000000}"/>
    <hyperlink ref="AD42" r:id="rId54" display="https://drive.google.com/file/d/1Ftsx3TJahW7j_imEm3VBZ7HzEZ-HI_oN/view?usp=drive_link" xr:uid="{00000000-0004-0000-0100-000035000000}"/>
    <hyperlink ref="AD43" r:id="rId55" display="https://drive.google.com/file/d/1L93Cyy1h1HzAOHYAy1UXOk_WQG8G0wIk/view?usp=sharing" xr:uid="{00000000-0004-0000-0100-000036000000}"/>
    <hyperlink ref="AU43" r:id="rId56" display="https://drive.google.com/file/d/1L93Cyy1h1HzAOHYAy1UXOk_WQG8G0wIk/view?usp=sharing" xr:uid="{00000000-0004-0000-0100-000037000000}"/>
    <hyperlink ref="AD44" r:id="rId57" display="https://drive.google.com/file/d/1PoHiSDoXSjHBo42UTSvcH1vBiVOUgHVm/view?usp=drive_link" xr:uid="{00000000-0004-0000-0100-000038000000}"/>
    <hyperlink ref="AD45" r:id="rId58" display="https://drive.google.com/file/d/1xCN-5YjiUmt2lVQCj_a6rJJkrAm8AG0O/view?usp=drive_link" xr:uid="{00000000-0004-0000-0100-000039000000}"/>
    <hyperlink ref="AD46" r:id="rId59" display="https://drive.google.com/file/d/1UMQUZrBiOCRZbcT0zinaNaWVT5fSFdeF/view?usp=sharing" xr:uid="{00000000-0004-0000-0100-00003A000000}"/>
    <hyperlink ref="Y47" r:id="rId60" xr:uid="{00000000-0004-0000-0100-00003B000000}"/>
    <hyperlink ref="AD47" r:id="rId61" display="https://drive.google.com/file/d/13_l2xb4ogJY99Uv5VrlpsQfDx0JxD09P/view?usp=sharing" xr:uid="{00000000-0004-0000-0100-00003C000000}"/>
    <hyperlink ref="Y48" r:id="rId62" xr:uid="{00000000-0004-0000-0100-00003D000000}"/>
    <hyperlink ref="AD48" r:id="rId63" display="https://drive.google.com/file/d/1BIxOCHyX_GKxFrMV2JWPfNDhrzmgNjmB/view?usp=sharing" xr:uid="{00000000-0004-0000-0100-00003E000000}"/>
    <hyperlink ref="AD49" r:id="rId64" display="https://drive.google.com/file/d/1gurVL0SU5VKlXr8Kna-mYjCl-gcsXgE5/view?usp=sharing" xr:uid="{00000000-0004-0000-0100-00003F000000}"/>
    <hyperlink ref="AD50" r:id="rId65" display="https://drive.google.com/file/d/1xBeq-lWMQl3nPdQJWXRGvdM1-hEHGKW9/view?usp=sharing" xr:uid="{00000000-0004-0000-0100-000040000000}"/>
    <hyperlink ref="AD51" r:id="rId66" display="https://drive.google.com/file/d/1Q8LSSQttgu813aly4musPnCMBt9OVJBC/view?usp=sharing" xr:uid="{00000000-0004-0000-0100-000041000000}"/>
    <hyperlink ref="AD52" r:id="rId67" display="https://drive.google.com/file/d/1bsC0UUlAPogCp7A1zu6OcqdvQC2mxnRW/view?usp=sharing" xr:uid="{00000000-0004-0000-0100-000042000000}"/>
    <hyperlink ref="Y53" r:id="rId68" xr:uid="{00000000-0004-0000-0100-000043000000}"/>
    <hyperlink ref="Z53" r:id="rId69" xr:uid="{00000000-0004-0000-0100-000044000000}"/>
    <hyperlink ref="AA53" r:id="rId70" xr:uid="{00000000-0004-0000-0100-000045000000}"/>
    <hyperlink ref="AD53" r:id="rId71" display="https://drive.google.com/file/d/1waQ-eBp5piFNZv0KLybwXZ2MSlweqOdq/view?usp=sharing" xr:uid="{00000000-0004-0000-0100-000046000000}"/>
    <hyperlink ref="AU53" r:id="rId72" display="https://drive.google.com/file/d/1waQ-eBp5piFNZv0KLybwXZ2MSlweqOdq/view?usp=sharing" xr:uid="{00000000-0004-0000-0100-000047000000}"/>
    <hyperlink ref="Y54" r:id="rId73" xr:uid="{00000000-0004-0000-0100-000048000000}"/>
    <hyperlink ref="AD54" r:id="rId74" display="https://drive.google.com/file/d/1hjCDDa0-C4R3CNkm9cFFcAyNwJ9Geftu/view?usp=sharing" xr:uid="{00000000-0004-0000-0100-000049000000}"/>
    <hyperlink ref="AU54" r:id="rId75" display="https://drive.google.com/file/d/1hjCDDa0-C4R3CNkm9cFFcAyNwJ9Geftu/view?usp=sharing" xr:uid="{00000000-0004-0000-0100-00004A000000}"/>
    <hyperlink ref="AD55" r:id="rId76" display="https://drive.google.com/file/d/11BwpYtkb-ZrO9qQiWeKSRfV60vNQCNpd/view?usp=sharing" xr:uid="{00000000-0004-0000-0100-00004B000000}"/>
    <hyperlink ref="Y56" r:id="rId77" xr:uid="{00000000-0004-0000-0100-00004C000000}"/>
    <hyperlink ref="Z56" r:id="rId78" xr:uid="{00000000-0004-0000-0100-00004D000000}"/>
    <hyperlink ref="AA56" r:id="rId79" xr:uid="{00000000-0004-0000-0100-00004E000000}"/>
    <hyperlink ref="AD56" r:id="rId80" display="https://drive.google.com/file/d/1mKgqy6O0UDf9BaG6-MMjGHa_jAsu2X3g/view" xr:uid="{00000000-0004-0000-0100-00004F000000}"/>
    <hyperlink ref="AU56" r:id="rId81" display="https://drive.google.com/file/d/1mKgqy6O0UDf9BaG6-MMjGHa_jAsu2X3g/view?usp=drive_link" xr:uid="{00000000-0004-0000-0100-000050000000}"/>
    <hyperlink ref="AD57" r:id="rId82" xr:uid="{00000000-0004-0000-0100-000051000000}"/>
    <hyperlink ref="AD58" r:id="rId83" display="https://drive.google.com/file/d/1mjE0K8WELFPu2eVioyasr4wOU1oDH0Gr/view?usp=sharing" xr:uid="{00000000-0004-0000-0100-000052000000}"/>
    <hyperlink ref="AU58" r:id="rId84" display="https://drive.google.com/file/d/1mjE0K8WELFPu2eVioyasr4wOU1oDH0Gr/view?usp=sharing" xr:uid="{00000000-0004-0000-0100-000053000000}"/>
    <hyperlink ref="AD59" r:id="rId85" display="https://drive.google.com/file/d/1MwGuF5cc0GeV0oL1Wt6P0YAcyEr4VhOj/view?usp=drive_link" xr:uid="{00000000-0004-0000-0100-000054000000}"/>
    <hyperlink ref="AA60" r:id="rId86" xr:uid="{00000000-0004-0000-0100-000055000000}"/>
    <hyperlink ref="AD60" r:id="rId87" display="https://drive.google.com/file/d/1EC78Wn3-sIdsRDW806urYateHQPWzuz3/view?usp=drive_link" xr:uid="{00000000-0004-0000-0100-000056000000}"/>
    <hyperlink ref="AU60" r:id="rId88" display="https://drive.google.com/file/d/1cRm4Z6u144SssfWKlOAbHeapHVcMKLOM/view?usp=sharing" xr:uid="{00000000-0004-0000-0100-000057000000}"/>
    <hyperlink ref="AD61" r:id="rId89" display="https://drive.google.com/file/d/17uAOVG_vHs8SuhwW9k4hhlI2tGIxDWk6/view?usp=sharing" xr:uid="{00000000-0004-0000-0100-000058000000}"/>
    <hyperlink ref="AD62" r:id="rId90" display="https://drive.google.com/file/d/1XAbIWl3XtB6xxmnc1PELR05SvckIYBsF/view?usp=sharing" xr:uid="{00000000-0004-0000-0100-000059000000}"/>
    <hyperlink ref="AD63" r:id="rId91" display="https://drive.google.com/file/d/1XWt2C9S0uqtNxgLJrMB8gJTByl3aUyOv/view?usp=sharing" xr:uid="{00000000-0004-0000-0100-00005A000000}"/>
    <hyperlink ref="Y64" r:id="rId92" xr:uid="{00000000-0004-0000-0100-00005B000000}"/>
    <hyperlink ref="AA64" r:id="rId93" xr:uid="{00000000-0004-0000-0100-00005C000000}"/>
    <hyperlink ref="AD64" r:id="rId94" display="https://drive.google.com/file/d/1VfMiIQlDTAmqUXVqQff0ErC6wYUeHpFP/view?usp=sharing" xr:uid="{00000000-0004-0000-0100-00005D000000}"/>
    <hyperlink ref="AU64" r:id="rId95" display="https://drive.google.com/file/d/1nAY9NSDLD9gvfOKe0trAs4vqjtUiTFtD/view?usp=sharing" xr:uid="{00000000-0004-0000-0100-00005E000000}"/>
    <hyperlink ref="Y65" r:id="rId96" xr:uid="{00000000-0004-0000-0100-00005F000000}"/>
    <hyperlink ref="AD65" r:id="rId97" display="https://drive.google.com/file/d/1lsp8iJzuYL6t1MLTure7VzRB4udqClbL/view?usp=sharing" xr:uid="{00000000-0004-0000-0100-000060000000}"/>
    <hyperlink ref="AD66" r:id="rId98" display="https://drive.google.com/file/d/1FqO8KI4ypRFeEtlKpOxiW9JteYt7v5Qy/view?usp=sharing" xr:uid="{00000000-0004-0000-0100-000061000000}"/>
    <hyperlink ref="AD67" r:id="rId99" display="https://drive.google.com/file/d/1vND1zWGhZ-a4w354BC3dAkdabAiipHCJ/view?usp=sharing" xr:uid="{00000000-0004-0000-0100-000062000000}"/>
    <hyperlink ref="AD68" r:id="rId100" display="https://drive.google.com/file/d/11P_92t0ScX93mZJmH6ibE3J_l3SKD6zJ/view?usp=sharing" xr:uid="{00000000-0004-0000-0100-000063000000}"/>
    <hyperlink ref="Z69" r:id="rId101" xr:uid="{00000000-0004-0000-0100-000064000000}"/>
    <hyperlink ref="AA69" r:id="rId102" xr:uid="{00000000-0004-0000-0100-000065000000}"/>
    <hyperlink ref="AD69" r:id="rId103" display="https://drive.google.com/file/d/1KY3Lofkakb2AS2W5Kz9on0V0nbDnxB4d/view?usp=sharing" xr:uid="{00000000-0004-0000-0100-000066000000}"/>
    <hyperlink ref="AU69" r:id="rId104" display="https://drive.google.com/file/d/18DITHOpJweXc6aYIx9Hw9sMSViCP3Tzb/view?usp=sharing" xr:uid="{00000000-0004-0000-0100-000067000000}"/>
    <hyperlink ref="Y70" r:id="rId105" xr:uid="{00000000-0004-0000-0100-000068000000}"/>
    <hyperlink ref="AA70" r:id="rId106" xr:uid="{00000000-0004-0000-0100-000069000000}"/>
    <hyperlink ref="AD70" r:id="rId107" display="https://drive.google.com/file/d/16kc3ZoHTEcaAtnjpvWet8fDuuzdfvqr4/view?usp=sharing" xr:uid="{00000000-0004-0000-0100-00006A000000}"/>
    <hyperlink ref="AU70" r:id="rId108" display="https://drive.google.com/file/d/1Jml8eI81GXDeZxghbwEQcU3ZZrxUt_Jt/view?usp=sharing" xr:uid="{00000000-0004-0000-0100-00006B000000}"/>
    <hyperlink ref="Y71" r:id="rId109" xr:uid="{00000000-0004-0000-0100-00006C000000}"/>
    <hyperlink ref="Z71" r:id="rId110" xr:uid="{00000000-0004-0000-0100-00006D000000}"/>
    <hyperlink ref="AA71" r:id="rId111" xr:uid="{00000000-0004-0000-0100-00006E000000}"/>
    <hyperlink ref="AD71" r:id="rId112" display="https://drive.google.com/file/d/1Lb1yNAFIZufWegAFiX2Mreq1sawJEbZr/view?usp=sharing" xr:uid="{00000000-0004-0000-0100-00006F000000}"/>
    <hyperlink ref="AU71" r:id="rId113" display="https://drive.google.com/file/d/1Lb1yNAFIZufWegAFiX2Mreq1sawJEbZr/view?usp=sharing" xr:uid="{00000000-0004-0000-0100-000070000000}"/>
    <hyperlink ref="AA72" r:id="rId114" xr:uid="{00000000-0004-0000-0100-000071000000}"/>
    <hyperlink ref="AD72" r:id="rId115" display="https://drive.google.com/file/d/1z1Ua7naD473_TmRhsGEFH6waFKKpjpbC/view?usp=sharing" xr:uid="{00000000-0004-0000-0100-000072000000}"/>
    <hyperlink ref="AU72" r:id="rId116" display="https://drive.google.com/file/d/1z1Ua7naD473_TmRhsGEFH6waFKKpjpbC/view?usp=sharing" xr:uid="{00000000-0004-0000-0100-000073000000}"/>
    <hyperlink ref="AD73" r:id="rId117" display="https://drive.google.com/file/d/1OXOGFkuCy1EeugKcez-WMsukHnk2pLxY/view?usp=sharing" xr:uid="{00000000-0004-0000-0100-000074000000}"/>
    <hyperlink ref="AD74" r:id="rId118" display="https://drive.google.com/file/d/15Mam1b97gbHrOCQL4fLLr6vRReIuWsl5/view?usp=sharing" xr:uid="{00000000-0004-0000-0100-000075000000}"/>
    <hyperlink ref="Y75" r:id="rId119" xr:uid="{00000000-0004-0000-0100-000076000000}"/>
    <hyperlink ref="AD75" r:id="rId120" display="https://drive.google.com/file/d/1oO1xdbPxRx5v3ceauPtBomtC8HhUXsfQ/view?usp=sharing" xr:uid="{00000000-0004-0000-0100-000077000000}"/>
    <hyperlink ref="AU75" r:id="rId121" display="https://drive.google.com/file/d/1oO1xdbPxRx5v3ceauPtBomtC8HhUXsfQ/view?usp=sharing" xr:uid="{00000000-0004-0000-0100-000078000000}"/>
    <hyperlink ref="AA76" r:id="rId122" xr:uid="{00000000-0004-0000-0100-000079000000}"/>
    <hyperlink ref="AD76" r:id="rId123" display="https://drive.google.com/file/d/1CzgmLIRUspzidjOIYO3MWDLV4Hkty8Z7/view?usp=sharing" xr:uid="{00000000-0004-0000-0100-00007A000000}"/>
    <hyperlink ref="AU76" r:id="rId124" display="https://drive.google.com/file/d/1CzgmLIRUspzidjOIYO3MWDLV4Hkty8Z7/view?usp=sharing" xr:uid="{00000000-0004-0000-0100-00007B000000}"/>
    <hyperlink ref="AD77" r:id="rId125" display="https://drive.google.com/file/d/1NwckPjOsuWUoPvqAOrb9CCOgQFyMBAUi/view?usp=sharing" xr:uid="{00000000-0004-0000-0100-00007C000000}"/>
    <hyperlink ref="AD78" r:id="rId126" display="https://drive.google.com/file/d/1Zir13D7-kN53GAhQ-A5rfWslMu7kr4IG/view?usp=drive_link" xr:uid="{00000000-0004-0000-0100-00007D000000}"/>
    <hyperlink ref="AD79" r:id="rId127" display="https://drive.google.com/file/d/1ttIi9nWZhWaBRfbg-y_tJkXEb6xDrNnE/view?usp=sharing" xr:uid="{00000000-0004-0000-0100-00007E000000}"/>
    <hyperlink ref="AU79" r:id="rId128" display="https://drive.google.com/file/d/1ttIi9nWZhWaBRfbg-y_tJkXEb6xDrNnE/view?usp=sharing" xr:uid="{00000000-0004-0000-0100-00007F000000}"/>
    <hyperlink ref="AD80" r:id="rId129" display="https://drive.google.com/file/d/1ZuXV_jNVjCmw5CG8k9fe0u4xrT7Hag4W/view?usp=sharing" xr:uid="{00000000-0004-0000-0100-000080000000}"/>
    <hyperlink ref="AD81" r:id="rId130" display="https://drive.google.com/file/d/1odU_73wPJvSMvGonRKea4PRmYogzBlQ7/view?usp=sharing" xr:uid="{00000000-0004-0000-0100-000081000000}"/>
    <hyperlink ref="Y82" r:id="rId131" xr:uid="{00000000-0004-0000-0100-000082000000}"/>
    <hyperlink ref="AD82" r:id="rId132" display="https://drive.google.com/file/d/12hVe9RTyjeCuv0rw-rkq8-0TVK7s96dL/view?usp=sharing" xr:uid="{00000000-0004-0000-0100-000083000000}"/>
    <hyperlink ref="AU82" r:id="rId133" display="https://drive.google.com/file/d/16DmQloklE9C4TU6II-u9FzsxZuO3TON5/view?usp=drive_link" xr:uid="{00000000-0004-0000-0100-000084000000}"/>
    <hyperlink ref="AD83" r:id="rId134" display="https://drive.google.com/file/d/17DgtSJ4SXCJeLseDJadXbkqNQUsRrm6y/view?usp=sharing" xr:uid="{00000000-0004-0000-0100-000085000000}"/>
    <hyperlink ref="AD84" r:id="rId135" display="https://drive.google.com/file/d/1BvJSuctBFASwo_jBi5OfvEJZWRpaDfxN/view?usp=sharing" xr:uid="{00000000-0004-0000-0100-000086000000}"/>
    <hyperlink ref="AU84" r:id="rId136" display="https://drive.google.com/file/d/1BvJSuctBFASwo_jBi5OfvEJZWRpaDfxN/view?usp=sharing" xr:uid="{00000000-0004-0000-0100-000087000000}"/>
    <hyperlink ref="Y85" r:id="rId137" xr:uid="{00000000-0004-0000-0100-000088000000}"/>
    <hyperlink ref="AD85" r:id="rId138" display="https://drive.google.com/file/d/1dnN0m2oPYjsH_GoMh6Hu3PZxtYL-76tN/view?usp=drive_link" xr:uid="{00000000-0004-0000-0100-000089000000}"/>
    <hyperlink ref="AU85" r:id="rId139" display="https://drive.google.com/file/d/1dnN0m2oPYjsH_GoMh6Hu3PZxtYL-76tN/view?usp=drive_link" xr:uid="{00000000-0004-0000-0100-00008A000000}"/>
    <hyperlink ref="AD86" r:id="rId140" display="https://drive.google.com/file/d/13hCnnTLEx9B2WyWSajxKJ_m95lLL_raa/view?usp=sharing" xr:uid="{00000000-0004-0000-0100-00008B000000}"/>
    <hyperlink ref="Y87" r:id="rId141" xr:uid="{00000000-0004-0000-0100-00008C000000}"/>
    <hyperlink ref="AD87" r:id="rId142" display="https://drive.google.com/file/d/1EaOFrXLDHzqg1t7Mq_ei9HtgVPD0heCb/view?usp=sharing" xr:uid="{00000000-0004-0000-0100-00008D000000}"/>
    <hyperlink ref="Y88" r:id="rId143" xr:uid="{00000000-0004-0000-0100-00008E000000}"/>
    <hyperlink ref="AD88" r:id="rId144" display="https://drive.google.com/file/d/1aehUnOyJ2DqWJ2p6nPvZPwWL23PpQPTb/view?usp=drive_link" xr:uid="{00000000-0004-0000-0100-00008F000000}"/>
    <hyperlink ref="AD89" r:id="rId145" display="https://drive.google.com/file/d/1Fwmg6E5hXBuP8RX4HET__FxgMsYFcwlQ/view?usp=sharing" xr:uid="{00000000-0004-0000-0100-000090000000}"/>
    <hyperlink ref="Y90" r:id="rId146" xr:uid="{00000000-0004-0000-0100-000091000000}"/>
    <hyperlink ref="AD90" r:id="rId147" display="https://drive.google.com/file/d/1I1lfQ4sC9SPnIYkAgwy2HtTn34_5gtYD/view?usp=sharing" xr:uid="{00000000-0004-0000-0100-000092000000}"/>
    <hyperlink ref="AD91" r:id="rId148" display="https://drive.google.com/file/d/1rIG2rCeeW9JhjtJKHd3E0nLpNDpGf-FC/view?usp=sharing" xr:uid="{00000000-0004-0000-0100-000093000000}"/>
    <hyperlink ref="AD92" r:id="rId149" display="https://drive.google.com/file/d/1XK5GmHflHx_PBynkcgGiVFwA5Cmh060c/view?usp=sharing" xr:uid="{00000000-0004-0000-0100-000094000000}"/>
    <hyperlink ref="AD93" r:id="rId150" display="https://drive.google.com/file/d/1p4HAh5sr0V4P5DzDwYE8MXelHEOchisX/view?usp=drive_link" xr:uid="{00000000-0004-0000-0100-000095000000}"/>
    <hyperlink ref="Y94" r:id="rId151" xr:uid="{00000000-0004-0000-0100-000096000000}"/>
    <hyperlink ref="Z94" r:id="rId152" xr:uid="{00000000-0004-0000-0100-000097000000}"/>
    <hyperlink ref="AA94" r:id="rId153" xr:uid="{00000000-0004-0000-0100-000098000000}"/>
    <hyperlink ref="AD94" r:id="rId154" display="https://drive.google.com/file/d/1eHEje98Ho0nreb8HdwMq_45jlBQDRnf8/view?usp=drive_link" xr:uid="{00000000-0004-0000-0100-000099000000}"/>
    <hyperlink ref="AD95" r:id="rId155" display="https://drive.google.com/file/d/1hxTVbhrNcIBsesYVkthChgW2mbAeihJN/view?usp=sharing" xr:uid="{00000000-0004-0000-0100-00009A000000}"/>
    <hyperlink ref="AD96" r:id="rId156" display="https://drive.google.com/file/d/19jqx3Z20XtpUnWXVG4SbqVFWPqrEN4AK/view?usp=sharing" xr:uid="{00000000-0004-0000-0100-00009B000000}"/>
    <hyperlink ref="AD97" r:id="rId157" display="https://drive.google.com/file/d/1adMinDMci8YMWoGu72pfJd84dnBDmOA_/view?usp=sharing" xr:uid="{00000000-0004-0000-0100-00009C000000}"/>
    <hyperlink ref="AD98" r:id="rId158" display="https://drive.google.com/file/d/1nfUvEzuPuJgSmYkIZrPKP8vib-vZz4m8/view?usp=drive_link" xr:uid="{00000000-0004-0000-0100-00009D000000}"/>
    <hyperlink ref="Y99" r:id="rId159" xr:uid="{00000000-0004-0000-0100-00009E000000}"/>
    <hyperlink ref="AD99" r:id="rId160" display="https://drive.google.com/file/d/1iKRey3OnqA1EVsy0S05DRWFlGXp3cdfQ/view?usp=sharing" xr:uid="{00000000-0004-0000-0100-00009F000000}"/>
    <hyperlink ref="AD100" r:id="rId161" display="https://drive.google.com/file/d/18CpogV4ZcbIRpF6vABFMM6jK8go3NUaV/view?usp=sharing" xr:uid="{00000000-0004-0000-0100-0000A0000000}"/>
    <hyperlink ref="AD101" r:id="rId162" display="https://drive.google.com/file/d/1jggpZ5SKoWXqMmEhfmx-lReP8J8iaf9p/view?usp=sharing" xr:uid="{00000000-0004-0000-0100-0000A1000000}"/>
    <hyperlink ref="AD102" r:id="rId163" display="https://drive.google.com/file/d/1Py9R6OCo89H_IwpQfsT-kIeN0U9wVFwX/view?usp=sharing" xr:uid="{00000000-0004-0000-0100-0000A2000000}"/>
    <hyperlink ref="Y103" r:id="rId164" xr:uid="{00000000-0004-0000-0100-0000A3000000}"/>
    <hyperlink ref="AD103" r:id="rId165" display="https://drive.google.com/file/d/1PF8BQ0f-8o5Wl4kFTJQJ06YkLTIsx17P/view?usp=sharing" xr:uid="{00000000-0004-0000-0100-0000A4000000}"/>
    <hyperlink ref="AD104" r:id="rId166" display="https://drive.google.com/file/d/1Mv54dGfcSUkFY3HD-tLYO8JGxkE_ZGcz/view?usp=drive_link" xr:uid="{00000000-0004-0000-0100-0000A5000000}"/>
    <hyperlink ref="AD105" r:id="rId167" xr:uid="{00000000-0004-0000-0100-0000A6000000}"/>
    <hyperlink ref="AD106" r:id="rId168" display="https://drive.google.com/file/d/1UExlkyAU7g6it_Mh3gVW5wTqQ2ZJ_3JD/view?usp=sharing" xr:uid="{00000000-0004-0000-0100-0000A7000000}"/>
    <hyperlink ref="AD107" r:id="rId169" display="https://drive.google.com/file/d/1AZj8sbfn81bpcjLRZEZ0iADtOUsCP6BI/view?usp=sharing" xr:uid="{00000000-0004-0000-0100-0000A8000000}"/>
    <hyperlink ref="AD108" r:id="rId170" display="https://drive.google.com/file/d/1rHUhnF6p74C5ufkRZ_CYUw_PHrqJy_P_/view?usp=sharing" xr:uid="{00000000-0004-0000-0100-0000A9000000}"/>
    <hyperlink ref="AU108" r:id="rId171" display="https://drive.google.com/file/d/1rHUhnF6p74C5ufkRZ_CYUw_PHrqJy_P_/view?usp=sharing" xr:uid="{00000000-0004-0000-0100-0000AA000000}"/>
    <hyperlink ref="AD109" r:id="rId172" display="https://drive.google.com/file/d/1CNaOFIn7ihnxUioMSp5PvIqVIGKQjICo/view?usp=drive_link" xr:uid="{00000000-0004-0000-0100-0000AB000000}"/>
    <hyperlink ref="H110" r:id="rId173" xr:uid="{00000000-0004-0000-0100-0000AC000000}"/>
    <hyperlink ref="AD110" r:id="rId174" display="https://drive.google.com/file/d/1SmrRvoqLZ06vq9v-dfcCECKJq-41XITn/view?usp=sharing" xr:uid="{00000000-0004-0000-0100-0000AD000000}"/>
    <hyperlink ref="H111" r:id="rId175" xr:uid="{00000000-0004-0000-0100-0000AE000000}"/>
    <hyperlink ref="AD111" r:id="rId176" display="https://drive.google.com/file/d/1gD548wGMAA9DCb37z2KFzBXzDgZD91y3/view?usp=sharing" xr:uid="{00000000-0004-0000-0100-0000AF000000}"/>
    <hyperlink ref="Y112" r:id="rId177" xr:uid="{00000000-0004-0000-0100-0000B0000000}"/>
    <hyperlink ref="Z112" r:id="rId178" xr:uid="{00000000-0004-0000-0100-0000B1000000}"/>
    <hyperlink ref="AD112" r:id="rId179" display="https://drive.google.com/file/d/1-0E9laVeqLifL2WZ-gYZ1sul4Mq69rXm/view?usp=sharing" xr:uid="{00000000-0004-0000-0100-0000B2000000}"/>
    <hyperlink ref="AU112" r:id="rId180" display="https://drive.google.com/file/d/1-0E9laVeqLifL2WZ-gYZ1sul4Mq69rXm/view?usp=sharing" xr:uid="{00000000-0004-0000-0100-0000B3000000}"/>
    <hyperlink ref="Z113" r:id="rId181" xr:uid="{00000000-0004-0000-0100-0000B4000000}"/>
    <hyperlink ref="AD113" r:id="rId182" display="https://drive.google.com/file/d/1WVlWr4BleQOGw-xw5a8gVSyi4Wf4RSvc/view?usp=sharing" xr:uid="{00000000-0004-0000-0100-0000B5000000}"/>
    <hyperlink ref="AU113" r:id="rId183" display="https://drive.google.com/file/d/1TyixIuTLk1FmaT3pY2vrsaDw08ms1Eva/view?usp=sharing" xr:uid="{00000000-0004-0000-0100-0000B6000000}"/>
    <hyperlink ref="AD114" r:id="rId184" display="https://drive.google.com/file/d/10HRD1nPEVEsevOVwXUo08gPGziAWgg53/view?usp=sharing" xr:uid="{00000000-0004-0000-0100-0000B7000000}"/>
    <hyperlink ref="Y115" r:id="rId185" xr:uid="{00000000-0004-0000-0100-0000B8000000}"/>
    <hyperlink ref="AD115" r:id="rId186" display="https://drive.google.com/file/d/1m0MK_VQruZvYsITjMd8vTamqMHKI6Ajs/view?usp=sharing" xr:uid="{00000000-0004-0000-0100-0000B9000000}"/>
    <hyperlink ref="AU115" r:id="rId187" display="https://drive.google.com/file/d/1m0MK_VQruZvYsITjMd8vTamqMHKI6Ajs/view?usp=sharing" xr:uid="{00000000-0004-0000-0100-0000BA000000}"/>
    <hyperlink ref="AD116" r:id="rId188" display="https://drive.google.com/file/d/1vBnFxtSmtUuyXv6bU0WHF08wZzKWkqhe/view?usp=sharing" xr:uid="{00000000-0004-0000-0100-0000BB000000}"/>
    <hyperlink ref="AU116" r:id="rId189" display="https://drive.google.com/file/d/1xwWPmCFtzGIN3JSZnjOgv04ciW6l586l/view?usp=sharing" xr:uid="{00000000-0004-0000-0100-0000BC000000}"/>
    <hyperlink ref="Y117" r:id="rId190" xr:uid="{00000000-0004-0000-0100-0000BD000000}"/>
    <hyperlink ref="AD117" r:id="rId191" display="https://drive.google.com/file/d/118vyyxW4PH45Q0q_9Madd_Yo7rtPHG8T/view?usp=sharing" xr:uid="{00000000-0004-0000-0100-0000BE000000}"/>
    <hyperlink ref="AD118" r:id="rId192" display="https://drive.google.com/file/d/140o__XiFrtDPH_EV5__nlmcYuqJXB40f/view?usp=sharing" xr:uid="{00000000-0004-0000-0100-0000BF000000}"/>
    <hyperlink ref="AU118" r:id="rId193" display="https://drive.google.com/file/d/1o8y6Ix-LyGsAmuz2Dup-TDfpKFyScewb/view?usp=sharing" xr:uid="{00000000-0004-0000-0100-0000C0000000}"/>
    <hyperlink ref="AD119" r:id="rId194" display="https://drive.google.com/file/d/1QkqrJ2okZ2mm9HJWMQKOgJD3kUujXYUy/view?usp=sharing" xr:uid="{00000000-0004-0000-0100-0000C1000000}"/>
    <hyperlink ref="AD120" r:id="rId195" display="https://drive.google.com/file/d/14b8vFcS4NbUzLyB5l5cUBWsXaeNIjODB/view?usp=sharing" xr:uid="{00000000-0004-0000-0100-0000C2000000}"/>
    <hyperlink ref="Y121" r:id="rId196" xr:uid="{00000000-0004-0000-0100-0000C3000000}"/>
    <hyperlink ref="AD121" r:id="rId197" display="https://drive.google.com/file/d/1O-Wlj618hY0e_sW-i24tYlbTEa4DBxws/view?usp=sharing" xr:uid="{00000000-0004-0000-0100-0000C4000000}"/>
    <hyperlink ref="AU121" r:id="rId198" display="https://drive.google.com/file/d/1O-Wlj618hY0e_sW-i24tYlbTEa4DBxws/view?usp=sharing" xr:uid="{00000000-0004-0000-0100-0000C5000000}"/>
    <hyperlink ref="AD122" r:id="rId199" display="https://drive.google.com/file/d/15anhnJZ5_EthGwLIrlTzKSbRYuUa69z9/view?usp=sharing" xr:uid="{00000000-0004-0000-0100-0000C6000000}"/>
    <hyperlink ref="AU122" r:id="rId200" display="https://drive.google.com/file/d/1ccJBsJmM8uAXhSvUWbEo_VPOzeXJBGRU/view?usp=drive_link" xr:uid="{00000000-0004-0000-0100-0000C7000000}"/>
    <hyperlink ref="AD123" r:id="rId201" display="https://drive.google.com/file/d/1OAjOJs21iU4pfl2DVNggLFYV2XAiT8cS/view?usp=sharing" xr:uid="{00000000-0004-0000-0100-0000C8000000}"/>
    <hyperlink ref="AU123" r:id="rId202" display="https://drive.google.com/file/d/1OAjOJs21iU4pfl2DVNggLFYV2XAiT8cS/view?usp=sharing" xr:uid="{00000000-0004-0000-0100-0000C9000000}"/>
    <hyperlink ref="AD124" r:id="rId203" display="https://drive.google.com/file/d/1E7_yAi19Sj2IQOSWu7SEARhBMKK-6B6f/view?usp=sharing" xr:uid="{00000000-0004-0000-0100-0000CA000000}"/>
  </hyperlinks>
  <printOptions horizontalCentered="1" verticalCentered="1"/>
  <pageMargins left="0.70866141732283472" right="0.19685039370078741" top="0.59055118110236227" bottom="0.47244094488188981" header="0" footer="0"/>
  <pageSetup scale="60" orientation="landscape"/>
  <headerFooter>
    <oddHeader>&amp;CCentro de Gestión de la Calidad y la Acreditación Institucional</oddHeader>
    <oddFooter>&amp;R&amp;F</oddFooter>
  </headerFooter>
  <drawing r:id="rId204"/>
  <legacyDrawing r:id="rId2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I991"/>
  <sheetViews>
    <sheetView workbookViewId="0"/>
  </sheetViews>
  <sheetFormatPr baseColWidth="10" defaultColWidth="12.5703125" defaultRowHeight="15" customHeight="1" x14ac:dyDescent="0.2"/>
  <cols>
    <col min="1" max="1" width="7.7109375" customWidth="1"/>
    <col min="2" max="2" width="71.140625" customWidth="1"/>
    <col min="3" max="3" width="20.140625" customWidth="1"/>
    <col min="4" max="4" width="44.140625" customWidth="1"/>
    <col min="5" max="5" width="13.7109375" customWidth="1"/>
    <col min="6" max="6" width="26.7109375" customWidth="1"/>
    <col min="7" max="7" width="44.7109375" customWidth="1"/>
    <col min="8" max="8" width="19.85546875" customWidth="1"/>
    <col min="9" max="9" width="35.5703125" customWidth="1"/>
    <col min="10" max="26" width="10.5703125" customWidth="1"/>
  </cols>
  <sheetData>
    <row r="1" spans="1:9" ht="36" customHeight="1" x14ac:dyDescent="0.2">
      <c r="A1" s="247" t="s">
        <v>777</v>
      </c>
      <c r="B1" s="248" t="s">
        <v>20</v>
      </c>
      <c r="C1" s="249" t="s">
        <v>778</v>
      </c>
      <c r="D1" s="250" t="s">
        <v>779</v>
      </c>
      <c r="E1" s="251" t="s">
        <v>780</v>
      </c>
      <c r="F1" s="252" t="s">
        <v>781</v>
      </c>
      <c r="G1" s="252" t="s">
        <v>782</v>
      </c>
      <c r="H1" s="253" t="s">
        <v>783</v>
      </c>
      <c r="I1" s="254" t="s">
        <v>784</v>
      </c>
    </row>
    <row r="2" spans="1:9" ht="12.75" customHeight="1" x14ac:dyDescent="0.2">
      <c r="A2" s="255">
        <f>Consolidado!A16</f>
        <v>0</v>
      </c>
      <c r="B2" s="256">
        <f>Consolidado!D16</f>
        <v>0</v>
      </c>
      <c r="C2" s="257">
        <f>Consolidado!AJ16</f>
        <v>0</v>
      </c>
      <c r="D2" s="258" t="e">
        <f t="shared" ref="D2:D119" ca="1" si="0">_xludf.LET(
  _xlpm.h, TODAY(),
  IF(ISBLANK(C2),
     "SIN FECHA",
     _xludf.LET(
       _xlpm.dC, C2 - _xlpm.h,
       _xlpm.fC, IF(_xlpm.dC&gt;=0, _xlpm.dC, 99999),
       IF(_xlpm.fC=99999,
          "YA SE VENCIÓ",
          "EL VENCIMIENTO DE RC se vence en " &amp; _xlpm.fC &amp; " días"
       )
     )
  )
)</f>
        <v>#NAME?</v>
      </c>
      <c r="E2" s="259" t="e">
        <f t="shared" ref="E2:E119" ca="1" si="1">_xludf.LET(
  _xlpm.m, C2 - TODAY(),
  _xlpm.m
)</f>
        <v>#NAME?</v>
      </c>
      <c r="F2" s="260">
        <f>Consolidado!AH16</f>
        <v>0</v>
      </c>
      <c r="G2" s="261" t="e">
        <f t="shared" ref="G2:G119" ca="1" si="2">_xludf.LET(
  _xlpm.h, TODAY(),
  IF(ISBLANK(F2),
     "SIN FECHA",
     _xludf.LET(
       _xlpm.dC, F2 - _xlpm.h,
       _xlpm.fC, IF(_xlpm.dC&gt;=0, _xlpm.dC, 99999),
       IF(_xlpm.fC=99999,
          "YA SE VENCIÓ",
          "EL VENCIMIENTO DE RC se vence en " &amp; _xlpm.fC &amp; " días"
       )
     )
  )
)</f>
        <v>#NAME?</v>
      </c>
      <c r="H2" s="259" t="e">
        <f t="shared" ref="H2:H119" ca="1" si="3">_xludf.LET(
  _xlpm.m, F2 - TODAY(),
  _xlpm.m
)</f>
        <v>#NAME?</v>
      </c>
      <c r="I2" s="262" t="s">
        <v>785</v>
      </c>
    </row>
    <row r="3" spans="1:9" ht="12.75" customHeight="1" x14ac:dyDescent="0.2">
      <c r="A3" s="255">
        <f>Consolidado!A87</f>
        <v>81</v>
      </c>
      <c r="B3" s="256" t="str">
        <f>Consolidado!D87</f>
        <v xml:space="preserve">Derecho </v>
      </c>
      <c r="C3" s="257">
        <f>Consolidado!AJ87</f>
        <v>46261</v>
      </c>
      <c r="D3" s="258" t="e">
        <f t="shared" ca="1" si="0"/>
        <v>#NAME?</v>
      </c>
      <c r="E3" s="259" t="e">
        <f t="shared" ca="1" si="1"/>
        <v>#NAME?</v>
      </c>
      <c r="F3" s="260">
        <f>Consolidado!AH87</f>
        <v>45835</v>
      </c>
      <c r="G3" s="261" t="e">
        <f t="shared" ca="1" si="2"/>
        <v>#NAME?</v>
      </c>
      <c r="H3" s="259" t="e">
        <f t="shared" ca="1" si="3"/>
        <v>#NAME?</v>
      </c>
      <c r="I3" s="262"/>
    </row>
    <row r="4" spans="1:9" ht="12.75" customHeight="1" x14ac:dyDescent="0.2">
      <c r="A4" s="255">
        <f>Consolidado!A89</f>
        <v>83</v>
      </c>
      <c r="B4" s="256" t="str">
        <f>Consolidado!D89</f>
        <v xml:space="preserve">Derecho </v>
      </c>
      <c r="C4" s="257">
        <f>Consolidado!AJ89</f>
        <v>46262</v>
      </c>
      <c r="D4" s="258" t="e">
        <f t="shared" ca="1" si="0"/>
        <v>#NAME?</v>
      </c>
      <c r="E4" s="259" t="e">
        <f t="shared" ca="1" si="1"/>
        <v>#NAME?</v>
      </c>
      <c r="F4" s="260">
        <f>Consolidado!AH89</f>
        <v>45836</v>
      </c>
      <c r="G4" s="261" t="e">
        <f t="shared" ca="1" si="2"/>
        <v>#NAME?</v>
      </c>
      <c r="H4" s="259" t="e">
        <f t="shared" ca="1" si="3"/>
        <v>#NAME?</v>
      </c>
      <c r="I4" s="262"/>
    </row>
    <row r="5" spans="1:9" ht="12.75" customHeight="1" x14ac:dyDescent="0.2">
      <c r="A5" s="255">
        <f>Consolidado!A110</f>
        <v>104</v>
      </c>
      <c r="B5" s="256" t="str">
        <f>Consolidado!D110</f>
        <v>Especialización en Redes y Servicios Telemáticos</v>
      </c>
      <c r="C5" s="257">
        <f>Consolidado!AJ110</f>
        <v>46262</v>
      </c>
      <c r="D5" s="258" t="e">
        <f t="shared" ca="1" si="0"/>
        <v>#NAME?</v>
      </c>
      <c r="E5" s="259" t="e">
        <f t="shared" ca="1" si="1"/>
        <v>#NAME?</v>
      </c>
      <c r="F5" s="260">
        <f>Consolidado!AH110</f>
        <v>45836</v>
      </c>
      <c r="G5" s="261" t="e">
        <f t="shared" ca="1" si="2"/>
        <v>#NAME?</v>
      </c>
      <c r="H5" s="259" t="e">
        <f t="shared" ca="1" si="3"/>
        <v>#NAME?</v>
      </c>
      <c r="I5" s="262"/>
    </row>
    <row r="6" spans="1:9" ht="12.75" customHeight="1" x14ac:dyDescent="0.2">
      <c r="A6" s="255">
        <f>Consolidado!A111</f>
        <v>105</v>
      </c>
      <c r="B6" s="256" t="str">
        <f>Consolidado!D111</f>
        <v>Especialización en Redes y Servicios Telemáticos</v>
      </c>
      <c r="C6" s="257">
        <f>Consolidado!AJ111</f>
        <v>46366</v>
      </c>
      <c r="D6" s="258" t="e">
        <f t="shared" ca="1" si="0"/>
        <v>#NAME?</v>
      </c>
      <c r="E6" s="259" t="e">
        <f t="shared" ca="1" si="1"/>
        <v>#NAME?</v>
      </c>
      <c r="F6" s="260">
        <f>Consolidado!AH111</f>
        <v>45940</v>
      </c>
      <c r="G6" s="261" t="e">
        <f t="shared" ca="1" si="2"/>
        <v>#NAME?</v>
      </c>
      <c r="H6" s="259" t="e">
        <f t="shared" ca="1" si="3"/>
        <v>#NAME?</v>
      </c>
      <c r="I6" s="262"/>
    </row>
    <row r="7" spans="1:9" ht="12.75" customHeight="1" x14ac:dyDescent="0.2">
      <c r="A7" s="255">
        <f>Consolidado!A95</f>
        <v>89</v>
      </c>
      <c r="B7" s="256" t="str">
        <f>Consolidado!D95</f>
        <v>Maestría en Ingeniería Hidráulica e Hidrológica</v>
      </c>
      <c r="C7" s="257">
        <f>Consolidado!AJ95</f>
        <v>46373</v>
      </c>
      <c r="D7" s="258" t="e">
        <f t="shared" ca="1" si="0"/>
        <v>#NAME?</v>
      </c>
      <c r="E7" s="259" t="e">
        <f t="shared" ca="1" si="1"/>
        <v>#NAME?</v>
      </c>
      <c r="F7" s="260">
        <f>Consolidado!AH95</f>
        <v>45947</v>
      </c>
      <c r="G7" s="261" t="e">
        <f t="shared" ca="1" si="2"/>
        <v>#NAME?</v>
      </c>
      <c r="H7" s="259" t="e">
        <f t="shared" ca="1" si="3"/>
        <v>#NAME?</v>
      </c>
      <c r="I7" s="262"/>
    </row>
    <row r="8" spans="1:9" ht="12.75" customHeight="1" x14ac:dyDescent="0.2">
      <c r="A8" s="255">
        <f>Consolidado!A21</f>
        <v>15</v>
      </c>
      <c r="B8" s="256" t="str">
        <f>Consolidado!D21</f>
        <v>Especialización en Gerencia de Impuestos</v>
      </c>
      <c r="C8" s="257">
        <f>Consolidado!AJ21</f>
        <v>46374</v>
      </c>
      <c r="D8" s="258" t="e">
        <f t="shared" ca="1" si="0"/>
        <v>#NAME?</v>
      </c>
      <c r="E8" s="259" t="e">
        <f t="shared" ca="1" si="1"/>
        <v>#NAME?</v>
      </c>
      <c r="F8" s="260">
        <f>Consolidado!AH21</f>
        <v>45948</v>
      </c>
      <c r="G8" s="261" t="e">
        <f t="shared" ca="1" si="2"/>
        <v>#NAME?</v>
      </c>
      <c r="H8" s="259" t="e">
        <f t="shared" ca="1" si="3"/>
        <v>#NAME?</v>
      </c>
      <c r="I8" s="262"/>
    </row>
    <row r="9" spans="1:9" ht="12.75" customHeight="1" x14ac:dyDescent="0.2">
      <c r="A9" s="255">
        <f>Consolidado!A22</f>
        <v>16</v>
      </c>
      <c r="B9" s="256" t="str">
        <f>Consolidado!D22</f>
        <v>Especialización en Revisoría Fiscal y Auditoría Internacional</v>
      </c>
      <c r="C9" s="257">
        <f>Consolidado!AJ22</f>
        <v>46374</v>
      </c>
      <c r="D9" s="258" t="e">
        <f t="shared" ca="1" si="0"/>
        <v>#NAME?</v>
      </c>
      <c r="E9" s="259" t="e">
        <f t="shared" ca="1" si="1"/>
        <v>#NAME?</v>
      </c>
      <c r="F9" s="260">
        <f>Consolidado!AH22</f>
        <v>45948</v>
      </c>
      <c r="G9" s="261" t="e">
        <f t="shared" ca="1" si="2"/>
        <v>#NAME?</v>
      </c>
      <c r="H9" s="259" t="e">
        <f t="shared" ca="1" si="3"/>
        <v>#NAME?</v>
      </c>
      <c r="I9" s="262"/>
    </row>
    <row r="10" spans="1:9" ht="12.75" customHeight="1" x14ac:dyDescent="0.2">
      <c r="A10" s="255">
        <f>Consolidado!A23</f>
        <v>17</v>
      </c>
      <c r="B10" s="256" t="str">
        <f>Consolidado!D23</f>
        <v>Especialización en Gerencia de Proyectos</v>
      </c>
      <c r="C10" s="257">
        <f>Consolidado!AJ23</f>
        <v>46374</v>
      </c>
      <c r="D10" s="258" t="e">
        <f t="shared" ca="1" si="0"/>
        <v>#NAME?</v>
      </c>
      <c r="E10" s="259" t="e">
        <f t="shared" ca="1" si="1"/>
        <v>#NAME?</v>
      </c>
      <c r="F10" s="260">
        <f>Consolidado!AH23</f>
        <v>45948</v>
      </c>
      <c r="G10" s="261" t="e">
        <f t="shared" ca="1" si="2"/>
        <v>#NAME?</v>
      </c>
      <c r="H10" s="259" t="e">
        <f t="shared" ca="1" si="3"/>
        <v>#NAME?</v>
      </c>
      <c r="I10" s="262"/>
    </row>
    <row r="11" spans="1:9" ht="12.75" customHeight="1" x14ac:dyDescent="0.2">
      <c r="A11" s="255">
        <f>Consolidado!A46</f>
        <v>40</v>
      </c>
      <c r="B11" s="256" t="str">
        <f>Consolidado!D46</f>
        <v>Licenciatura en Lenguas Modernas con énfasis en Inglés y Francés (Santander de Quilichao)</v>
      </c>
      <c r="C11" s="257">
        <f>Consolidado!AJ46</f>
        <v>46374</v>
      </c>
      <c r="D11" s="258" t="e">
        <f t="shared" ca="1" si="0"/>
        <v>#NAME?</v>
      </c>
      <c r="E11" s="259" t="e">
        <f t="shared" ca="1" si="1"/>
        <v>#NAME?</v>
      </c>
      <c r="F11" s="260">
        <f>Consolidado!AH46</f>
        <v>45948</v>
      </c>
      <c r="G11" s="261" t="e">
        <f t="shared" ca="1" si="2"/>
        <v>#NAME?</v>
      </c>
      <c r="H11" s="259" t="e">
        <f t="shared" ca="1" si="3"/>
        <v>#NAME?</v>
      </c>
      <c r="I11" s="262"/>
    </row>
    <row r="12" spans="1:9" ht="12.75" customHeight="1" x14ac:dyDescent="0.2">
      <c r="A12" s="255">
        <f>Consolidado!A96</f>
        <v>90</v>
      </c>
      <c r="B12" s="256" t="str">
        <f>Consolidado!D96</f>
        <v>Maestría en Ingeniería Ambiental</v>
      </c>
      <c r="C12" s="257">
        <f>Consolidado!AJ96</f>
        <v>46383</v>
      </c>
      <c r="D12" s="258" t="e">
        <f t="shared" ca="1" si="0"/>
        <v>#NAME?</v>
      </c>
      <c r="E12" s="259" t="e">
        <f t="shared" ca="1" si="1"/>
        <v>#NAME?</v>
      </c>
      <c r="F12" s="260">
        <f>Consolidado!AH96</f>
        <v>45957</v>
      </c>
      <c r="G12" s="261" t="e">
        <f t="shared" ca="1" si="2"/>
        <v>#NAME?</v>
      </c>
      <c r="H12" s="259" t="e">
        <f t="shared" ca="1" si="3"/>
        <v>#NAME?</v>
      </c>
      <c r="I12" s="262"/>
    </row>
    <row r="13" spans="1:9" ht="12.75" customHeight="1" x14ac:dyDescent="0.2">
      <c r="A13" s="255">
        <f>Consolidado!A112</f>
        <v>106</v>
      </c>
      <c r="B13" s="256" t="str">
        <f>Consolidado!D112</f>
        <v>Ingeniería Electrónica y Telecomunicaciones</v>
      </c>
      <c r="C13" s="257">
        <f>Consolidado!AJ112</f>
        <v>46489</v>
      </c>
      <c r="D13" s="258" t="e">
        <f t="shared" ca="1" si="0"/>
        <v>#NAME?</v>
      </c>
      <c r="E13" s="259" t="e">
        <f t="shared" ca="1" si="1"/>
        <v>#NAME?</v>
      </c>
      <c r="F13" s="260">
        <f>Consolidado!AH112</f>
        <v>46065</v>
      </c>
      <c r="G13" s="261" t="e">
        <f t="shared" ca="1" si="2"/>
        <v>#NAME?</v>
      </c>
      <c r="H13" s="259" t="e">
        <f t="shared" ca="1" si="3"/>
        <v>#NAME?</v>
      </c>
      <c r="I13" s="262"/>
    </row>
    <row r="14" spans="1:9" ht="12.75" customHeight="1" x14ac:dyDescent="0.2">
      <c r="A14" s="255">
        <f>Consolidado!A24</f>
        <v>18</v>
      </c>
      <c r="B14" s="256" t="str">
        <f>Consolidado!D24</f>
        <v>Especialización en Mercadeo Corporativo</v>
      </c>
      <c r="C14" s="257">
        <f>Consolidado!AJ24</f>
        <v>46534</v>
      </c>
      <c r="D14" s="258" t="e">
        <f t="shared" ca="1" si="0"/>
        <v>#NAME?</v>
      </c>
      <c r="E14" s="259" t="e">
        <f t="shared" ca="1" si="1"/>
        <v>#NAME?</v>
      </c>
      <c r="F14" s="260">
        <f>Consolidado!AH24</f>
        <v>46108</v>
      </c>
      <c r="G14" s="261" t="e">
        <f t="shared" ca="1" si="2"/>
        <v>#NAME?</v>
      </c>
      <c r="H14" s="259" t="e">
        <f t="shared" ca="1" si="3"/>
        <v>#NAME?</v>
      </c>
      <c r="I14" s="262"/>
    </row>
    <row r="15" spans="1:9" ht="12.75" customHeight="1" x14ac:dyDescent="0.2">
      <c r="A15" s="255">
        <f>Consolidado!A47</f>
        <v>41</v>
      </c>
      <c r="B15" s="256" t="str">
        <f>Consolidado!D47</f>
        <v>Filosofía</v>
      </c>
      <c r="C15" s="257">
        <f>Consolidado!AJ47</f>
        <v>46534</v>
      </c>
      <c r="D15" s="258" t="e">
        <f t="shared" ca="1" si="0"/>
        <v>#NAME?</v>
      </c>
      <c r="E15" s="259" t="e">
        <f t="shared" ca="1" si="1"/>
        <v>#NAME?</v>
      </c>
      <c r="F15" s="260">
        <f>Consolidado!AH47</f>
        <v>46108</v>
      </c>
      <c r="G15" s="261" t="e">
        <f t="shared" ca="1" si="2"/>
        <v>#NAME?</v>
      </c>
      <c r="H15" s="259" t="e">
        <f t="shared" ca="1" si="3"/>
        <v>#NAME?</v>
      </c>
      <c r="I15" s="262"/>
    </row>
    <row r="16" spans="1:9" ht="12.75" customHeight="1" x14ac:dyDescent="0.2">
      <c r="A16" s="255">
        <f>Consolidado!A97</f>
        <v>91</v>
      </c>
      <c r="B16" s="256" t="str">
        <f>Consolidado!D97</f>
        <v>Ingeniería Ambiental</v>
      </c>
      <c r="C16" s="257">
        <f>Consolidado!AJ97</f>
        <v>46554</v>
      </c>
      <c r="D16" s="258" t="e">
        <f t="shared" ca="1" si="0"/>
        <v>#NAME?</v>
      </c>
      <c r="E16" s="259" t="e">
        <f t="shared" ca="1" si="1"/>
        <v>#NAME?</v>
      </c>
      <c r="F16" s="260">
        <f>Consolidado!AH97</f>
        <v>46128</v>
      </c>
      <c r="G16" s="261" t="e">
        <f t="shared" ca="1" si="2"/>
        <v>#NAME?</v>
      </c>
      <c r="H16" s="259" t="e">
        <f t="shared" ca="1" si="3"/>
        <v>#NAME?</v>
      </c>
      <c r="I16" s="262"/>
    </row>
    <row r="17" spans="1:9" ht="12.75" customHeight="1" x14ac:dyDescent="0.2">
      <c r="A17" s="255">
        <f>Consolidado!A25</f>
        <v>19</v>
      </c>
      <c r="B17" s="256" t="str">
        <f>Consolidado!D25</f>
        <v>Especialización en Gerencia de Proyectos</v>
      </c>
      <c r="C17" s="257">
        <f>Consolidado!AJ25</f>
        <v>46568</v>
      </c>
      <c r="D17" s="258" t="e">
        <f t="shared" ca="1" si="0"/>
        <v>#NAME?</v>
      </c>
      <c r="E17" s="259" t="e">
        <f t="shared" ca="1" si="1"/>
        <v>#NAME?</v>
      </c>
      <c r="F17" s="260">
        <f>Consolidado!AH25</f>
        <v>46142</v>
      </c>
      <c r="G17" s="261" t="e">
        <f t="shared" ca="1" si="2"/>
        <v>#NAME?</v>
      </c>
      <c r="H17" s="259" t="e">
        <f t="shared" ca="1" si="3"/>
        <v>#NAME?</v>
      </c>
      <c r="I17" s="262"/>
    </row>
    <row r="18" spans="1:9" ht="12.75" customHeight="1" x14ac:dyDescent="0.2">
      <c r="A18" s="255">
        <f>Consolidado!A48</f>
        <v>42</v>
      </c>
      <c r="B18" s="256" t="str">
        <f>Consolidado!D48</f>
        <v>Geografía del Desarrollo Regional y Ambiental</v>
      </c>
      <c r="C18" s="257">
        <f>Consolidado!AJ48</f>
        <v>46570</v>
      </c>
      <c r="D18" s="258" t="e">
        <f t="shared" ca="1" si="0"/>
        <v>#NAME?</v>
      </c>
      <c r="E18" s="259" t="e">
        <f t="shared" ca="1" si="1"/>
        <v>#NAME?</v>
      </c>
      <c r="F18" s="260">
        <f>Consolidado!AH48</f>
        <v>46144</v>
      </c>
      <c r="G18" s="261" t="e">
        <f t="shared" ca="1" si="2"/>
        <v>#NAME?</v>
      </c>
      <c r="H18" s="259" t="e">
        <f t="shared" ca="1" si="3"/>
        <v>#NAME?</v>
      </c>
      <c r="I18" s="262"/>
    </row>
    <row r="19" spans="1:9" ht="12.75" customHeight="1" x14ac:dyDescent="0.2">
      <c r="A19" s="255">
        <f>Consolidado!A13</f>
        <v>7</v>
      </c>
      <c r="B19" s="256" t="str">
        <f>Consolidado!D13</f>
        <v>Ingeniería Agroindustrial</v>
      </c>
      <c r="C19" s="257">
        <f>Consolidado!AJ13</f>
        <v>46585</v>
      </c>
      <c r="D19" s="258" t="e">
        <f t="shared" ca="1" si="0"/>
        <v>#NAME?</v>
      </c>
      <c r="E19" s="259" t="e">
        <f t="shared" ca="1" si="1"/>
        <v>#NAME?</v>
      </c>
      <c r="F19" s="260">
        <f>Consolidado!AH13</f>
        <v>46159</v>
      </c>
      <c r="G19" s="261" t="e">
        <f t="shared" ca="1" si="2"/>
        <v>#NAME?</v>
      </c>
      <c r="H19" s="259" t="e">
        <f t="shared" ca="1" si="3"/>
        <v>#NAME?</v>
      </c>
      <c r="I19" s="262"/>
    </row>
    <row r="20" spans="1:9" ht="12.75" customHeight="1" x14ac:dyDescent="0.2">
      <c r="A20" s="255">
        <f>Consolidado!A115</f>
        <v>109</v>
      </c>
      <c r="B20" s="256" t="str">
        <f>Consolidado!D115</f>
        <v>Tecnología en Telemática</v>
      </c>
      <c r="C20" s="257">
        <f>Consolidado!AJ115</f>
        <v>46585</v>
      </c>
      <c r="D20" s="258" t="e">
        <f t="shared" ca="1" si="0"/>
        <v>#NAME?</v>
      </c>
      <c r="E20" s="259" t="e">
        <f t="shared" ca="1" si="1"/>
        <v>#NAME?</v>
      </c>
      <c r="F20" s="260">
        <f>Consolidado!AH115</f>
        <v>46159</v>
      </c>
      <c r="G20" s="261" t="e">
        <f t="shared" ca="1" si="2"/>
        <v>#NAME?</v>
      </c>
      <c r="H20" s="259" t="e">
        <f t="shared" ca="1" si="3"/>
        <v>#NAME?</v>
      </c>
      <c r="I20" s="262"/>
    </row>
    <row r="21" spans="1:9" ht="12.75" customHeight="1" x14ac:dyDescent="0.2">
      <c r="A21" s="255">
        <f>Consolidado!A113</f>
        <v>107</v>
      </c>
      <c r="B21" s="256" t="str">
        <f>Consolidado!D113</f>
        <v>Maestría en Ingeniería Telemática</v>
      </c>
      <c r="C21" s="257">
        <f>Consolidado!AJ113</f>
        <v>46592</v>
      </c>
      <c r="D21" s="258" t="e">
        <f t="shared" ca="1" si="0"/>
        <v>#NAME?</v>
      </c>
      <c r="E21" s="259" t="e">
        <f t="shared" ca="1" si="1"/>
        <v>#NAME?</v>
      </c>
      <c r="F21" s="260">
        <f>Consolidado!AH113</f>
        <v>46166</v>
      </c>
      <c r="G21" s="261" t="e">
        <f t="shared" ca="1" si="2"/>
        <v>#NAME?</v>
      </c>
      <c r="H21" s="259" t="e">
        <f t="shared" ca="1" si="3"/>
        <v>#NAME?</v>
      </c>
      <c r="I21" s="262"/>
    </row>
    <row r="22" spans="1:9" ht="12.75" customHeight="1" x14ac:dyDescent="0.2">
      <c r="A22" s="255">
        <f>Consolidado!A99</f>
        <v>93</v>
      </c>
      <c r="B22" s="256" t="str">
        <f>Consolidado!D99</f>
        <v>Especialización en Estructuras</v>
      </c>
      <c r="C22" s="257">
        <f>Consolidado!AJ99</f>
        <v>46603</v>
      </c>
      <c r="D22" s="258" t="e">
        <f t="shared" ca="1" si="0"/>
        <v>#NAME?</v>
      </c>
      <c r="E22" s="259" t="e">
        <f t="shared" ca="1" si="1"/>
        <v>#NAME?</v>
      </c>
      <c r="F22" s="260">
        <f>Consolidado!AH99</f>
        <v>46177</v>
      </c>
      <c r="G22" s="261" t="e">
        <f t="shared" ca="1" si="2"/>
        <v>#NAME?</v>
      </c>
      <c r="H22" s="259" t="e">
        <f t="shared" ca="1" si="3"/>
        <v>#NAME?</v>
      </c>
      <c r="I22" s="262"/>
    </row>
    <row r="23" spans="1:9" ht="12.75" customHeight="1" x14ac:dyDescent="0.2">
      <c r="A23" s="255">
        <f>Consolidado!A114</f>
        <v>108</v>
      </c>
      <c r="B23" s="256" t="str">
        <f>Consolidado!D114</f>
        <v>Doctorado en Ciencias de la Computación</v>
      </c>
      <c r="C23" s="257">
        <f>Consolidado!AJ114</f>
        <v>46605</v>
      </c>
      <c r="D23" s="258" t="e">
        <f t="shared" ca="1" si="0"/>
        <v>#NAME?</v>
      </c>
      <c r="E23" s="259" t="e">
        <f t="shared" ca="1" si="1"/>
        <v>#NAME?</v>
      </c>
      <c r="F23" s="260">
        <f>Consolidado!AH114</f>
        <v>46179</v>
      </c>
      <c r="G23" s="261" t="e">
        <f t="shared" ca="1" si="2"/>
        <v>#NAME?</v>
      </c>
      <c r="H23" s="259" t="e">
        <f t="shared" ca="1" si="3"/>
        <v>#NAME?</v>
      </c>
      <c r="I23" s="262"/>
    </row>
    <row r="24" spans="1:9" ht="12.75" customHeight="1" x14ac:dyDescent="0.2">
      <c r="A24" s="255">
        <f>Consolidado!A49</f>
        <v>43</v>
      </c>
      <c r="B24" s="256" t="str">
        <f>Consolidado!D49</f>
        <v>Doctorado en Antropología</v>
      </c>
      <c r="C24" s="257">
        <f>Consolidado!AJ49</f>
        <v>46623</v>
      </c>
      <c r="D24" s="258" t="e">
        <f t="shared" ca="1" si="0"/>
        <v>#NAME?</v>
      </c>
      <c r="E24" s="259" t="e">
        <f t="shared" ca="1" si="1"/>
        <v>#NAME?</v>
      </c>
      <c r="F24" s="260">
        <f>Consolidado!AH49</f>
        <v>46197</v>
      </c>
      <c r="G24" s="261" t="e">
        <f t="shared" ca="1" si="2"/>
        <v>#NAME?</v>
      </c>
      <c r="H24" s="259" t="e">
        <f t="shared" ca="1" si="3"/>
        <v>#NAME?</v>
      </c>
      <c r="I24" s="262"/>
    </row>
    <row r="25" spans="1:9" ht="12.75" customHeight="1" x14ac:dyDescent="0.2">
      <c r="A25" s="255">
        <f>Consolidado!A100</f>
        <v>94</v>
      </c>
      <c r="B25" s="256" t="str">
        <f>Consolidado!D100</f>
        <v>Ingeniería Civil</v>
      </c>
      <c r="C25" s="257">
        <f>Consolidado!AJ100</f>
        <v>46651</v>
      </c>
      <c r="D25" s="258" t="e">
        <f t="shared" ca="1" si="0"/>
        <v>#NAME?</v>
      </c>
      <c r="E25" s="259" t="e">
        <f t="shared" ca="1" si="1"/>
        <v>#NAME?</v>
      </c>
      <c r="F25" s="260">
        <f>Consolidado!AH100</f>
        <v>46224</v>
      </c>
      <c r="G25" s="261" t="e">
        <f t="shared" ca="1" si="2"/>
        <v>#NAME?</v>
      </c>
      <c r="H25" s="259" t="e">
        <f t="shared" ca="1" si="3"/>
        <v>#NAME?</v>
      </c>
      <c r="I25" s="262"/>
    </row>
    <row r="26" spans="1:9" ht="12.75" customHeight="1" x14ac:dyDescent="0.2">
      <c r="A26" s="255">
        <f>Consolidado!A26</f>
        <v>20</v>
      </c>
      <c r="B26" s="256" t="str">
        <f>Consolidado!D26</f>
        <v>Administración de Empresas</v>
      </c>
      <c r="C26" s="257">
        <f>Consolidado!AJ26</f>
        <v>46658</v>
      </c>
      <c r="D26" s="258" t="e">
        <f t="shared" ca="1" si="0"/>
        <v>#NAME?</v>
      </c>
      <c r="E26" s="259" t="e">
        <f t="shared" ca="1" si="1"/>
        <v>#NAME?</v>
      </c>
      <c r="F26" s="260">
        <f>Consolidado!AH26</f>
        <v>46231</v>
      </c>
      <c r="G26" s="261" t="e">
        <f t="shared" ca="1" si="2"/>
        <v>#NAME?</v>
      </c>
      <c r="H26" s="259" t="e">
        <f t="shared" ca="1" si="3"/>
        <v>#NAME?</v>
      </c>
      <c r="I26" s="262"/>
    </row>
    <row r="27" spans="1:9" ht="12.75" customHeight="1" x14ac:dyDescent="0.2">
      <c r="A27" s="255">
        <f>Consolidado!A61</f>
        <v>55</v>
      </c>
      <c r="B27" s="256" t="str">
        <f>Consolidado!D61</f>
        <v>Maestría en Educación Popular</v>
      </c>
      <c r="C27" s="257">
        <f>Consolidado!AJ61</f>
        <v>46716</v>
      </c>
      <c r="D27" s="258" t="e">
        <f t="shared" ca="1" si="0"/>
        <v>#NAME?</v>
      </c>
      <c r="E27" s="259" t="e">
        <f t="shared" ca="1" si="1"/>
        <v>#NAME?</v>
      </c>
      <c r="F27" s="260">
        <f>Consolidado!AH61</f>
        <v>46290</v>
      </c>
      <c r="G27" s="261" t="e">
        <f t="shared" ca="1" si="2"/>
        <v>#NAME?</v>
      </c>
      <c r="H27" s="259" t="e">
        <f t="shared" ca="1" si="3"/>
        <v>#NAME?</v>
      </c>
      <c r="I27" s="262"/>
    </row>
    <row r="28" spans="1:9" ht="12.75" customHeight="1" x14ac:dyDescent="0.2">
      <c r="A28" s="255">
        <f>Consolidado!A27</f>
        <v>21</v>
      </c>
      <c r="B28" s="256" t="str">
        <f>Consolidado!D27</f>
        <v>Maestría en Gestión de Organizaciones y Proyectos</v>
      </c>
      <c r="C28" s="257">
        <f>Consolidado!AJ27</f>
        <v>46802</v>
      </c>
      <c r="D28" s="258" t="e">
        <f t="shared" ca="1" si="0"/>
        <v>#NAME?</v>
      </c>
      <c r="E28" s="259" t="e">
        <f t="shared" ca="1" si="1"/>
        <v>#NAME?</v>
      </c>
      <c r="F28" s="260">
        <f>Consolidado!AH27</f>
        <v>46375</v>
      </c>
      <c r="G28" s="261" t="e">
        <f t="shared" ca="1" si="2"/>
        <v>#NAME?</v>
      </c>
      <c r="H28" s="259" t="e">
        <f t="shared" ca="1" si="3"/>
        <v>#NAME?</v>
      </c>
      <c r="I28" s="262"/>
    </row>
    <row r="29" spans="1:9" ht="12.75" customHeight="1" x14ac:dyDescent="0.2">
      <c r="A29" s="255">
        <f>Consolidado!A62</f>
        <v>56</v>
      </c>
      <c r="B29" s="256" t="str">
        <f>Consolidado!D62</f>
        <v>Maestría en Educación Popular (Santander de Quilichao)</v>
      </c>
      <c r="C29" s="257">
        <f>Consolidado!AJ62</f>
        <v>46802</v>
      </c>
      <c r="D29" s="258" t="e">
        <f t="shared" ca="1" si="0"/>
        <v>#NAME?</v>
      </c>
      <c r="E29" s="259" t="e">
        <f t="shared" ca="1" si="1"/>
        <v>#NAME?</v>
      </c>
      <c r="F29" s="260">
        <f>Consolidado!AH62</f>
        <v>46375</v>
      </c>
      <c r="G29" s="261" t="e">
        <f t="shared" ca="1" si="2"/>
        <v>#NAME?</v>
      </c>
      <c r="H29" s="259" t="e">
        <f t="shared" ca="1" si="3"/>
        <v>#NAME?</v>
      </c>
      <c r="I29" s="262" t="s">
        <v>786</v>
      </c>
    </row>
    <row r="30" spans="1:9" ht="12.75" customHeight="1" x14ac:dyDescent="0.2">
      <c r="A30" s="255">
        <f>Consolidado!A14</f>
        <v>8</v>
      </c>
      <c r="B30" s="256" t="str">
        <f>Consolidado!D14</f>
        <v>Especialización en Sanidad en Producción Agraria Integrada</v>
      </c>
      <c r="C30" s="257">
        <f>Consolidado!AJ14</f>
        <v>46815</v>
      </c>
      <c r="D30" s="258" t="e">
        <f t="shared" ca="1" si="0"/>
        <v>#NAME?</v>
      </c>
      <c r="E30" s="259" t="e">
        <f t="shared" ca="1" si="1"/>
        <v>#NAME?</v>
      </c>
      <c r="F30" s="260">
        <f>Consolidado!AH14</f>
        <v>46390</v>
      </c>
      <c r="G30" s="261" t="e">
        <f t="shared" ca="1" si="2"/>
        <v>#NAME?</v>
      </c>
      <c r="H30" s="259" t="e">
        <f t="shared" ca="1" si="3"/>
        <v>#NAME?</v>
      </c>
      <c r="I30" s="262"/>
    </row>
    <row r="31" spans="1:9" ht="12.75" customHeight="1" x14ac:dyDescent="0.2">
      <c r="A31" s="255">
        <f>Consolidado!A116</f>
        <v>110</v>
      </c>
      <c r="B31" s="256" t="str">
        <f>Consolidado!D116</f>
        <v>Ingeniería de Sistemas</v>
      </c>
      <c r="C31" s="257">
        <f>Consolidado!AJ116</f>
        <v>46817</v>
      </c>
      <c r="D31" s="258" t="e">
        <f t="shared" ca="1" si="0"/>
        <v>#NAME?</v>
      </c>
      <c r="E31" s="259" t="e">
        <f t="shared" ca="1" si="1"/>
        <v>#NAME?</v>
      </c>
      <c r="F31" s="260">
        <f>Consolidado!AH116</f>
        <v>46392</v>
      </c>
      <c r="G31" s="261" t="e">
        <f t="shared" ca="1" si="2"/>
        <v>#NAME?</v>
      </c>
      <c r="H31" s="259" t="e">
        <f t="shared" ca="1" si="3"/>
        <v>#NAME?</v>
      </c>
      <c r="I31" s="262"/>
    </row>
    <row r="32" spans="1:9" ht="12.75" customHeight="1" x14ac:dyDescent="0.2">
      <c r="A32" s="255">
        <f>Consolidado!A63</f>
        <v>57</v>
      </c>
      <c r="B32" s="256" t="str">
        <f>Consolidado!D63</f>
        <v>Maestría en Educación (MI)</v>
      </c>
      <c r="C32" s="257">
        <f>Consolidado!AJ63</f>
        <v>46842</v>
      </c>
      <c r="D32" s="258" t="e">
        <f t="shared" ca="1" si="0"/>
        <v>#NAME?</v>
      </c>
      <c r="E32" s="259" t="e">
        <f t="shared" ca="1" si="1"/>
        <v>#NAME?</v>
      </c>
      <c r="F32" s="260">
        <f>Consolidado!AH63</f>
        <v>46417</v>
      </c>
      <c r="G32" s="261" t="e">
        <f t="shared" ca="1" si="2"/>
        <v>#NAME?</v>
      </c>
      <c r="H32" s="259" t="e">
        <f t="shared" ca="1" si="3"/>
        <v>#NAME?</v>
      </c>
      <c r="I32" s="262"/>
    </row>
    <row r="33" spans="1:9" ht="12.75" customHeight="1" x14ac:dyDescent="0.2">
      <c r="A33" s="255">
        <f>Consolidado!A64</f>
        <v>58</v>
      </c>
      <c r="B33" s="256" t="str">
        <f>Consolidado!D64</f>
        <v>Biología</v>
      </c>
      <c r="C33" s="257">
        <f>Consolidado!AJ64</f>
        <v>46873</v>
      </c>
      <c r="D33" s="258" t="e">
        <f t="shared" ca="1" si="0"/>
        <v>#NAME?</v>
      </c>
      <c r="E33" s="259" t="e">
        <f t="shared" ca="1" si="1"/>
        <v>#NAME?</v>
      </c>
      <c r="F33" s="260">
        <f>Consolidado!AH64</f>
        <v>46446</v>
      </c>
      <c r="G33" s="261" t="e">
        <f t="shared" ca="1" si="2"/>
        <v>#NAME?</v>
      </c>
      <c r="H33" s="259" t="e">
        <f t="shared" ca="1" si="3"/>
        <v>#NAME?</v>
      </c>
      <c r="I33" s="262"/>
    </row>
    <row r="34" spans="1:9" ht="12.75" customHeight="1" x14ac:dyDescent="0.2">
      <c r="A34" s="255">
        <f>Consolidado!A90</f>
        <v>84</v>
      </c>
      <c r="B34" s="256" t="str">
        <f>Consolidado!D90</f>
        <v>Ciencia Política</v>
      </c>
      <c r="C34" s="257">
        <f>Consolidado!AJ90</f>
        <v>46906</v>
      </c>
      <c r="D34" s="258" t="e">
        <f t="shared" ca="1" si="0"/>
        <v>#NAME?</v>
      </c>
      <c r="E34" s="259" t="e">
        <f t="shared" ca="1" si="1"/>
        <v>#NAME?</v>
      </c>
      <c r="F34" s="260">
        <f>Consolidado!AH90</f>
        <v>46479</v>
      </c>
      <c r="G34" s="261" t="e">
        <f t="shared" ca="1" si="2"/>
        <v>#NAME?</v>
      </c>
      <c r="H34" s="259" t="e">
        <f t="shared" ca="1" si="3"/>
        <v>#NAME?</v>
      </c>
      <c r="I34" s="262"/>
    </row>
    <row r="35" spans="1:9" ht="12.75" customHeight="1" x14ac:dyDescent="0.2">
      <c r="A35" s="255">
        <f>Consolidado!A91</f>
        <v>85</v>
      </c>
      <c r="B35" s="256" t="str">
        <f>Consolidado!D91</f>
        <v xml:space="preserve">Especialización en Derecho de Familia </v>
      </c>
      <c r="C35" s="257">
        <f>Consolidado!AJ91</f>
        <v>46933</v>
      </c>
      <c r="D35" s="258" t="e">
        <f t="shared" ca="1" si="0"/>
        <v>#NAME?</v>
      </c>
      <c r="E35" s="259" t="e">
        <f t="shared" ca="1" si="1"/>
        <v>#NAME?</v>
      </c>
      <c r="F35" s="260">
        <f>Consolidado!AH91</f>
        <v>46506</v>
      </c>
      <c r="G35" s="261" t="e">
        <f t="shared" ca="1" si="2"/>
        <v>#NAME?</v>
      </c>
      <c r="H35" s="259" t="e">
        <f t="shared" ca="1" si="3"/>
        <v>#NAME?</v>
      </c>
      <c r="I35" s="262"/>
    </row>
    <row r="36" spans="1:9" ht="12.75" customHeight="1" x14ac:dyDescent="0.2">
      <c r="A36" s="255">
        <f>Consolidado!A117</f>
        <v>111</v>
      </c>
      <c r="B36" s="256" t="str">
        <f>Consolidado!D117</f>
        <v>Maestría en Electrónica y Telecomunicaciones</v>
      </c>
      <c r="C36" s="257">
        <f>Consolidado!AJ117</f>
        <v>46947</v>
      </c>
      <c r="D36" s="258" t="e">
        <f t="shared" ca="1" si="0"/>
        <v>#NAME?</v>
      </c>
      <c r="E36" s="259" t="e">
        <f t="shared" ca="1" si="1"/>
        <v>#NAME?</v>
      </c>
      <c r="F36" s="260">
        <f>Consolidado!AH117</f>
        <v>46520</v>
      </c>
      <c r="G36" s="261" t="e">
        <f t="shared" ca="1" si="2"/>
        <v>#NAME?</v>
      </c>
      <c r="H36" s="259" t="e">
        <f t="shared" ca="1" si="3"/>
        <v>#NAME?</v>
      </c>
      <c r="I36" s="262"/>
    </row>
    <row r="37" spans="1:9" ht="12.75" customHeight="1" x14ac:dyDescent="0.2">
      <c r="A37" s="255">
        <f>Consolidado!A92</f>
        <v>86</v>
      </c>
      <c r="B37" s="256" t="str">
        <f>Consolidado!D92</f>
        <v>Especialización en Gobierno y Políticas Públicas</v>
      </c>
      <c r="C37" s="257">
        <f>Consolidado!AJ92</f>
        <v>46971</v>
      </c>
      <c r="D37" s="258" t="e">
        <f t="shared" ca="1" si="0"/>
        <v>#NAME?</v>
      </c>
      <c r="E37" s="259" t="e">
        <f t="shared" ca="1" si="1"/>
        <v>#NAME?</v>
      </c>
      <c r="F37" s="260">
        <f>Consolidado!AH92</f>
        <v>46544</v>
      </c>
      <c r="G37" s="261" t="e">
        <f t="shared" ca="1" si="2"/>
        <v>#NAME?</v>
      </c>
      <c r="H37" s="259" t="e">
        <f t="shared" ca="1" si="3"/>
        <v>#NAME?</v>
      </c>
      <c r="I37" s="262"/>
    </row>
    <row r="38" spans="1:9" ht="12.75" customHeight="1" x14ac:dyDescent="0.2">
      <c r="A38" s="255">
        <f>Consolidado!A118</f>
        <v>112</v>
      </c>
      <c r="B38" s="256" t="str">
        <f>Consolidado!D118</f>
        <v>Doctorado en Ingeniería Telemática</v>
      </c>
      <c r="C38" s="257">
        <f>Consolidado!AJ118</f>
        <v>47004</v>
      </c>
      <c r="D38" s="258" t="e">
        <f t="shared" ca="1" si="0"/>
        <v>#NAME?</v>
      </c>
      <c r="E38" s="259" t="e">
        <f t="shared" ca="1" si="1"/>
        <v>#NAME?</v>
      </c>
      <c r="F38" s="260">
        <f>Consolidado!AH118</f>
        <v>46576</v>
      </c>
      <c r="G38" s="261" t="e">
        <f t="shared" ca="1" si="2"/>
        <v>#NAME?</v>
      </c>
      <c r="H38" s="259" t="e">
        <f t="shared" ca="1" si="3"/>
        <v>#NAME?</v>
      </c>
      <c r="I38" s="262"/>
    </row>
    <row r="39" spans="1:9" ht="12.75" customHeight="1" x14ac:dyDescent="0.2">
      <c r="A39" s="255">
        <f>Consolidado!A65</f>
        <v>59</v>
      </c>
      <c r="B39" s="256" t="str">
        <f>Consolidado!D65</f>
        <v>Maestría en Ingeniería Física</v>
      </c>
      <c r="C39" s="257">
        <f>Consolidado!AJ65</f>
        <v>47006</v>
      </c>
      <c r="D39" s="258" t="e">
        <f t="shared" ca="1" si="0"/>
        <v>#NAME?</v>
      </c>
      <c r="E39" s="259" t="e">
        <f t="shared" ca="1" si="1"/>
        <v>#NAME?</v>
      </c>
      <c r="F39" s="260">
        <f>Consolidado!AH65</f>
        <v>46578</v>
      </c>
      <c r="G39" s="261" t="e">
        <f t="shared" ca="1" si="2"/>
        <v>#NAME?</v>
      </c>
      <c r="H39" s="259" t="e">
        <f t="shared" ca="1" si="3"/>
        <v>#NAME?</v>
      </c>
      <c r="I39" s="262"/>
    </row>
    <row r="40" spans="1:9" ht="12.75" customHeight="1" x14ac:dyDescent="0.2">
      <c r="A40" s="255">
        <f>Consolidado!A66</f>
        <v>60</v>
      </c>
      <c r="B40" s="256" t="str">
        <f>Consolidado!D66</f>
        <v>Maestría en Biología</v>
      </c>
      <c r="C40" s="257">
        <f>Consolidado!AJ66</f>
        <v>47012</v>
      </c>
      <c r="D40" s="258" t="e">
        <f t="shared" ca="1" si="0"/>
        <v>#NAME?</v>
      </c>
      <c r="E40" s="259" t="e">
        <f t="shared" ca="1" si="1"/>
        <v>#NAME?</v>
      </c>
      <c r="F40" s="260">
        <f>Consolidado!AH66</f>
        <v>46584</v>
      </c>
      <c r="G40" s="261" t="e">
        <f t="shared" ca="1" si="2"/>
        <v>#NAME?</v>
      </c>
      <c r="H40" s="259" t="e">
        <f t="shared" ca="1" si="3"/>
        <v>#NAME?</v>
      </c>
      <c r="I40" s="262"/>
    </row>
    <row r="41" spans="1:9" ht="12.75" customHeight="1" x14ac:dyDescent="0.2">
      <c r="A41" s="255">
        <f>Consolidado!A7</f>
        <v>1</v>
      </c>
      <c r="B41" s="256" t="str">
        <f>Consolidado!D7</f>
        <v>Artes Plásticas</v>
      </c>
      <c r="C41" s="257">
        <f>Consolidado!AJ7</f>
        <v>47037</v>
      </c>
      <c r="D41" s="258" t="e">
        <f t="shared" ca="1" si="0"/>
        <v>#NAME?</v>
      </c>
      <c r="E41" s="259" t="e">
        <f t="shared" ca="1" si="1"/>
        <v>#NAME?</v>
      </c>
      <c r="F41" s="260">
        <f>Consolidado!AH7</f>
        <v>46610</v>
      </c>
      <c r="G41" s="261" t="e">
        <f t="shared" ca="1" si="2"/>
        <v>#NAME?</v>
      </c>
      <c r="H41" s="259" t="e">
        <f t="shared" ca="1" si="3"/>
        <v>#NAME?</v>
      </c>
      <c r="I41" s="262"/>
    </row>
    <row r="42" spans="1:9" ht="12.75" customHeight="1" x14ac:dyDescent="0.2">
      <c r="A42" s="255">
        <f>Consolidado!A8</f>
        <v>2</v>
      </c>
      <c r="B42" s="256" t="str">
        <f>Consolidado!D8</f>
        <v xml:space="preserve">Maestría en Música </v>
      </c>
      <c r="C42" s="257">
        <f>Consolidado!AJ8</f>
        <v>47037</v>
      </c>
      <c r="D42" s="258" t="e">
        <f t="shared" ca="1" si="0"/>
        <v>#NAME?</v>
      </c>
      <c r="E42" s="259" t="e">
        <f t="shared" ca="1" si="1"/>
        <v>#NAME?</v>
      </c>
      <c r="F42" s="260">
        <f>Consolidado!AH8</f>
        <v>46610</v>
      </c>
      <c r="G42" s="261" t="e">
        <f t="shared" ca="1" si="2"/>
        <v>#NAME?</v>
      </c>
      <c r="H42" s="259" t="e">
        <f t="shared" ca="1" si="3"/>
        <v>#NAME?</v>
      </c>
      <c r="I42" s="262"/>
    </row>
    <row r="43" spans="1:9" ht="12.75" customHeight="1" x14ac:dyDescent="0.2">
      <c r="A43" s="255">
        <f>Consolidado!A101</f>
        <v>95</v>
      </c>
      <c r="B43" s="256" t="str">
        <f>Consolidado!D101</f>
        <v xml:space="preserve">Maestría en Ingeniería de la Construcción </v>
      </c>
      <c r="C43" s="257">
        <f>Consolidado!AJ101</f>
        <v>47037</v>
      </c>
      <c r="D43" s="258" t="e">
        <f t="shared" ca="1" si="0"/>
        <v>#NAME?</v>
      </c>
      <c r="E43" s="259" t="e">
        <f t="shared" ca="1" si="1"/>
        <v>#NAME?</v>
      </c>
      <c r="F43" s="260">
        <f>Consolidado!AH101</f>
        <v>46610</v>
      </c>
      <c r="G43" s="261" t="e">
        <f t="shared" ca="1" si="2"/>
        <v>#NAME?</v>
      </c>
      <c r="H43" s="259" t="e">
        <f t="shared" ca="1" si="3"/>
        <v>#NAME?</v>
      </c>
      <c r="I43" s="262"/>
    </row>
    <row r="44" spans="1:9" ht="12.75" customHeight="1" x14ac:dyDescent="0.2">
      <c r="A44" s="255">
        <f>Consolidado!A102</f>
        <v>96</v>
      </c>
      <c r="B44" s="256" t="str">
        <f>Consolidado!D102</f>
        <v>Maestría en Ingeniería de Pavimentos</v>
      </c>
      <c r="C44" s="257">
        <f>Consolidado!AJ102</f>
        <v>47037</v>
      </c>
      <c r="D44" s="258" t="e">
        <f t="shared" ca="1" si="0"/>
        <v>#NAME?</v>
      </c>
      <c r="E44" s="259" t="e">
        <f t="shared" ca="1" si="1"/>
        <v>#NAME?</v>
      </c>
      <c r="F44" s="260">
        <f>Consolidado!AH102</f>
        <v>46610</v>
      </c>
      <c r="G44" s="261" t="e">
        <f t="shared" ca="1" si="2"/>
        <v>#NAME?</v>
      </c>
      <c r="H44" s="259" t="e">
        <f t="shared" ca="1" si="3"/>
        <v>#NAME?</v>
      </c>
      <c r="I44" s="262"/>
    </row>
    <row r="45" spans="1:9" ht="12.75" customHeight="1" x14ac:dyDescent="0.2">
      <c r="A45" s="255">
        <f>Consolidado!A119</f>
        <v>113</v>
      </c>
      <c r="B45" s="256" t="str">
        <f>Consolidado!D119</f>
        <v>Maestría en Telecomunicaciones</v>
      </c>
      <c r="C45" s="257">
        <f>Consolidado!AJ119</f>
        <v>47037</v>
      </c>
      <c r="D45" s="258" t="e">
        <f t="shared" ca="1" si="0"/>
        <v>#NAME?</v>
      </c>
      <c r="E45" s="259" t="e">
        <f t="shared" ca="1" si="1"/>
        <v>#NAME?</v>
      </c>
      <c r="F45" s="260">
        <f>Consolidado!AH119</f>
        <v>46610</v>
      </c>
      <c r="G45" s="261" t="e">
        <f t="shared" ca="1" si="2"/>
        <v>#NAME?</v>
      </c>
      <c r="H45" s="259" t="e">
        <f t="shared" ca="1" si="3"/>
        <v>#NAME?</v>
      </c>
      <c r="I45" s="262"/>
    </row>
    <row r="46" spans="1:9" ht="12.75" customHeight="1" x14ac:dyDescent="0.2">
      <c r="A46" s="255">
        <f>Consolidado!A103</f>
        <v>97</v>
      </c>
      <c r="B46" s="256" t="str">
        <f>Consolidado!D103</f>
        <v>Geotecnología</v>
      </c>
      <c r="C46" s="257">
        <f>Consolidado!AJ103</f>
        <v>47039</v>
      </c>
      <c r="D46" s="258" t="e">
        <f t="shared" ca="1" si="0"/>
        <v>#NAME?</v>
      </c>
      <c r="E46" s="259" t="e">
        <f t="shared" ca="1" si="1"/>
        <v>#NAME?</v>
      </c>
      <c r="F46" s="260">
        <f>Consolidado!AH103</f>
        <v>46612</v>
      </c>
      <c r="G46" s="261" t="e">
        <f t="shared" ca="1" si="2"/>
        <v>#NAME?</v>
      </c>
      <c r="H46" s="259" t="e">
        <f t="shared" ca="1" si="3"/>
        <v>#NAME?</v>
      </c>
      <c r="I46" s="262"/>
    </row>
    <row r="47" spans="1:9" ht="12.75" customHeight="1" x14ac:dyDescent="0.2">
      <c r="A47" s="255">
        <f>Consolidado!A33</f>
        <v>27</v>
      </c>
      <c r="B47" s="256" t="str">
        <f>Consolidado!D33</f>
        <v>Maestría en Desarrollo Humano y Salud</v>
      </c>
      <c r="C47" s="257">
        <f>Consolidado!AJ33</f>
        <v>47045</v>
      </c>
      <c r="D47" s="258" t="e">
        <f t="shared" ca="1" si="0"/>
        <v>#NAME?</v>
      </c>
      <c r="E47" s="259" t="e">
        <f t="shared" ca="1" si="1"/>
        <v>#NAME?</v>
      </c>
      <c r="F47" s="260">
        <f>Consolidado!AH33</f>
        <v>46618</v>
      </c>
      <c r="G47" s="261" t="e">
        <f t="shared" ca="1" si="2"/>
        <v>#NAME?</v>
      </c>
      <c r="H47" s="259" t="e">
        <f t="shared" ca="1" si="3"/>
        <v>#NAME?</v>
      </c>
      <c r="I47" s="262"/>
    </row>
    <row r="48" spans="1:9" ht="12.75" customHeight="1" x14ac:dyDescent="0.2">
      <c r="A48" s="255">
        <f>Consolidado!A67</f>
        <v>61</v>
      </c>
      <c r="B48" s="256" t="str">
        <f>Consolidado!D67</f>
        <v>Maestría en Educación, Estudios del Cuerpo y la Motricidad</v>
      </c>
      <c r="C48" s="257">
        <f>Consolidado!AJ67</f>
        <v>47097</v>
      </c>
      <c r="D48" s="258" t="e">
        <f t="shared" ca="1" si="0"/>
        <v>#NAME?</v>
      </c>
      <c r="E48" s="259" t="e">
        <f t="shared" ca="1" si="1"/>
        <v>#NAME?</v>
      </c>
      <c r="F48" s="260">
        <f>Consolidado!AH67</f>
        <v>46670</v>
      </c>
      <c r="G48" s="261" t="e">
        <f t="shared" ca="1" si="2"/>
        <v>#NAME?</v>
      </c>
      <c r="H48" s="259" t="e">
        <f t="shared" ca="1" si="3"/>
        <v>#NAME?</v>
      </c>
      <c r="I48" s="262"/>
    </row>
    <row r="49" spans="1:9" ht="12.75" customHeight="1" x14ac:dyDescent="0.2">
      <c r="A49" s="255">
        <f>Consolidado!A104</f>
        <v>98</v>
      </c>
      <c r="B49" s="256" t="str">
        <f>Consolidado!D104</f>
        <v>Maestría en Ingeniería de Vías Terrestres</v>
      </c>
      <c r="C49" s="257">
        <f>Consolidado!AJ104</f>
        <v>47097</v>
      </c>
      <c r="D49" s="258" t="e">
        <f t="shared" ca="1" si="0"/>
        <v>#NAME?</v>
      </c>
      <c r="E49" s="259" t="e">
        <f t="shared" ca="1" si="1"/>
        <v>#NAME?</v>
      </c>
      <c r="F49" s="260">
        <f>Consolidado!AH104</f>
        <v>46670</v>
      </c>
      <c r="G49" s="261" t="e">
        <f t="shared" ca="1" si="2"/>
        <v>#NAME?</v>
      </c>
      <c r="H49" s="259" t="e">
        <f t="shared" ca="1" si="3"/>
        <v>#NAME?</v>
      </c>
      <c r="I49" s="262"/>
    </row>
    <row r="50" spans="1:9" ht="12.75" customHeight="1" x14ac:dyDescent="0.2">
      <c r="A50" s="255">
        <f>Consolidado!A105</f>
        <v>99</v>
      </c>
      <c r="B50" s="256" t="str">
        <f>Consolidado!D105</f>
        <v>Maestría en Ingeniería de Vías Terrestres</v>
      </c>
      <c r="C50" s="257">
        <f>Consolidado!AJ105</f>
        <v>47097</v>
      </c>
      <c r="D50" s="258" t="e">
        <f t="shared" ca="1" si="0"/>
        <v>#NAME?</v>
      </c>
      <c r="E50" s="259" t="e">
        <f t="shared" ca="1" si="1"/>
        <v>#NAME?</v>
      </c>
      <c r="F50" s="260">
        <f>Consolidado!AH105</f>
        <v>46670</v>
      </c>
      <c r="G50" s="261" t="e">
        <f t="shared" ca="1" si="2"/>
        <v>#NAME?</v>
      </c>
      <c r="H50" s="259" t="e">
        <f t="shared" ca="1" si="3"/>
        <v>#NAME?</v>
      </c>
      <c r="I50" s="262"/>
    </row>
    <row r="51" spans="1:9" ht="12.75" customHeight="1" x14ac:dyDescent="0.2">
      <c r="A51" s="255">
        <f>Consolidado!A68</f>
        <v>62</v>
      </c>
      <c r="B51" s="256" t="str">
        <f>Consolidado!D68</f>
        <v>Maestría en Educación Superior</v>
      </c>
      <c r="C51" s="257">
        <f>Consolidado!AJ68</f>
        <v>47110</v>
      </c>
      <c r="D51" s="258" t="e">
        <f t="shared" ca="1" si="0"/>
        <v>#NAME?</v>
      </c>
      <c r="E51" s="259" t="e">
        <f t="shared" ca="1" si="1"/>
        <v>#NAME?</v>
      </c>
      <c r="F51" s="260">
        <f>Consolidado!AH68</f>
        <v>46683</v>
      </c>
      <c r="G51" s="261" t="e">
        <f t="shared" ca="1" si="2"/>
        <v>#NAME?</v>
      </c>
      <c r="H51" s="259" t="e">
        <f t="shared" ca="1" si="3"/>
        <v>#NAME?</v>
      </c>
      <c r="I51" s="262"/>
    </row>
    <row r="52" spans="1:9" ht="12.75" customHeight="1" x14ac:dyDescent="0.2">
      <c r="A52" s="255">
        <f>Consolidado!A15</f>
        <v>9</v>
      </c>
      <c r="B52" s="256" t="str">
        <f>Consolidado!D15</f>
        <v>Especialización en Gestión Integral del Recurso Hídrico</v>
      </c>
      <c r="C52" s="257">
        <f>Consolidado!AJ15</f>
        <v>47174</v>
      </c>
      <c r="D52" s="258" t="e">
        <f t="shared" ca="1" si="0"/>
        <v>#NAME?</v>
      </c>
      <c r="E52" s="259" t="e">
        <f t="shared" ca="1" si="1"/>
        <v>#NAME?</v>
      </c>
      <c r="F52" s="260">
        <f>Consolidado!AH15</f>
        <v>46746</v>
      </c>
      <c r="G52" s="261" t="e">
        <f t="shared" ca="1" si="2"/>
        <v>#NAME?</v>
      </c>
      <c r="H52" s="259" t="e">
        <f t="shared" ca="1" si="3"/>
        <v>#NAME?</v>
      </c>
      <c r="I52" s="262" t="s">
        <v>787</v>
      </c>
    </row>
    <row r="53" spans="1:9" ht="12.75" customHeight="1" x14ac:dyDescent="0.2">
      <c r="A53" s="255">
        <f>Consolidado!A28</f>
        <v>22</v>
      </c>
      <c r="B53" s="256" t="str">
        <f>Consolidado!D28</f>
        <v>Maestría en Economía Regional y Políticas Públicas</v>
      </c>
      <c r="C53" s="257">
        <f>Consolidado!AJ28</f>
        <v>47174</v>
      </c>
      <c r="D53" s="258" t="e">
        <f t="shared" ca="1" si="0"/>
        <v>#NAME?</v>
      </c>
      <c r="E53" s="259" t="e">
        <f t="shared" ca="1" si="1"/>
        <v>#NAME?</v>
      </c>
      <c r="F53" s="260">
        <f>Consolidado!AH28</f>
        <v>46746</v>
      </c>
      <c r="G53" s="261" t="e">
        <f t="shared" ca="1" si="2"/>
        <v>#NAME?</v>
      </c>
      <c r="H53" s="259" t="e">
        <f t="shared" ca="1" si="3"/>
        <v>#NAME?</v>
      </c>
      <c r="I53" s="262"/>
    </row>
    <row r="54" spans="1:9" ht="12.75" customHeight="1" x14ac:dyDescent="0.2">
      <c r="A54" s="255">
        <f>Consolidado!A69</f>
        <v>63</v>
      </c>
      <c r="B54" s="256" t="str">
        <f>Consolidado!D69</f>
        <v>Licenciatura en Educación Física, Recreación y Deportes</v>
      </c>
      <c r="C54" s="257">
        <f>Consolidado!AJ69</f>
        <v>47178</v>
      </c>
      <c r="D54" s="258" t="e">
        <f t="shared" ca="1" si="0"/>
        <v>#NAME?</v>
      </c>
      <c r="E54" s="259" t="e">
        <f t="shared" ca="1" si="1"/>
        <v>#NAME?</v>
      </c>
      <c r="F54" s="260">
        <f>Consolidado!AH69</f>
        <v>46753</v>
      </c>
      <c r="G54" s="261" t="e">
        <f t="shared" ca="1" si="2"/>
        <v>#NAME?</v>
      </c>
      <c r="H54" s="259" t="e">
        <f t="shared" ca="1" si="3"/>
        <v>#NAME?</v>
      </c>
      <c r="I54" s="262"/>
    </row>
    <row r="55" spans="1:9" ht="12.75" customHeight="1" x14ac:dyDescent="0.2">
      <c r="A55" s="255">
        <f>Consolidado!A70</f>
        <v>64</v>
      </c>
      <c r="B55" s="256" t="str">
        <f>Consolidado!D70</f>
        <v>Licenciatura en Educación Artística</v>
      </c>
      <c r="C55" s="257">
        <f>Consolidado!AJ70</f>
        <v>47178</v>
      </c>
      <c r="D55" s="258" t="e">
        <f t="shared" ca="1" si="0"/>
        <v>#NAME?</v>
      </c>
      <c r="E55" s="259" t="e">
        <f t="shared" ca="1" si="1"/>
        <v>#NAME?</v>
      </c>
      <c r="F55" s="260">
        <f>Consolidado!AH70</f>
        <v>46753</v>
      </c>
      <c r="G55" s="261" t="e">
        <f t="shared" ca="1" si="2"/>
        <v>#NAME?</v>
      </c>
      <c r="H55" s="259" t="e">
        <f t="shared" ca="1" si="3"/>
        <v>#NAME?</v>
      </c>
      <c r="I55" s="262"/>
    </row>
    <row r="56" spans="1:9" ht="12.75" customHeight="1" x14ac:dyDescent="0.2">
      <c r="A56" s="255">
        <f>Consolidado!A50</f>
        <v>44</v>
      </c>
      <c r="B56" s="256" t="str">
        <f>Consolidado!D50</f>
        <v>Maestría en Antropología</v>
      </c>
      <c r="C56" s="257">
        <f>Consolidado!AJ50</f>
        <v>47233</v>
      </c>
      <c r="D56" s="258" t="e">
        <f t="shared" ca="1" si="0"/>
        <v>#NAME?</v>
      </c>
      <c r="E56" s="259" t="e">
        <f t="shared" ca="1" si="1"/>
        <v>#NAME?</v>
      </c>
      <c r="F56" s="260">
        <f>Consolidado!AH50</f>
        <v>46808</v>
      </c>
      <c r="G56" s="261" t="e">
        <f t="shared" ca="1" si="2"/>
        <v>#NAME?</v>
      </c>
      <c r="H56" s="259" t="e">
        <f t="shared" ca="1" si="3"/>
        <v>#NAME?</v>
      </c>
      <c r="I56" s="262"/>
    </row>
    <row r="57" spans="1:9" ht="12.75" customHeight="1" x14ac:dyDescent="0.2">
      <c r="A57" s="255">
        <f>Consolidado!A29</f>
        <v>23</v>
      </c>
      <c r="B57" s="256" t="str">
        <f>Consolidado!D29</f>
        <v>Maestría en Gestión del Conocimiento y la Innovación</v>
      </c>
      <c r="C57" s="257">
        <f>Consolidado!AJ29</f>
        <v>47235</v>
      </c>
      <c r="D57" s="258" t="e">
        <f t="shared" ca="1" si="0"/>
        <v>#NAME?</v>
      </c>
      <c r="E57" s="259" t="e">
        <f t="shared" ca="1" si="1"/>
        <v>#NAME?</v>
      </c>
      <c r="F57" s="260">
        <f>Consolidado!AH29</f>
        <v>46810</v>
      </c>
      <c r="G57" s="261" t="e">
        <f t="shared" ca="1" si="2"/>
        <v>#NAME?</v>
      </c>
      <c r="H57" s="259" t="e">
        <f t="shared" ca="1" si="3"/>
        <v>#NAME?</v>
      </c>
      <c r="I57" s="262"/>
    </row>
    <row r="58" spans="1:9" ht="12.75" customHeight="1" x14ac:dyDescent="0.2">
      <c r="A58" s="255">
        <f>Consolidado!A17</f>
        <v>11</v>
      </c>
      <c r="B58" s="256" t="str">
        <f>Consolidado!D17</f>
        <v xml:space="preserve">Maestría en Ciencias Agrarias </v>
      </c>
      <c r="C58" s="257">
        <f>Consolidado!AJ17</f>
        <v>47272</v>
      </c>
      <c r="D58" s="258" t="e">
        <f t="shared" ca="1" si="0"/>
        <v>#NAME?</v>
      </c>
      <c r="E58" s="259" t="e">
        <f t="shared" ca="1" si="1"/>
        <v>#NAME?</v>
      </c>
      <c r="F58" s="260">
        <f>Consolidado!AH17</f>
        <v>46846</v>
      </c>
      <c r="G58" s="261" t="e">
        <f t="shared" ca="1" si="2"/>
        <v>#NAME?</v>
      </c>
      <c r="H58" s="259" t="e">
        <f t="shared" ca="1" si="3"/>
        <v>#NAME?</v>
      </c>
      <c r="I58" s="262" t="s">
        <v>788</v>
      </c>
    </row>
    <row r="59" spans="1:9" ht="12.75" customHeight="1" x14ac:dyDescent="0.2">
      <c r="A59" s="255">
        <f>Consolidado!A51</f>
        <v>45</v>
      </c>
      <c r="B59" s="256" t="str">
        <f>Consolidado!D51</f>
        <v xml:space="preserve">Maestría en Ciencias Humanas </v>
      </c>
      <c r="C59" s="257">
        <f>Consolidado!AJ51</f>
        <v>47272</v>
      </c>
      <c r="D59" s="258" t="e">
        <f t="shared" ca="1" si="0"/>
        <v>#NAME?</v>
      </c>
      <c r="E59" s="259" t="e">
        <f t="shared" ca="1" si="1"/>
        <v>#NAME?</v>
      </c>
      <c r="F59" s="260">
        <f>Consolidado!AH51</f>
        <v>46846</v>
      </c>
      <c r="G59" s="261" t="e">
        <f t="shared" ca="1" si="2"/>
        <v>#NAME?</v>
      </c>
      <c r="H59" s="259" t="e">
        <f t="shared" ca="1" si="3"/>
        <v>#NAME?</v>
      </c>
      <c r="I59" s="262"/>
    </row>
    <row r="60" spans="1:9" ht="12.75" customHeight="1" x14ac:dyDescent="0.2">
      <c r="A60" s="255">
        <f>Consolidado!A106</f>
        <v>100</v>
      </c>
      <c r="B60" s="256" t="str">
        <f>Consolidado!D106</f>
        <v>Maestría en Geomática</v>
      </c>
      <c r="C60" s="257">
        <f>Consolidado!AJ106</f>
        <v>47292</v>
      </c>
      <c r="D60" s="258" t="e">
        <f t="shared" ca="1" si="0"/>
        <v>#NAME?</v>
      </c>
      <c r="E60" s="259" t="e">
        <f t="shared" ca="1" si="1"/>
        <v>#NAME?</v>
      </c>
      <c r="F60" s="260">
        <f>Consolidado!AH106</f>
        <v>46866</v>
      </c>
      <c r="G60" s="261" t="e">
        <f t="shared" ca="1" si="2"/>
        <v>#NAME?</v>
      </c>
      <c r="H60" s="259" t="e">
        <f t="shared" ca="1" si="3"/>
        <v>#NAME?</v>
      </c>
      <c r="I60" s="262"/>
    </row>
    <row r="61" spans="1:9" ht="12.75" customHeight="1" x14ac:dyDescent="0.2">
      <c r="A61" s="255">
        <f>Consolidado!A120</f>
        <v>114</v>
      </c>
      <c r="B61" s="256" t="str">
        <f>Consolidado!D120</f>
        <v>Especialización en TIC para la Innovación Educativa</v>
      </c>
      <c r="C61" s="257">
        <f>Consolidado!AJ120</f>
        <v>47292</v>
      </c>
      <c r="D61" s="258" t="e">
        <f t="shared" ca="1" si="0"/>
        <v>#NAME?</v>
      </c>
      <c r="E61" s="259" t="e">
        <f t="shared" ca="1" si="1"/>
        <v>#NAME?</v>
      </c>
      <c r="F61" s="260">
        <f>Consolidado!AH120</f>
        <v>46866</v>
      </c>
      <c r="G61" s="261" t="e">
        <f t="shared" ca="1" si="2"/>
        <v>#NAME?</v>
      </c>
      <c r="H61" s="259" t="e">
        <f t="shared" ca="1" si="3"/>
        <v>#NAME?</v>
      </c>
      <c r="I61" s="262"/>
    </row>
    <row r="62" spans="1:9" ht="12.75" customHeight="1" x14ac:dyDescent="0.2">
      <c r="A62" s="255">
        <f>Consolidado!A34</f>
        <v>28</v>
      </c>
      <c r="B62" s="256" t="str">
        <f>Consolidado!D34</f>
        <v>Fonoaudiología</v>
      </c>
      <c r="C62" s="257">
        <f>Consolidado!AJ34</f>
        <v>47299</v>
      </c>
      <c r="D62" s="258" t="e">
        <f t="shared" ca="1" si="0"/>
        <v>#NAME?</v>
      </c>
      <c r="E62" s="259" t="e">
        <f t="shared" ca="1" si="1"/>
        <v>#NAME?</v>
      </c>
      <c r="F62" s="260">
        <f>Consolidado!AH34</f>
        <v>46873</v>
      </c>
      <c r="G62" s="261" t="e">
        <f t="shared" ca="1" si="2"/>
        <v>#NAME?</v>
      </c>
      <c r="H62" s="259" t="e">
        <f t="shared" ca="1" si="3"/>
        <v>#NAME?</v>
      </c>
      <c r="I62" s="262"/>
    </row>
    <row r="63" spans="1:9" ht="12.75" customHeight="1" x14ac:dyDescent="0.2">
      <c r="A63" s="255">
        <f>Consolidado!A18</f>
        <v>12</v>
      </c>
      <c r="B63" s="256" t="str">
        <f>Consolidado!D18</f>
        <v xml:space="preserve">Doctorado en Ciencias Agrarias y Agroindustriales </v>
      </c>
      <c r="C63" s="257">
        <f>Consolidado!AJ18</f>
        <v>47305</v>
      </c>
      <c r="D63" s="258" t="e">
        <f t="shared" ca="1" si="0"/>
        <v>#NAME?</v>
      </c>
      <c r="E63" s="259" t="e">
        <f t="shared" ca="1" si="1"/>
        <v>#NAME?</v>
      </c>
      <c r="F63" s="260">
        <f>Consolidado!AH18</f>
        <v>46879</v>
      </c>
      <c r="G63" s="261" t="e">
        <f t="shared" ca="1" si="2"/>
        <v>#NAME?</v>
      </c>
      <c r="H63" s="259" t="e">
        <f t="shared" ca="1" si="3"/>
        <v>#NAME?</v>
      </c>
      <c r="I63" s="262"/>
    </row>
    <row r="64" spans="1:9" ht="12.75" customHeight="1" x14ac:dyDescent="0.2">
      <c r="A64" s="255">
        <f>Consolidado!A35</f>
        <v>29</v>
      </c>
      <c r="B64" s="256" t="str">
        <f>Consolidado!D35</f>
        <v>Especialización en Anestesiología</v>
      </c>
      <c r="C64" s="257">
        <f>Consolidado!AJ35</f>
        <v>47334</v>
      </c>
      <c r="D64" s="258" t="e">
        <f t="shared" ca="1" si="0"/>
        <v>#NAME?</v>
      </c>
      <c r="E64" s="259" t="e">
        <f t="shared" ca="1" si="1"/>
        <v>#NAME?</v>
      </c>
      <c r="F64" s="260">
        <f>Consolidado!AH35</f>
        <v>46908</v>
      </c>
      <c r="G64" s="261" t="e">
        <f t="shared" ca="1" si="2"/>
        <v>#NAME?</v>
      </c>
      <c r="H64" s="259" t="e">
        <f t="shared" ca="1" si="3"/>
        <v>#NAME?</v>
      </c>
      <c r="I64" s="262"/>
    </row>
    <row r="65" spans="1:9" ht="12.75" customHeight="1" x14ac:dyDescent="0.2">
      <c r="A65" s="255">
        <f>Consolidado!A36</f>
        <v>30</v>
      </c>
      <c r="B65" s="256" t="str">
        <f>Consolidado!D36</f>
        <v>Especialización en Pediatría</v>
      </c>
      <c r="C65" s="257">
        <f>Consolidado!AJ36</f>
        <v>47334</v>
      </c>
      <c r="D65" s="258" t="e">
        <f t="shared" ca="1" si="0"/>
        <v>#NAME?</v>
      </c>
      <c r="E65" s="259" t="e">
        <f t="shared" ca="1" si="1"/>
        <v>#NAME?</v>
      </c>
      <c r="F65" s="260">
        <f>Consolidado!AH36</f>
        <v>46908</v>
      </c>
      <c r="G65" s="261" t="e">
        <f t="shared" ca="1" si="2"/>
        <v>#NAME?</v>
      </c>
      <c r="H65" s="259" t="e">
        <f t="shared" ca="1" si="3"/>
        <v>#NAME?</v>
      </c>
      <c r="I65" s="262"/>
    </row>
    <row r="66" spans="1:9" ht="12.75" customHeight="1" x14ac:dyDescent="0.2">
      <c r="A66" s="255">
        <f>Consolidado!A9</f>
        <v>3</v>
      </c>
      <c r="B66" s="256" t="str">
        <f>Consolidado!D9</f>
        <v>Licenciatura en Música</v>
      </c>
      <c r="C66" s="257">
        <f>Consolidado!AJ9</f>
        <v>47517</v>
      </c>
      <c r="D66" s="258" t="e">
        <f t="shared" ca="1" si="0"/>
        <v>#NAME?</v>
      </c>
      <c r="E66" s="259" t="e">
        <f t="shared" ca="1" si="1"/>
        <v>#NAME?</v>
      </c>
      <c r="F66" s="260">
        <f>Consolidado!AH9</f>
        <v>47090</v>
      </c>
      <c r="G66" s="261" t="e">
        <f t="shared" ca="1" si="2"/>
        <v>#NAME?</v>
      </c>
      <c r="H66" s="259" t="e">
        <f t="shared" ca="1" si="3"/>
        <v>#NAME?</v>
      </c>
      <c r="I66" s="262" t="s">
        <v>785</v>
      </c>
    </row>
    <row r="67" spans="1:9" ht="12.75" customHeight="1" x14ac:dyDescent="0.2">
      <c r="A67" s="255">
        <f>Consolidado!A10</f>
        <v>4</v>
      </c>
      <c r="B67" s="256" t="str">
        <f>Consolidado!D10</f>
        <v>Música Instrumental</v>
      </c>
      <c r="C67" s="257">
        <f>Consolidado!AJ10</f>
        <v>47517</v>
      </c>
      <c r="D67" s="258" t="e">
        <f t="shared" ca="1" si="0"/>
        <v>#NAME?</v>
      </c>
      <c r="E67" s="259" t="e">
        <f t="shared" ca="1" si="1"/>
        <v>#NAME?</v>
      </c>
      <c r="F67" s="260">
        <f>Consolidado!AH10</f>
        <v>47090</v>
      </c>
      <c r="G67" s="261" t="e">
        <f t="shared" ca="1" si="2"/>
        <v>#NAME?</v>
      </c>
      <c r="H67" s="259" t="e">
        <f t="shared" ca="1" si="3"/>
        <v>#NAME?</v>
      </c>
      <c r="I67" s="262"/>
    </row>
    <row r="68" spans="1:9" ht="12.75" customHeight="1" x14ac:dyDescent="0.2">
      <c r="A68" s="255">
        <f>Consolidado!A71</f>
        <v>65</v>
      </c>
      <c r="B68" s="256" t="str">
        <f>Consolidado!D71</f>
        <v>Licenciatura en Ciencias Naturales y Educación Ambiental</v>
      </c>
      <c r="C68" s="257">
        <f>Consolidado!AJ71</f>
        <v>47517</v>
      </c>
      <c r="D68" s="258" t="e">
        <f t="shared" ca="1" si="0"/>
        <v>#NAME?</v>
      </c>
      <c r="E68" s="259" t="e">
        <f t="shared" ca="1" si="1"/>
        <v>#NAME?</v>
      </c>
      <c r="F68" s="260">
        <f>Consolidado!AH71</f>
        <v>47090</v>
      </c>
      <c r="G68" s="261" t="e">
        <f t="shared" ca="1" si="2"/>
        <v>#NAME?</v>
      </c>
      <c r="H68" s="259" t="e">
        <f t="shared" ca="1" si="3"/>
        <v>#NAME?</v>
      </c>
      <c r="I68" s="262"/>
    </row>
    <row r="69" spans="1:9" ht="12.75" customHeight="1" x14ac:dyDescent="0.2">
      <c r="A69" s="255">
        <f>Consolidado!A72</f>
        <v>66</v>
      </c>
      <c r="B69" s="256" t="str">
        <f>Consolidado!D72</f>
        <v>Licenciatura en Educación Básica Primaria</v>
      </c>
      <c r="C69" s="257">
        <f>Consolidado!AJ72</f>
        <v>47517</v>
      </c>
      <c r="D69" s="258" t="e">
        <f t="shared" ca="1" si="0"/>
        <v>#NAME?</v>
      </c>
      <c r="E69" s="259" t="e">
        <f t="shared" ca="1" si="1"/>
        <v>#NAME?</v>
      </c>
      <c r="F69" s="260">
        <f>Consolidado!AH72</f>
        <v>47090</v>
      </c>
      <c r="G69" s="261" t="e">
        <f t="shared" ca="1" si="2"/>
        <v>#NAME?</v>
      </c>
      <c r="H69" s="259" t="e">
        <f t="shared" ca="1" si="3"/>
        <v>#NAME?</v>
      </c>
      <c r="I69" s="262" t="s">
        <v>789</v>
      </c>
    </row>
    <row r="70" spans="1:9" ht="12.75" customHeight="1" x14ac:dyDescent="0.2">
      <c r="A70" s="255">
        <f>Consolidado!A52</f>
        <v>46</v>
      </c>
      <c r="B70" s="256" t="str">
        <f>Consolidado!D52</f>
        <v>Doctorado en Ciencias Humanas</v>
      </c>
      <c r="C70" s="257">
        <f>Consolidado!AJ52</f>
        <v>47535</v>
      </c>
      <c r="D70" s="258" t="e">
        <f t="shared" ca="1" si="0"/>
        <v>#NAME?</v>
      </c>
      <c r="E70" s="259" t="e">
        <f t="shared" ca="1" si="1"/>
        <v>#NAME?</v>
      </c>
      <c r="F70" s="260">
        <f>Consolidado!AH52</f>
        <v>47108</v>
      </c>
      <c r="G70" s="261" t="e">
        <f t="shared" ca="1" si="2"/>
        <v>#NAME?</v>
      </c>
      <c r="H70" s="259" t="e">
        <f t="shared" ca="1" si="3"/>
        <v>#NAME?</v>
      </c>
      <c r="I70" s="262"/>
    </row>
    <row r="71" spans="1:9" ht="12.75" customHeight="1" x14ac:dyDescent="0.2">
      <c r="A71" s="255">
        <f>Consolidado!A73</f>
        <v>67</v>
      </c>
      <c r="B71" s="256" t="str">
        <f>Consolidado!D73</f>
        <v xml:space="preserve">Maestría en Deporte y Actividad Física </v>
      </c>
      <c r="C71" s="257">
        <f>Consolidado!AJ73</f>
        <v>47535</v>
      </c>
      <c r="D71" s="258" t="e">
        <f t="shared" ca="1" si="0"/>
        <v>#NAME?</v>
      </c>
      <c r="E71" s="259" t="e">
        <f t="shared" ca="1" si="1"/>
        <v>#NAME?</v>
      </c>
      <c r="F71" s="260">
        <f>Consolidado!AH73</f>
        <v>47108</v>
      </c>
      <c r="G71" s="261" t="e">
        <f t="shared" ca="1" si="2"/>
        <v>#NAME?</v>
      </c>
      <c r="H71" s="259" t="e">
        <f t="shared" ca="1" si="3"/>
        <v>#NAME?</v>
      </c>
      <c r="I71" s="262" t="s">
        <v>787</v>
      </c>
    </row>
    <row r="72" spans="1:9" ht="12.75" customHeight="1" x14ac:dyDescent="0.2">
      <c r="A72" s="255">
        <f>Consolidado!A107</f>
        <v>101</v>
      </c>
      <c r="B72" s="256" t="str">
        <f>Consolidado!D107</f>
        <v>Especialización en Ingeniería de Recursos Hídricos</v>
      </c>
      <c r="C72" s="257">
        <f>Consolidado!AJ107</f>
        <v>47535</v>
      </c>
      <c r="D72" s="258" t="e">
        <f t="shared" ca="1" si="0"/>
        <v>#NAME?</v>
      </c>
      <c r="E72" s="259" t="e">
        <f t="shared" ca="1" si="1"/>
        <v>#NAME?</v>
      </c>
      <c r="F72" s="260">
        <f>Consolidado!AH107</f>
        <v>47108</v>
      </c>
      <c r="G72" s="261" t="e">
        <f t="shared" ca="1" si="2"/>
        <v>#NAME?</v>
      </c>
      <c r="H72" s="259" t="e">
        <f t="shared" ca="1" si="3"/>
        <v>#NAME?</v>
      </c>
      <c r="I72" s="262"/>
    </row>
    <row r="73" spans="1:9" ht="12.75" customHeight="1" x14ac:dyDescent="0.2">
      <c r="A73" s="255">
        <f>Consolidado!A37</f>
        <v>31</v>
      </c>
      <c r="B73" s="256" t="str">
        <f>Consolidado!D37</f>
        <v>Especialización en Ginecología y Obstetricia</v>
      </c>
      <c r="C73" s="257">
        <f>Consolidado!AJ37</f>
        <v>47545</v>
      </c>
      <c r="D73" s="258" t="e">
        <f t="shared" ca="1" si="0"/>
        <v>#NAME?</v>
      </c>
      <c r="E73" s="259" t="e">
        <f t="shared" ca="1" si="1"/>
        <v>#NAME?</v>
      </c>
      <c r="F73" s="260">
        <f>Consolidado!AH37</f>
        <v>47121</v>
      </c>
      <c r="G73" s="261" t="e">
        <f t="shared" ca="1" si="2"/>
        <v>#NAME?</v>
      </c>
      <c r="H73" s="259" t="e">
        <f t="shared" ca="1" si="3"/>
        <v>#NAME?</v>
      </c>
      <c r="I73" s="262"/>
    </row>
    <row r="74" spans="1:9" ht="12.75" customHeight="1" x14ac:dyDescent="0.2">
      <c r="A74" s="255">
        <f>Consolidado!A38</f>
        <v>32</v>
      </c>
      <c r="B74" s="256" t="str">
        <f>Consolidado!D38</f>
        <v>Especialización en Cirugía General</v>
      </c>
      <c r="C74" s="257">
        <f>Consolidado!AJ38</f>
        <v>47578</v>
      </c>
      <c r="D74" s="258" t="e">
        <f t="shared" ca="1" si="0"/>
        <v>#NAME?</v>
      </c>
      <c r="E74" s="259" t="e">
        <f t="shared" ca="1" si="1"/>
        <v>#NAME?</v>
      </c>
      <c r="F74" s="260">
        <f>Consolidado!AH38</f>
        <v>47154</v>
      </c>
      <c r="G74" s="261" t="e">
        <f t="shared" ca="1" si="2"/>
        <v>#NAME?</v>
      </c>
      <c r="H74" s="259" t="e">
        <f t="shared" ca="1" si="3"/>
        <v>#NAME?</v>
      </c>
      <c r="I74" s="262"/>
    </row>
    <row r="75" spans="1:9" ht="12.75" customHeight="1" x14ac:dyDescent="0.2">
      <c r="A75" s="255">
        <f>Consolidado!A11</f>
        <v>5</v>
      </c>
      <c r="B75" s="256" t="str">
        <f>Consolidado!D11</f>
        <v>Diseño Gráfico</v>
      </c>
      <c r="C75" s="257">
        <f>Consolidado!AJ11</f>
        <v>47593</v>
      </c>
      <c r="D75" s="258" t="e">
        <f t="shared" ca="1" si="0"/>
        <v>#NAME?</v>
      </c>
      <c r="E75" s="259" t="e">
        <f t="shared" ca="1" si="1"/>
        <v>#NAME?</v>
      </c>
      <c r="F75" s="260">
        <f>Consolidado!AH11</f>
        <v>47169</v>
      </c>
      <c r="G75" s="261" t="e">
        <f t="shared" ca="1" si="2"/>
        <v>#NAME?</v>
      </c>
      <c r="H75" s="259" t="e">
        <f t="shared" ca="1" si="3"/>
        <v>#NAME?</v>
      </c>
      <c r="I75" s="262" t="s">
        <v>790</v>
      </c>
    </row>
    <row r="76" spans="1:9" ht="12.75" customHeight="1" x14ac:dyDescent="0.2">
      <c r="A76" s="255">
        <f>Consolidado!A12</f>
        <v>6</v>
      </c>
      <c r="B76" s="256" t="str">
        <f>Consolidado!D12</f>
        <v>Dirección de Banda</v>
      </c>
      <c r="C76" s="257">
        <f>Consolidado!AJ12</f>
        <v>47593</v>
      </c>
      <c r="D76" s="258" t="e">
        <f t="shared" ca="1" si="0"/>
        <v>#NAME?</v>
      </c>
      <c r="E76" s="259" t="e">
        <f t="shared" ca="1" si="1"/>
        <v>#NAME?</v>
      </c>
      <c r="F76" s="260">
        <f>Consolidado!AH12</f>
        <v>47169</v>
      </c>
      <c r="G76" s="261" t="e">
        <f t="shared" ca="1" si="2"/>
        <v>#NAME?</v>
      </c>
      <c r="H76" s="259" t="e">
        <f t="shared" ca="1" si="3"/>
        <v>#NAME?</v>
      </c>
      <c r="I76" s="262"/>
    </row>
    <row r="77" spans="1:9" ht="12.75" customHeight="1" x14ac:dyDescent="0.2">
      <c r="A77" s="255">
        <f>Consolidado!A53</f>
        <v>47</v>
      </c>
      <c r="B77" s="256" t="str">
        <f>Consolidado!D53</f>
        <v>Licenciatura en Lenguas Modernas con Énfasis en Inglés y Francés</v>
      </c>
      <c r="C77" s="257">
        <f>Consolidado!AJ53</f>
        <v>47593</v>
      </c>
      <c r="D77" s="258" t="e">
        <f t="shared" ca="1" si="0"/>
        <v>#NAME?</v>
      </c>
      <c r="E77" s="259" t="e">
        <f t="shared" ca="1" si="1"/>
        <v>#NAME?</v>
      </c>
      <c r="F77" s="260">
        <f>Consolidado!AH53</f>
        <v>47169</v>
      </c>
      <c r="G77" s="261" t="e">
        <f t="shared" ca="1" si="2"/>
        <v>#NAME?</v>
      </c>
      <c r="H77" s="259" t="e">
        <f t="shared" ca="1" si="3"/>
        <v>#NAME?</v>
      </c>
      <c r="I77" s="262"/>
    </row>
    <row r="78" spans="1:9" ht="12.75" customHeight="1" x14ac:dyDescent="0.2">
      <c r="A78" s="255">
        <f>Consolidado!A54</f>
        <v>48</v>
      </c>
      <c r="B78" s="256" t="str">
        <f>Consolidado!D54</f>
        <v>Historia</v>
      </c>
      <c r="C78" s="257">
        <f>Consolidado!AJ54</f>
        <v>47593</v>
      </c>
      <c r="D78" s="258" t="e">
        <f t="shared" ca="1" si="0"/>
        <v>#NAME?</v>
      </c>
      <c r="E78" s="259" t="e">
        <f t="shared" ca="1" si="1"/>
        <v>#NAME?</v>
      </c>
      <c r="F78" s="260">
        <f>Consolidado!AH54</f>
        <v>47169</v>
      </c>
      <c r="G78" s="261" t="e">
        <f t="shared" ca="1" si="2"/>
        <v>#NAME?</v>
      </c>
      <c r="H78" s="259" t="e">
        <f t="shared" ca="1" si="3"/>
        <v>#NAME?</v>
      </c>
      <c r="I78" s="262"/>
    </row>
    <row r="79" spans="1:9" ht="12.75" customHeight="1" x14ac:dyDescent="0.2">
      <c r="A79" s="255">
        <f>Consolidado!A74</f>
        <v>68</v>
      </c>
      <c r="B79" s="256" t="str">
        <f>Consolidado!D74</f>
        <v>Doctorado en Ciencias Matemáticas</v>
      </c>
      <c r="C79" s="257">
        <f>Consolidado!AJ74</f>
        <v>47594</v>
      </c>
      <c r="D79" s="258" t="e">
        <f t="shared" ca="1" si="0"/>
        <v>#NAME?</v>
      </c>
      <c r="E79" s="259" t="e">
        <f t="shared" ca="1" si="1"/>
        <v>#NAME?</v>
      </c>
      <c r="F79" s="260">
        <f>Consolidado!AH74</f>
        <v>47170</v>
      </c>
      <c r="G79" s="261" t="e">
        <f t="shared" ca="1" si="2"/>
        <v>#NAME?</v>
      </c>
      <c r="H79" s="259" t="e">
        <f t="shared" ca="1" si="3"/>
        <v>#NAME?</v>
      </c>
      <c r="I79" s="262"/>
    </row>
    <row r="80" spans="1:9" ht="12.75" customHeight="1" x14ac:dyDescent="0.2">
      <c r="A80" s="255">
        <f>Consolidado!A75</f>
        <v>69</v>
      </c>
      <c r="B80" s="256" t="str">
        <f>Consolidado!D75</f>
        <v>Matemáticas</v>
      </c>
      <c r="C80" s="257">
        <f>Consolidado!AJ75</f>
        <v>47611</v>
      </c>
      <c r="D80" s="258" t="e">
        <f t="shared" ca="1" si="0"/>
        <v>#NAME?</v>
      </c>
      <c r="E80" s="259" t="e">
        <f t="shared" ca="1" si="1"/>
        <v>#NAME?</v>
      </c>
      <c r="F80" s="260">
        <f>Consolidado!AH75</f>
        <v>47185</v>
      </c>
      <c r="G80" s="261" t="e">
        <f t="shared" ca="1" si="2"/>
        <v>#NAME?</v>
      </c>
      <c r="H80" s="259" t="e">
        <f t="shared" ca="1" si="3"/>
        <v>#NAME?</v>
      </c>
      <c r="I80" s="262"/>
    </row>
    <row r="81" spans="1:9" ht="12.75" customHeight="1" x14ac:dyDescent="0.2">
      <c r="A81" s="255">
        <f>Consolidado!A30</f>
        <v>24</v>
      </c>
      <c r="B81" s="256" t="str">
        <f>Consolidado!D30</f>
        <v>Economía</v>
      </c>
      <c r="C81" s="257">
        <f>Consolidado!AJ30</f>
        <v>47628</v>
      </c>
      <c r="D81" s="258" t="e">
        <f t="shared" ca="1" si="0"/>
        <v>#NAME?</v>
      </c>
      <c r="E81" s="259" t="e">
        <f t="shared" ca="1" si="1"/>
        <v>#NAME?</v>
      </c>
      <c r="F81" s="260">
        <f>Consolidado!AH30</f>
        <v>47202</v>
      </c>
      <c r="G81" s="261" t="e">
        <f t="shared" ca="1" si="2"/>
        <v>#NAME?</v>
      </c>
      <c r="H81" s="259" t="e">
        <f t="shared" ca="1" si="3"/>
        <v>#NAME?</v>
      </c>
      <c r="I81" s="262"/>
    </row>
    <row r="82" spans="1:9" ht="12.75" customHeight="1" x14ac:dyDescent="0.2">
      <c r="A82" s="255">
        <f>Consolidado!A108</f>
        <v>102</v>
      </c>
      <c r="B82" s="256" t="str">
        <f>Consolidado!D108</f>
        <v>Ingeniería Civil</v>
      </c>
      <c r="C82" s="257">
        <f>Consolidado!AJ108</f>
        <v>47628</v>
      </c>
      <c r="D82" s="258" t="e">
        <f t="shared" ca="1" si="0"/>
        <v>#NAME?</v>
      </c>
      <c r="E82" s="259" t="e">
        <f t="shared" ca="1" si="1"/>
        <v>#NAME?</v>
      </c>
      <c r="F82" s="260">
        <f>Consolidado!AH108</f>
        <v>47202</v>
      </c>
      <c r="G82" s="261" t="e">
        <f t="shared" ca="1" si="2"/>
        <v>#NAME?</v>
      </c>
      <c r="H82" s="259" t="e">
        <f t="shared" ca="1" si="3"/>
        <v>#NAME?</v>
      </c>
      <c r="I82" s="262"/>
    </row>
    <row r="83" spans="1:9" ht="12.75" customHeight="1" x14ac:dyDescent="0.2">
      <c r="A83" s="255">
        <f>Consolidado!A76</f>
        <v>70</v>
      </c>
      <c r="B83" s="256" t="str">
        <f>Consolidado!D76</f>
        <v>Química</v>
      </c>
      <c r="C83" s="257">
        <f>Consolidado!AJ76</f>
        <v>47632</v>
      </c>
      <c r="D83" s="258" t="e">
        <f t="shared" ca="1" si="0"/>
        <v>#NAME?</v>
      </c>
      <c r="E83" s="259" t="e">
        <f t="shared" ca="1" si="1"/>
        <v>#NAME?</v>
      </c>
      <c r="F83" s="260">
        <f>Consolidado!AH76</f>
        <v>47206</v>
      </c>
      <c r="G83" s="261" t="e">
        <f t="shared" ca="1" si="2"/>
        <v>#NAME?</v>
      </c>
      <c r="H83" s="259" t="e">
        <f t="shared" ca="1" si="3"/>
        <v>#NAME?</v>
      </c>
      <c r="I83" s="262"/>
    </row>
    <row r="84" spans="1:9" ht="12.75" customHeight="1" x14ac:dyDescent="0.2">
      <c r="A84" s="255">
        <f>Consolidado!A77</f>
        <v>71</v>
      </c>
      <c r="B84" s="256" t="str">
        <f>Consolidado!D77</f>
        <v xml:space="preserve">Especialización en Educación y Discapacidad </v>
      </c>
      <c r="C84" s="257">
        <f>Consolidado!AJ77</f>
        <v>47640</v>
      </c>
      <c r="D84" s="258" t="e">
        <f t="shared" ca="1" si="0"/>
        <v>#NAME?</v>
      </c>
      <c r="E84" s="259" t="e">
        <f t="shared" ca="1" si="1"/>
        <v>#NAME?</v>
      </c>
      <c r="F84" s="260">
        <f>Consolidado!AH77</f>
        <v>47214</v>
      </c>
      <c r="G84" s="261" t="e">
        <f t="shared" ca="1" si="2"/>
        <v>#NAME?</v>
      </c>
      <c r="H84" s="259" t="e">
        <f t="shared" ca="1" si="3"/>
        <v>#NAME?</v>
      </c>
      <c r="I84" s="262"/>
    </row>
    <row r="85" spans="1:9" ht="12.75" customHeight="1" x14ac:dyDescent="0.2">
      <c r="A85" s="255">
        <f>Consolidado!A55</f>
        <v>49</v>
      </c>
      <c r="B85" s="256" t="str">
        <f>Consolidado!D55</f>
        <v xml:space="preserve">Maestría en Artes Integradas con el Ambiente </v>
      </c>
      <c r="C85" s="257">
        <f>Consolidado!AJ55</f>
        <v>47650</v>
      </c>
      <c r="D85" s="258" t="e">
        <f t="shared" ca="1" si="0"/>
        <v>#NAME?</v>
      </c>
      <c r="E85" s="259" t="e">
        <f t="shared" ca="1" si="1"/>
        <v>#NAME?</v>
      </c>
      <c r="F85" s="260">
        <f>Consolidado!AH55</f>
        <v>47224</v>
      </c>
      <c r="G85" s="261" t="e">
        <f t="shared" ca="1" si="2"/>
        <v>#NAME?</v>
      </c>
      <c r="H85" s="259" t="e">
        <f t="shared" ca="1" si="3"/>
        <v>#NAME?</v>
      </c>
      <c r="I85" s="262"/>
    </row>
    <row r="86" spans="1:9" ht="12.75" customHeight="1" x14ac:dyDescent="0.2">
      <c r="A86" s="255">
        <f>Consolidado!A40</f>
        <v>34</v>
      </c>
      <c r="B86" s="256" t="str">
        <f>Consolidado!D40</f>
        <v xml:space="preserve">Especialización en Intervención del Lenguaje Infantil </v>
      </c>
      <c r="C86" s="257">
        <f>Consolidado!AJ40</f>
        <v>47656</v>
      </c>
      <c r="D86" s="258" t="e">
        <f t="shared" ca="1" si="0"/>
        <v>#NAME?</v>
      </c>
      <c r="E86" s="259" t="e">
        <f t="shared" ca="1" si="1"/>
        <v>#NAME?</v>
      </c>
      <c r="F86" s="260">
        <f>Consolidado!AH40</f>
        <v>47230</v>
      </c>
      <c r="G86" s="261" t="e">
        <f t="shared" ca="1" si="2"/>
        <v>#NAME?</v>
      </c>
      <c r="H86" s="259" t="e">
        <f t="shared" ca="1" si="3"/>
        <v>#NAME?</v>
      </c>
      <c r="I86" s="262"/>
    </row>
    <row r="87" spans="1:9" ht="12.75" customHeight="1" x14ac:dyDescent="0.2">
      <c r="A87" s="255">
        <f>Consolidado!A41</f>
        <v>35</v>
      </c>
      <c r="B87" s="256" t="str">
        <f>Consolidado!D41</f>
        <v>Especialización en Medicina Interna</v>
      </c>
      <c r="C87" s="257">
        <f>Consolidado!AJ41</f>
        <v>47663</v>
      </c>
      <c r="D87" s="258" t="e">
        <f t="shared" ca="1" si="0"/>
        <v>#NAME?</v>
      </c>
      <c r="E87" s="259" t="e">
        <f t="shared" ca="1" si="1"/>
        <v>#NAME?</v>
      </c>
      <c r="F87" s="260">
        <f>Consolidado!AH41</f>
        <v>47237</v>
      </c>
      <c r="G87" s="261" t="e">
        <f t="shared" ca="1" si="2"/>
        <v>#NAME?</v>
      </c>
      <c r="H87" s="259" t="e">
        <f t="shared" ca="1" si="3"/>
        <v>#NAME?</v>
      </c>
      <c r="I87" s="262"/>
    </row>
    <row r="88" spans="1:9" ht="12.75" customHeight="1" x14ac:dyDescent="0.2">
      <c r="A88" s="255">
        <f>Consolidado!A42</f>
        <v>36</v>
      </c>
      <c r="B88" s="256" t="str">
        <f>Consolidado!D42</f>
        <v>Especialización en Medicina Familiar</v>
      </c>
      <c r="C88" s="257">
        <f>Consolidado!AJ42</f>
        <v>47663</v>
      </c>
      <c r="D88" s="258" t="e">
        <f t="shared" ca="1" si="0"/>
        <v>#NAME?</v>
      </c>
      <c r="E88" s="259" t="e">
        <f t="shared" ca="1" si="1"/>
        <v>#NAME?</v>
      </c>
      <c r="F88" s="260">
        <f>Consolidado!AH42</f>
        <v>47237</v>
      </c>
      <c r="G88" s="261" t="e">
        <f t="shared" ca="1" si="2"/>
        <v>#NAME?</v>
      </c>
      <c r="H88" s="259" t="e">
        <f t="shared" ca="1" si="3"/>
        <v>#NAME?</v>
      </c>
      <c r="I88" s="262"/>
    </row>
    <row r="89" spans="1:9" ht="12.75" customHeight="1" x14ac:dyDescent="0.2">
      <c r="A89" s="255">
        <f>Consolidado!A43</f>
        <v>37</v>
      </c>
      <c r="B89" s="256" t="str">
        <f>Consolidado!D43</f>
        <v>Fisioterapia</v>
      </c>
      <c r="C89" s="257">
        <f>Consolidado!AJ43</f>
        <v>47669</v>
      </c>
      <c r="D89" s="258" t="e">
        <f t="shared" ca="1" si="0"/>
        <v>#NAME?</v>
      </c>
      <c r="E89" s="259" t="e">
        <f t="shared" ca="1" si="1"/>
        <v>#NAME?</v>
      </c>
      <c r="F89" s="260">
        <f>Consolidado!AH43</f>
        <v>47243</v>
      </c>
      <c r="G89" s="261" t="e">
        <f t="shared" ca="1" si="2"/>
        <v>#NAME?</v>
      </c>
      <c r="H89" s="259" t="e">
        <f t="shared" ca="1" si="3"/>
        <v>#NAME?</v>
      </c>
      <c r="I89" s="262"/>
    </row>
    <row r="90" spans="1:9" ht="12.75" customHeight="1" x14ac:dyDescent="0.2">
      <c r="A90" s="255">
        <f>Consolidado!A39</f>
        <v>33</v>
      </c>
      <c r="B90" s="256" t="str">
        <f>Consolidado!D39</f>
        <v>Enfermería</v>
      </c>
      <c r="C90" s="257">
        <f>Consolidado!AJ39</f>
        <v>47718</v>
      </c>
      <c r="D90" s="258" t="e">
        <f t="shared" ca="1" si="0"/>
        <v>#NAME?</v>
      </c>
      <c r="E90" s="259" t="e">
        <f t="shared" ca="1" si="1"/>
        <v>#NAME?</v>
      </c>
      <c r="F90" s="260">
        <f>Consolidado!AH39</f>
        <v>47292</v>
      </c>
      <c r="G90" s="261" t="e">
        <f t="shared" ca="1" si="2"/>
        <v>#NAME?</v>
      </c>
      <c r="H90" s="259" t="e">
        <f t="shared" ca="1" si="3"/>
        <v>#NAME?</v>
      </c>
      <c r="I90" s="262"/>
    </row>
    <row r="91" spans="1:9" ht="12.75" customHeight="1" x14ac:dyDescent="0.2">
      <c r="A91" s="255">
        <f>Consolidado!A56</f>
        <v>50</v>
      </c>
      <c r="B91" s="256" t="str">
        <f>Consolidado!D56</f>
        <v>Licenciatura en Literatura y Lengua Castellana</v>
      </c>
      <c r="C91" s="257">
        <f>Consolidado!AJ56</f>
        <v>47718</v>
      </c>
      <c r="D91" s="258" t="e">
        <f t="shared" ca="1" si="0"/>
        <v>#NAME?</v>
      </c>
      <c r="E91" s="259" t="e">
        <f t="shared" ca="1" si="1"/>
        <v>#NAME?</v>
      </c>
      <c r="F91" s="260">
        <f>Consolidado!AH56</f>
        <v>47292</v>
      </c>
      <c r="G91" s="261" t="e">
        <f t="shared" ca="1" si="2"/>
        <v>#NAME?</v>
      </c>
      <c r="H91" s="259" t="e">
        <f t="shared" ca="1" si="3"/>
        <v>#NAME?</v>
      </c>
      <c r="I91" s="262"/>
    </row>
    <row r="92" spans="1:9" ht="12.75" customHeight="1" x14ac:dyDescent="0.2">
      <c r="A92" s="255">
        <f>Consolidado!A78</f>
        <v>72</v>
      </c>
      <c r="B92" s="256" t="str">
        <f>Consolidado!D78</f>
        <v>Maestría en Ciencias Matemáticas</v>
      </c>
      <c r="C92" s="257">
        <f>Consolidado!AJ78</f>
        <v>47720</v>
      </c>
      <c r="D92" s="258" t="e">
        <f t="shared" ca="1" si="0"/>
        <v>#NAME?</v>
      </c>
      <c r="E92" s="259" t="e">
        <f t="shared" ca="1" si="1"/>
        <v>#NAME?</v>
      </c>
      <c r="F92" s="260">
        <f>Consolidado!AH78</f>
        <v>47294</v>
      </c>
      <c r="G92" s="261" t="e">
        <f t="shared" ca="1" si="2"/>
        <v>#NAME?</v>
      </c>
      <c r="H92" s="259" t="e">
        <f t="shared" ca="1" si="3"/>
        <v>#NAME?</v>
      </c>
      <c r="I92" s="262"/>
    </row>
    <row r="93" spans="1:9" ht="12.75" customHeight="1" x14ac:dyDescent="0.2">
      <c r="A93" s="255">
        <f>Consolidado!A31</f>
        <v>25</v>
      </c>
      <c r="B93" s="256" t="str">
        <f>Consolidado!D31</f>
        <v>Maestría en Estudios Interdisciplinarios del Desarrollo</v>
      </c>
      <c r="C93" s="257">
        <f>Consolidado!AJ31</f>
        <v>47731</v>
      </c>
      <c r="D93" s="258" t="e">
        <f t="shared" ca="1" si="0"/>
        <v>#NAME?</v>
      </c>
      <c r="E93" s="259" t="e">
        <f t="shared" ca="1" si="1"/>
        <v>#NAME?</v>
      </c>
      <c r="F93" s="260">
        <f>Consolidado!AH31</f>
        <v>47304</v>
      </c>
      <c r="G93" s="261" t="e">
        <f t="shared" ca="1" si="2"/>
        <v>#NAME?</v>
      </c>
      <c r="H93" s="259" t="e">
        <f t="shared" ca="1" si="3"/>
        <v>#NAME?</v>
      </c>
      <c r="I93" s="262"/>
    </row>
    <row r="94" spans="1:9" ht="12.75" customHeight="1" x14ac:dyDescent="0.2">
      <c r="A94" s="255">
        <f>Consolidado!A44</f>
        <v>38</v>
      </c>
      <c r="B94" s="256" t="str">
        <f>Consolidado!D44</f>
        <v>Especialización en Seguridad y Salud en el Trabajo</v>
      </c>
      <c r="C94" s="257">
        <f>Consolidado!AJ44</f>
        <v>47738</v>
      </c>
      <c r="D94" s="258" t="e">
        <f t="shared" ca="1" si="0"/>
        <v>#NAME?</v>
      </c>
      <c r="E94" s="259" t="e">
        <f t="shared" ca="1" si="1"/>
        <v>#NAME?</v>
      </c>
      <c r="F94" s="260">
        <f>Consolidado!AH44</f>
        <v>47311</v>
      </c>
      <c r="G94" s="261" t="e">
        <f t="shared" ca="1" si="2"/>
        <v>#NAME?</v>
      </c>
      <c r="H94" s="259" t="e">
        <f t="shared" ca="1" si="3"/>
        <v>#NAME?</v>
      </c>
      <c r="I94" s="262"/>
    </row>
    <row r="95" spans="1:9" ht="12.75" customHeight="1" x14ac:dyDescent="0.2">
      <c r="A95" s="255">
        <f>Consolidado!A79</f>
        <v>73</v>
      </c>
      <c r="B95" s="256" t="str">
        <f>Consolidado!D79</f>
        <v>Doctorado en Ciencias de la Educación</v>
      </c>
      <c r="C95" s="257">
        <f>Consolidado!AJ79</f>
        <v>47746</v>
      </c>
      <c r="D95" s="258" t="e">
        <f t="shared" ca="1" si="0"/>
        <v>#NAME?</v>
      </c>
      <c r="E95" s="259" t="e">
        <f t="shared" ca="1" si="1"/>
        <v>#NAME?</v>
      </c>
      <c r="F95" s="260">
        <f>Consolidado!AH79</f>
        <v>47319</v>
      </c>
      <c r="G95" s="261" t="e">
        <f t="shared" ca="1" si="2"/>
        <v>#NAME?</v>
      </c>
      <c r="H95" s="259" t="e">
        <f t="shared" ca="1" si="3"/>
        <v>#NAME?</v>
      </c>
      <c r="I95" s="262"/>
    </row>
    <row r="96" spans="1:9" ht="12.75" customHeight="1" x14ac:dyDescent="0.2">
      <c r="A96" s="255">
        <f>Consolidado!A80</f>
        <v>74</v>
      </c>
      <c r="B96" s="256" t="str">
        <f>Consolidado!D80</f>
        <v>Doctorado en Etnobiología y Estudios Bioculturales</v>
      </c>
      <c r="C96" s="257">
        <f>Consolidado!AJ80</f>
        <v>47753</v>
      </c>
      <c r="D96" s="258" t="e">
        <f t="shared" ca="1" si="0"/>
        <v>#NAME?</v>
      </c>
      <c r="E96" s="259" t="e">
        <f t="shared" ca="1" si="1"/>
        <v>#NAME?</v>
      </c>
      <c r="F96" s="260">
        <f>Consolidado!AH80</f>
        <v>47326</v>
      </c>
      <c r="G96" s="261" t="e">
        <f t="shared" ca="1" si="2"/>
        <v>#NAME?</v>
      </c>
      <c r="H96" s="259" t="e">
        <f t="shared" ca="1" si="3"/>
        <v>#NAME?</v>
      </c>
      <c r="I96" s="262"/>
    </row>
    <row r="97" spans="1:9" ht="12.75" customHeight="1" x14ac:dyDescent="0.2">
      <c r="A97" s="255">
        <f>Consolidado!A81</f>
        <v>75</v>
      </c>
      <c r="B97" s="256" t="str">
        <f>Consolidado!D81</f>
        <v>Doctorado en Ciencias Química</v>
      </c>
      <c r="C97" s="257">
        <f>Consolidado!AJ81</f>
        <v>47753</v>
      </c>
      <c r="D97" s="258" t="e">
        <f t="shared" ca="1" si="0"/>
        <v>#NAME?</v>
      </c>
      <c r="E97" s="259" t="e">
        <f t="shared" ca="1" si="1"/>
        <v>#NAME?</v>
      </c>
      <c r="F97" s="260">
        <f>Consolidado!AH81</f>
        <v>47326</v>
      </c>
      <c r="G97" s="261" t="e">
        <f t="shared" ca="1" si="2"/>
        <v>#NAME?</v>
      </c>
      <c r="H97" s="259" t="e">
        <f t="shared" ca="1" si="3"/>
        <v>#NAME?</v>
      </c>
      <c r="I97" s="262"/>
    </row>
    <row r="98" spans="1:9" ht="12.75" customHeight="1" x14ac:dyDescent="0.2">
      <c r="A98" s="255">
        <f>Consolidado!A109</f>
        <v>103</v>
      </c>
      <c r="B98" s="256" t="str">
        <f>Consolidado!D109</f>
        <v>Arquitectura</v>
      </c>
      <c r="C98" s="257">
        <f>Consolidado!AJ109</f>
        <v>47753</v>
      </c>
      <c r="D98" s="258" t="e">
        <f t="shared" ca="1" si="0"/>
        <v>#NAME?</v>
      </c>
      <c r="E98" s="259" t="e">
        <f t="shared" ca="1" si="1"/>
        <v>#NAME?</v>
      </c>
      <c r="F98" s="260">
        <f>Consolidado!AH109</f>
        <v>47326</v>
      </c>
      <c r="G98" s="261" t="e">
        <f t="shared" ca="1" si="2"/>
        <v>#NAME?</v>
      </c>
      <c r="H98" s="259" t="e">
        <f t="shared" ca="1" si="3"/>
        <v>#NAME?</v>
      </c>
      <c r="I98" s="262"/>
    </row>
    <row r="99" spans="1:9" ht="12.75" customHeight="1" x14ac:dyDescent="0.2">
      <c r="A99" s="255">
        <f>Consolidado!A121</f>
        <v>115</v>
      </c>
      <c r="B99" s="256" t="str">
        <f>Consolidado!D121</f>
        <v>Maestría en Automática</v>
      </c>
      <c r="C99" s="257">
        <f>Consolidado!AJ121</f>
        <v>47787</v>
      </c>
      <c r="D99" s="258" t="e">
        <f t="shared" ca="1" si="0"/>
        <v>#NAME?</v>
      </c>
      <c r="E99" s="259" t="e">
        <f t="shared" ca="1" si="1"/>
        <v>#NAME?</v>
      </c>
      <c r="F99" s="260">
        <f>Consolidado!AH121</f>
        <v>47361</v>
      </c>
      <c r="G99" s="261" t="e">
        <f t="shared" ca="1" si="2"/>
        <v>#NAME?</v>
      </c>
      <c r="H99" s="259" t="e">
        <f t="shared" ca="1" si="3"/>
        <v>#NAME?</v>
      </c>
      <c r="I99" s="262"/>
    </row>
    <row r="100" spans="1:9" ht="12.75" customHeight="1" x14ac:dyDescent="0.2">
      <c r="A100" s="255">
        <f>Consolidado!A82</f>
        <v>76</v>
      </c>
      <c r="B100" s="256" t="str">
        <f>Consolidado!D82</f>
        <v>Maestría en Recursos Hidrobiológicos Continentales</v>
      </c>
      <c r="C100" s="257">
        <f>Consolidado!AJ82</f>
        <v>47810</v>
      </c>
      <c r="D100" s="258" t="e">
        <f t="shared" ca="1" si="0"/>
        <v>#NAME?</v>
      </c>
      <c r="E100" s="259" t="e">
        <f t="shared" ca="1" si="1"/>
        <v>#NAME?</v>
      </c>
      <c r="F100" s="260">
        <f>Consolidado!AH82</f>
        <v>47384</v>
      </c>
      <c r="G100" s="261" t="e">
        <f t="shared" ca="1" si="2"/>
        <v>#NAME?</v>
      </c>
      <c r="H100" s="259" t="e">
        <f t="shared" ca="1" si="3"/>
        <v>#NAME?</v>
      </c>
      <c r="I100" s="262"/>
    </row>
    <row r="101" spans="1:9" ht="12.75" customHeight="1" x14ac:dyDescent="0.2">
      <c r="A101" s="255">
        <f>Consolidado!A83</f>
        <v>77</v>
      </c>
      <c r="B101" s="256" t="str">
        <f>Consolidado!D83</f>
        <v>Maestría en Ciencias Química</v>
      </c>
      <c r="C101" s="257">
        <f>Consolidado!AJ83</f>
        <v>47822</v>
      </c>
      <c r="D101" s="258" t="e">
        <f t="shared" ca="1" si="0"/>
        <v>#NAME?</v>
      </c>
      <c r="E101" s="259" t="e">
        <f t="shared" ca="1" si="1"/>
        <v>#NAME?</v>
      </c>
      <c r="F101" s="260">
        <f>Consolidado!AH83</f>
        <v>47396</v>
      </c>
      <c r="G101" s="261" t="e">
        <f t="shared" ca="1" si="2"/>
        <v>#NAME?</v>
      </c>
      <c r="H101" s="259" t="e">
        <f t="shared" ca="1" si="3"/>
        <v>#NAME?</v>
      </c>
      <c r="I101" s="262"/>
    </row>
    <row r="102" spans="1:9" ht="12.75" customHeight="1" x14ac:dyDescent="0.2">
      <c r="A102" s="255">
        <f>Consolidado!A84</f>
        <v>78</v>
      </c>
      <c r="B102" s="256" t="str">
        <f>Consolidado!D84</f>
        <v>Doctorado en Ciencias Ambientales</v>
      </c>
      <c r="C102" s="257">
        <f>Consolidado!AJ84</f>
        <v>47892</v>
      </c>
      <c r="D102" s="258" t="e">
        <f t="shared" ca="1" si="0"/>
        <v>#NAME?</v>
      </c>
      <c r="E102" s="259" t="e">
        <f t="shared" ca="1" si="1"/>
        <v>#NAME?</v>
      </c>
      <c r="F102" s="260">
        <f>Consolidado!AH84</f>
        <v>47465</v>
      </c>
      <c r="G102" s="261" t="e">
        <f t="shared" ca="1" si="2"/>
        <v>#NAME?</v>
      </c>
      <c r="H102" s="259" t="e">
        <f t="shared" ca="1" si="3"/>
        <v>#NAME?</v>
      </c>
      <c r="I102" s="262"/>
    </row>
    <row r="103" spans="1:9" ht="12.75" customHeight="1" x14ac:dyDescent="0.2">
      <c r="A103" s="255">
        <f>Consolidado!A85</f>
        <v>79</v>
      </c>
      <c r="B103" s="256" t="str">
        <f>Consolidado!D85</f>
        <v>Licenciatura en Matemáticas</v>
      </c>
      <c r="C103" s="257">
        <f>Consolidado!AJ85</f>
        <v>47907</v>
      </c>
      <c r="D103" s="258" t="e">
        <f t="shared" ca="1" si="0"/>
        <v>#NAME?</v>
      </c>
      <c r="E103" s="259" t="e">
        <f t="shared" ca="1" si="1"/>
        <v>#NAME?</v>
      </c>
      <c r="F103" s="260">
        <f>Consolidado!AH85</f>
        <v>47480</v>
      </c>
      <c r="G103" s="261" t="e">
        <f t="shared" ca="1" si="2"/>
        <v>#NAME?</v>
      </c>
      <c r="H103" s="259" t="e">
        <f t="shared" ca="1" si="3"/>
        <v>#NAME?</v>
      </c>
      <c r="I103" s="262"/>
    </row>
    <row r="104" spans="1:9" ht="12.75" customHeight="1" x14ac:dyDescent="0.2">
      <c r="A104" s="255">
        <f>Consolidado!A58</f>
        <v>52</v>
      </c>
      <c r="B104" s="256" t="str">
        <f>Consolidado!D58</f>
        <v xml:space="preserve">Antropología </v>
      </c>
      <c r="C104" s="257">
        <f>Consolidado!AJ58</f>
        <v>48022</v>
      </c>
      <c r="D104" s="258" t="e">
        <f t="shared" ca="1" si="0"/>
        <v>#NAME?</v>
      </c>
      <c r="E104" s="259" t="e">
        <f t="shared" ca="1" si="1"/>
        <v>#NAME?</v>
      </c>
      <c r="F104" s="260">
        <f>Consolidado!AH58</f>
        <v>47596</v>
      </c>
      <c r="G104" s="261" t="e">
        <f t="shared" ca="1" si="2"/>
        <v>#NAME?</v>
      </c>
      <c r="H104" s="259" t="e">
        <f t="shared" ca="1" si="3"/>
        <v>#NAME?</v>
      </c>
      <c r="I104" s="262"/>
    </row>
    <row r="105" spans="1:9" ht="12.75" customHeight="1" x14ac:dyDescent="0.2">
      <c r="A105" s="255">
        <f>Consolidado!A19</f>
        <v>13</v>
      </c>
      <c r="B105" s="256" t="str">
        <f>Consolidado!D19</f>
        <v>Ingeniería Forestal</v>
      </c>
      <c r="C105" s="257">
        <f>Consolidado!AJ19</f>
        <v>48328</v>
      </c>
      <c r="D105" s="258" t="e">
        <f t="shared" ca="1" si="0"/>
        <v>#NAME?</v>
      </c>
      <c r="E105" s="259" t="e">
        <f t="shared" ca="1" si="1"/>
        <v>#NAME?</v>
      </c>
      <c r="F105" s="260">
        <f>Consolidado!AH19</f>
        <v>47903</v>
      </c>
      <c r="G105" s="261" t="e">
        <f t="shared" ca="1" si="2"/>
        <v>#NAME?</v>
      </c>
      <c r="H105" s="259" t="e">
        <f t="shared" ca="1" si="3"/>
        <v>#NAME?</v>
      </c>
      <c r="I105" s="262" t="s">
        <v>787</v>
      </c>
    </row>
    <row r="106" spans="1:9" ht="12.75" customHeight="1" x14ac:dyDescent="0.2">
      <c r="A106" s="255">
        <f>Consolidado!A32</f>
        <v>26</v>
      </c>
      <c r="B106" s="256" t="str">
        <f>Consolidado!D32</f>
        <v>Turismo</v>
      </c>
      <c r="C106" s="257">
        <f>Consolidado!AJ32</f>
        <v>48377</v>
      </c>
      <c r="D106" s="258" t="e">
        <f t="shared" ca="1" si="0"/>
        <v>#NAME?</v>
      </c>
      <c r="E106" s="259" t="e">
        <f t="shared" ca="1" si="1"/>
        <v>#NAME?</v>
      </c>
      <c r="F106" s="260">
        <f>Consolidado!AH32</f>
        <v>47950</v>
      </c>
      <c r="G106" s="261" t="e">
        <f t="shared" ca="1" si="2"/>
        <v>#NAME?</v>
      </c>
      <c r="H106" s="259" t="e">
        <f t="shared" ca="1" si="3"/>
        <v>#NAME?</v>
      </c>
      <c r="I106" s="262"/>
    </row>
    <row r="107" spans="1:9" ht="12.75" customHeight="1" x14ac:dyDescent="0.2">
      <c r="A107" s="255">
        <f>Consolidado!A86</f>
        <v>80</v>
      </c>
      <c r="B107" s="256" t="str">
        <f>Consolidado!D86</f>
        <v>Maestría en Bioingeniería</v>
      </c>
      <c r="C107" s="257">
        <f>Consolidado!AJ86</f>
        <v>48525</v>
      </c>
      <c r="D107" s="258" t="e">
        <f t="shared" ca="1" si="0"/>
        <v>#NAME?</v>
      </c>
      <c r="E107" s="259" t="e">
        <f t="shared" ca="1" si="1"/>
        <v>#NAME?</v>
      </c>
      <c r="F107" s="260">
        <f>Consolidado!AH86</f>
        <v>48098</v>
      </c>
      <c r="G107" s="261" t="e">
        <f t="shared" ca="1" si="2"/>
        <v>#NAME?</v>
      </c>
      <c r="H107" s="259" t="e">
        <f t="shared" ca="1" si="3"/>
        <v>#NAME?</v>
      </c>
      <c r="I107" s="262"/>
    </row>
    <row r="108" spans="1:9" ht="12.75" customHeight="1" x14ac:dyDescent="0.2">
      <c r="A108" s="255">
        <f>Consolidado!A20</f>
        <v>14</v>
      </c>
      <c r="B108" s="256" t="str">
        <f>Consolidado!D20</f>
        <v xml:space="preserve">Contaduría Pública </v>
      </c>
      <c r="C108" s="257">
        <f>Consolidado!AJ20</f>
        <v>48546</v>
      </c>
      <c r="D108" s="258" t="e">
        <f t="shared" ca="1" si="0"/>
        <v>#NAME?</v>
      </c>
      <c r="E108" s="259" t="e">
        <f t="shared" ca="1" si="1"/>
        <v>#NAME?</v>
      </c>
      <c r="F108" s="260">
        <f>Consolidado!AH20</f>
        <v>48119</v>
      </c>
      <c r="G108" s="261" t="e">
        <f t="shared" ca="1" si="2"/>
        <v>#NAME?</v>
      </c>
      <c r="H108" s="259" t="e">
        <f t="shared" ca="1" si="3"/>
        <v>#NAME?</v>
      </c>
      <c r="I108" s="262"/>
    </row>
    <row r="109" spans="1:9" ht="12.75" customHeight="1" x14ac:dyDescent="0.2">
      <c r="A109" s="255">
        <f>Consolidado!A45</f>
        <v>39</v>
      </c>
      <c r="B109" s="256" t="str">
        <f>Consolidado!D45</f>
        <v>Enfermería (S.Q)</v>
      </c>
      <c r="C109" s="257">
        <f>Consolidado!AJ45</f>
        <v>48546</v>
      </c>
      <c r="D109" s="258" t="e">
        <f t="shared" ca="1" si="0"/>
        <v>#NAME?</v>
      </c>
      <c r="E109" s="259" t="e">
        <f t="shared" ca="1" si="1"/>
        <v>#NAME?</v>
      </c>
      <c r="F109" s="260">
        <f>Consolidado!AH45</f>
        <v>48119</v>
      </c>
      <c r="G109" s="261" t="e">
        <f t="shared" ca="1" si="2"/>
        <v>#NAME?</v>
      </c>
      <c r="H109" s="259" t="e">
        <f t="shared" ca="1" si="3"/>
        <v>#NAME?</v>
      </c>
      <c r="I109" s="262"/>
    </row>
    <row r="110" spans="1:9" ht="12.75" customHeight="1" x14ac:dyDescent="0.2">
      <c r="A110" s="255">
        <f>Consolidado!A60</f>
        <v>54</v>
      </c>
      <c r="B110" s="256" t="str">
        <f>Consolidado!D60</f>
        <v>Ingeniería Física</v>
      </c>
      <c r="C110" s="257">
        <f>Consolidado!AJ60</f>
        <v>48546</v>
      </c>
      <c r="D110" s="258" t="e">
        <f t="shared" ca="1" si="0"/>
        <v>#NAME?</v>
      </c>
      <c r="E110" s="259" t="e">
        <f t="shared" ca="1" si="1"/>
        <v>#NAME?</v>
      </c>
      <c r="F110" s="260">
        <f>Consolidado!AH60</f>
        <v>48119</v>
      </c>
      <c r="G110" s="261" t="e">
        <f t="shared" ca="1" si="2"/>
        <v>#NAME?</v>
      </c>
      <c r="H110" s="259" t="e">
        <f t="shared" ca="1" si="3"/>
        <v>#NAME?</v>
      </c>
      <c r="I110" s="262"/>
    </row>
    <row r="111" spans="1:9" ht="12.75" customHeight="1" x14ac:dyDescent="0.2">
      <c r="A111" s="255">
        <f>Consolidado!A93</f>
        <v>87</v>
      </c>
      <c r="B111" s="256" t="str">
        <f>Consolidado!D93</f>
        <v xml:space="preserve">Especialización Derecho Procesal </v>
      </c>
      <c r="C111" s="257">
        <f>Consolidado!AJ93</f>
        <v>48546</v>
      </c>
      <c r="D111" s="258" t="e">
        <f t="shared" ca="1" si="0"/>
        <v>#NAME?</v>
      </c>
      <c r="E111" s="259" t="e">
        <f t="shared" ca="1" si="1"/>
        <v>#NAME?</v>
      </c>
      <c r="F111" s="260">
        <f>Consolidado!AH93</f>
        <v>48119</v>
      </c>
      <c r="G111" s="261" t="e">
        <f t="shared" ca="1" si="2"/>
        <v>#NAME?</v>
      </c>
      <c r="H111" s="259" t="e">
        <f t="shared" ca="1" si="3"/>
        <v>#NAME?</v>
      </c>
      <c r="I111" s="262"/>
    </row>
    <row r="112" spans="1:9" ht="12.75" customHeight="1" x14ac:dyDescent="0.2">
      <c r="A112" s="255">
        <f>Consolidado!A57</f>
        <v>51</v>
      </c>
      <c r="B112" s="256" t="str">
        <f>Consolidado!D57</f>
        <v>Licenciatura en Etnoeducación y Ciencias Sociales</v>
      </c>
      <c r="C112" s="257">
        <f>Consolidado!AJ57</f>
        <v>48565</v>
      </c>
      <c r="D112" s="258" t="e">
        <f t="shared" ca="1" si="0"/>
        <v>#NAME?</v>
      </c>
      <c r="E112" s="259" t="e">
        <f t="shared" ca="1" si="1"/>
        <v>#NAME?</v>
      </c>
      <c r="F112" s="260">
        <f>Consolidado!AH57</f>
        <v>48138</v>
      </c>
      <c r="G112" s="261" t="e">
        <f t="shared" ca="1" si="2"/>
        <v>#NAME?</v>
      </c>
      <c r="H112" s="259" t="e">
        <f t="shared" ca="1" si="3"/>
        <v>#NAME?</v>
      </c>
      <c r="I112" s="262"/>
    </row>
    <row r="113" spans="1:9" ht="12.75" customHeight="1" x14ac:dyDescent="0.2">
      <c r="A113" s="255">
        <f>Consolidado!A88</f>
        <v>82</v>
      </c>
      <c r="B113" s="256" t="str">
        <f>Consolidado!D88</f>
        <v>Comunicación Social</v>
      </c>
      <c r="C113" s="257">
        <f>Consolidado!AJ88</f>
        <v>48648</v>
      </c>
      <c r="D113" s="258" t="e">
        <f t="shared" ca="1" si="0"/>
        <v>#NAME?</v>
      </c>
      <c r="E113" s="259" t="e">
        <f t="shared" ca="1" si="1"/>
        <v>#NAME?</v>
      </c>
      <c r="F113" s="260">
        <f>Consolidado!AH88</f>
        <v>48223</v>
      </c>
      <c r="G113" s="263" t="e">
        <f t="shared" ca="1" si="2"/>
        <v>#NAME?</v>
      </c>
      <c r="H113" s="259" t="e">
        <f t="shared" ca="1" si="3"/>
        <v>#NAME?</v>
      </c>
      <c r="I113" s="262"/>
    </row>
    <row r="114" spans="1:9" ht="12.75" customHeight="1" x14ac:dyDescent="0.2">
      <c r="A114" s="255">
        <f>Consolidado!A59</f>
        <v>53</v>
      </c>
      <c r="B114" s="256" t="str">
        <f>Consolidado!D59</f>
        <v>Especialización en Educación Comunitaria</v>
      </c>
      <c r="C114" s="257">
        <f>Consolidado!AJ59</f>
        <v>48670</v>
      </c>
      <c r="D114" s="258" t="e">
        <f t="shared" ca="1" si="0"/>
        <v>#NAME?</v>
      </c>
      <c r="E114" s="259" t="e">
        <f t="shared" ca="1" si="1"/>
        <v>#NAME?</v>
      </c>
      <c r="F114" s="260">
        <f>Consolidado!AH59</f>
        <v>48245</v>
      </c>
      <c r="G114" s="261" t="e">
        <f t="shared" ca="1" si="2"/>
        <v>#NAME?</v>
      </c>
      <c r="H114" s="259" t="e">
        <f t="shared" ca="1" si="3"/>
        <v>#NAME?</v>
      </c>
      <c r="I114" s="262"/>
    </row>
    <row r="115" spans="1:9" ht="12.75" customHeight="1" x14ac:dyDescent="0.2">
      <c r="A115" s="255">
        <f>Consolidado!A94</f>
        <v>88</v>
      </c>
      <c r="B115" s="256" t="str">
        <f>Consolidado!D94</f>
        <v>Especialización en Ingeniería de Vías Terrestres</v>
      </c>
      <c r="C115" s="257">
        <f>Consolidado!AJ94</f>
        <v>48670</v>
      </c>
      <c r="D115" s="258" t="e">
        <f t="shared" ca="1" si="0"/>
        <v>#NAME?</v>
      </c>
      <c r="E115" s="259" t="e">
        <f t="shared" ca="1" si="1"/>
        <v>#NAME?</v>
      </c>
      <c r="F115" s="260">
        <f>Consolidado!AH94</f>
        <v>48245</v>
      </c>
      <c r="G115" s="261" t="e">
        <f t="shared" ca="1" si="2"/>
        <v>#NAME?</v>
      </c>
      <c r="H115" s="259" t="e">
        <f t="shared" ca="1" si="3"/>
        <v>#NAME?</v>
      </c>
      <c r="I115" s="262"/>
    </row>
    <row r="116" spans="1:9" ht="12.75" customHeight="1" x14ac:dyDescent="0.2">
      <c r="A116" s="255">
        <f>Consolidado!A98</f>
        <v>92</v>
      </c>
      <c r="B116" s="256" t="str">
        <f>Consolidado!D98</f>
        <v>Ingeniería en Inteligencia Artificial y Ciencia de Datos</v>
      </c>
      <c r="C116" s="257">
        <f>Consolidado!AJ98</f>
        <v>48670</v>
      </c>
      <c r="D116" s="258" t="e">
        <f t="shared" ca="1" si="0"/>
        <v>#NAME?</v>
      </c>
      <c r="E116" s="259" t="e">
        <f t="shared" ca="1" si="1"/>
        <v>#NAME?</v>
      </c>
      <c r="F116" s="260">
        <f>Consolidado!AH98</f>
        <v>48245</v>
      </c>
      <c r="G116" s="263" t="e">
        <f t="shared" ca="1" si="2"/>
        <v>#NAME?</v>
      </c>
      <c r="H116" s="259" t="e">
        <f t="shared" ca="1" si="3"/>
        <v>#NAME?</v>
      </c>
      <c r="I116" s="262"/>
    </row>
    <row r="117" spans="1:9" ht="12.75" customHeight="1" x14ac:dyDescent="0.2">
      <c r="A117" s="255">
        <f>Consolidado!A122</f>
        <v>116</v>
      </c>
      <c r="B117" s="256" t="str">
        <f>Consolidado!D122</f>
        <v>Doctorado en Ciencias de la Electrónica</v>
      </c>
      <c r="C117" s="257">
        <f>Consolidado!AJ122</f>
        <v>47787</v>
      </c>
      <c r="D117" s="258" t="e">
        <f t="shared" ca="1" si="0"/>
        <v>#NAME?</v>
      </c>
      <c r="E117" s="259" t="e">
        <f t="shared" ca="1" si="1"/>
        <v>#NAME?</v>
      </c>
      <c r="F117" s="260">
        <f>Consolidado!AH122</f>
        <v>47361</v>
      </c>
      <c r="G117" s="263" t="e">
        <f t="shared" ca="1" si="2"/>
        <v>#NAME?</v>
      </c>
      <c r="H117" s="259" t="e">
        <f t="shared" ca="1" si="3"/>
        <v>#NAME?</v>
      </c>
      <c r="I117" s="133"/>
    </row>
    <row r="118" spans="1:9" ht="12.75" customHeight="1" x14ac:dyDescent="0.2">
      <c r="A118" s="255">
        <f>Consolidado!A123</f>
        <v>117</v>
      </c>
      <c r="B118" s="256" t="str">
        <f>Consolidado!D123</f>
        <v>Maestría en Computación</v>
      </c>
      <c r="C118" s="257">
        <f>Consolidado!AJ123</f>
        <v>47789</v>
      </c>
      <c r="D118" s="258" t="e">
        <f t="shared" ca="1" si="0"/>
        <v>#NAME?</v>
      </c>
      <c r="E118" s="259" t="e">
        <f t="shared" ca="1" si="1"/>
        <v>#NAME?</v>
      </c>
      <c r="F118" s="260">
        <f>Consolidado!AH123</f>
        <v>47363</v>
      </c>
      <c r="G118" s="263" t="e">
        <f t="shared" ca="1" si="2"/>
        <v>#NAME?</v>
      </c>
      <c r="H118" s="259" t="e">
        <f t="shared" ca="1" si="3"/>
        <v>#NAME?</v>
      </c>
      <c r="I118" s="133"/>
    </row>
    <row r="119" spans="1:9" ht="12.75" customHeight="1" x14ac:dyDescent="0.2">
      <c r="A119" s="255">
        <f>Consolidado!A124</f>
        <v>118</v>
      </c>
      <c r="B119" s="256" t="str">
        <f>Consolidado!D124</f>
        <v>Ingeniería en Automática Industrial</v>
      </c>
      <c r="C119" s="257">
        <f>Consolidado!AJ124</f>
        <v>48051</v>
      </c>
      <c r="D119" s="258" t="e">
        <f t="shared" ca="1" si="0"/>
        <v>#NAME?</v>
      </c>
      <c r="E119" s="259" t="e">
        <f t="shared" ca="1" si="1"/>
        <v>#NAME?</v>
      </c>
      <c r="F119" s="260">
        <f>Consolidado!AH124</f>
        <v>47625</v>
      </c>
      <c r="G119" s="263" t="e">
        <f t="shared" ca="1" si="2"/>
        <v>#NAME?</v>
      </c>
      <c r="H119" s="259" t="e">
        <f t="shared" ca="1" si="3"/>
        <v>#NAME?</v>
      </c>
      <c r="I119" s="133"/>
    </row>
    <row r="120" spans="1:9" ht="12.75" customHeight="1" x14ac:dyDescent="0.2">
      <c r="I120" s="133"/>
    </row>
    <row r="121" spans="1:9" ht="12.75" customHeight="1" x14ac:dyDescent="0.2">
      <c r="I121" s="133"/>
    </row>
    <row r="122" spans="1:9" ht="12.75" customHeight="1" x14ac:dyDescent="0.2">
      <c r="I122" s="133"/>
    </row>
    <row r="123" spans="1:9" ht="12.75" customHeight="1" x14ac:dyDescent="0.2">
      <c r="I123" s="133"/>
    </row>
    <row r="124" spans="1:9" ht="12.75" customHeight="1" x14ac:dyDescent="0.2">
      <c r="I124" s="133"/>
    </row>
    <row r="125" spans="1:9" ht="12.75" customHeight="1" x14ac:dyDescent="0.2">
      <c r="I125" s="133"/>
    </row>
    <row r="126" spans="1:9" ht="12.75" customHeight="1" x14ac:dyDescent="0.2">
      <c r="I126" s="133"/>
    </row>
    <row r="127" spans="1:9" ht="12.75" customHeight="1" x14ac:dyDescent="0.2">
      <c r="I127" s="133"/>
    </row>
    <row r="128" spans="1:9" ht="12.75" customHeight="1" x14ac:dyDescent="0.2">
      <c r="I128" s="133"/>
    </row>
    <row r="129" spans="9:9" ht="12.75" customHeight="1" x14ac:dyDescent="0.2">
      <c r="I129" s="133"/>
    </row>
    <row r="130" spans="9:9" ht="12.75" customHeight="1" x14ac:dyDescent="0.2">
      <c r="I130" s="133"/>
    </row>
    <row r="131" spans="9:9" ht="12.75" customHeight="1" x14ac:dyDescent="0.2">
      <c r="I131" s="133"/>
    </row>
    <row r="132" spans="9:9" ht="12.75" customHeight="1" x14ac:dyDescent="0.2">
      <c r="I132" s="133"/>
    </row>
    <row r="133" spans="9:9" ht="12.75" customHeight="1" x14ac:dyDescent="0.2">
      <c r="I133" s="133"/>
    </row>
    <row r="134" spans="9:9" ht="12.75" customHeight="1" x14ac:dyDescent="0.2">
      <c r="I134" s="133"/>
    </row>
    <row r="135" spans="9:9" ht="12.75" customHeight="1" x14ac:dyDescent="0.2">
      <c r="I135" s="133"/>
    </row>
    <row r="136" spans="9:9" ht="12.75" customHeight="1" x14ac:dyDescent="0.2">
      <c r="I136" s="133"/>
    </row>
    <row r="137" spans="9:9" ht="12.75" customHeight="1" x14ac:dyDescent="0.2">
      <c r="I137" s="133"/>
    </row>
    <row r="138" spans="9:9" ht="12.75" customHeight="1" x14ac:dyDescent="0.2">
      <c r="I138" s="133"/>
    </row>
    <row r="139" spans="9:9" ht="12.75" customHeight="1" x14ac:dyDescent="0.2">
      <c r="I139" s="133"/>
    </row>
    <row r="140" spans="9:9" ht="12.75" customHeight="1" x14ac:dyDescent="0.2">
      <c r="I140" s="133"/>
    </row>
    <row r="141" spans="9:9" ht="12.75" customHeight="1" x14ac:dyDescent="0.2">
      <c r="I141" s="133"/>
    </row>
    <row r="142" spans="9:9" ht="12.75" customHeight="1" x14ac:dyDescent="0.2">
      <c r="I142" s="133"/>
    </row>
    <row r="143" spans="9:9" ht="12.75" customHeight="1" x14ac:dyDescent="0.2">
      <c r="I143" s="133"/>
    </row>
    <row r="144" spans="9:9" ht="12.75" customHeight="1" x14ac:dyDescent="0.2">
      <c r="I144" s="133"/>
    </row>
    <row r="145" spans="9:9" ht="12.75" customHeight="1" x14ac:dyDescent="0.2">
      <c r="I145" s="133"/>
    </row>
    <row r="146" spans="9:9" ht="12.75" customHeight="1" x14ac:dyDescent="0.2">
      <c r="I146" s="133"/>
    </row>
    <row r="147" spans="9:9" ht="12.75" customHeight="1" x14ac:dyDescent="0.2">
      <c r="I147" s="133"/>
    </row>
    <row r="148" spans="9:9" ht="12.75" customHeight="1" x14ac:dyDescent="0.2">
      <c r="I148" s="133"/>
    </row>
    <row r="149" spans="9:9" ht="12.75" customHeight="1" x14ac:dyDescent="0.2">
      <c r="I149" s="133"/>
    </row>
    <row r="150" spans="9:9" ht="12.75" customHeight="1" x14ac:dyDescent="0.2">
      <c r="I150" s="133"/>
    </row>
    <row r="151" spans="9:9" ht="12.75" customHeight="1" x14ac:dyDescent="0.2">
      <c r="I151" s="133"/>
    </row>
    <row r="152" spans="9:9" ht="12.75" customHeight="1" x14ac:dyDescent="0.2">
      <c r="I152" s="133"/>
    </row>
    <row r="153" spans="9:9" ht="12.75" customHeight="1" x14ac:dyDescent="0.2">
      <c r="I153" s="133"/>
    </row>
    <row r="154" spans="9:9" ht="12.75" customHeight="1" x14ac:dyDescent="0.2">
      <c r="I154" s="133"/>
    </row>
    <row r="155" spans="9:9" ht="12.75" customHeight="1" x14ac:dyDescent="0.2">
      <c r="I155" s="133"/>
    </row>
    <row r="156" spans="9:9" ht="12.75" customHeight="1" x14ac:dyDescent="0.2">
      <c r="I156" s="133"/>
    </row>
    <row r="157" spans="9:9" ht="12.75" customHeight="1" x14ac:dyDescent="0.2">
      <c r="I157" s="133"/>
    </row>
    <row r="158" spans="9:9" ht="12.75" customHeight="1" x14ac:dyDescent="0.2">
      <c r="I158" s="133"/>
    </row>
    <row r="159" spans="9:9" ht="12.75" customHeight="1" x14ac:dyDescent="0.2">
      <c r="I159" s="133"/>
    </row>
    <row r="160" spans="9:9" ht="12.75" customHeight="1" x14ac:dyDescent="0.2">
      <c r="I160" s="133"/>
    </row>
    <row r="161" spans="9:9" ht="12.75" customHeight="1" x14ac:dyDescent="0.2">
      <c r="I161" s="133"/>
    </row>
    <row r="162" spans="9:9" ht="12.75" customHeight="1" x14ac:dyDescent="0.2">
      <c r="I162" s="133"/>
    </row>
    <row r="163" spans="9:9" ht="12.75" customHeight="1" x14ac:dyDescent="0.2">
      <c r="I163" s="133"/>
    </row>
    <row r="164" spans="9:9" ht="12.75" customHeight="1" x14ac:dyDescent="0.2">
      <c r="I164" s="133"/>
    </row>
    <row r="165" spans="9:9" ht="12.75" customHeight="1" x14ac:dyDescent="0.2">
      <c r="I165" s="133"/>
    </row>
    <row r="166" spans="9:9" ht="12.75" customHeight="1" x14ac:dyDescent="0.2">
      <c r="I166" s="133"/>
    </row>
    <row r="167" spans="9:9" ht="12.75" customHeight="1" x14ac:dyDescent="0.2">
      <c r="I167" s="133"/>
    </row>
    <row r="168" spans="9:9" ht="12.75" customHeight="1" x14ac:dyDescent="0.2">
      <c r="I168" s="133"/>
    </row>
    <row r="169" spans="9:9" ht="12.75" customHeight="1" x14ac:dyDescent="0.2">
      <c r="I169" s="133"/>
    </row>
    <row r="170" spans="9:9" ht="12.75" customHeight="1" x14ac:dyDescent="0.2">
      <c r="I170" s="133"/>
    </row>
    <row r="171" spans="9:9" ht="12.75" customHeight="1" x14ac:dyDescent="0.2">
      <c r="I171" s="133"/>
    </row>
    <row r="172" spans="9:9" ht="12.75" customHeight="1" x14ac:dyDescent="0.2">
      <c r="I172" s="133"/>
    </row>
    <row r="173" spans="9:9" ht="12.75" customHeight="1" x14ac:dyDescent="0.2">
      <c r="I173" s="133"/>
    </row>
    <row r="174" spans="9:9" ht="12.75" customHeight="1" x14ac:dyDescent="0.2">
      <c r="I174" s="133"/>
    </row>
    <row r="175" spans="9:9" ht="12.75" customHeight="1" x14ac:dyDescent="0.2">
      <c r="I175" s="133"/>
    </row>
    <row r="176" spans="9:9" ht="12.75" customHeight="1" x14ac:dyDescent="0.2">
      <c r="I176" s="133"/>
    </row>
    <row r="177" spans="9:9" ht="12.75" customHeight="1" x14ac:dyDescent="0.2">
      <c r="I177" s="133"/>
    </row>
    <row r="178" spans="9:9" ht="12.75" customHeight="1" x14ac:dyDescent="0.2">
      <c r="I178" s="133"/>
    </row>
    <row r="179" spans="9:9" ht="12.75" customHeight="1" x14ac:dyDescent="0.2">
      <c r="I179" s="133"/>
    </row>
    <row r="180" spans="9:9" ht="12.75" customHeight="1" x14ac:dyDescent="0.2">
      <c r="I180" s="133"/>
    </row>
    <row r="181" spans="9:9" ht="12.75" customHeight="1" x14ac:dyDescent="0.2">
      <c r="I181" s="133"/>
    </row>
    <row r="182" spans="9:9" ht="12.75" customHeight="1" x14ac:dyDescent="0.2">
      <c r="I182" s="133"/>
    </row>
    <row r="183" spans="9:9" ht="12.75" customHeight="1" x14ac:dyDescent="0.2">
      <c r="I183" s="133"/>
    </row>
    <row r="184" spans="9:9" ht="12.75" customHeight="1" x14ac:dyDescent="0.2">
      <c r="I184" s="133"/>
    </row>
    <row r="185" spans="9:9" ht="12.75" customHeight="1" x14ac:dyDescent="0.2">
      <c r="I185" s="133"/>
    </row>
    <row r="186" spans="9:9" ht="12.75" customHeight="1" x14ac:dyDescent="0.2">
      <c r="I186" s="133"/>
    </row>
    <row r="187" spans="9:9" ht="12.75" customHeight="1" x14ac:dyDescent="0.2">
      <c r="I187" s="133"/>
    </row>
    <row r="188" spans="9:9" ht="12.75" customHeight="1" x14ac:dyDescent="0.2">
      <c r="I188" s="133"/>
    </row>
    <row r="189" spans="9:9" ht="12.75" customHeight="1" x14ac:dyDescent="0.2">
      <c r="I189" s="133"/>
    </row>
    <row r="190" spans="9:9" ht="12.75" customHeight="1" x14ac:dyDescent="0.2">
      <c r="I190" s="133"/>
    </row>
    <row r="191" spans="9:9" ht="12.75" customHeight="1" x14ac:dyDescent="0.2">
      <c r="I191" s="133"/>
    </row>
    <row r="192" spans="9:9" ht="12.75" customHeight="1" x14ac:dyDescent="0.2">
      <c r="I192" s="133"/>
    </row>
    <row r="193" spans="9:9" ht="12.75" customHeight="1" x14ac:dyDescent="0.2">
      <c r="I193" s="133"/>
    </row>
    <row r="194" spans="9:9" ht="12.75" customHeight="1" x14ac:dyDescent="0.2">
      <c r="I194" s="133"/>
    </row>
    <row r="195" spans="9:9" ht="12.75" customHeight="1" x14ac:dyDescent="0.2">
      <c r="I195" s="133"/>
    </row>
    <row r="196" spans="9:9" ht="12.75" customHeight="1" x14ac:dyDescent="0.2">
      <c r="I196" s="133"/>
    </row>
    <row r="197" spans="9:9" ht="12.75" customHeight="1" x14ac:dyDescent="0.2">
      <c r="I197" s="133"/>
    </row>
    <row r="198" spans="9:9" ht="12.75" customHeight="1" x14ac:dyDescent="0.2">
      <c r="I198" s="133"/>
    </row>
    <row r="199" spans="9:9" ht="12.75" customHeight="1" x14ac:dyDescent="0.2">
      <c r="I199" s="133"/>
    </row>
    <row r="200" spans="9:9" ht="12.75" customHeight="1" x14ac:dyDescent="0.2">
      <c r="I200" s="133"/>
    </row>
    <row r="201" spans="9:9" ht="12.75" customHeight="1" x14ac:dyDescent="0.2">
      <c r="I201" s="133"/>
    </row>
    <row r="202" spans="9:9" ht="12.75" customHeight="1" x14ac:dyDescent="0.2">
      <c r="I202" s="133"/>
    </row>
    <row r="203" spans="9:9" ht="12.75" customHeight="1" x14ac:dyDescent="0.2">
      <c r="I203" s="133"/>
    </row>
    <row r="204" spans="9:9" ht="12.75" customHeight="1" x14ac:dyDescent="0.2">
      <c r="I204" s="133"/>
    </row>
    <row r="205" spans="9:9" ht="12.75" customHeight="1" x14ac:dyDescent="0.2">
      <c r="I205" s="133"/>
    </row>
    <row r="206" spans="9:9" ht="12.75" customHeight="1" x14ac:dyDescent="0.2">
      <c r="I206" s="133"/>
    </row>
    <row r="207" spans="9:9" ht="12.75" customHeight="1" x14ac:dyDescent="0.2">
      <c r="I207" s="133"/>
    </row>
    <row r="208" spans="9:9" ht="12.75" customHeight="1" x14ac:dyDescent="0.2">
      <c r="I208" s="133"/>
    </row>
    <row r="209" spans="9:9" ht="12.75" customHeight="1" x14ac:dyDescent="0.2">
      <c r="I209" s="133"/>
    </row>
    <row r="210" spans="9:9" ht="12.75" customHeight="1" x14ac:dyDescent="0.2">
      <c r="I210" s="133"/>
    </row>
    <row r="211" spans="9:9" ht="12.75" customHeight="1" x14ac:dyDescent="0.2">
      <c r="I211" s="133"/>
    </row>
    <row r="212" spans="9:9" ht="12.75" customHeight="1" x14ac:dyDescent="0.2">
      <c r="I212" s="133"/>
    </row>
    <row r="213" spans="9:9" ht="12.75" customHeight="1" x14ac:dyDescent="0.2">
      <c r="I213" s="133"/>
    </row>
    <row r="214" spans="9:9" ht="12.75" customHeight="1" x14ac:dyDescent="0.2">
      <c r="I214" s="133"/>
    </row>
    <row r="215" spans="9:9" ht="12.75" customHeight="1" x14ac:dyDescent="0.2">
      <c r="I215" s="133"/>
    </row>
    <row r="216" spans="9:9" ht="12.75" customHeight="1" x14ac:dyDescent="0.2">
      <c r="I216" s="133"/>
    </row>
    <row r="217" spans="9:9" ht="12.75" customHeight="1" x14ac:dyDescent="0.2">
      <c r="I217" s="133"/>
    </row>
    <row r="218" spans="9:9" ht="12.75" customHeight="1" x14ac:dyDescent="0.2">
      <c r="I218" s="133"/>
    </row>
    <row r="219" spans="9:9" ht="12.75" customHeight="1" x14ac:dyDescent="0.2">
      <c r="I219" s="133"/>
    </row>
    <row r="220" spans="9:9" ht="12.75" customHeight="1" x14ac:dyDescent="0.2">
      <c r="I220" s="133"/>
    </row>
    <row r="221" spans="9:9" ht="12.75" customHeight="1" x14ac:dyDescent="0.2">
      <c r="I221" s="133"/>
    </row>
    <row r="222" spans="9:9" ht="12.75" customHeight="1" x14ac:dyDescent="0.2">
      <c r="I222" s="133"/>
    </row>
    <row r="223" spans="9:9" ht="12.75" customHeight="1" x14ac:dyDescent="0.2">
      <c r="I223" s="133"/>
    </row>
    <row r="224" spans="9:9" ht="12.75" customHeight="1" x14ac:dyDescent="0.2">
      <c r="I224" s="133"/>
    </row>
    <row r="225" spans="9:9" ht="12.75" customHeight="1" x14ac:dyDescent="0.2">
      <c r="I225" s="133"/>
    </row>
    <row r="226" spans="9:9" ht="12.75" customHeight="1" x14ac:dyDescent="0.2">
      <c r="I226" s="133"/>
    </row>
    <row r="227" spans="9:9" ht="12.75" customHeight="1" x14ac:dyDescent="0.2">
      <c r="I227" s="133"/>
    </row>
    <row r="228" spans="9:9" ht="12.75" customHeight="1" x14ac:dyDescent="0.2">
      <c r="I228" s="133"/>
    </row>
    <row r="229" spans="9:9" ht="12.75" customHeight="1" x14ac:dyDescent="0.2">
      <c r="I229" s="133"/>
    </row>
    <row r="230" spans="9:9" ht="12.75" customHeight="1" x14ac:dyDescent="0.2">
      <c r="I230" s="133"/>
    </row>
    <row r="231" spans="9:9" ht="12.75" customHeight="1" x14ac:dyDescent="0.2">
      <c r="I231" s="133"/>
    </row>
    <row r="232" spans="9:9" ht="12.75" customHeight="1" x14ac:dyDescent="0.2">
      <c r="I232" s="133"/>
    </row>
    <row r="233" spans="9:9" ht="12.75" customHeight="1" x14ac:dyDescent="0.2">
      <c r="I233" s="133"/>
    </row>
    <row r="234" spans="9:9" ht="12.75" customHeight="1" x14ac:dyDescent="0.2">
      <c r="I234" s="133"/>
    </row>
    <row r="235" spans="9:9" ht="12.75" customHeight="1" x14ac:dyDescent="0.2">
      <c r="I235" s="133"/>
    </row>
    <row r="236" spans="9:9" ht="12.75" customHeight="1" x14ac:dyDescent="0.2">
      <c r="I236" s="133"/>
    </row>
    <row r="237" spans="9:9" ht="12.75" customHeight="1" x14ac:dyDescent="0.2">
      <c r="I237" s="133"/>
    </row>
    <row r="238" spans="9:9" ht="12.75" customHeight="1" x14ac:dyDescent="0.2">
      <c r="I238" s="133"/>
    </row>
    <row r="239" spans="9:9" ht="12.75" customHeight="1" x14ac:dyDescent="0.2">
      <c r="I239" s="133"/>
    </row>
    <row r="240" spans="9:9" ht="12.75" customHeight="1" x14ac:dyDescent="0.2">
      <c r="I240" s="133"/>
    </row>
    <row r="241" spans="9:9" ht="12.75" customHeight="1" x14ac:dyDescent="0.2">
      <c r="I241" s="133"/>
    </row>
    <row r="242" spans="9:9" ht="12.75" customHeight="1" x14ac:dyDescent="0.2">
      <c r="I242" s="133"/>
    </row>
    <row r="243" spans="9:9" ht="12.75" customHeight="1" x14ac:dyDescent="0.2">
      <c r="I243" s="133"/>
    </row>
    <row r="244" spans="9:9" ht="12.75" customHeight="1" x14ac:dyDescent="0.2">
      <c r="I244" s="133"/>
    </row>
    <row r="245" spans="9:9" ht="12.75" customHeight="1" x14ac:dyDescent="0.2">
      <c r="I245" s="133"/>
    </row>
    <row r="246" spans="9:9" ht="12.75" customHeight="1" x14ac:dyDescent="0.2">
      <c r="I246" s="133"/>
    </row>
    <row r="247" spans="9:9" ht="12.75" customHeight="1" x14ac:dyDescent="0.2">
      <c r="I247" s="133"/>
    </row>
    <row r="248" spans="9:9" ht="12.75" customHeight="1" x14ac:dyDescent="0.2">
      <c r="I248" s="133"/>
    </row>
    <row r="249" spans="9:9" ht="12.75" customHeight="1" x14ac:dyDescent="0.2">
      <c r="I249" s="133"/>
    </row>
    <row r="250" spans="9:9" ht="12.75" customHeight="1" x14ac:dyDescent="0.2">
      <c r="I250" s="133"/>
    </row>
    <row r="251" spans="9:9" ht="12.75" customHeight="1" x14ac:dyDescent="0.2">
      <c r="I251" s="133"/>
    </row>
    <row r="252" spans="9:9" ht="12.75" customHeight="1" x14ac:dyDescent="0.2">
      <c r="I252" s="133"/>
    </row>
    <row r="253" spans="9:9" ht="12.75" customHeight="1" x14ac:dyDescent="0.2">
      <c r="I253" s="133"/>
    </row>
    <row r="254" spans="9:9" ht="12.75" customHeight="1" x14ac:dyDescent="0.2">
      <c r="I254" s="133"/>
    </row>
    <row r="255" spans="9:9" ht="12.75" customHeight="1" x14ac:dyDescent="0.2">
      <c r="I255" s="133"/>
    </row>
    <row r="256" spans="9:9" ht="12.75" customHeight="1" x14ac:dyDescent="0.2">
      <c r="I256" s="133"/>
    </row>
    <row r="257" spans="9:9" ht="12.75" customHeight="1" x14ac:dyDescent="0.2">
      <c r="I257" s="133"/>
    </row>
    <row r="258" spans="9:9" ht="12.75" customHeight="1" x14ac:dyDescent="0.2">
      <c r="I258" s="133"/>
    </row>
    <row r="259" spans="9:9" ht="12.75" customHeight="1" x14ac:dyDescent="0.2">
      <c r="I259" s="133"/>
    </row>
    <row r="260" spans="9:9" ht="12.75" customHeight="1" x14ac:dyDescent="0.2">
      <c r="I260" s="133"/>
    </row>
    <row r="261" spans="9:9" ht="12.75" customHeight="1" x14ac:dyDescent="0.2">
      <c r="I261" s="133"/>
    </row>
    <row r="262" spans="9:9" ht="12.75" customHeight="1" x14ac:dyDescent="0.2">
      <c r="I262" s="133"/>
    </row>
    <row r="263" spans="9:9" ht="12.75" customHeight="1" x14ac:dyDescent="0.2">
      <c r="I263" s="133"/>
    </row>
    <row r="264" spans="9:9" ht="12.75" customHeight="1" x14ac:dyDescent="0.2">
      <c r="I264" s="133"/>
    </row>
    <row r="265" spans="9:9" ht="12.75" customHeight="1" x14ac:dyDescent="0.2">
      <c r="I265" s="133"/>
    </row>
    <row r="266" spans="9:9" ht="12.75" customHeight="1" x14ac:dyDescent="0.2">
      <c r="I266" s="133"/>
    </row>
    <row r="267" spans="9:9" ht="12.75" customHeight="1" x14ac:dyDescent="0.2">
      <c r="I267" s="133"/>
    </row>
    <row r="268" spans="9:9" ht="12.75" customHeight="1" x14ac:dyDescent="0.2">
      <c r="I268" s="133"/>
    </row>
    <row r="269" spans="9:9" ht="12.75" customHeight="1" x14ac:dyDescent="0.2">
      <c r="I269" s="133"/>
    </row>
    <row r="270" spans="9:9" ht="12.75" customHeight="1" x14ac:dyDescent="0.2">
      <c r="I270" s="133"/>
    </row>
    <row r="271" spans="9:9" ht="12.75" customHeight="1" x14ac:dyDescent="0.2">
      <c r="I271" s="133"/>
    </row>
    <row r="272" spans="9:9" ht="12.75" customHeight="1" x14ac:dyDescent="0.2">
      <c r="I272" s="133"/>
    </row>
    <row r="273" spans="9:9" ht="12.75" customHeight="1" x14ac:dyDescent="0.2">
      <c r="I273" s="133"/>
    </row>
    <row r="274" spans="9:9" ht="12.75" customHeight="1" x14ac:dyDescent="0.2">
      <c r="I274" s="133"/>
    </row>
    <row r="275" spans="9:9" ht="12.75" customHeight="1" x14ac:dyDescent="0.2">
      <c r="I275" s="133"/>
    </row>
    <row r="276" spans="9:9" ht="12.75" customHeight="1" x14ac:dyDescent="0.2">
      <c r="I276" s="133"/>
    </row>
    <row r="277" spans="9:9" ht="12.75" customHeight="1" x14ac:dyDescent="0.2">
      <c r="I277" s="133"/>
    </row>
    <row r="278" spans="9:9" ht="12.75" customHeight="1" x14ac:dyDescent="0.2">
      <c r="I278" s="133"/>
    </row>
    <row r="279" spans="9:9" ht="12.75" customHeight="1" x14ac:dyDescent="0.2">
      <c r="I279" s="133"/>
    </row>
    <row r="280" spans="9:9" ht="12.75" customHeight="1" x14ac:dyDescent="0.2">
      <c r="I280" s="133"/>
    </row>
    <row r="281" spans="9:9" ht="12.75" customHeight="1" x14ac:dyDescent="0.2">
      <c r="I281" s="133"/>
    </row>
    <row r="282" spans="9:9" ht="12.75" customHeight="1" x14ac:dyDescent="0.2">
      <c r="I282" s="133"/>
    </row>
    <row r="283" spans="9:9" ht="12.75" customHeight="1" x14ac:dyDescent="0.2">
      <c r="I283" s="133"/>
    </row>
    <row r="284" spans="9:9" ht="12.75" customHeight="1" x14ac:dyDescent="0.2">
      <c r="I284" s="133"/>
    </row>
    <row r="285" spans="9:9" ht="12.75" customHeight="1" x14ac:dyDescent="0.2">
      <c r="I285" s="133"/>
    </row>
    <row r="286" spans="9:9" ht="12.75" customHeight="1" x14ac:dyDescent="0.2">
      <c r="I286" s="133"/>
    </row>
    <row r="287" spans="9:9" ht="12.75" customHeight="1" x14ac:dyDescent="0.2">
      <c r="I287" s="133"/>
    </row>
    <row r="288" spans="9:9" ht="12.75" customHeight="1" x14ac:dyDescent="0.2">
      <c r="I288" s="133"/>
    </row>
    <row r="289" spans="9:9" ht="12.75" customHeight="1" x14ac:dyDescent="0.2">
      <c r="I289" s="133"/>
    </row>
    <row r="290" spans="9:9" ht="12.75" customHeight="1" x14ac:dyDescent="0.2">
      <c r="I290" s="133"/>
    </row>
    <row r="291" spans="9:9" ht="12.75" customHeight="1" x14ac:dyDescent="0.2">
      <c r="I291" s="133"/>
    </row>
    <row r="292" spans="9:9" ht="12.75" customHeight="1" x14ac:dyDescent="0.2">
      <c r="I292" s="133"/>
    </row>
    <row r="293" spans="9:9" ht="12.75" customHeight="1" x14ac:dyDescent="0.2">
      <c r="I293" s="133"/>
    </row>
    <row r="294" spans="9:9" ht="12.75" customHeight="1" x14ac:dyDescent="0.2">
      <c r="I294" s="133"/>
    </row>
    <row r="295" spans="9:9" ht="12.75" customHeight="1" x14ac:dyDescent="0.2">
      <c r="I295" s="133"/>
    </row>
    <row r="296" spans="9:9" ht="12.75" customHeight="1" x14ac:dyDescent="0.2">
      <c r="I296" s="133"/>
    </row>
    <row r="297" spans="9:9" ht="12.75" customHeight="1" x14ac:dyDescent="0.2">
      <c r="I297" s="133"/>
    </row>
    <row r="298" spans="9:9" ht="12.75" customHeight="1" x14ac:dyDescent="0.2">
      <c r="I298" s="133"/>
    </row>
    <row r="299" spans="9:9" ht="12.75" customHeight="1" x14ac:dyDescent="0.2">
      <c r="I299" s="133"/>
    </row>
    <row r="300" spans="9:9" ht="12.75" customHeight="1" x14ac:dyDescent="0.2">
      <c r="I300" s="133"/>
    </row>
    <row r="301" spans="9:9" ht="12.75" customHeight="1" x14ac:dyDescent="0.2">
      <c r="I301" s="133"/>
    </row>
    <row r="302" spans="9:9" ht="12.75" customHeight="1" x14ac:dyDescent="0.2">
      <c r="I302" s="133"/>
    </row>
    <row r="303" spans="9:9" ht="12.75" customHeight="1" x14ac:dyDescent="0.2">
      <c r="I303" s="133"/>
    </row>
    <row r="304" spans="9:9" ht="12.75" customHeight="1" x14ac:dyDescent="0.2">
      <c r="I304" s="133"/>
    </row>
    <row r="305" spans="9:9" ht="12.75" customHeight="1" x14ac:dyDescent="0.2">
      <c r="I305" s="133"/>
    </row>
    <row r="306" spans="9:9" ht="12.75" customHeight="1" x14ac:dyDescent="0.2">
      <c r="I306" s="133"/>
    </row>
    <row r="307" spans="9:9" ht="12.75" customHeight="1" x14ac:dyDescent="0.2">
      <c r="I307" s="133"/>
    </row>
    <row r="308" spans="9:9" ht="12.75" customHeight="1" x14ac:dyDescent="0.2">
      <c r="I308" s="133"/>
    </row>
    <row r="309" spans="9:9" ht="12.75" customHeight="1" x14ac:dyDescent="0.2">
      <c r="I309" s="133"/>
    </row>
    <row r="310" spans="9:9" ht="12.75" customHeight="1" x14ac:dyDescent="0.2">
      <c r="I310" s="133"/>
    </row>
    <row r="311" spans="9:9" ht="12.75" customHeight="1" x14ac:dyDescent="0.2">
      <c r="I311" s="133"/>
    </row>
    <row r="312" spans="9:9" ht="12.75" customHeight="1" x14ac:dyDescent="0.2">
      <c r="I312" s="133"/>
    </row>
    <row r="313" spans="9:9" ht="12.75" customHeight="1" x14ac:dyDescent="0.2">
      <c r="I313" s="133"/>
    </row>
    <row r="314" spans="9:9" ht="12.75" customHeight="1" x14ac:dyDescent="0.2">
      <c r="I314" s="133"/>
    </row>
    <row r="315" spans="9:9" ht="12.75" customHeight="1" x14ac:dyDescent="0.2">
      <c r="I315" s="133"/>
    </row>
    <row r="316" spans="9:9" ht="12.75" customHeight="1" x14ac:dyDescent="0.2">
      <c r="I316" s="133"/>
    </row>
    <row r="317" spans="9:9" ht="12.75" customHeight="1" x14ac:dyDescent="0.2">
      <c r="I317" s="133"/>
    </row>
    <row r="318" spans="9:9" ht="12.75" customHeight="1" x14ac:dyDescent="0.2">
      <c r="I318" s="133"/>
    </row>
    <row r="319" spans="9:9" ht="12.75" customHeight="1" x14ac:dyDescent="0.2">
      <c r="I319" s="133"/>
    </row>
    <row r="320" spans="9:9" ht="12.75" customHeight="1" x14ac:dyDescent="0.2">
      <c r="I320" s="133"/>
    </row>
    <row r="321" spans="9:9" ht="12.75" customHeight="1" x14ac:dyDescent="0.2">
      <c r="I321" s="133"/>
    </row>
    <row r="322" spans="9:9" ht="12.75" customHeight="1" x14ac:dyDescent="0.2">
      <c r="I322" s="133"/>
    </row>
    <row r="323" spans="9:9" ht="12.75" customHeight="1" x14ac:dyDescent="0.2">
      <c r="I323" s="133"/>
    </row>
    <row r="324" spans="9:9" ht="12.75" customHeight="1" x14ac:dyDescent="0.2">
      <c r="I324" s="133"/>
    </row>
    <row r="325" spans="9:9" ht="12.75" customHeight="1" x14ac:dyDescent="0.2">
      <c r="I325" s="133"/>
    </row>
    <row r="326" spans="9:9" ht="12.75" customHeight="1" x14ac:dyDescent="0.2">
      <c r="I326" s="133"/>
    </row>
    <row r="327" spans="9:9" ht="12.75" customHeight="1" x14ac:dyDescent="0.2">
      <c r="I327" s="133"/>
    </row>
    <row r="328" spans="9:9" ht="12.75" customHeight="1" x14ac:dyDescent="0.2">
      <c r="I328" s="133"/>
    </row>
    <row r="329" spans="9:9" ht="12.75" customHeight="1" x14ac:dyDescent="0.2">
      <c r="I329" s="133"/>
    </row>
    <row r="330" spans="9:9" ht="12.75" customHeight="1" x14ac:dyDescent="0.2">
      <c r="I330" s="133"/>
    </row>
    <row r="331" spans="9:9" ht="12.75" customHeight="1" x14ac:dyDescent="0.2">
      <c r="I331" s="133"/>
    </row>
    <row r="332" spans="9:9" ht="12.75" customHeight="1" x14ac:dyDescent="0.2">
      <c r="I332" s="133"/>
    </row>
    <row r="333" spans="9:9" ht="12.75" customHeight="1" x14ac:dyDescent="0.2">
      <c r="I333" s="133"/>
    </row>
    <row r="334" spans="9:9" ht="12.75" customHeight="1" x14ac:dyDescent="0.2">
      <c r="I334" s="133"/>
    </row>
    <row r="335" spans="9:9" ht="12.75" customHeight="1" x14ac:dyDescent="0.2">
      <c r="I335" s="133"/>
    </row>
    <row r="336" spans="9:9" ht="12.75" customHeight="1" x14ac:dyDescent="0.2">
      <c r="I336" s="133"/>
    </row>
    <row r="337" spans="9:9" ht="12.75" customHeight="1" x14ac:dyDescent="0.2">
      <c r="I337" s="133"/>
    </row>
    <row r="338" spans="9:9" ht="12.75" customHeight="1" x14ac:dyDescent="0.2">
      <c r="I338" s="133"/>
    </row>
    <row r="339" spans="9:9" ht="12.75" customHeight="1" x14ac:dyDescent="0.2">
      <c r="I339" s="133"/>
    </row>
    <row r="340" spans="9:9" ht="12.75" customHeight="1" x14ac:dyDescent="0.2">
      <c r="I340" s="133"/>
    </row>
    <row r="341" spans="9:9" ht="12.75" customHeight="1" x14ac:dyDescent="0.2">
      <c r="I341" s="133"/>
    </row>
    <row r="342" spans="9:9" ht="12.75" customHeight="1" x14ac:dyDescent="0.2">
      <c r="I342" s="133"/>
    </row>
    <row r="343" spans="9:9" ht="12.75" customHeight="1" x14ac:dyDescent="0.2">
      <c r="I343" s="133"/>
    </row>
    <row r="344" spans="9:9" ht="12.75" customHeight="1" x14ac:dyDescent="0.2">
      <c r="I344" s="133"/>
    </row>
    <row r="345" spans="9:9" ht="12.75" customHeight="1" x14ac:dyDescent="0.2">
      <c r="I345" s="133"/>
    </row>
    <row r="346" spans="9:9" ht="12.75" customHeight="1" x14ac:dyDescent="0.2">
      <c r="I346" s="133"/>
    </row>
    <row r="347" spans="9:9" ht="12.75" customHeight="1" x14ac:dyDescent="0.2">
      <c r="I347" s="133"/>
    </row>
    <row r="348" spans="9:9" ht="12.75" customHeight="1" x14ac:dyDescent="0.2">
      <c r="I348" s="133"/>
    </row>
    <row r="349" spans="9:9" ht="12.75" customHeight="1" x14ac:dyDescent="0.2">
      <c r="I349" s="133"/>
    </row>
    <row r="350" spans="9:9" ht="12.75" customHeight="1" x14ac:dyDescent="0.2">
      <c r="I350" s="133"/>
    </row>
    <row r="351" spans="9:9" ht="12.75" customHeight="1" x14ac:dyDescent="0.2">
      <c r="I351" s="133"/>
    </row>
    <row r="352" spans="9:9" ht="12.75" customHeight="1" x14ac:dyDescent="0.2">
      <c r="I352" s="133"/>
    </row>
    <row r="353" spans="9:9" ht="12.75" customHeight="1" x14ac:dyDescent="0.2">
      <c r="I353" s="133"/>
    </row>
    <row r="354" spans="9:9" ht="12.75" customHeight="1" x14ac:dyDescent="0.2">
      <c r="I354" s="133"/>
    </row>
    <row r="355" spans="9:9" ht="12.75" customHeight="1" x14ac:dyDescent="0.2">
      <c r="I355" s="133"/>
    </row>
    <row r="356" spans="9:9" ht="12.75" customHeight="1" x14ac:dyDescent="0.2">
      <c r="I356" s="133"/>
    </row>
    <row r="357" spans="9:9" ht="12.75" customHeight="1" x14ac:dyDescent="0.2">
      <c r="I357" s="133"/>
    </row>
    <row r="358" spans="9:9" ht="12.75" customHeight="1" x14ac:dyDescent="0.2">
      <c r="I358" s="133"/>
    </row>
    <row r="359" spans="9:9" ht="12.75" customHeight="1" x14ac:dyDescent="0.2">
      <c r="I359" s="133"/>
    </row>
    <row r="360" spans="9:9" ht="12.75" customHeight="1" x14ac:dyDescent="0.2">
      <c r="I360" s="133"/>
    </row>
    <row r="361" spans="9:9" ht="12.75" customHeight="1" x14ac:dyDescent="0.2">
      <c r="I361" s="133"/>
    </row>
    <row r="362" spans="9:9" ht="12.75" customHeight="1" x14ac:dyDescent="0.2">
      <c r="I362" s="133"/>
    </row>
    <row r="363" spans="9:9" ht="12.75" customHeight="1" x14ac:dyDescent="0.2">
      <c r="I363" s="133"/>
    </row>
    <row r="364" spans="9:9" ht="12.75" customHeight="1" x14ac:dyDescent="0.2">
      <c r="I364" s="133"/>
    </row>
    <row r="365" spans="9:9" ht="12.75" customHeight="1" x14ac:dyDescent="0.2">
      <c r="I365" s="133"/>
    </row>
    <row r="366" spans="9:9" ht="12.75" customHeight="1" x14ac:dyDescent="0.2">
      <c r="I366" s="133"/>
    </row>
    <row r="367" spans="9:9" ht="12.75" customHeight="1" x14ac:dyDescent="0.2">
      <c r="I367" s="133"/>
    </row>
    <row r="368" spans="9:9" ht="12.75" customHeight="1" x14ac:dyDescent="0.2">
      <c r="I368" s="133"/>
    </row>
    <row r="369" spans="9:9" ht="12.75" customHeight="1" x14ac:dyDescent="0.2">
      <c r="I369" s="133"/>
    </row>
    <row r="370" spans="9:9" ht="12.75" customHeight="1" x14ac:dyDescent="0.2">
      <c r="I370" s="133"/>
    </row>
    <row r="371" spans="9:9" ht="12.75" customHeight="1" x14ac:dyDescent="0.2">
      <c r="I371" s="133"/>
    </row>
    <row r="372" spans="9:9" ht="12.75" customHeight="1" x14ac:dyDescent="0.2">
      <c r="I372" s="133"/>
    </row>
    <row r="373" spans="9:9" ht="12.75" customHeight="1" x14ac:dyDescent="0.2">
      <c r="I373" s="133"/>
    </row>
    <row r="374" spans="9:9" ht="12.75" customHeight="1" x14ac:dyDescent="0.2">
      <c r="I374" s="133"/>
    </row>
    <row r="375" spans="9:9" ht="12.75" customHeight="1" x14ac:dyDescent="0.2">
      <c r="I375" s="133"/>
    </row>
    <row r="376" spans="9:9" ht="12.75" customHeight="1" x14ac:dyDescent="0.2">
      <c r="I376" s="133"/>
    </row>
    <row r="377" spans="9:9" ht="12.75" customHeight="1" x14ac:dyDescent="0.2">
      <c r="I377" s="133"/>
    </row>
    <row r="378" spans="9:9" ht="12.75" customHeight="1" x14ac:dyDescent="0.2">
      <c r="I378" s="133"/>
    </row>
    <row r="379" spans="9:9" ht="12.75" customHeight="1" x14ac:dyDescent="0.2">
      <c r="I379" s="133"/>
    </row>
    <row r="380" spans="9:9" ht="12.75" customHeight="1" x14ac:dyDescent="0.2">
      <c r="I380" s="133"/>
    </row>
    <row r="381" spans="9:9" ht="12.75" customHeight="1" x14ac:dyDescent="0.2">
      <c r="I381" s="133"/>
    </row>
    <row r="382" spans="9:9" ht="12.75" customHeight="1" x14ac:dyDescent="0.2">
      <c r="I382" s="133"/>
    </row>
    <row r="383" spans="9:9" ht="12.75" customHeight="1" x14ac:dyDescent="0.2">
      <c r="I383" s="133"/>
    </row>
    <row r="384" spans="9:9" ht="12.75" customHeight="1" x14ac:dyDescent="0.2">
      <c r="I384" s="133"/>
    </row>
    <row r="385" spans="9:9" ht="12.75" customHeight="1" x14ac:dyDescent="0.2">
      <c r="I385" s="133"/>
    </row>
    <row r="386" spans="9:9" ht="12.75" customHeight="1" x14ac:dyDescent="0.2">
      <c r="I386" s="133"/>
    </row>
    <row r="387" spans="9:9" ht="12.75" customHeight="1" x14ac:dyDescent="0.2">
      <c r="I387" s="133"/>
    </row>
    <row r="388" spans="9:9" ht="12.75" customHeight="1" x14ac:dyDescent="0.2">
      <c r="I388" s="133"/>
    </row>
    <row r="389" spans="9:9" ht="12.75" customHeight="1" x14ac:dyDescent="0.2">
      <c r="I389" s="133"/>
    </row>
    <row r="390" spans="9:9" ht="12.75" customHeight="1" x14ac:dyDescent="0.2">
      <c r="I390" s="133"/>
    </row>
    <row r="391" spans="9:9" ht="12.75" customHeight="1" x14ac:dyDescent="0.2">
      <c r="I391" s="133"/>
    </row>
    <row r="392" spans="9:9" ht="12.75" customHeight="1" x14ac:dyDescent="0.2">
      <c r="I392" s="133"/>
    </row>
    <row r="393" spans="9:9" ht="12.75" customHeight="1" x14ac:dyDescent="0.2">
      <c r="I393" s="133"/>
    </row>
    <row r="394" spans="9:9" ht="12.75" customHeight="1" x14ac:dyDescent="0.2">
      <c r="I394" s="133"/>
    </row>
    <row r="395" spans="9:9" ht="12.75" customHeight="1" x14ac:dyDescent="0.2">
      <c r="I395" s="133"/>
    </row>
    <row r="396" spans="9:9" ht="12.75" customHeight="1" x14ac:dyDescent="0.2">
      <c r="I396" s="133"/>
    </row>
    <row r="397" spans="9:9" ht="12.75" customHeight="1" x14ac:dyDescent="0.2">
      <c r="I397" s="133"/>
    </row>
    <row r="398" spans="9:9" ht="12.75" customHeight="1" x14ac:dyDescent="0.2">
      <c r="I398" s="133"/>
    </row>
    <row r="399" spans="9:9" ht="12.75" customHeight="1" x14ac:dyDescent="0.2">
      <c r="I399" s="133"/>
    </row>
    <row r="400" spans="9:9" ht="12.75" customHeight="1" x14ac:dyDescent="0.2">
      <c r="I400" s="133"/>
    </row>
    <row r="401" spans="9:9" ht="12.75" customHeight="1" x14ac:dyDescent="0.2">
      <c r="I401" s="133"/>
    </row>
    <row r="402" spans="9:9" ht="12.75" customHeight="1" x14ac:dyDescent="0.2">
      <c r="I402" s="133"/>
    </row>
    <row r="403" spans="9:9" ht="12.75" customHeight="1" x14ac:dyDescent="0.2">
      <c r="I403" s="133"/>
    </row>
    <row r="404" spans="9:9" ht="12.75" customHeight="1" x14ac:dyDescent="0.2">
      <c r="I404" s="133"/>
    </row>
    <row r="405" spans="9:9" ht="12.75" customHeight="1" x14ac:dyDescent="0.2">
      <c r="I405" s="133"/>
    </row>
    <row r="406" spans="9:9" ht="12.75" customHeight="1" x14ac:dyDescent="0.2">
      <c r="I406" s="133"/>
    </row>
    <row r="407" spans="9:9" ht="12.75" customHeight="1" x14ac:dyDescent="0.2">
      <c r="I407" s="133"/>
    </row>
    <row r="408" spans="9:9" ht="12.75" customHeight="1" x14ac:dyDescent="0.2">
      <c r="I408" s="133"/>
    </row>
    <row r="409" spans="9:9" ht="12.75" customHeight="1" x14ac:dyDescent="0.2">
      <c r="I409" s="133"/>
    </row>
    <row r="410" spans="9:9" ht="12.75" customHeight="1" x14ac:dyDescent="0.2">
      <c r="I410" s="133"/>
    </row>
    <row r="411" spans="9:9" ht="12.75" customHeight="1" x14ac:dyDescent="0.2">
      <c r="I411" s="133"/>
    </row>
    <row r="412" spans="9:9" ht="12.75" customHeight="1" x14ac:dyDescent="0.2">
      <c r="I412" s="133"/>
    </row>
    <row r="413" spans="9:9" ht="12.75" customHeight="1" x14ac:dyDescent="0.2">
      <c r="I413" s="133"/>
    </row>
    <row r="414" spans="9:9" ht="12.75" customHeight="1" x14ac:dyDescent="0.2">
      <c r="I414" s="133"/>
    </row>
    <row r="415" spans="9:9" ht="12.75" customHeight="1" x14ac:dyDescent="0.2">
      <c r="I415" s="133"/>
    </row>
    <row r="416" spans="9:9" ht="12.75" customHeight="1" x14ac:dyDescent="0.2">
      <c r="I416" s="133"/>
    </row>
    <row r="417" spans="9:9" ht="12.75" customHeight="1" x14ac:dyDescent="0.2">
      <c r="I417" s="133"/>
    </row>
    <row r="418" spans="9:9" ht="12.75" customHeight="1" x14ac:dyDescent="0.2">
      <c r="I418" s="133"/>
    </row>
    <row r="419" spans="9:9" ht="12.75" customHeight="1" x14ac:dyDescent="0.2">
      <c r="I419" s="133"/>
    </row>
    <row r="420" spans="9:9" ht="12.75" customHeight="1" x14ac:dyDescent="0.2">
      <c r="I420" s="133"/>
    </row>
    <row r="421" spans="9:9" ht="12.75" customHeight="1" x14ac:dyDescent="0.2">
      <c r="I421" s="133"/>
    </row>
    <row r="422" spans="9:9" ht="12.75" customHeight="1" x14ac:dyDescent="0.2">
      <c r="I422" s="133"/>
    </row>
    <row r="423" spans="9:9" ht="12.75" customHeight="1" x14ac:dyDescent="0.2">
      <c r="I423" s="133"/>
    </row>
    <row r="424" spans="9:9" ht="12.75" customHeight="1" x14ac:dyDescent="0.2">
      <c r="I424" s="133"/>
    </row>
    <row r="425" spans="9:9" ht="12.75" customHeight="1" x14ac:dyDescent="0.2">
      <c r="I425" s="133"/>
    </row>
    <row r="426" spans="9:9" ht="12.75" customHeight="1" x14ac:dyDescent="0.2">
      <c r="I426" s="133"/>
    </row>
    <row r="427" spans="9:9" ht="12.75" customHeight="1" x14ac:dyDescent="0.2">
      <c r="I427" s="133"/>
    </row>
    <row r="428" spans="9:9" ht="12.75" customHeight="1" x14ac:dyDescent="0.2">
      <c r="I428" s="133"/>
    </row>
    <row r="429" spans="9:9" ht="12.75" customHeight="1" x14ac:dyDescent="0.2">
      <c r="I429" s="133"/>
    </row>
    <row r="430" spans="9:9" ht="12.75" customHeight="1" x14ac:dyDescent="0.2">
      <c r="I430" s="133"/>
    </row>
    <row r="431" spans="9:9" ht="12.75" customHeight="1" x14ac:dyDescent="0.2">
      <c r="I431" s="133"/>
    </row>
    <row r="432" spans="9:9" ht="12.75" customHeight="1" x14ac:dyDescent="0.2">
      <c r="I432" s="133"/>
    </row>
    <row r="433" spans="9:9" ht="12.75" customHeight="1" x14ac:dyDescent="0.2">
      <c r="I433" s="133"/>
    </row>
    <row r="434" spans="9:9" ht="12.75" customHeight="1" x14ac:dyDescent="0.2">
      <c r="I434" s="133"/>
    </row>
    <row r="435" spans="9:9" ht="12.75" customHeight="1" x14ac:dyDescent="0.2">
      <c r="I435" s="133"/>
    </row>
    <row r="436" spans="9:9" ht="12.75" customHeight="1" x14ac:dyDescent="0.2">
      <c r="I436" s="133"/>
    </row>
    <row r="437" spans="9:9" ht="12.75" customHeight="1" x14ac:dyDescent="0.2">
      <c r="I437" s="133"/>
    </row>
    <row r="438" spans="9:9" ht="12.75" customHeight="1" x14ac:dyDescent="0.2">
      <c r="I438" s="133"/>
    </row>
    <row r="439" spans="9:9" ht="12.75" customHeight="1" x14ac:dyDescent="0.2">
      <c r="I439" s="133"/>
    </row>
    <row r="440" spans="9:9" ht="12.75" customHeight="1" x14ac:dyDescent="0.2">
      <c r="I440" s="133"/>
    </row>
    <row r="441" spans="9:9" ht="12.75" customHeight="1" x14ac:dyDescent="0.2">
      <c r="I441" s="133"/>
    </row>
    <row r="442" spans="9:9" ht="12.75" customHeight="1" x14ac:dyDescent="0.2">
      <c r="I442" s="133"/>
    </row>
    <row r="443" spans="9:9" ht="12.75" customHeight="1" x14ac:dyDescent="0.2">
      <c r="I443" s="133"/>
    </row>
    <row r="444" spans="9:9" ht="12.75" customHeight="1" x14ac:dyDescent="0.2">
      <c r="I444" s="133"/>
    </row>
    <row r="445" spans="9:9" ht="12.75" customHeight="1" x14ac:dyDescent="0.2">
      <c r="I445" s="133"/>
    </row>
    <row r="446" spans="9:9" ht="12.75" customHeight="1" x14ac:dyDescent="0.2">
      <c r="I446" s="133"/>
    </row>
    <row r="447" spans="9:9" ht="12.75" customHeight="1" x14ac:dyDescent="0.2">
      <c r="I447" s="133"/>
    </row>
    <row r="448" spans="9:9" ht="12.75" customHeight="1" x14ac:dyDescent="0.2">
      <c r="I448" s="133"/>
    </row>
    <row r="449" spans="9:9" ht="12.75" customHeight="1" x14ac:dyDescent="0.2">
      <c r="I449" s="133"/>
    </row>
    <row r="450" spans="9:9" ht="12.75" customHeight="1" x14ac:dyDescent="0.2">
      <c r="I450" s="133"/>
    </row>
    <row r="451" spans="9:9" ht="12.75" customHeight="1" x14ac:dyDescent="0.2">
      <c r="I451" s="133"/>
    </row>
    <row r="452" spans="9:9" ht="12.75" customHeight="1" x14ac:dyDescent="0.2">
      <c r="I452" s="133"/>
    </row>
    <row r="453" spans="9:9" ht="12.75" customHeight="1" x14ac:dyDescent="0.2">
      <c r="I453" s="133"/>
    </row>
    <row r="454" spans="9:9" ht="12.75" customHeight="1" x14ac:dyDescent="0.2">
      <c r="I454" s="133"/>
    </row>
    <row r="455" spans="9:9" ht="12.75" customHeight="1" x14ac:dyDescent="0.2">
      <c r="I455" s="133"/>
    </row>
    <row r="456" spans="9:9" ht="12.75" customHeight="1" x14ac:dyDescent="0.2">
      <c r="I456" s="133"/>
    </row>
    <row r="457" spans="9:9" ht="12.75" customHeight="1" x14ac:dyDescent="0.2">
      <c r="I457" s="133"/>
    </row>
    <row r="458" spans="9:9" ht="12.75" customHeight="1" x14ac:dyDescent="0.2">
      <c r="I458" s="133"/>
    </row>
    <row r="459" spans="9:9" ht="12.75" customHeight="1" x14ac:dyDescent="0.2">
      <c r="I459" s="133"/>
    </row>
    <row r="460" spans="9:9" ht="12.75" customHeight="1" x14ac:dyDescent="0.2">
      <c r="I460" s="133"/>
    </row>
    <row r="461" spans="9:9" ht="12.75" customHeight="1" x14ac:dyDescent="0.2">
      <c r="I461" s="133"/>
    </row>
    <row r="462" spans="9:9" ht="12.75" customHeight="1" x14ac:dyDescent="0.2">
      <c r="I462" s="133"/>
    </row>
    <row r="463" spans="9:9" ht="12.75" customHeight="1" x14ac:dyDescent="0.2">
      <c r="I463" s="133"/>
    </row>
    <row r="464" spans="9:9" ht="12.75" customHeight="1" x14ac:dyDescent="0.2">
      <c r="I464" s="133"/>
    </row>
    <row r="465" spans="9:9" ht="12.75" customHeight="1" x14ac:dyDescent="0.2">
      <c r="I465" s="133"/>
    </row>
    <row r="466" spans="9:9" ht="12.75" customHeight="1" x14ac:dyDescent="0.2">
      <c r="I466" s="133"/>
    </row>
    <row r="467" spans="9:9" ht="12.75" customHeight="1" x14ac:dyDescent="0.2">
      <c r="I467" s="133"/>
    </row>
    <row r="468" spans="9:9" ht="12.75" customHeight="1" x14ac:dyDescent="0.2">
      <c r="I468" s="133"/>
    </row>
    <row r="469" spans="9:9" ht="12.75" customHeight="1" x14ac:dyDescent="0.2">
      <c r="I469" s="133"/>
    </row>
    <row r="470" spans="9:9" ht="12.75" customHeight="1" x14ac:dyDescent="0.2">
      <c r="I470" s="133"/>
    </row>
    <row r="471" spans="9:9" ht="12.75" customHeight="1" x14ac:dyDescent="0.2">
      <c r="I471" s="133"/>
    </row>
    <row r="472" spans="9:9" ht="12.75" customHeight="1" x14ac:dyDescent="0.2">
      <c r="I472" s="133"/>
    </row>
    <row r="473" spans="9:9" ht="12.75" customHeight="1" x14ac:dyDescent="0.2">
      <c r="I473" s="133"/>
    </row>
    <row r="474" spans="9:9" ht="12.75" customHeight="1" x14ac:dyDescent="0.2">
      <c r="I474" s="133"/>
    </row>
    <row r="475" spans="9:9" ht="12.75" customHeight="1" x14ac:dyDescent="0.2">
      <c r="I475" s="133"/>
    </row>
    <row r="476" spans="9:9" ht="12.75" customHeight="1" x14ac:dyDescent="0.2">
      <c r="I476" s="133"/>
    </row>
    <row r="477" spans="9:9" ht="12.75" customHeight="1" x14ac:dyDescent="0.2">
      <c r="I477" s="133"/>
    </row>
    <row r="478" spans="9:9" ht="12.75" customHeight="1" x14ac:dyDescent="0.2">
      <c r="I478" s="133"/>
    </row>
    <row r="479" spans="9:9" ht="12.75" customHeight="1" x14ac:dyDescent="0.2">
      <c r="I479" s="133"/>
    </row>
    <row r="480" spans="9:9" ht="12.75" customHeight="1" x14ac:dyDescent="0.2">
      <c r="I480" s="133"/>
    </row>
    <row r="481" spans="9:9" ht="12.75" customHeight="1" x14ac:dyDescent="0.2">
      <c r="I481" s="133"/>
    </row>
    <row r="482" spans="9:9" ht="12.75" customHeight="1" x14ac:dyDescent="0.2">
      <c r="I482" s="133"/>
    </row>
    <row r="483" spans="9:9" ht="12.75" customHeight="1" x14ac:dyDescent="0.2">
      <c r="I483" s="133"/>
    </row>
    <row r="484" spans="9:9" ht="12.75" customHeight="1" x14ac:dyDescent="0.2">
      <c r="I484" s="133"/>
    </row>
    <row r="485" spans="9:9" ht="12.75" customHeight="1" x14ac:dyDescent="0.2">
      <c r="I485" s="133"/>
    </row>
    <row r="486" spans="9:9" ht="12.75" customHeight="1" x14ac:dyDescent="0.2">
      <c r="I486" s="133"/>
    </row>
    <row r="487" spans="9:9" ht="12.75" customHeight="1" x14ac:dyDescent="0.2">
      <c r="I487" s="133"/>
    </row>
    <row r="488" spans="9:9" ht="12.75" customHeight="1" x14ac:dyDescent="0.2">
      <c r="I488" s="133"/>
    </row>
    <row r="489" spans="9:9" ht="12.75" customHeight="1" x14ac:dyDescent="0.2">
      <c r="I489" s="133"/>
    </row>
    <row r="490" spans="9:9" ht="12.75" customHeight="1" x14ac:dyDescent="0.2">
      <c r="I490" s="133"/>
    </row>
    <row r="491" spans="9:9" ht="12.75" customHeight="1" x14ac:dyDescent="0.2">
      <c r="I491" s="133"/>
    </row>
    <row r="492" spans="9:9" ht="12.75" customHeight="1" x14ac:dyDescent="0.2">
      <c r="I492" s="133"/>
    </row>
    <row r="493" spans="9:9" ht="12.75" customHeight="1" x14ac:dyDescent="0.2">
      <c r="I493" s="133"/>
    </row>
    <row r="494" spans="9:9" ht="12.75" customHeight="1" x14ac:dyDescent="0.2">
      <c r="I494" s="133"/>
    </row>
    <row r="495" spans="9:9" ht="12.75" customHeight="1" x14ac:dyDescent="0.2">
      <c r="I495" s="133"/>
    </row>
    <row r="496" spans="9:9" ht="12.75" customHeight="1" x14ac:dyDescent="0.2">
      <c r="I496" s="133"/>
    </row>
    <row r="497" spans="9:9" ht="12.75" customHeight="1" x14ac:dyDescent="0.2">
      <c r="I497" s="133"/>
    </row>
    <row r="498" spans="9:9" ht="12.75" customHeight="1" x14ac:dyDescent="0.2">
      <c r="I498" s="133"/>
    </row>
    <row r="499" spans="9:9" ht="12.75" customHeight="1" x14ac:dyDescent="0.2">
      <c r="I499" s="133"/>
    </row>
    <row r="500" spans="9:9" ht="12.75" customHeight="1" x14ac:dyDescent="0.2">
      <c r="I500" s="133"/>
    </row>
    <row r="501" spans="9:9" ht="12.75" customHeight="1" x14ac:dyDescent="0.2">
      <c r="I501" s="133"/>
    </row>
    <row r="502" spans="9:9" ht="12.75" customHeight="1" x14ac:dyDescent="0.2">
      <c r="I502" s="133"/>
    </row>
    <row r="503" spans="9:9" ht="12.75" customHeight="1" x14ac:dyDescent="0.2">
      <c r="I503" s="133"/>
    </row>
    <row r="504" spans="9:9" ht="12.75" customHeight="1" x14ac:dyDescent="0.2">
      <c r="I504" s="133"/>
    </row>
    <row r="505" spans="9:9" ht="12.75" customHeight="1" x14ac:dyDescent="0.2">
      <c r="I505" s="133"/>
    </row>
    <row r="506" spans="9:9" ht="12.75" customHeight="1" x14ac:dyDescent="0.2">
      <c r="I506" s="133"/>
    </row>
    <row r="507" spans="9:9" ht="12.75" customHeight="1" x14ac:dyDescent="0.2">
      <c r="I507" s="133"/>
    </row>
    <row r="508" spans="9:9" ht="12.75" customHeight="1" x14ac:dyDescent="0.2">
      <c r="I508" s="133"/>
    </row>
    <row r="509" spans="9:9" ht="12.75" customHeight="1" x14ac:dyDescent="0.2">
      <c r="I509" s="133"/>
    </row>
    <row r="510" spans="9:9" ht="12.75" customHeight="1" x14ac:dyDescent="0.2">
      <c r="I510" s="133"/>
    </row>
    <row r="511" spans="9:9" ht="12.75" customHeight="1" x14ac:dyDescent="0.2">
      <c r="I511" s="133"/>
    </row>
    <row r="512" spans="9:9" ht="12.75" customHeight="1" x14ac:dyDescent="0.2">
      <c r="I512" s="133"/>
    </row>
    <row r="513" spans="9:9" ht="12.75" customHeight="1" x14ac:dyDescent="0.2">
      <c r="I513" s="133"/>
    </row>
    <row r="514" spans="9:9" ht="12.75" customHeight="1" x14ac:dyDescent="0.2">
      <c r="I514" s="133"/>
    </row>
    <row r="515" spans="9:9" ht="12.75" customHeight="1" x14ac:dyDescent="0.2">
      <c r="I515" s="133"/>
    </row>
    <row r="516" spans="9:9" ht="12.75" customHeight="1" x14ac:dyDescent="0.2">
      <c r="I516" s="133"/>
    </row>
    <row r="517" spans="9:9" ht="12.75" customHeight="1" x14ac:dyDescent="0.2">
      <c r="I517" s="133"/>
    </row>
    <row r="518" spans="9:9" ht="12.75" customHeight="1" x14ac:dyDescent="0.2">
      <c r="I518" s="133"/>
    </row>
    <row r="519" spans="9:9" ht="12.75" customHeight="1" x14ac:dyDescent="0.2">
      <c r="I519" s="133"/>
    </row>
    <row r="520" spans="9:9" ht="12.75" customHeight="1" x14ac:dyDescent="0.2">
      <c r="I520" s="133"/>
    </row>
    <row r="521" spans="9:9" ht="12.75" customHeight="1" x14ac:dyDescent="0.2">
      <c r="I521" s="133"/>
    </row>
    <row r="522" spans="9:9" ht="12.75" customHeight="1" x14ac:dyDescent="0.2">
      <c r="I522" s="133"/>
    </row>
    <row r="523" spans="9:9" ht="12.75" customHeight="1" x14ac:dyDescent="0.2">
      <c r="I523" s="133"/>
    </row>
    <row r="524" spans="9:9" ht="12.75" customHeight="1" x14ac:dyDescent="0.2">
      <c r="I524" s="133"/>
    </row>
    <row r="525" spans="9:9" ht="12.75" customHeight="1" x14ac:dyDescent="0.2">
      <c r="I525" s="133"/>
    </row>
    <row r="526" spans="9:9" ht="12.75" customHeight="1" x14ac:dyDescent="0.2">
      <c r="I526" s="133"/>
    </row>
    <row r="527" spans="9:9" ht="12.75" customHeight="1" x14ac:dyDescent="0.2">
      <c r="I527" s="133"/>
    </row>
    <row r="528" spans="9:9" ht="12.75" customHeight="1" x14ac:dyDescent="0.2">
      <c r="I528" s="133"/>
    </row>
    <row r="529" spans="9:9" ht="12.75" customHeight="1" x14ac:dyDescent="0.2">
      <c r="I529" s="133"/>
    </row>
    <row r="530" spans="9:9" ht="12.75" customHeight="1" x14ac:dyDescent="0.2">
      <c r="I530" s="133"/>
    </row>
    <row r="531" spans="9:9" ht="12.75" customHeight="1" x14ac:dyDescent="0.2">
      <c r="I531" s="133"/>
    </row>
    <row r="532" spans="9:9" ht="12.75" customHeight="1" x14ac:dyDescent="0.2">
      <c r="I532" s="133"/>
    </row>
    <row r="533" spans="9:9" ht="12.75" customHeight="1" x14ac:dyDescent="0.2">
      <c r="I533" s="133"/>
    </row>
    <row r="534" spans="9:9" ht="12.75" customHeight="1" x14ac:dyDescent="0.2">
      <c r="I534" s="133"/>
    </row>
    <row r="535" spans="9:9" ht="12.75" customHeight="1" x14ac:dyDescent="0.2">
      <c r="I535" s="133"/>
    </row>
    <row r="536" spans="9:9" ht="12.75" customHeight="1" x14ac:dyDescent="0.2">
      <c r="I536" s="133"/>
    </row>
    <row r="537" spans="9:9" ht="12.75" customHeight="1" x14ac:dyDescent="0.2">
      <c r="I537" s="133"/>
    </row>
    <row r="538" spans="9:9" ht="12.75" customHeight="1" x14ac:dyDescent="0.2">
      <c r="I538" s="133"/>
    </row>
    <row r="539" spans="9:9" ht="12.75" customHeight="1" x14ac:dyDescent="0.2">
      <c r="I539" s="133"/>
    </row>
    <row r="540" spans="9:9" ht="12.75" customHeight="1" x14ac:dyDescent="0.2">
      <c r="I540" s="133"/>
    </row>
    <row r="541" spans="9:9" ht="12.75" customHeight="1" x14ac:dyDescent="0.2">
      <c r="I541" s="133"/>
    </row>
    <row r="542" spans="9:9" ht="12.75" customHeight="1" x14ac:dyDescent="0.2">
      <c r="I542" s="133"/>
    </row>
    <row r="543" spans="9:9" ht="12.75" customHeight="1" x14ac:dyDescent="0.2">
      <c r="I543" s="133"/>
    </row>
    <row r="544" spans="9:9" ht="12.75" customHeight="1" x14ac:dyDescent="0.2">
      <c r="I544" s="133"/>
    </row>
    <row r="545" spans="9:9" ht="12.75" customHeight="1" x14ac:dyDescent="0.2">
      <c r="I545" s="133"/>
    </row>
    <row r="546" spans="9:9" ht="12.75" customHeight="1" x14ac:dyDescent="0.2">
      <c r="I546" s="133"/>
    </row>
    <row r="547" spans="9:9" ht="12.75" customHeight="1" x14ac:dyDescent="0.2">
      <c r="I547" s="133"/>
    </row>
    <row r="548" spans="9:9" ht="12.75" customHeight="1" x14ac:dyDescent="0.2">
      <c r="I548" s="133"/>
    </row>
    <row r="549" spans="9:9" ht="12.75" customHeight="1" x14ac:dyDescent="0.2">
      <c r="I549" s="133"/>
    </row>
    <row r="550" spans="9:9" ht="12.75" customHeight="1" x14ac:dyDescent="0.2">
      <c r="I550" s="133"/>
    </row>
    <row r="551" spans="9:9" ht="12.75" customHeight="1" x14ac:dyDescent="0.2">
      <c r="I551" s="133"/>
    </row>
    <row r="552" spans="9:9" ht="12.75" customHeight="1" x14ac:dyDescent="0.2">
      <c r="I552" s="133"/>
    </row>
    <row r="553" spans="9:9" ht="12.75" customHeight="1" x14ac:dyDescent="0.2">
      <c r="I553" s="133"/>
    </row>
    <row r="554" spans="9:9" ht="12.75" customHeight="1" x14ac:dyDescent="0.2">
      <c r="I554" s="133"/>
    </row>
    <row r="555" spans="9:9" ht="12.75" customHeight="1" x14ac:dyDescent="0.2">
      <c r="I555" s="133"/>
    </row>
    <row r="556" spans="9:9" ht="12.75" customHeight="1" x14ac:dyDescent="0.2">
      <c r="I556" s="133"/>
    </row>
    <row r="557" spans="9:9" ht="12.75" customHeight="1" x14ac:dyDescent="0.2">
      <c r="I557" s="133"/>
    </row>
    <row r="558" spans="9:9" ht="12.75" customHeight="1" x14ac:dyDescent="0.2">
      <c r="I558" s="133"/>
    </row>
    <row r="559" spans="9:9" ht="12.75" customHeight="1" x14ac:dyDescent="0.2">
      <c r="I559" s="133"/>
    </row>
    <row r="560" spans="9:9" ht="12.75" customHeight="1" x14ac:dyDescent="0.2">
      <c r="I560" s="133"/>
    </row>
    <row r="561" spans="9:9" ht="12.75" customHeight="1" x14ac:dyDescent="0.2">
      <c r="I561" s="133"/>
    </row>
    <row r="562" spans="9:9" ht="12.75" customHeight="1" x14ac:dyDescent="0.2">
      <c r="I562" s="133"/>
    </row>
    <row r="563" spans="9:9" ht="12.75" customHeight="1" x14ac:dyDescent="0.2">
      <c r="I563" s="133"/>
    </row>
    <row r="564" spans="9:9" ht="12.75" customHeight="1" x14ac:dyDescent="0.2">
      <c r="I564" s="133"/>
    </row>
    <row r="565" spans="9:9" ht="12.75" customHeight="1" x14ac:dyDescent="0.2">
      <c r="I565" s="133"/>
    </row>
    <row r="566" spans="9:9" ht="12.75" customHeight="1" x14ac:dyDescent="0.2">
      <c r="I566" s="133"/>
    </row>
    <row r="567" spans="9:9" ht="12.75" customHeight="1" x14ac:dyDescent="0.2">
      <c r="I567" s="133"/>
    </row>
    <row r="568" spans="9:9" ht="12.75" customHeight="1" x14ac:dyDescent="0.2">
      <c r="I568" s="133"/>
    </row>
    <row r="569" spans="9:9" ht="12.75" customHeight="1" x14ac:dyDescent="0.2">
      <c r="I569" s="133"/>
    </row>
    <row r="570" spans="9:9" ht="12.75" customHeight="1" x14ac:dyDescent="0.2">
      <c r="I570" s="133"/>
    </row>
    <row r="571" spans="9:9" ht="12.75" customHeight="1" x14ac:dyDescent="0.2">
      <c r="I571" s="133"/>
    </row>
    <row r="572" spans="9:9" ht="12.75" customHeight="1" x14ac:dyDescent="0.2">
      <c r="I572" s="133"/>
    </row>
    <row r="573" spans="9:9" ht="12.75" customHeight="1" x14ac:dyDescent="0.2">
      <c r="I573" s="133"/>
    </row>
    <row r="574" spans="9:9" ht="12.75" customHeight="1" x14ac:dyDescent="0.2">
      <c r="I574" s="133"/>
    </row>
    <row r="575" spans="9:9" ht="12.75" customHeight="1" x14ac:dyDescent="0.2">
      <c r="I575" s="133"/>
    </row>
    <row r="576" spans="9:9" ht="12.75" customHeight="1" x14ac:dyDescent="0.2">
      <c r="I576" s="133"/>
    </row>
    <row r="577" spans="9:9" ht="12.75" customHeight="1" x14ac:dyDescent="0.2">
      <c r="I577" s="133"/>
    </row>
    <row r="578" spans="9:9" ht="12.75" customHeight="1" x14ac:dyDescent="0.2">
      <c r="I578" s="133"/>
    </row>
    <row r="579" spans="9:9" ht="12.75" customHeight="1" x14ac:dyDescent="0.2">
      <c r="I579" s="133"/>
    </row>
    <row r="580" spans="9:9" ht="12.75" customHeight="1" x14ac:dyDescent="0.2">
      <c r="I580" s="133"/>
    </row>
    <row r="581" spans="9:9" ht="12.75" customHeight="1" x14ac:dyDescent="0.2">
      <c r="I581" s="133"/>
    </row>
    <row r="582" spans="9:9" ht="12.75" customHeight="1" x14ac:dyDescent="0.2">
      <c r="I582" s="133"/>
    </row>
    <row r="583" spans="9:9" ht="12.75" customHeight="1" x14ac:dyDescent="0.2">
      <c r="I583" s="133"/>
    </row>
    <row r="584" spans="9:9" ht="12.75" customHeight="1" x14ac:dyDescent="0.2">
      <c r="I584" s="133"/>
    </row>
    <row r="585" spans="9:9" ht="12.75" customHeight="1" x14ac:dyDescent="0.2">
      <c r="I585" s="133"/>
    </row>
    <row r="586" spans="9:9" ht="12.75" customHeight="1" x14ac:dyDescent="0.2">
      <c r="I586" s="133"/>
    </row>
    <row r="587" spans="9:9" ht="12.75" customHeight="1" x14ac:dyDescent="0.2">
      <c r="I587" s="133"/>
    </row>
    <row r="588" spans="9:9" ht="12.75" customHeight="1" x14ac:dyDescent="0.2">
      <c r="I588" s="133"/>
    </row>
    <row r="589" spans="9:9" ht="12.75" customHeight="1" x14ac:dyDescent="0.2">
      <c r="I589" s="133"/>
    </row>
    <row r="590" spans="9:9" ht="12.75" customHeight="1" x14ac:dyDescent="0.2">
      <c r="I590" s="133"/>
    </row>
    <row r="591" spans="9:9" ht="12.75" customHeight="1" x14ac:dyDescent="0.2">
      <c r="I591" s="133"/>
    </row>
    <row r="592" spans="9:9" ht="12.75" customHeight="1" x14ac:dyDescent="0.2">
      <c r="I592" s="133"/>
    </row>
    <row r="593" spans="9:9" ht="12.75" customHeight="1" x14ac:dyDescent="0.2">
      <c r="I593" s="133"/>
    </row>
    <row r="594" spans="9:9" ht="12.75" customHeight="1" x14ac:dyDescent="0.2">
      <c r="I594" s="133"/>
    </row>
    <row r="595" spans="9:9" ht="12.75" customHeight="1" x14ac:dyDescent="0.2">
      <c r="I595" s="133"/>
    </row>
    <row r="596" spans="9:9" ht="12.75" customHeight="1" x14ac:dyDescent="0.2">
      <c r="I596" s="133"/>
    </row>
    <row r="597" spans="9:9" ht="12.75" customHeight="1" x14ac:dyDescent="0.2">
      <c r="I597" s="133"/>
    </row>
    <row r="598" spans="9:9" ht="12.75" customHeight="1" x14ac:dyDescent="0.2">
      <c r="I598" s="133"/>
    </row>
    <row r="599" spans="9:9" ht="12.75" customHeight="1" x14ac:dyDescent="0.2">
      <c r="I599" s="133"/>
    </row>
    <row r="600" spans="9:9" ht="12.75" customHeight="1" x14ac:dyDescent="0.2">
      <c r="I600" s="133"/>
    </row>
    <row r="601" spans="9:9" ht="12.75" customHeight="1" x14ac:dyDescent="0.2">
      <c r="I601" s="133"/>
    </row>
    <row r="602" spans="9:9" ht="12.75" customHeight="1" x14ac:dyDescent="0.2">
      <c r="I602" s="133"/>
    </row>
    <row r="603" spans="9:9" ht="12.75" customHeight="1" x14ac:dyDescent="0.2">
      <c r="I603" s="133"/>
    </row>
    <row r="604" spans="9:9" ht="12.75" customHeight="1" x14ac:dyDescent="0.2">
      <c r="I604" s="133"/>
    </row>
    <row r="605" spans="9:9" ht="12.75" customHeight="1" x14ac:dyDescent="0.2">
      <c r="I605" s="133"/>
    </row>
    <row r="606" spans="9:9" ht="12.75" customHeight="1" x14ac:dyDescent="0.2">
      <c r="I606" s="133"/>
    </row>
    <row r="607" spans="9:9" ht="12.75" customHeight="1" x14ac:dyDescent="0.2">
      <c r="I607" s="133"/>
    </row>
    <row r="608" spans="9:9" ht="12.75" customHeight="1" x14ac:dyDescent="0.2">
      <c r="I608" s="133"/>
    </row>
    <row r="609" spans="9:9" ht="12.75" customHeight="1" x14ac:dyDescent="0.2">
      <c r="I609" s="133"/>
    </row>
    <row r="610" spans="9:9" ht="12.75" customHeight="1" x14ac:dyDescent="0.2">
      <c r="I610" s="133"/>
    </row>
    <row r="611" spans="9:9" ht="12.75" customHeight="1" x14ac:dyDescent="0.2">
      <c r="I611" s="133"/>
    </row>
    <row r="612" spans="9:9" ht="12.75" customHeight="1" x14ac:dyDescent="0.2">
      <c r="I612" s="133"/>
    </row>
    <row r="613" spans="9:9" ht="12.75" customHeight="1" x14ac:dyDescent="0.2">
      <c r="I613" s="133"/>
    </row>
    <row r="614" spans="9:9" ht="12.75" customHeight="1" x14ac:dyDescent="0.2">
      <c r="I614" s="133"/>
    </row>
    <row r="615" spans="9:9" ht="12.75" customHeight="1" x14ac:dyDescent="0.2">
      <c r="I615" s="133"/>
    </row>
    <row r="616" spans="9:9" ht="12.75" customHeight="1" x14ac:dyDescent="0.2">
      <c r="I616" s="133"/>
    </row>
    <row r="617" spans="9:9" ht="12.75" customHeight="1" x14ac:dyDescent="0.2">
      <c r="I617" s="133"/>
    </row>
    <row r="618" spans="9:9" ht="12.75" customHeight="1" x14ac:dyDescent="0.2">
      <c r="I618" s="133"/>
    </row>
    <row r="619" spans="9:9" ht="12.75" customHeight="1" x14ac:dyDescent="0.2">
      <c r="I619" s="133"/>
    </row>
    <row r="620" spans="9:9" ht="12.75" customHeight="1" x14ac:dyDescent="0.2">
      <c r="I620" s="133"/>
    </row>
    <row r="621" spans="9:9" ht="12.75" customHeight="1" x14ac:dyDescent="0.2">
      <c r="I621" s="133"/>
    </row>
    <row r="622" spans="9:9" ht="12.75" customHeight="1" x14ac:dyDescent="0.2">
      <c r="I622" s="133"/>
    </row>
    <row r="623" spans="9:9" ht="12.75" customHeight="1" x14ac:dyDescent="0.2">
      <c r="I623" s="133"/>
    </row>
    <row r="624" spans="9:9" ht="12.75" customHeight="1" x14ac:dyDescent="0.2">
      <c r="I624" s="133"/>
    </row>
    <row r="625" spans="9:9" ht="12.75" customHeight="1" x14ac:dyDescent="0.2">
      <c r="I625" s="133"/>
    </row>
    <row r="626" spans="9:9" ht="12.75" customHeight="1" x14ac:dyDescent="0.2">
      <c r="I626" s="133"/>
    </row>
    <row r="627" spans="9:9" ht="12.75" customHeight="1" x14ac:dyDescent="0.2">
      <c r="I627" s="133"/>
    </row>
    <row r="628" spans="9:9" ht="12.75" customHeight="1" x14ac:dyDescent="0.2">
      <c r="I628" s="133"/>
    </row>
    <row r="629" spans="9:9" ht="12.75" customHeight="1" x14ac:dyDescent="0.2">
      <c r="I629" s="133"/>
    </row>
    <row r="630" spans="9:9" ht="12.75" customHeight="1" x14ac:dyDescent="0.2">
      <c r="I630" s="133"/>
    </row>
    <row r="631" spans="9:9" ht="12.75" customHeight="1" x14ac:dyDescent="0.2">
      <c r="I631" s="133"/>
    </row>
    <row r="632" spans="9:9" ht="12.75" customHeight="1" x14ac:dyDescent="0.2">
      <c r="I632" s="133"/>
    </row>
    <row r="633" spans="9:9" ht="12.75" customHeight="1" x14ac:dyDescent="0.2">
      <c r="I633" s="133"/>
    </row>
    <row r="634" spans="9:9" ht="12.75" customHeight="1" x14ac:dyDescent="0.2">
      <c r="I634" s="133"/>
    </row>
    <row r="635" spans="9:9" ht="12.75" customHeight="1" x14ac:dyDescent="0.2">
      <c r="I635" s="133"/>
    </row>
    <row r="636" spans="9:9" ht="12.75" customHeight="1" x14ac:dyDescent="0.2">
      <c r="I636" s="133"/>
    </row>
    <row r="637" spans="9:9" ht="12.75" customHeight="1" x14ac:dyDescent="0.2">
      <c r="I637" s="133"/>
    </row>
    <row r="638" spans="9:9" ht="12.75" customHeight="1" x14ac:dyDescent="0.2">
      <c r="I638" s="133"/>
    </row>
    <row r="639" spans="9:9" ht="12.75" customHeight="1" x14ac:dyDescent="0.2">
      <c r="I639" s="133"/>
    </row>
    <row r="640" spans="9:9" ht="12.75" customHeight="1" x14ac:dyDescent="0.2">
      <c r="I640" s="133"/>
    </row>
    <row r="641" spans="9:9" ht="12.75" customHeight="1" x14ac:dyDescent="0.2">
      <c r="I641" s="133"/>
    </row>
    <row r="642" spans="9:9" ht="12.75" customHeight="1" x14ac:dyDescent="0.2">
      <c r="I642" s="133"/>
    </row>
    <row r="643" spans="9:9" ht="12.75" customHeight="1" x14ac:dyDescent="0.2">
      <c r="I643" s="133"/>
    </row>
    <row r="644" spans="9:9" ht="12.75" customHeight="1" x14ac:dyDescent="0.2">
      <c r="I644" s="133"/>
    </row>
    <row r="645" spans="9:9" ht="12.75" customHeight="1" x14ac:dyDescent="0.2">
      <c r="I645" s="133"/>
    </row>
    <row r="646" spans="9:9" ht="12.75" customHeight="1" x14ac:dyDescent="0.2">
      <c r="I646" s="133"/>
    </row>
    <row r="647" spans="9:9" ht="12.75" customHeight="1" x14ac:dyDescent="0.2">
      <c r="I647" s="133"/>
    </row>
    <row r="648" spans="9:9" ht="12.75" customHeight="1" x14ac:dyDescent="0.2">
      <c r="I648" s="133"/>
    </row>
    <row r="649" spans="9:9" ht="12.75" customHeight="1" x14ac:dyDescent="0.2">
      <c r="I649" s="133"/>
    </row>
    <row r="650" spans="9:9" ht="12.75" customHeight="1" x14ac:dyDescent="0.2">
      <c r="I650" s="133"/>
    </row>
    <row r="651" spans="9:9" ht="12.75" customHeight="1" x14ac:dyDescent="0.2">
      <c r="I651" s="133"/>
    </row>
    <row r="652" spans="9:9" ht="12.75" customHeight="1" x14ac:dyDescent="0.2">
      <c r="I652" s="133"/>
    </row>
    <row r="653" spans="9:9" ht="12.75" customHeight="1" x14ac:dyDescent="0.2">
      <c r="I653" s="133"/>
    </row>
    <row r="654" spans="9:9" ht="12.75" customHeight="1" x14ac:dyDescent="0.2">
      <c r="I654" s="133"/>
    </row>
    <row r="655" spans="9:9" ht="12.75" customHeight="1" x14ac:dyDescent="0.2">
      <c r="I655" s="133"/>
    </row>
    <row r="656" spans="9:9" ht="12.75" customHeight="1" x14ac:dyDescent="0.2">
      <c r="I656" s="133"/>
    </row>
    <row r="657" spans="9:9" ht="12.75" customHeight="1" x14ac:dyDescent="0.2">
      <c r="I657" s="133"/>
    </row>
    <row r="658" spans="9:9" ht="12.75" customHeight="1" x14ac:dyDescent="0.2">
      <c r="I658" s="133"/>
    </row>
    <row r="659" spans="9:9" ht="12.75" customHeight="1" x14ac:dyDescent="0.2">
      <c r="I659" s="133"/>
    </row>
    <row r="660" spans="9:9" ht="12.75" customHeight="1" x14ac:dyDescent="0.2">
      <c r="I660" s="133"/>
    </row>
    <row r="661" spans="9:9" ht="12.75" customHeight="1" x14ac:dyDescent="0.2">
      <c r="I661" s="133"/>
    </row>
    <row r="662" spans="9:9" ht="12.75" customHeight="1" x14ac:dyDescent="0.2">
      <c r="I662" s="133"/>
    </row>
    <row r="663" spans="9:9" ht="12.75" customHeight="1" x14ac:dyDescent="0.2">
      <c r="I663" s="133"/>
    </row>
    <row r="664" spans="9:9" ht="12.75" customHeight="1" x14ac:dyDescent="0.2">
      <c r="I664" s="133"/>
    </row>
    <row r="665" spans="9:9" ht="12.75" customHeight="1" x14ac:dyDescent="0.2">
      <c r="I665" s="133"/>
    </row>
    <row r="666" spans="9:9" ht="12.75" customHeight="1" x14ac:dyDescent="0.2">
      <c r="I666" s="133"/>
    </row>
    <row r="667" spans="9:9" ht="12.75" customHeight="1" x14ac:dyDescent="0.2">
      <c r="I667" s="133"/>
    </row>
    <row r="668" spans="9:9" ht="12.75" customHeight="1" x14ac:dyDescent="0.2">
      <c r="I668" s="133"/>
    </row>
    <row r="669" spans="9:9" ht="12.75" customHeight="1" x14ac:dyDescent="0.2">
      <c r="I669" s="133"/>
    </row>
    <row r="670" spans="9:9" ht="12.75" customHeight="1" x14ac:dyDescent="0.2">
      <c r="I670" s="133"/>
    </row>
    <row r="671" spans="9:9" ht="12.75" customHeight="1" x14ac:dyDescent="0.2">
      <c r="I671" s="133"/>
    </row>
    <row r="672" spans="9:9" ht="12.75" customHeight="1" x14ac:dyDescent="0.2">
      <c r="I672" s="133"/>
    </row>
    <row r="673" spans="9:9" ht="12.75" customHeight="1" x14ac:dyDescent="0.2">
      <c r="I673" s="133"/>
    </row>
    <row r="674" spans="9:9" ht="12.75" customHeight="1" x14ac:dyDescent="0.2">
      <c r="I674" s="133"/>
    </row>
    <row r="675" spans="9:9" ht="12.75" customHeight="1" x14ac:dyDescent="0.2">
      <c r="I675" s="133"/>
    </row>
    <row r="676" spans="9:9" ht="12.75" customHeight="1" x14ac:dyDescent="0.2">
      <c r="I676" s="133"/>
    </row>
    <row r="677" spans="9:9" ht="12.75" customHeight="1" x14ac:dyDescent="0.2">
      <c r="I677" s="133"/>
    </row>
    <row r="678" spans="9:9" ht="12.75" customHeight="1" x14ac:dyDescent="0.2">
      <c r="I678" s="133"/>
    </row>
    <row r="679" spans="9:9" ht="12.75" customHeight="1" x14ac:dyDescent="0.2">
      <c r="I679" s="133"/>
    </row>
    <row r="680" spans="9:9" ht="12.75" customHeight="1" x14ac:dyDescent="0.2">
      <c r="I680" s="133"/>
    </row>
    <row r="681" spans="9:9" ht="12.75" customHeight="1" x14ac:dyDescent="0.2">
      <c r="I681" s="133"/>
    </row>
    <row r="682" spans="9:9" ht="12.75" customHeight="1" x14ac:dyDescent="0.2">
      <c r="I682" s="133"/>
    </row>
    <row r="683" spans="9:9" ht="12.75" customHeight="1" x14ac:dyDescent="0.2">
      <c r="I683" s="133"/>
    </row>
    <row r="684" spans="9:9" ht="12.75" customHeight="1" x14ac:dyDescent="0.2">
      <c r="I684" s="133"/>
    </row>
    <row r="685" spans="9:9" ht="12.75" customHeight="1" x14ac:dyDescent="0.2">
      <c r="I685" s="133"/>
    </row>
    <row r="686" spans="9:9" ht="12.75" customHeight="1" x14ac:dyDescent="0.2">
      <c r="I686" s="133"/>
    </row>
    <row r="687" spans="9:9" ht="12.75" customHeight="1" x14ac:dyDescent="0.2">
      <c r="I687" s="133"/>
    </row>
    <row r="688" spans="9:9" ht="12.75" customHeight="1" x14ac:dyDescent="0.2">
      <c r="I688" s="133"/>
    </row>
    <row r="689" spans="9:9" ht="12.75" customHeight="1" x14ac:dyDescent="0.2">
      <c r="I689" s="133"/>
    </row>
    <row r="690" spans="9:9" ht="12.75" customHeight="1" x14ac:dyDescent="0.2">
      <c r="I690" s="133"/>
    </row>
    <row r="691" spans="9:9" ht="12.75" customHeight="1" x14ac:dyDescent="0.2">
      <c r="I691" s="133"/>
    </row>
    <row r="692" spans="9:9" ht="12.75" customHeight="1" x14ac:dyDescent="0.2">
      <c r="I692" s="133"/>
    </row>
    <row r="693" spans="9:9" ht="12.75" customHeight="1" x14ac:dyDescent="0.2">
      <c r="I693" s="133"/>
    </row>
    <row r="694" spans="9:9" ht="12.75" customHeight="1" x14ac:dyDescent="0.2">
      <c r="I694" s="133"/>
    </row>
    <row r="695" spans="9:9" ht="12.75" customHeight="1" x14ac:dyDescent="0.2">
      <c r="I695" s="133"/>
    </row>
    <row r="696" spans="9:9" ht="12.75" customHeight="1" x14ac:dyDescent="0.2">
      <c r="I696" s="133"/>
    </row>
    <row r="697" spans="9:9" ht="12.75" customHeight="1" x14ac:dyDescent="0.2">
      <c r="I697" s="133"/>
    </row>
    <row r="698" spans="9:9" ht="12.75" customHeight="1" x14ac:dyDescent="0.2">
      <c r="I698" s="133"/>
    </row>
    <row r="699" spans="9:9" ht="12.75" customHeight="1" x14ac:dyDescent="0.2">
      <c r="I699" s="133"/>
    </row>
    <row r="700" spans="9:9" ht="12.75" customHeight="1" x14ac:dyDescent="0.2">
      <c r="I700" s="133"/>
    </row>
    <row r="701" spans="9:9" ht="12.75" customHeight="1" x14ac:dyDescent="0.2">
      <c r="I701" s="133"/>
    </row>
    <row r="702" spans="9:9" ht="12.75" customHeight="1" x14ac:dyDescent="0.2">
      <c r="I702" s="133"/>
    </row>
    <row r="703" spans="9:9" ht="12.75" customHeight="1" x14ac:dyDescent="0.2">
      <c r="I703" s="133"/>
    </row>
    <row r="704" spans="9:9" ht="12.75" customHeight="1" x14ac:dyDescent="0.2">
      <c r="I704" s="133"/>
    </row>
    <row r="705" spans="9:9" ht="12.75" customHeight="1" x14ac:dyDescent="0.2">
      <c r="I705" s="133"/>
    </row>
    <row r="706" spans="9:9" ht="12.75" customHeight="1" x14ac:dyDescent="0.2">
      <c r="I706" s="133"/>
    </row>
    <row r="707" spans="9:9" ht="12.75" customHeight="1" x14ac:dyDescent="0.2">
      <c r="I707" s="133"/>
    </row>
    <row r="708" spans="9:9" ht="12.75" customHeight="1" x14ac:dyDescent="0.2">
      <c r="I708" s="133"/>
    </row>
    <row r="709" spans="9:9" ht="12.75" customHeight="1" x14ac:dyDescent="0.2">
      <c r="I709" s="133"/>
    </row>
    <row r="710" spans="9:9" ht="12.75" customHeight="1" x14ac:dyDescent="0.2">
      <c r="I710" s="133"/>
    </row>
    <row r="711" spans="9:9" ht="12.75" customHeight="1" x14ac:dyDescent="0.2">
      <c r="I711" s="133"/>
    </row>
    <row r="712" spans="9:9" ht="12.75" customHeight="1" x14ac:dyDescent="0.2">
      <c r="I712" s="133"/>
    </row>
    <row r="713" spans="9:9" ht="12.75" customHeight="1" x14ac:dyDescent="0.2">
      <c r="I713" s="133"/>
    </row>
    <row r="714" spans="9:9" ht="12.75" customHeight="1" x14ac:dyDescent="0.2">
      <c r="I714" s="133"/>
    </row>
    <row r="715" spans="9:9" ht="12.75" customHeight="1" x14ac:dyDescent="0.2">
      <c r="I715" s="133"/>
    </row>
    <row r="716" spans="9:9" ht="12.75" customHeight="1" x14ac:dyDescent="0.2">
      <c r="I716" s="133"/>
    </row>
    <row r="717" spans="9:9" ht="12.75" customHeight="1" x14ac:dyDescent="0.2">
      <c r="I717" s="133"/>
    </row>
    <row r="718" spans="9:9" ht="12.75" customHeight="1" x14ac:dyDescent="0.2">
      <c r="I718" s="133"/>
    </row>
    <row r="719" spans="9:9" ht="12.75" customHeight="1" x14ac:dyDescent="0.2">
      <c r="I719" s="133"/>
    </row>
    <row r="720" spans="9:9" ht="12.75" customHeight="1" x14ac:dyDescent="0.2">
      <c r="I720" s="133"/>
    </row>
    <row r="721" spans="9:9" ht="12.75" customHeight="1" x14ac:dyDescent="0.2">
      <c r="I721" s="133"/>
    </row>
    <row r="722" spans="9:9" ht="12.75" customHeight="1" x14ac:dyDescent="0.2">
      <c r="I722" s="133"/>
    </row>
    <row r="723" spans="9:9" ht="12.75" customHeight="1" x14ac:dyDescent="0.2">
      <c r="I723" s="133"/>
    </row>
    <row r="724" spans="9:9" ht="12.75" customHeight="1" x14ac:dyDescent="0.2">
      <c r="I724" s="133"/>
    </row>
    <row r="725" spans="9:9" ht="12.75" customHeight="1" x14ac:dyDescent="0.2">
      <c r="I725" s="133"/>
    </row>
    <row r="726" spans="9:9" ht="12.75" customHeight="1" x14ac:dyDescent="0.2">
      <c r="I726" s="133"/>
    </row>
    <row r="727" spans="9:9" ht="12.75" customHeight="1" x14ac:dyDescent="0.2">
      <c r="I727" s="133"/>
    </row>
    <row r="728" spans="9:9" ht="12.75" customHeight="1" x14ac:dyDescent="0.2">
      <c r="I728" s="133"/>
    </row>
    <row r="729" spans="9:9" ht="12.75" customHeight="1" x14ac:dyDescent="0.2">
      <c r="I729" s="133"/>
    </row>
    <row r="730" spans="9:9" ht="12.75" customHeight="1" x14ac:dyDescent="0.2">
      <c r="I730" s="133"/>
    </row>
    <row r="731" spans="9:9" ht="12.75" customHeight="1" x14ac:dyDescent="0.2">
      <c r="I731" s="133"/>
    </row>
    <row r="732" spans="9:9" ht="12.75" customHeight="1" x14ac:dyDescent="0.2">
      <c r="I732" s="133"/>
    </row>
    <row r="733" spans="9:9" ht="12.75" customHeight="1" x14ac:dyDescent="0.2">
      <c r="I733" s="133"/>
    </row>
    <row r="734" spans="9:9" ht="12.75" customHeight="1" x14ac:dyDescent="0.2">
      <c r="I734" s="133"/>
    </row>
    <row r="735" spans="9:9" ht="12.75" customHeight="1" x14ac:dyDescent="0.2">
      <c r="I735" s="133"/>
    </row>
    <row r="736" spans="9:9" ht="12.75" customHeight="1" x14ac:dyDescent="0.2">
      <c r="I736" s="133"/>
    </row>
    <row r="737" spans="9:9" ht="12.75" customHeight="1" x14ac:dyDescent="0.2">
      <c r="I737" s="133"/>
    </row>
    <row r="738" spans="9:9" ht="12.75" customHeight="1" x14ac:dyDescent="0.2">
      <c r="I738" s="133"/>
    </row>
    <row r="739" spans="9:9" ht="12.75" customHeight="1" x14ac:dyDescent="0.2">
      <c r="I739" s="133"/>
    </row>
    <row r="740" spans="9:9" ht="12.75" customHeight="1" x14ac:dyDescent="0.2">
      <c r="I740" s="133"/>
    </row>
    <row r="741" spans="9:9" ht="12.75" customHeight="1" x14ac:dyDescent="0.2">
      <c r="I741" s="133"/>
    </row>
    <row r="742" spans="9:9" ht="12.75" customHeight="1" x14ac:dyDescent="0.2">
      <c r="I742" s="133"/>
    </row>
    <row r="743" spans="9:9" ht="12.75" customHeight="1" x14ac:dyDescent="0.2">
      <c r="I743" s="133"/>
    </row>
    <row r="744" spans="9:9" ht="12.75" customHeight="1" x14ac:dyDescent="0.2">
      <c r="I744" s="133"/>
    </row>
    <row r="745" spans="9:9" ht="12.75" customHeight="1" x14ac:dyDescent="0.2">
      <c r="I745" s="133"/>
    </row>
    <row r="746" spans="9:9" ht="12.75" customHeight="1" x14ac:dyDescent="0.2">
      <c r="I746" s="133"/>
    </row>
    <row r="747" spans="9:9" ht="12.75" customHeight="1" x14ac:dyDescent="0.2">
      <c r="I747" s="133"/>
    </row>
    <row r="748" spans="9:9" ht="12.75" customHeight="1" x14ac:dyDescent="0.2">
      <c r="I748" s="133"/>
    </row>
    <row r="749" spans="9:9" ht="12.75" customHeight="1" x14ac:dyDescent="0.2">
      <c r="I749" s="133"/>
    </row>
    <row r="750" spans="9:9" ht="12.75" customHeight="1" x14ac:dyDescent="0.2">
      <c r="I750" s="133"/>
    </row>
    <row r="751" spans="9:9" ht="12.75" customHeight="1" x14ac:dyDescent="0.2">
      <c r="I751" s="133"/>
    </row>
    <row r="752" spans="9:9" ht="12.75" customHeight="1" x14ac:dyDescent="0.2">
      <c r="I752" s="133"/>
    </row>
    <row r="753" spans="9:9" ht="12.75" customHeight="1" x14ac:dyDescent="0.2">
      <c r="I753" s="133"/>
    </row>
    <row r="754" spans="9:9" ht="12.75" customHeight="1" x14ac:dyDescent="0.2">
      <c r="I754" s="133"/>
    </row>
    <row r="755" spans="9:9" ht="12.75" customHeight="1" x14ac:dyDescent="0.2">
      <c r="I755" s="133"/>
    </row>
    <row r="756" spans="9:9" ht="12.75" customHeight="1" x14ac:dyDescent="0.2">
      <c r="I756" s="133"/>
    </row>
    <row r="757" spans="9:9" ht="12.75" customHeight="1" x14ac:dyDescent="0.2">
      <c r="I757" s="133"/>
    </row>
    <row r="758" spans="9:9" ht="12.75" customHeight="1" x14ac:dyDescent="0.2">
      <c r="I758" s="133"/>
    </row>
    <row r="759" spans="9:9" ht="12.75" customHeight="1" x14ac:dyDescent="0.2">
      <c r="I759" s="133"/>
    </row>
    <row r="760" spans="9:9" ht="12.75" customHeight="1" x14ac:dyDescent="0.2">
      <c r="I760" s="133"/>
    </row>
    <row r="761" spans="9:9" ht="12.75" customHeight="1" x14ac:dyDescent="0.2">
      <c r="I761" s="133"/>
    </row>
    <row r="762" spans="9:9" ht="12.75" customHeight="1" x14ac:dyDescent="0.2">
      <c r="I762" s="133"/>
    </row>
    <row r="763" spans="9:9" ht="12.75" customHeight="1" x14ac:dyDescent="0.2">
      <c r="I763" s="133"/>
    </row>
    <row r="764" spans="9:9" ht="12.75" customHeight="1" x14ac:dyDescent="0.2">
      <c r="I764" s="133"/>
    </row>
    <row r="765" spans="9:9" ht="12.75" customHeight="1" x14ac:dyDescent="0.2">
      <c r="I765" s="133"/>
    </row>
    <row r="766" spans="9:9" ht="12.75" customHeight="1" x14ac:dyDescent="0.2">
      <c r="I766" s="133"/>
    </row>
    <row r="767" spans="9:9" ht="12.75" customHeight="1" x14ac:dyDescent="0.2">
      <c r="I767" s="133"/>
    </row>
    <row r="768" spans="9:9" ht="12.75" customHeight="1" x14ac:dyDescent="0.2">
      <c r="I768" s="133"/>
    </row>
    <row r="769" spans="9:9" ht="12.75" customHeight="1" x14ac:dyDescent="0.2">
      <c r="I769" s="133"/>
    </row>
    <row r="770" spans="9:9" ht="12.75" customHeight="1" x14ac:dyDescent="0.2">
      <c r="I770" s="133"/>
    </row>
    <row r="771" spans="9:9" ht="12.75" customHeight="1" x14ac:dyDescent="0.2">
      <c r="I771" s="133"/>
    </row>
    <row r="772" spans="9:9" ht="12.75" customHeight="1" x14ac:dyDescent="0.2">
      <c r="I772" s="133"/>
    </row>
    <row r="773" spans="9:9" ht="12.75" customHeight="1" x14ac:dyDescent="0.2">
      <c r="I773" s="133"/>
    </row>
    <row r="774" spans="9:9" ht="12.75" customHeight="1" x14ac:dyDescent="0.2">
      <c r="I774" s="133"/>
    </row>
    <row r="775" spans="9:9" ht="12.75" customHeight="1" x14ac:dyDescent="0.2">
      <c r="I775" s="133"/>
    </row>
    <row r="776" spans="9:9" ht="12.75" customHeight="1" x14ac:dyDescent="0.2">
      <c r="I776" s="133"/>
    </row>
    <row r="777" spans="9:9" ht="12.75" customHeight="1" x14ac:dyDescent="0.2">
      <c r="I777" s="133"/>
    </row>
    <row r="778" spans="9:9" ht="12.75" customHeight="1" x14ac:dyDescent="0.2">
      <c r="I778" s="133"/>
    </row>
    <row r="779" spans="9:9" ht="12.75" customHeight="1" x14ac:dyDescent="0.2">
      <c r="I779" s="133"/>
    </row>
    <row r="780" spans="9:9" ht="12.75" customHeight="1" x14ac:dyDescent="0.2">
      <c r="I780" s="133"/>
    </row>
    <row r="781" spans="9:9" ht="12.75" customHeight="1" x14ac:dyDescent="0.2">
      <c r="I781" s="133"/>
    </row>
    <row r="782" spans="9:9" ht="12.75" customHeight="1" x14ac:dyDescent="0.2">
      <c r="I782" s="133"/>
    </row>
    <row r="783" spans="9:9" ht="12.75" customHeight="1" x14ac:dyDescent="0.2">
      <c r="I783" s="133"/>
    </row>
    <row r="784" spans="9:9" ht="12.75" customHeight="1" x14ac:dyDescent="0.2">
      <c r="I784" s="133"/>
    </row>
    <row r="785" spans="9:9" ht="12.75" customHeight="1" x14ac:dyDescent="0.2">
      <c r="I785" s="133"/>
    </row>
    <row r="786" spans="9:9" ht="12.75" customHeight="1" x14ac:dyDescent="0.2">
      <c r="I786" s="133"/>
    </row>
    <row r="787" spans="9:9" ht="12.75" customHeight="1" x14ac:dyDescent="0.2">
      <c r="I787" s="133"/>
    </row>
    <row r="788" spans="9:9" ht="12.75" customHeight="1" x14ac:dyDescent="0.2">
      <c r="I788" s="133"/>
    </row>
    <row r="789" spans="9:9" ht="12.75" customHeight="1" x14ac:dyDescent="0.2">
      <c r="I789" s="133"/>
    </row>
    <row r="790" spans="9:9" ht="12.75" customHeight="1" x14ac:dyDescent="0.2">
      <c r="I790" s="133"/>
    </row>
    <row r="791" spans="9:9" ht="12.75" customHeight="1" x14ac:dyDescent="0.2">
      <c r="I791" s="133"/>
    </row>
    <row r="792" spans="9:9" ht="12.75" customHeight="1" x14ac:dyDescent="0.2">
      <c r="I792" s="133"/>
    </row>
    <row r="793" spans="9:9" ht="12.75" customHeight="1" x14ac:dyDescent="0.2">
      <c r="I793" s="133"/>
    </row>
    <row r="794" spans="9:9" ht="12.75" customHeight="1" x14ac:dyDescent="0.2">
      <c r="I794" s="133"/>
    </row>
    <row r="795" spans="9:9" ht="12.75" customHeight="1" x14ac:dyDescent="0.2">
      <c r="I795" s="133"/>
    </row>
    <row r="796" spans="9:9" ht="12.75" customHeight="1" x14ac:dyDescent="0.2">
      <c r="I796" s="133"/>
    </row>
    <row r="797" spans="9:9" ht="12.75" customHeight="1" x14ac:dyDescent="0.2">
      <c r="I797" s="133"/>
    </row>
    <row r="798" spans="9:9" ht="12.75" customHeight="1" x14ac:dyDescent="0.2">
      <c r="I798" s="133"/>
    </row>
    <row r="799" spans="9:9" ht="12.75" customHeight="1" x14ac:dyDescent="0.2">
      <c r="I799" s="133"/>
    </row>
    <row r="800" spans="9:9" ht="12.75" customHeight="1" x14ac:dyDescent="0.2">
      <c r="I800" s="133"/>
    </row>
    <row r="801" spans="9:9" ht="12.75" customHeight="1" x14ac:dyDescent="0.2">
      <c r="I801" s="133"/>
    </row>
    <row r="802" spans="9:9" ht="12.75" customHeight="1" x14ac:dyDescent="0.2">
      <c r="I802" s="133"/>
    </row>
    <row r="803" spans="9:9" ht="12.75" customHeight="1" x14ac:dyDescent="0.2">
      <c r="I803" s="133"/>
    </row>
    <row r="804" spans="9:9" ht="12.75" customHeight="1" x14ac:dyDescent="0.2">
      <c r="I804" s="133"/>
    </row>
    <row r="805" spans="9:9" ht="12.75" customHeight="1" x14ac:dyDescent="0.2">
      <c r="I805" s="133"/>
    </row>
    <row r="806" spans="9:9" ht="12.75" customHeight="1" x14ac:dyDescent="0.2">
      <c r="I806" s="133"/>
    </row>
    <row r="807" spans="9:9" ht="12.75" customHeight="1" x14ac:dyDescent="0.2">
      <c r="I807" s="133"/>
    </row>
    <row r="808" spans="9:9" ht="12.75" customHeight="1" x14ac:dyDescent="0.2">
      <c r="I808" s="133"/>
    </row>
    <row r="809" spans="9:9" ht="12.75" customHeight="1" x14ac:dyDescent="0.2">
      <c r="I809" s="133"/>
    </row>
    <row r="810" spans="9:9" ht="12.75" customHeight="1" x14ac:dyDescent="0.2">
      <c r="I810" s="133"/>
    </row>
    <row r="811" spans="9:9" ht="12.75" customHeight="1" x14ac:dyDescent="0.2">
      <c r="I811" s="133"/>
    </row>
    <row r="812" spans="9:9" ht="12.75" customHeight="1" x14ac:dyDescent="0.2">
      <c r="I812" s="133"/>
    </row>
    <row r="813" spans="9:9" ht="12.75" customHeight="1" x14ac:dyDescent="0.2">
      <c r="I813" s="133"/>
    </row>
    <row r="814" spans="9:9" ht="12.75" customHeight="1" x14ac:dyDescent="0.2">
      <c r="I814" s="133"/>
    </row>
    <row r="815" spans="9:9" ht="12.75" customHeight="1" x14ac:dyDescent="0.2">
      <c r="I815" s="133"/>
    </row>
    <row r="816" spans="9:9" ht="12.75" customHeight="1" x14ac:dyDescent="0.2">
      <c r="I816" s="133"/>
    </row>
    <row r="817" spans="9:9" ht="12.75" customHeight="1" x14ac:dyDescent="0.2">
      <c r="I817" s="133"/>
    </row>
    <row r="818" spans="9:9" ht="12.75" customHeight="1" x14ac:dyDescent="0.2">
      <c r="I818" s="133"/>
    </row>
    <row r="819" spans="9:9" ht="12.75" customHeight="1" x14ac:dyDescent="0.2">
      <c r="I819" s="133"/>
    </row>
    <row r="820" spans="9:9" ht="12.75" customHeight="1" x14ac:dyDescent="0.2">
      <c r="I820" s="133"/>
    </row>
    <row r="821" spans="9:9" ht="12.75" customHeight="1" x14ac:dyDescent="0.2">
      <c r="I821" s="133"/>
    </row>
    <row r="822" spans="9:9" ht="12.75" customHeight="1" x14ac:dyDescent="0.2">
      <c r="I822" s="133"/>
    </row>
    <row r="823" spans="9:9" ht="12.75" customHeight="1" x14ac:dyDescent="0.2">
      <c r="I823" s="133"/>
    </row>
    <row r="824" spans="9:9" ht="12.75" customHeight="1" x14ac:dyDescent="0.2">
      <c r="I824" s="133"/>
    </row>
    <row r="825" spans="9:9" ht="12.75" customHeight="1" x14ac:dyDescent="0.2">
      <c r="I825" s="133"/>
    </row>
    <row r="826" spans="9:9" ht="12.75" customHeight="1" x14ac:dyDescent="0.2">
      <c r="I826" s="133"/>
    </row>
    <row r="827" spans="9:9" ht="12.75" customHeight="1" x14ac:dyDescent="0.2">
      <c r="I827" s="133"/>
    </row>
    <row r="828" spans="9:9" ht="12.75" customHeight="1" x14ac:dyDescent="0.2">
      <c r="I828" s="133"/>
    </row>
    <row r="829" spans="9:9" ht="12.75" customHeight="1" x14ac:dyDescent="0.2">
      <c r="I829" s="133"/>
    </row>
    <row r="830" spans="9:9" ht="12.75" customHeight="1" x14ac:dyDescent="0.2">
      <c r="I830" s="133"/>
    </row>
    <row r="831" spans="9:9" ht="12.75" customHeight="1" x14ac:dyDescent="0.2">
      <c r="I831" s="133"/>
    </row>
    <row r="832" spans="9:9" ht="12.75" customHeight="1" x14ac:dyDescent="0.2">
      <c r="I832" s="133"/>
    </row>
    <row r="833" spans="9:9" ht="12.75" customHeight="1" x14ac:dyDescent="0.2">
      <c r="I833" s="133"/>
    </row>
    <row r="834" spans="9:9" ht="12.75" customHeight="1" x14ac:dyDescent="0.2">
      <c r="I834" s="133"/>
    </row>
    <row r="835" spans="9:9" ht="12.75" customHeight="1" x14ac:dyDescent="0.2">
      <c r="I835" s="133"/>
    </row>
    <row r="836" spans="9:9" ht="12.75" customHeight="1" x14ac:dyDescent="0.2">
      <c r="I836" s="133"/>
    </row>
    <row r="837" spans="9:9" ht="12.75" customHeight="1" x14ac:dyDescent="0.2">
      <c r="I837" s="133"/>
    </row>
    <row r="838" spans="9:9" ht="12.75" customHeight="1" x14ac:dyDescent="0.2">
      <c r="I838" s="133"/>
    </row>
    <row r="839" spans="9:9" ht="12.75" customHeight="1" x14ac:dyDescent="0.2">
      <c r="I839" s="133"/>
    </row>
    <row r="840" spans="9:9" ht="12.75" customHeight="1" x14ac:dyDescent="0.2">
      <c r="I840" s="133"/>
    </row>
    <row r="841" spans="9:9" ht="12.75" customHeight="1" x14ac:dyDescent="0.2">
      <c r="I841" s="133"/>
    </row>
    <row r="842" spans="9:9" ht="12.75" customHeight="1" x14ac:dyDescent="0.2">
      <c r="I842" s="133"/>
    </row>
    <row r="843" spans="9:9" ht="12.75" customHeight="1" x14ac:dyDescent="0.2">
      <c r="I843" s="133"/>
    </row>
    <row r="844" spans="9:9" ht="12.75" customHeight="1" x14ac:dyDescent="0.2">
      <c r="I844" s="133"/>
    </row>
    <row r="845" spans="9:9" ht="12.75" customHeight="1" x14ac:dyDescent="0.2">
      <c r="I845" s="133"/>
    </row>
    <row r="846" spans="9:9" ht="12.75" customHeight="1" x14ac:dyDescent="0.2">
      <c r="I846" s="133"/>
    </row>
    <row r="847" spans="9:9" ht="12.75" customHeight="1" x14ac:dyDescent="0.2">
      <c r="I847" s="133"/>
    </row>
    <row r="848" spans="9:9" ht="12.75" customHeight="1" x14ac:dyDescent="0.2">
      <c r="I848" s="133"/>
    </row>
    <row r="849" spans="9:9" ht="12.75" customHeight="1" x14ac:dyDescent="0.2">
      <c r="I849" s="133"/>
    </row>
    <row r="850" spans="9:9" ht="12.75" customHeight="1" x14ac:dyDescent="0.2">
      <c r="I850" s="133"/>
    </row>
    <row r="851" spans="9:9" ht="12.75" customHeight="1" x14ac:dyDescent="0.2">
      <c r="I851" s="133"/>
    </row>
    <row r="852" spans="9:9" ht="12.75" customHeight="1" x14ac:dyDescent="0.2">
      <c r="I852" s="133"/>
    </row>
    <row r="853" spans="9:9" ht="12.75" customHeight="1" x14ac:dyDescent="0.2">
      <c r="I853" s="133"/>
    </row>
    <row r="854" spans="9:9" ht="12.75" customHeight="1" x14ac:dyDescent="0.2">
      <c r="I854" s="133"/>
    </row>
    <row r="855" spans="9:9" ht="12.75" customHeight="1" x14ac:dyDescent="0.2">
      <c r="I855" s="133"/>
    </row>
    <row r="856" spans="9:9" ht="12.75" customHeight="1" x14ac:dyDescent="0.2">
      <c r="I856" s="133"/>
    </row>
    <row r="857" spans="9:9" ht="12.75" customHeight="1" x14ac:dyDescent="0.2">
      <c r="I857" s="133"/>
    </row>
    <row r="858" spans="9:9" ht="12.75" customHeight="1" x14ac:dyDescent="0.2">
      <c r="I858" s="133"/>
    </row>
    <row r="859" spans="9:9" ht="12.75" customHeight="1" x14ac:dyDescent="0.2">
      <c r="I859" s="133"/>
    </row>
    <row r="860" spans="9:9" ht="12.75" customHeight="1" x14ac:dyDescent="0.2">
      <c r="I860" s="133"/>
    </row>
    <row r="861" spans="9:9" ht="12.75" customHeight="1" x14ac:dyDescent="0.2">
      <c r="I861" s="133"/>
    </row>
    <row r="862" spans="9:9" ht="12.75" customHeight="1" x14ac:dyDescent="0.2">
      <c r="I862" s="133"/>
    </row>
    <row r="863" spans="9:9" ht="12.75" customHeight="1" x14ac:dyDescent="0.2">
      <c r="I863" s="133"/>
    </row>
    <row r="864" spans="9:9" ht="12.75" customHeight="1" x14ac:dyDescent="0.2">
      <c r="I864" s="133"/>
    </row>
    <row r="865" spans="9:9" ht="12.75" customHeight="1" x14ac:dyDescent="0.2">
      <c r="I865" s="133"/>
    </row>
    <row r="866" spans="9:9" ht="12.75" customHeight="1" x14ac:dyDescent="0.2">
      <c r="I866" s="133"/>
    </row>
    <row r="867" spans="9:9" ht="12.75" customHeight="1" x14ac:dyDescent="0.2">
      <c r="I867" s="133"/>
    </row>
    <row r="868" spans="9:9" ht="12.75" customHeight="1" x14ac:dyDescent="0.2">
      <c r="I868" s="133"/>
    </row>
    <row r="869" spans="9:9" ht="12.75" customHeight="1" x14ac:dyDescent="0.2">
      <c r="I869" s="133"/>
    </row>
    <row r="870" spans="9:9" ht="12.75" customHeight="1" x14ac:dyDescent="0.2">
      <c r="I870" s="133"/>
    </row>
    <row r="871" spans="9:9" ht="12.75" customHeight="1" x14ac:dyDescent="0.2">
      <c r="I871" s="133"/>
    </row>
    <row r="872" spans="9:9" ht="12.75" customHeight="1" x14ac:dyDescent="0.2">
      <c r="I872" s="133"/>
    </row>
    <row r="873" spans="9:9" ht="12.75" customHeight="1" x14ac:dyDescent="0.2">
      <c r="I873" s="133"/>
    </row>
    <row r="874" spans="9:9" ht="12.75" customHeight="1" x14ac:dyDescent="0.2">
      <c r="I874" s="133"/>
    </row>
    <row r="875" spans="9:9" ht="12.75" customHeight="1" x14ac:dyDescent="0.2">
      <c r="I875" s="133"/>
    </row>
    <row r="876" spans="9:9" ht="12.75" customHeight="1" x14ac:dyDescent="0.2">
      <c r="I876" s="133"/>
    </row>
    <row r="877" spans="9:9" ht="12.75" customHeight="1" x14ac:dyDescent="0.2">
      <c r="I877" s="133"/>
    </row>
    <row r="878" spans="9:9" ht="12.75" customHeight="1" x14ac:dyDescent="0.2">
      <c r="I878" s="133"/>
    </row>
    <row r="879" spans="9:9" ht="12.75" customHeight="1" x14ac:dyDescent="0.2">
      <c r="I879" s="133"/>
    </row>
    <row r="880" spans="9:9" ht="12.75" customHeight="1" x14ac:dyDescent="0.2">
      <c r="I880" s="133"/>
    </row>
    <row r="881" spans="9:9" ht="12.75" customHeight="1" x14ac:dyDescent="0.2">
      <c r="I881" s="133"/>
    </row>
    <row r="882" spans="9:9" ht="12.75" customHeight="1" x14ac:dyDescent="0.2">
      <c r="I882" s="133"/>
    </row>
    <row r="883" spans="9:9" ht="12.75" customHeight="1" x14ac:dyDescent="0.2">
      <c r="I883" s="133"/>
    </row>
    <row r="884" spans="9:9" ht="12.75" customHeight="1" x14ac:dyDescent="0.2">
      <c r="I884" s="133"/>
    </row>
    <row r="885" spans="9:9" ht="12.75" customHeight="1" x14ac:dyDescent="0.2">
      <c r="I885" s="133"/>
    </row>
    <row r="886" spans="9:9" ht="12.75" customHeight="1" x14ac:dyDescent="0.2">
      <c r="I886" s="133"/>
    </row>
    <row r="887" spans="9:9" ht="12.75" customHeight="1" x14ac:dyDescent="0.2">
      <c r="I887" s="133"/>
    </row>
    <row r="888" spans="9:9" ht="12.75" customHeight="1" x14ac:dyDescent="0.2">
      <c r="I888" s="133"/>
    </row>
    <row r="889" spans="9:9" ht="12.75" customHeight="1" x14ac:dyDescent="0.2">
      <c r="I889" s="133"/>
    </row>
    <row r="890" spans="9:9" ht="12.75" customHeight="1" x14ac:dyDescent="0.2">
      <c r="I890" s="133"/>
    </row>
    <row r="891" spans="9:9" ht="12.75" customHeight="1" x14ac:dyDescent="0.2">
      <c r="I891" s="133"/>
    </row>
    <row r="892" spans="9:9" ht="12.75" customHeight="1" x14ac:dyDescent="0.2">
      <c r="I892" s="133"/>
    </row>
    <row r="893" spans="9:9" ht="12.75" customHeight="1" x14ac:dyDescent="0.2">
      <c r="I893" s="133"/>
    </row>
    <row r="894" spans="9:9" ht="12.75" customHeight="1" x14ac:dyDescent="0.2">
      <c r="I894" s="133"/>
    </row>
    <row r="895" spans="9:9" ht="12.75" customHeight="1" x14ac:dyDescent="0.2">
      <c r="I895" s="133"/>
    </row>
    <row r="896" spans="9:9" ht="12.75" customHeight="1" x14ac:dyDescent="0.2">
      <c r="I896" s="133"/>
    </row>
    <row r="897" spans="9:9" ht="12.75" customHeight="1" x14ac:dyDescent="0.2">
      <c r="I897" s="133"/>
    </row>
    <row r="898" spans="9:9" ht="12.75" customHeight="1" x14ac:dyDescent="0.2">
      <c r="I898" s="133"/>
    </row>
    <row r="899" spans="9:9" ht="12.75" customHeight="1" x14ac:dyDescent="0.2">
      <c r="I899" s="133"/>
    </row>
    <row r="900" spans="9:9" ht="12.75" customHeight="1" x14ac:dyDescent="0.2">
      <c r="I900" s="133"/>
    </row>
    <row r="901" spans="9:9" ht="12.75" customHeight="1" x14ac:dyDescent="0.2">
      <c r="I901" s="133"/>
    </row>
    <row r="902" spans="9:9" ht="12.75" customHeight="1" x14ac:dyDescent="0.2">
      <c r="I902" s="133"/>
    </row>
    <row r="903" spans="9:9" ht="12.75" customHeight="1" x14ac:dyDescent="0.2">
      <c r="I903" s="133"/>
    </row>
    <row r="904" spans="9:9" ht="12.75" customHeight="1" x14ac:dyDescent="0.2">
      <c r="I904" s="133"/>
    </row>
    <row r="905" spans="9:9" ht="12.75" customHeight="1" x14ac:dyDescent="0.2">
      <c r="I905" s="133"/>
    </row>
    <row r="906" spans="9:9" ht="12.75" customHeight="1" x14ac:dyDescent="0.2">
      <c r="I906" s="133"/>
    </row>
    <row r="907" spans="9:9" ht="12.75" customHeight="1" x14ac:dyDescent="0.2">
      <c r="I907" s="133"/>
    </row>
    <row r="908" spans="9:9" ht="12.75" customHeight="1" x14ac:dyDescent="0.2">
      <c r="I908" s="133"/>
    </row>
    <row r="909" spans="9:9" ht="12.75" customHeight="1" x14ac:dyDescent="0.2">
      <c r="I909" s="133"/>
    </row>
    <row r="910" spans="9:9" ht="12.75" customHeight="1" x14ac:dyDescent="0.2">
      <c r="I910" s="133"/>
    </row>
    <row r="911" spans="9:9" ht="12.75" customHeight="1" x14ac:dyDescent="0.2">
      <c r="I911" s="133"/>
    </row>
    <row r="912" spans="9:9" ht="12.75" customHeight="1" x14ac:dyDescent="0.2">
      <c r="I912" s="133"/>
    </row>
    <row r="913" spans="9:9" ht="12.75" customHeight="1" x14ac:dyDescent="0.2">
      <c r="I913" s="133"/>
    </row>
    <row r="914" spans="9:9" ht="12.75" customHeight="1" x14ac:dyDescent="0.2">
      <c r="I914" s="133"/>
    </row>
    <row r="915" spans="9:9" ht="12.75" customHeight="1" x14ac:dyDescent="0.2">
      <c r="I915" s="133"/>
    </row>
    <row r="916" spans="9:9" ht="12.75" customHeight="1" x14ac:dyDescent="0.2">
      <c r="I916" s="133"/>
    </row>
    <row r="917" spans="9:9" ht="12.75" customHeight="1" x14ac:dyDescent="0.2">
      <c r="I917" s="133"/>
    </row>
    <row r="918" spans="9:9" ht="12.75" customHeight="1" x14ac:dyDescent="0.2">
      <c r="I918" s="133"/>
    </row>
    <row r="919" spans="9:9" ht="12.75" customHeight="1" x14ac:dyDescent="0.2">
      <c r="I919" s="133"/>
    </row>
    <row r="920" spans="9:9" ht="12.75" customHeight="1" x14ac:dyDescent="0.2">
      <c r="I920" s="133"/>
    </row>
    <row r="921" spans="9:9" ht="12.75" customHeight="1" x14ac:dyDescent="0.2">
      <c r="I921" s="133"/>
    </row>
    <row r="922" spans="9:9" ht="12.75" customHeight="1" x14ac:dyDescent="0.2">
      <c r="I922" s="133"/>
    </row>
    <row r="923" spans="9:9" ht="12.75" customHeight="1" x14ac:dyDescent="0.2">
      <c r="I923" s="133"/>
    </row>
    <row r="924" spans="9:9" ht="12.75" customHeight="1" x14ac:dyDescent="0.2">
      <c r="I924" s="133"/>
    </row>
    <row r="925" spans="9:9" ht="12.75" customHeight="1" x14ac:dyDescent="0.2">
      <c r="I925" s="133"/>
    </row>
    <row r="926" spans="9:9" ht="12.75" customHeight="1" x14ac:dyDescent="0.2">
      <c r="I926" s="133"/>
    </row>
    <row r="927" spans="9:9" ht="12.75" customHeight="1" x14ac:dyDescent="0.2">
      <c r="I927" s="133"/>
    </row>
    <row r="928" spans="9:9" ht="12.75" customHeight="1" x14ac:dyDescent="0.2">
      <c r="I928" s="133"/>
    </row>
    <row r="929" spans="9:9" ht="12.75" customHeight="1" x14ac:dyDescent="0.2">
      <c r="I929" s="133"/>
    </row>
    <row r="930" spans="9:9" ht="12.75" customHeight="1" x14ac:dyDescent="0.2">
      <c r="I930" s="133"/>
    </row>
    <row r="931" spans="9:9" ht="12.75" customHeight="1" x14ac:dyDescent="0.2">
      <c r="I931" s="133"/>
    </row>
    <row r="932" spans="9:9" ht="12.75" customHeight="1" x14ac:dyDescent="0.2">
      <c r="I932" s="133"/>
    </row>
    <row r="933" spans="9:9" ht="12.75" customHeight="1" x14ac:dyDescent="0.2">
      <c r="I933" s="133"/>
    </row>
    <row r="934" spans="9:9" ht="12.75" customHeight="1" x14ac:dyDescent="0.2">
      <c r="I934" s="133"/>
    </row>
    <row r="935" spans="9:9" ht="12.75" customHeight="1" x14ac:dyDescent="0.2">
      <c r="I935" s="133"/>
    </row>
    <row r="936" spans="9:9" ht="12.75" customHeight="1" x14ac:dyDescent="0.2">
      <c r="I936" s="133"/>
    </row>
    <row r="937" spans="9:9" ht="12.75" customHeight="1" x14ac:dyDescent="0.2">
      <c r="I937" s="133"/>
    </row>
    <row r="938" spans="9:9" ht="12.75" customHeight="1" x14ac:dyDescent="0.2">
      <c r="I938" s="133"/>
    </row>
    <row r="939" spans="9:9" ht="12.75" customHeight="1" x14ac:dyDescent="0.2">
      <c r="I939" s="133"/>
    </row>
    <row r="940" spans="9:9" ht="12.75" customHeight="1" x14ac:dyDescent="0.2">
      <c r="I940" s="133"/>
    </row>
    <row r="941" spans="9:9" ht="12.75" customHeight="1" x14ac:dyDescent="0.2">
      <c r="I941" s="133"/>
    </row>
    <row r="942" spans="9:9" ht="12.75" customHeight="1" x14ac:dyDescent="0.2">
      <c r="I942" s="133"/>
    </row>
    <row r="943" spans="9:9" ht="12.75" customHeight="1" x14ac:dyDescent="0.2">
      <c r="I943" s="133"/>
    </row>
    <row r="944" spans="9:9" ht="12.75" customHeight="1" x14ac:dyDescent="0.2">
      <c r="I944" s="133"/>
    </row>
    <row r="945" spans="9:9" ht="12.75" customHeight="1" x14ac:dyDescent="0.2">
      <c r="I945" s="133"/>
    </row>
    <row r="946" spans="9:9" ht="12.75" customHeight="1" x14ac:dyDescent="0.2">
      <c r="I946" s="133"/>
    </row>
    <row r="947" spans="9:9" ht="12.75" customHeight="1" x14ac:dyDescent="0.2">
      <c r="I947" s="133"/>
    </row>
    <row r="948" spans="9:9" ht="12.75" customHeight="1" x14ac:dyDescent="0.2">
      <c r="I948" s="133"/>
    </row>
    <row r="949" spans="9:9" ht="12.75" customHeight="1" x14ac:dyDescent="0.2">
      <c r="I949" s="133"/>
    </row>
    <row r="950" spans="9:9" ht="12.75" customHeight="1" x14ac:dyDescent="0.2">
      <c r="I950" s="133"/>
    </row>
    <row r="951" spans="9:9" ht="12.75" customHeight="1" x14ac:dyDescent="0.2">
      <c r="I951" s="133"/>
    </row>
    <row r="952" spans="9:9" ht="12.75" customHeight="1" x14ac:dyDescent="0.2">
      <c r="I952" s="133"/>
    </row>
    <row r="953" spans="9:9" ht="12.75" customHeight="1" x14ac:dyDescent="0.2">
      <c r="I953" s="133"/>
    </row>
    <row r="954" spans="9:9" ht="12.75" customHeight="1" x14ac:dyDescent="0.2">
      <c r="I954" s="133"/>
    </row>
    <row r="955" spans="9:9" ht="12.75" customHeight="1" x14ac:dyDescent="0.2">
      <c r="I955" s="133"/>
    </row>
    <row r="956" spans="9:9" ht="12.75" customHeight="1" x14ac:dyDescent="0.2">
      <c r="I956" s="133"/>
    </row>
    <row r="957" spans="9:9" ht="12.75" customHeight="1" x14ac:dyDescent="0.2">
      <c r="I957" s="133"/>
    </row>
    <row r="958" spans="9:9" ht="12.75" customHeight="1" x14ac:dyDescent="0.2">
      <c r="I958" s="133"/>
    </row>
    <row r="959" spans="9:9" ht="12.75" customHeight="1" x14ac:dyDescent="0.2">
      <c r="I959" s="133"/>
    </row>
    <row r="960" spans="9:9" ht="12.75" customHeight="1" x14ac:dyDescent="0.2">
      <c r="I960" s="133"/>
    </row>
    <row r="961" spans="9:9" ht="12.75" customHeight="1" x14ac:dyDescent="0.2">
      <c r="I961" s="133"/>
    </row>
    <row r="962" spans="9:9" ht="12.75" customHeight="1" x14ac:dyDescent="0.2">
      <c r="I962" s="133"/>
    </row>
    <row r="963" spans="9:9" ht="12.75" customHeight="1" x14ac:dyDescent="0.2">
      <c r="I963" s="133"/>
    </row>
    <row r="964" spans="9:9" ht="12.75" customHeight="1" x14ac:dyDescent="0.2">
      <c r="I964" s="133"/>
    </row>
    <row r="965" spans="9:9" ht="12.75" customHeight="1" x14ac:dyDescent="0.2">
      <c r="I965" s="133"/>
    </row>
    <row r="966" spans="9:9" ht="12.75" customHeight="1" x14ac:dyDescent="0.2">
      <c r="I966" s="133"/>
    </row>
    <row r="967" spans="9:9" ht="12.75" customHeight="1" x14ac:dyDescent="0.2">
      <c r="I967" s="133"/>
    </row>
    <row r="968" spans="9:9" ht="12.75" customHeight="1" x14ac:dyDescent="0.2">
      <c r="I968" s="133"/>
    </row>
    <row r="969" spans="9:9" ht="12.75" customHeight="1" x14ac:dyDescent="0.2">
      <c r="I969" s="133"/>
    </row>
    <row r="970" spans="9:9" ht="12.75" customHeight="1" x14ac:dyDescent="0.2">
      <c r="I970" s="133"/>
    </row>
    <row r="971" spans="9:9" ht="12.75" customHeight="1" x14ac:dyDescent="0.2">
      <c r="I971" s="133"/>
    </row>
    <row r="972" spans="9:9" ht="12.75" customHeight="1" x14ac:dyDescent="0.2">
      <c r="I972" s="133"/>
    </row>
    <row r="973" spans="9:9" ht="12.75" customHeight="1" x14ac:dyDescent="0.2">
      <c r="I973" s="133"/>
    </row>
    <row r="974" spans="9:9" ht="12.75" customHeight="1" x14ac:dyDescent="0.2">
      <c r="I974" s="133"/>
    </row>
    <row r="975" spans="9:9" ht="12.75" customHeight="1" x14ac:dyDescent="0.2">
      <c r="I975" s="133"/>
    </row>
    <row r="976" spans="9:9" ht="12.75" customHeight="1" x14ac:dyDescent="0.2">
      <c r="I976" s="133"/>
    </row>
    <row r="977" spans="9:9" ht="12.75" customHeight="1" x14ac:dyDescent="0.2">
      <c r="I977" s="133"/>
    </row>
    <row r="978" spans="9:9" ht="12.75" customHeight="1" x14ac:dyDescent="0.2">
      <c r="I978" s="133"/>
    </row>
    <row r="979" spans="9:9" ht="12.75" customHeight="1" x14ac:dyDescent="0.2">
      <c r="I979" s="133"/>
    </row>
    <row r="980" spans="9:9" ht="12.75" customHeight="1" x14ac:dyDescent="0.2">
      <c r="I980" s="133"/>
    </row>
    <row r="981" spans="9:9" ht="12.75" customHeight="1" x14ac:dyDescent="0.2">
      <c r="I981" s="133"/>
    </row>
    <row r="982" spans="9:9" ht="12.75" customHeight="1" x14ac:dyDescent="0.2">
      <c r="I982" s="133"/>
    </row>
    <row r="983" spans="9:9" ht="12.75" customHeight="1" x14ac:dyDescent="0.2">
      <c r="I983" s="133"/>
    </row>
    <row r="984" spans="9:9" ht="12.75" customHeight="1" x14ac:dyDescent="0.2">
      <c r="I984" s="133"/>
    </row>
    <row r="985" spans="9:9" ht="12.75" customHeight="1" x14ac:dyDescent="0.2">
      <c r="I985" s="133"/>
    </row>
    <row r="986" spans="9:9" ht="12.75" customHeight="1" x14ac:dyDescent="0.2">
      <c r="I986" s="133"/>
    </row>
    <row r="987" spans="9:9" ht="12.75" customHeight="1" x14ac:dyDescent="0.2">
      <c r="I987" s="133"/>
    </row>
    <row r="988" spans="9:9" ht="12.75" customHeight="1" x14ac:dyDescent="0.2">
      <c r="I988" s="133"/>
    </row>
    <row r="989" spans="9:9" ht="12.75" customHeight="1" x14ac:dyDescent="0.2">
      <c r="I989" s="133"/>
    </row>
    <row r="990" spans="9:9" ht="12.75" customHeight="1" x14ac:dyDescent="0.2">
      <c r="I990" s="133"/>
    </row>
    <row r="991" spans="9:9" ht="12.75" customHeight="1" x14ac:dyDescent="0.2">
      <c r="I991" s="133"/>
    </row>
  </sheetData>
  <autoFilter ref="A1:I116" xr:uid="{00000000-0009-0000-0000-000002000000}"/>
  <conditionalFormatting sqref="E2:E119">
    <cfRule type="colorScale" priority="1">
      <colorScale>
        <cfvo type="min"/>
        <cfvo type="percentile" val="50"/>
        <cfvo type="max"/>
        <color rgb="FFF8696B"/>
        <color rgb="FFFFEB84"/>
        <color rgb="FF63BE7B"/>
      </colorScale>
    </cfRule>
  </conditionalFormatting>
  <conditionalFormatting sqref="H2:H119">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Z915"/>
  <sheetViews>
    <sheetView workbookViewId="0"/>
  </sheetViews>
  <sheetFormatPr baseColWidth="10" defaultColWidth="12.5703125" defaultRowHeight="15" customHeight="1" x14ac:dyDescent="0.2"/>
  <cols>
    <col min="1" max="1" width="7.140625" customWidth="1"/>
    <col min="2" max="2" width="53.28515625" customWidth="1"/>
    <col min="3" max="3" width="19.28515625" customWidth="1"/>
    <col min="4" max="4" width="40.85546875" customWidth="1"/>
    <col min="5" max="6" width="16.28515625" customWidth="1"/>
    <col min="7" max="7" width="41.7109375" customWidth="1"/>
    <col min="8" max="8" width="14" customWidth="1"/>
    <col min="9" max="9" width="46.140625" customWidth="1"/>
    <col min="10" max="26" width="10.5703125" customWidth="1"/>
  </cols>
  <sheetData>
    <row r="1" spans="1:26" ht="36" customHeight="1" x14ac:dyDescent="0.2">
      <c r="A1" s="264" t="s">
        <v>82</v>
      </c>
      <c r="B1" s="248" t="s">
        <v>20</v>
      </c>
      <c r="C1" s="265" t="s">
        <v>791</v>
      </c>
      <c r="D1" s="266" t="s">
        <v>792</v>
      </c>
      <c r="E1" s="267" t="s">
        <v>793</v>
      </c>
      <c r="F1" s="252" t="s">
        <v>794</v>
      </c>
      <c r="G1" s="252" t="s">
        <v>795</v>
      </c>
      <c r="H1" s="253" t="s">
        <v>796</v>
      </c>
      <c r="I1" s="254" t="s">
        <v>784</v>
      </c>
      <c r="J1" s="268"/>
      <c r="K1" s="268"/>
      <c r="L1" s="268"/>
      <c r="M1" s="268"/>
      <c r="N1" s="268"/>
      <c r="O1" s="268"/>
      <c r="P1" s="268"/>
      <c r="Q1" s="268"/>
      <c r="R1" s="268"/>
      <c r="S1" s="268"/>
      <c r="T1" s="268"/>
      <c r="U1" s="268"/>
      <c r="V1" s="268"/>
      <c r="W1" s="268"/>
      <c r="X1" s="268"/>
      <c r="Y1" s="268"/>
      <c r="Z1" s="268"/>
    </row>
    <row r="2" spans="1:26" ht="12.75" customHeight="1" x14ac:dyDescent="0.2">
      <c r="A2" s="255">
        <v>1</v>
      </c>
      <c r="B2" s="256" t="str">
        <f>Acreditados!C25</f>
        <v>Licenciatura en Educación Física, Recreación y Deportes</v>
      </c>
      <c r="C2" s="257">
        <f>Acreditados!I25</f>
        <v>46082</v>
      </c>
      <c r="D2" s="258" t="e">
        <f t="shared" ref="D2:D36" ca="1" si="0">_xludf.LET(
  _xlpm.h, TODAY(),
  IF(ISBLANK(C2),
     "SIN FECHA",
     _xludf.LET(
       _xlpm.dC, C2 - _xlpm.h,
       _xlpm.fC, IF(_xlpm.dC&gt;=0, _xlpm.dC, 99999),
       IF(_xlpm.fC=99999,
          "YA SE VENCIÓ",
          "EL VENCIMIENTO DE RC se vence en " &amp; _xlpm.fC &amp; " días"
       )
     )
  )
)</f>
        <v>#NAME?</v>
      </c>
      <c r="E2" s="259" t="e">
        <f t="shared" ref="E2:E36" ca="1" si="1">_xludf.LET(
  _xlpm.m, C2 - TODAY(),
  _xlpm.m
)</f>
        <v>#NAME?</v>
      </c>
      <c r="F2" s="260">
        <f>Acreditados!H25</f>
        <v>45658</v>
      </c>
      <c r="G2" s="261" t="e">
        <f t="shared" ref="G2:G36" ca="1" si="2">_xludf.LET(
  _xlpm.h, TODAY(),
  IF(ISBLANK(F2),
     "SIN FECHA",
     _xludf.LET(
       _xlpm.dC, F2 - _xlpm.h,
       _xlpm.fC, IF(_xlpm.dC&gt;=0, _xlpm.dC, 99999),
       IF(_xlpm.fC=99999,
          "YA SE VENCIÓ",
          "EL VENCIMIENTO DE RC se vence en " &amp; _xlpm.fC &amp; " días"
       )
     )
  )
)</f>
        <v>#NAME?</v>
      </c>
      <c r="H2" s="259" t="e">
        <f t="shared" ref="H2:H36" ca="1" si="3">_xludf.LET(
  _xlpm.m, F2 - TODAY(),
  _xlpm.m
)</f>
        <v>#NAME?</v>
      </c>
      <c r="I2" s="262" t="s">
        <v>797</v>
      </c>
    </row>
    <row r="3" spans="1:26" ht="12.75" customHeight="1" x14ac:dyDescent="0.2">
      <c r="A3" s="255">
        <v>2</v>
      </c>
      <c r="B3" s="256" t="str">
        <f>Acreditados!C26</f>
        <v>Licenciatura en Educación Artística</v>
      </c>
      <c r="C3" s="257">
        <f>Acreditados!I26</f>
        <v>46082</v>
      </c>
      <c r="D3" s="258" t="e">
        <f t="shared" ca="1" si="0"/>
        <v>#NAME?</v>
      </c>
      <c r="E3" s="259" t="e">
        <f t="shared" ca="1" si="1"/>
        <v>#NAME?</v>
      </c>
      <c r="F3" s="260">
        <f>Acreditados!H26</f>
        <v>45658</v>
      </c>
      <c r="G3" s="261" t="e">
        <f t="shared" ca="1" si="2"/>
        <v>#NAME?</v>
      </c>
      <c r="H3" s="259" t="e">
        <f t="shared" ca="1" si="3"/>
        <v>#NAME?</v>
      </c>
      <c r="I3" s="262" t="s">
        <v>797</v>
      </c>
    </row>
    <row r="4" spans="1:26" ht="12.75" customHeight="1" x14ac:dyDescent="0.2">
      <c r="A4" s="255">
        <v>3</v>
      </c>
      <c r="B4" s="256" t="str">
        <f>Acreditados!C14</f>
        <v>Ingeniería Agroindustrial</v>
      </c>
      <c r="C4" s="257">
        <f>Acreditados!I14</f>
        <v>46220</v>
      </c>
      <c r="D4" s="258" t="e">
        <f t="shared" ca="1" si="0"/>
        <v>#NAME?</v>
      </c>
      <c r="E4" s="259" t="e">
        <f t="shared" ca="1" si="1"/>
        <v>#NAME?</v>
      </c>
      <c r="F4" s="260">
        <f>Acreditados!H14</f>
        <v>45794</v>
      </c>
      <c r="G4" s="261" t="e">
        <f t="shared" ca="1" si="2"/>
        <v>#NAME?</v>
      </c>
      <c r="H4" s="259" t="e">
        <f t="shared" ca="1" si="3"/>
        <v>#NAME?</v>
      </c>
      <c r="I4" s="262" t="s">
        <v>798</v>
      </c>
    </row>
    <row r="5" spans="1:26" ht="12.75" customHeight="1" x14ac:dyDescent="0.2">
      <c r="A5" s="255">
        <v>4</v>
      </c>
      <c r="B5" s="256" t="str">
        <f>Acreditados!C37</f>
        <v>Tecnología en Telemática</v>
      </c>
      <c r="C5" s="257">
        <f>Acreditados!I37</f>
        <v>46220</v>
      </c>
      <c r="D5" s="258" t="e">
        <f t="shared" ca="1" si="0"/>
        <v>#NAME?</v>
      </c>
      <c r="E5" s="259" t="e">
        <f t="shared" ca="1" si="1"/>
        <v>#NAME?</v>
      </c>
      <c r="F5" s="260">
        <f>Acreditados!H37</f>
        <v>45794</v>
      </c>
      <c r="G5" s="261" t="e">
        <f t="shared" ca="1" si="2"/>
        <v>#NAME?</v>
      </c>
      <c r="H5" s="259" t="e">
        <f t="shared" ca="1" si="3"/>
        <v>#NAME?</v>
      </c>
      <c r="I5" s="262" t="s">
        <v>798</v>
      </c>
    </row>
    <row r="6" spans="1:26" ht="12.75" customHeight="1" x14ac:dyDescent="0.2">
      <c r="A6" s="255">
        <v>5</v>
      </c>
      <c r="B6" s="256" t="str">
        <f>Acreditados!C38</f>
        <v>Ingeniería Electrónica y Telecomunicaciones</v>
      </c>
      <c r="C6" s="257">
        <f>Acreditados!I38</f>
        <v>46489</v>
      </c>
      <c r="D6" s="258" t="e">
        <f t="shared" ca="1" si="0"/>
        <v>#NAME?</v>
      </c>
      <c r="E6" s="259" t="e">
        <f t="shared" ca="1" si="1"/>
        <v>#NAME?</v>
      </c>
      <c r="F6" s="260">
        <f>Acreditados!H38</f>
        <v>46065</v>
      </c>
      <c r="G6" s="261" t="e">
        <f t="shared" ca="1" si="2"/>
        <v>#NAME?</v>
      </c>
      <c r="H6" s="259" t="e">
        <f t="shared" ca="1" si="3"/>
        <v>#NAME?</v>
      </c>
      <c r="I6" s="262" t="s">
        <v>799</v>
      </c>
    </row>
    <row r="7" spans="1:26" ht="12.75" customHeight="1" x14ac:dyDescent="0.2">
      <c r="A7" s="255">
        <v>6</v>
      </c>
      <c r="B7" s="256" t="str">
        <f>Acreditados!C10</f>
        <v>Dirección de Banda</v>
      </c>
      <c r="C7" s="257">
        <f>Acreditados!I10</f>
        <v>46497</v>
      </c>
      <c r="D7" s="258" t="e">
        <f t="shared" ca="1" si="0"/>
        <v>#NAME?</v>
      </c>
      <c r="E7" s="259" t="e">
        <f t="shared" ca="1" si="1"/>
        <v>#NAME?</v>
      </c>
      <c r="F7" s="260">
        <f>Acreditados!H10</f>
        <v>46073</v>
      </c>
      <c r="G7" s="261" t="e">
        <f t="shared" ca="1" si="2"/>
        <v>#NAME?</v>
      </c>
      <c r="H7" s="259" t="e">
        <f t="shared" ca="1" si="3"/>
        <v>#NAME?</v>
      </c>
      <c r="I7" s="262" t="s">
        <v>799</v>
      </c>
    </row>
    <row r="8" spans="1:26" ht="12.75" customHeight="1" x14ac:dyDescent="0.2">
      <c r="A8" s="255">
        <v>7</v>
      </c>
      <c r="B8" s="256" t="str">
        <f>Acreditados!C21</f>
        <v>Licenciatura en Lenguas Modernas con énfasis en Inglés y Francés</v>
      </c>
      <c r="C8" s="257">
        <f>Acreditados!I21</f>
        <v>46497</v>
      </c>
      <c r="D8" s="258" t="e">
        <f t="shared" ca="1" si="0"/>
        <v>#NAME?</v>
      </c>
      <c r="E8" s="259" t="e">
        <f t="shared" ca="1" si="1"/>
        <v>#NAME?</v>
      </c>
      <c r="F8" s="260">
        <f>Acreditados!H21</f>
        <v>46073</v>
      </c>
      <c r="G8" s="261" t="e">
        <f t="shared" ca="1" si="2"/>
        <v>#NAME?</v>
      </c>
      <c r="H8" s="259" t="e">
        <f t="shared" ca="1" si="3"/>
        <v>#NAME?</v>
      </c>
      <c r="I8" s="262" t="s">
        <v>799</v>
      </c>
    </row>
    <row r="9" spans="1:26" ht="12.75" customHeight="1" x14ac:dyDescent="0.2">
      <c r="A9" s="255">
        <v>8</v>
      </c>
      <c r="B9" s="256" t="str">
        <f>Acreditados!C22</f>
        <v>Historia</v>
      </c>
      <c r="C9" s="257">
        <f>Acreditados!I22</f>
        <v>46497</v>
      </c>
      <c r="D9" s="258" t="e">
        <f t="shared" ca="1" si="0"/>
        <v>#NAME?</v>
      </c>
      <c r="E9" s="259" t="e">
        <f t="shared" ca="1" si="1"/>
        <v>#NAME?</v>
      </c>
      <c r="F9" s="260">
        <f>Acreditados!H22</f>
        <v>46073</v>
      </c>
      <c r="G9" s="261" t="e">
        <f t="shared" ca="1" si="2"/>
        <v>#NAME?</v>
      </c>
      <c r="H9" s="259" t="e">
        <f t="shared" ca="1" si="3"/>
        <v>#NAME?</v>
      </c>
      <c r="I9" s="262" t="s">
        <v>799</v>
      </c>
    </row>
    <row r="10" spans="1:26" ht="12.75" customHeight="1" x14ac:dyDescent="0.2">
      <c r="A10" s="255">
        <v>9</v>
      </c>
      <c r="B10" s="256" t="str">
        <f>Acreditados!C27</f>
        <v>Biología</v>
      </c>
      <c r="C10" s="257">
        <f>Acreditados!I27</f>
        <v>46507</v>
      </c>
      <c r="D10" s="258" t="e">
        <f t="shared" ca="1" si="0"/>
        <v>#NAME?</v>
      </c>
      <c r="E10" s="259" t="e">
        <f t="shared" ca="1" si="1"/>
        <v>#NAME?</v>
      </c>
      <c r="F10" s="260">
        <f>Acreditados!H27</f>
        <v>46081</v>
      </c>
      <c r="G10" s="261" t="e">
        <f t="shared" ca="1" si="2"/>
        <v>#NAME?</v>
      </c>
      <c r="H10" s="259" t="e">
        <f t="shared" ca="1" si="3"/>
        <v>#NAME?</v>
      </c>
      <c r="I10" s="262" t="s">
        <v>799</v>
      </c>
    </row>
    <row r="11" spans="1:26" ht="12.75" customHeight="1" x14ac:dyDescent="0.2">
      <c r="A11" s="255">
        <v>10</v>
      </c>
      <c r="B11" s="256" t="str">
        <f>Acreditados!C28</f>
        <v>Matemáticas</v>
      </c>
      <c r="C11" s="257">
        <f>Acreditados!I28</f>
        <v>46515</v>
      </c>
      <c r="D11" s="258" t="e">
        <f t="shared" ca="1" si="0"/>
        <v>#NAME?</v>
      </c>
      <c r="E11" s="259" t="e">
        <f t="shared" ca="1" si="1"/>
        <v>#NAME?</v>
      </c>
      <c r="F11" s="260">
        <f>Acreditados!H28</f>
        <v>46089</v>
      </c>
      <c r="G11" s="261" t="e">
        <f t="shared" ca="1" si="2"/>
        <v>#NAME?</v>
      </c>
      <c r="H11" s="259" t="e">
        <f t="shared" ca="1" si="3"/>
        <v>#NAME?</v>
      </c>
      <c r="I11" s="262" t="s">
        <v>799</v>
      </c>
    </row>
    <row r="12" spans="1:26" ht="12.75" customHeight="1" x14ac:dyDescent="0.2">
      <c r="A12" s="255">
        <v>11</v>
      </c>
      <c r="B12" s="256" t="str">
        <f>Acreditados!C17</f>
        <v>Economía</v>
      </c>
      <c r="C12" s="257">
        <f>Acreditados!I17</f>
        <v>46532</v>
      </c>
      <c r="D12" s="258" t="e">
        <f t="shared" ca="1" si="0"/>
        <v>#NAME?</v>
      </c>
      <c r="E12" s="259" t="e">
        <f t="shared" ca="1" si="1"/>
        <v>#NAME?</v>
      </c>
      <c r="F12" s="260">
        <f>Acreditados!H17</f>
        <v>46106</v>
      </c>
      <c r="G12" s="261" t="e">
        <f t="shared" ca="1" si="2"/>
        <v>#NAME?</v>
      </c>
      <c r="H12" s="259" t="e">
        <f t="shared" ca="1" si="3"/>
        <v>#NAME?</v>
      </c>
      <c r="I12" s="262"/>
    </row>
    <row r="13" spans="1:26" ht="12.75" customHeight="1" x14ac:dyDescent="0.2">
      <c r="A13" s="255">
        <v>12</v>
      </c>
      <c r="B13" s="256" t="str">
        <f>Acreditados!C39</f>
        <v>Maestría en Ingeniería Telemática</v>
      </c>
      <c r="C13" s="257">
        <f>Acreditados!I39</f>
        <v>46592</v>
      </c>
      <c r="D13" s="258" t="e">
        <f t="shared" ca="1" si="0"/>
        <v>#NAME?</v>
      </c>
      <c r="E13" s="259" t="e">
        <f t="shared" ca="1" si="1"/>
        <v>#NAME?</v>
      </c>
      <c r="F13" s="260">
        <f>Acreditados!H39</f>
        <v>46166</v>
      </c>
      <c r="G13" s="261" t="e">
        <f t="shared" ca="1" si="2"/>
        <v>#NAME?</v>
      </c>
      <c r="H13" s="259" t="e">
        <f t="shared" ca="1" si="3"/>
        <v>#NAME?</v>
      </c>
      <c r="I13" s="262"/>
    </row>
    <row r="14" spans="1:26" ht="12.75" customHeight="1" x14ac:dyDescent="0.2">
      <c r="A14" s="255">
        <v>13</v>
      </c>
      <c r="B14" s="256" t="str">
        <f>Acreditados!C23</f>
        <v>Licenciatura en Literatura y Lengua Castellana</v>
      </c>
      <c r="C14" s="257">
        <f>Acreditados!I23</f>
        <v>46622</v>
      </c>
      <c r="D14" s="258" t="e">
        <f t="shared" ca="1" si="0"/>
        <v>#NAME?</v>
      </c>
      <c r="E14" s="259" t="e">
        <f t="shared" ca="1" si="1"/>
        <v>#NAME?</v>
      </c>
      <c r="F14" s="260">
        <f>Acreditados!H23</f>
        <v>46196</v>
      </c>
      <c r="G14" s="261" t="e">
        <f t="shared" ca="1" si="2"/>
        <v>#NAME?</v>
      </c>
      <c r="H14" s="259" t="e">
        <f t="shared" ca="1" si="3"/>
        <v>#NAME?</v>
      </c>
      <c r="I14" s="262"/>
    </row>
    <row r="15" spans="1:26" ht="12.75" customHeight="1" x14ac:dyDescent="0.2">
      <c r="A15" s="255">
        <v>14</v>
      </c>
      <c r="B15" s="256" t="str">
        <f>Acreditados!C41</f>
        <v>Doctorado en Ingeniería Telemática</v>
      </c>
      <c r="C15" s="257">
        <f>Acreditados!I41</f>
        <v>46638</v>
      </c>
      <c r="D15" s="258" t="e">
        <f t="shared" ca="1" si="0"/>
        <v>#NAME?</v>
      </c>
      <c r="E15" s="259" t="e">
        <f t="shared" ca="1" si="1"/>
        <v>#NAME?</v>
      </c>
      <c r="F15" s="260">
        <f>Acreditados!H41</f>
        <v>46211</v>
      </c>
      <c r="G15" s="261" t="e">
        <f t="shared" ca="1" si="2"/>
        <v>#NAME?</v>
      </c>
      <c r="H15" s="259" t="e">
        <f t="shared" ca="1" si="3"/>
        <v>#NAME?</v>
      </c>
      <c r="I15" s="262"/>
    </row>
    <row r="16" spans="1:26" ht="12.75" customHeight="1" x14ac:dyDescent="0.2">
      <c r="A16" s="255">
        <v>15</v>
      </c>
      <c r="B16" s="256" t="str">
        <f>Acreditados!C44</f>
        <v>Maestría en Automática</v>
      </c>
      <c r="C16" s="257">
        <f>Acreditados!I44</f>
        <v>46691</v>
      </c>
      <c r="D16" s="258" t="e">
        <f t="shared" ca="1" si="0"/>
        <v>#NAME?</v>
      </c>
      <c r="E16" s="259" t="e">
        <f t="shared" ca="1" si="1"/>
        <v>#NAME?</v>
      </c>
      <c r="F16" s="260">
        <f>Acreditados!H44</f>
        <v>46265</v>
      </c>
      <c r="G16" s="261" t="e">
        <f t="shared" ca="1" si="2"/>
        <v>#NAME?</v>
      </c>
      <c r="H16" s="259" t="e">
        <f t="shared" ca="1" si="3"/>
        <v>#NAME?</v>
      </c>
      <c r="I16" s="262"/>
    </row>
    <row r="17" spans="1:9" ht="12.75" customHeight="1" x14ac:dyDescent="0.2">
      <c r="A17" s="255">
        <v>16</v>
      </c>
      <c r="B17" s="256" t="str">
        <f>Acreditados!C18</f>
        <v>Medicina</v>
      </c>
      <c r="C17" s="257">
        <f>Acreditados!I18</f>
        <v>46721</v>
      </c>
      <c r="D17" s="258" t="e">
        <f t="shared" ca="1" si="0"/>
        <v>#NAME?</v>
      </c>
      <c r="E17" s="259" t="e">
        <f t="shared" ca="1" si="1"/>
        <v>#NAME?</v>
      </c>
      <c r="F17" s="260">
        <f>Acreditados!H18</f>
        <v>46295</v>
      </c>
      <c r="G17" s="261" t="e">
        <f t="shared" ca="1" si="2"/>
        <v>#NAME?</v>
      </c>
      <c r="H17" s="259" t="e">
        <f t="shared" ca="1" si="3"/>
        <v>#NAME?</v>
      </c>
      <c r="I17" s="262"/>
    </row>
    <row r="18" spans="1:9" ht="12.75" customHeight="1" x14ac:dyDescent="0.2">
      <c r="A18" s="255">
        <v>17</v>
      </c>
      <c r="B18" s="256" t="str">
        <f>Acreditados!C15</f>
        <v xml:space="preserve">Ingeniería Agropecuaria </v>
      </c>
      <c r="C18" s="257">
        <f>Acreditados!I15</f>
        <v>46813</v>
      </c>
      <c r="D18" s="258" t="e">
        <f t="shared" ca="1" si="0"/>
        <v>#NAME?</v>
      </c>
      <c r="E18" s="259" t="e">
        <f t="shared" ca="1" si="1"/>
        <v>#NAME?</v>
      </c>
      <c r="F18" s="260">
        <f>Acreditados!H15</f>
        <v>46388</v>
      </c>
      <c r="G18" s="261" t="e">
        <f t="shared" ca="1" si="2"/>
        <v>#NAME?</v>
      </c>
      <c r="H18" s="259" t="e">
        <f t="shared" ca="1" si="3"/>
        <v>#NAME?</v>
      </c>
      <c r="I18" s="262"/>
    </row>
    <row r="19" spans="1:9" ht="12.75" customHeight="1" x14ac:dyDescent="0.2">
      <c r="A19" s="255">
        <v>18</v>
      </c>
      <c r="B19" s="256" t="str">
        <f>Acreditados!C42</f>
        <v>Ingeniería de Sistemas</v>
      </c>
      <c r="C19" s="257">
        <f>Acreditados!I42</f>
        <v>46817</v>
      </c>
      <c r="D19" s="258" t="e">
        <f t="shared" ca="1" si="0"/>
        <v>#NAME?</v>
      </c>
      <c r="E19" s="259" t="e">
        <f t="shared" ca="1" si="1"/>
        <v>#NAME?</v>
      </c>
      <c r="F19" s="260">
        <f>Acreditados!H42</f>
        <v>46392</v>
      </c>
      <c r="G19" s="261" t="e">
        <f t="shared" ca="1" si="2"/>
        <v>#NAME?</v>
      </c>
      <c r="H19" s="259" t="e">
        <f t="shared" ca="1" si="3"/>
        <v>#NAME?</v>
      </c>
      <c r="I19" s="262"/>
    </row>
    <row r="20" spans="1:9" ht="12.75" customHeight="1" x14ac:dyDescent="0.2">
      <c r="A20" s="255">
        <v>19</v>
      </c>
      <c r="B20" s="256" t="str">
        <f>Acreditados!C11</f>
        <v>Licenciatura en Música</v>
      </c>
      <c r="C20" s="257">
        <f>Acreditados!I11</f>
        <v>47152</v>
      </c>
      <c r="D20" s="258" t="e">
        <f t="shared" ca="1" si="0"/>
        <v>#NAME?</v>
      </c>
      <c r="E20" s="259" t="e">
        <f t="shared" ca="1" si="1"/>
        <v>#NAME?</v>
      </c>
      <c r="F20" s="260">
        <f>Acreditados!H11</f>
        <v>46724</v>
      </c>
      <c r="G20" s="261" t="e">
        <f t="shared" ca="1" si="2"/>
        <v>#NAME?</v>
      </c>
      <c r="H20" s="259" t="e">
        <f t="shared" ca="1" si="3"/>
        <v>#NAME?</v>
      </c>
      <c r="I20" s="262"/>
    </row>
    <row r="21" spans="1:9" ht="12.75" customHeight="1" x14ac:dyDescent="0.2">
      <c r="A21" s="255">
        <v>20</v>
      </c>
      <c r="B21" s="256" t="str">
        <f>Acreditados!C12</f>
        <v>Música Instrumental</v>
      </c>
      <c r="C21" s="257">
        <f>Acreditados!I12</f>
        <v>47152</v>
      </c>
      <c r="D21" s="258" t="e">
        <f t="shared" ca="1" si="0"/>
        <v>#NAME?</v>
      </c>
      <c r="E21" s="259" t="e">
        <f t="shared" ca="1" si="1"/>
        <v>#NAME?</v>
      </c>
      <c r="F21" s="260">
        <f>Acreditados!H12</f>
        <v>46724</v>
      </c>
      <c r="G21" s="261" t="e">
        <f t="shared" ca="1" si="2"/>
        <v>#NAME?</v>
      </c>
      <c r="H21" s="259" t="e">
        <f t="shared" ca="1" si="3"/>
        <v>#NAME?</v>
      </c>
      <c r="I21" s="262"/>
    </row>
    <row r="22" spans="1:9" ht="12.75" customHeight="1" x14ac:dyDescent="0.2">
      <c r="A22" s="255">
        <v>21</v>
      </c>
      <c r="B22" s="256" t="str">
        <f>Acreditados!C29</f>
        <v>Licenciatura en Ciencias Naturales y Educación Ambiental</v>
      </c>
      <c r="C22" s="257">
        <f>Acreditados!I29</f>
        <v>47152</v>
      </c>
      <c r="D22" s="258" t="e">
        <f t="shared" ca="1" si="0"/>
        <v>#NAME?</v>
      </c>
      <c r="E22" s="259" t="e">
        <f t="shared" ca="1" si="1"/>
        <v>#NAME?</v>
      </c>
      <c r="F22" s="260">
        <f>Acreditados!H29</f>
        <v>46724</v>
      </c>
      <c r="G22" s="261" t="e">
        <f t="shared" ca="1" si="2"/>
        <v>#NAME?</v>
      </c>
      <c r="H22" s="259" t="e">
        <f t="shared" ca="1" si="3"/>
        <v>#NAME?</v>
      </c>
      <c r="I22" s="262"/>
    </row>
    <row r="23" spans="1:9" ht="12.75" customHeight="1" x14ac:dyDescent="0.2">
      <c r="A23" s="255">
        <v>22</v>
      </c>
      <c r="B23" s="256" t="str">
        <f>Acreditados!C30</f>
        <v>Licenciatura en Educación Básica Primaria</v>
      </c>
      <c r="C23" s="257">
        <f>Acreditados!I30</f>
        <v>47152</v>
      </c>
      <c r="D23" s="258" t="e">
        <f t="shared" ca="1" si="0"/>
        <v>#NAME?</v>
      </c>
      <c r="E23" s="259" t="e">
        <f t="shared" ca="1" si="1"/>
        <v>#NAME?</v>
      </c>
      <c r="F23" s="260">
        <f>Acreditados!H30</f>
        <v>46724</v>
      </c>
      <c r="G23" s="261" t="e">
        <f t="shared" ca="1" si="2"/>
        <v>#NAME?</v>
      </c>
      <c r="H23" s="259" t="e">
        <f t="shared" ca="1" si="3"/>
        <v>#NAME?</v>
      </c>
      <c r="I23" s="262"/>
    </row>
    <row r="24" spans="1:9" ht="12.75" customHeight="1" x14ac:dyDescent="0.2">
      <c r="A24" s="255">
        <v>23</v>
      </c>
      <c r="B24" s="256" t="str">
        <f>Acreditados!C13</f>
        <v>Diseño Gráfico</v>
      </c>
      <c r="C24" s="257">
        <f>Acreditados!I13</f>
        <v>47228</v>
      </c>
      <c r="D24" s="258" t="e">
        <f t="shared" ca="1" si="0"/>
        <v>#NAME?</v>
      </c>
      <c r="E24" s="259" t="e">
        <f t="shared" ca="1" si="1"/>
        <v>#NAME?</v>
      </c>
      <c r="F24" s="260">
        <f>Acreditados!H13</f>
        <v>46803</v>
      </c>
      <c r="G24" s="261" t="e">
        <f t="shared" ca="1" si="2"/>
        <v>#NAME?</v>
      </c>
      <c r="H24" s="259" t="e">
        <f t="shared" ca="1" si="3"/>
        <v>#NAME?</v>
      </c>
      <c r="I24" s="262"/>
    </row>
    <row r="25" spans="1:9" ht="12.75" customHeight="1" x14ac:dyDescent="0.2">
      <c r="A25" s="255">
        <v>24</v>
      </c>
      <c r="B25" s="256" t="str">
        <f>Acreditados!C36</f>
        <v>Ingeniería Civil</v>
      </c>
      <c r="C25" s="257">
        <f>Acreditados!I36</f>
        <v>47263</v>
      </c>
      <c r="D25" s="258" t="e">
        <f t="shared" ca="1" si="0"/>
        <v>#NAME?</v>
      </c>
      <c r="E25" s="259" t="e">
        <f t="shared" ca="1" si="1"/>
        <v>#NAME?</v>
      </c>
      <c r="F25" s="260">
        <f>Acreditados!H36</f>
        <v>46837</v>
      </c>
      <c r="G25" s="261" t="e">
        <f t="shared" ca="1" si="2"/>
        <v>#NAME?</v>
      </c>
      <c r="H25" s="259" t="e">
        <f t="shared" ca="1" si="3"/>
        <v>#NAME?</v>
      </c>
      <c r="I25" s="262"/>
    </row>
    <row r="26" spans="1:9" ht="12.75" customHeight="1" x14ac:dyDescent="0.2">
      <c r="A26" s="255">
        <v>25</v>
      </c>
      <c r="B26" s="256" t="str">
        <f>Acreditados!C31</f>
        <v>Química</v>
      </c>
      <c r="C26" s="257">
        <f>Acreditados!I31</f>
        <v>47267</v>
      </c>
      <c r="D26" s="258" t="e">
        <f t="shared" ca="1" si="0"/>
        <v>#NAME?</v>
      </c>
      <c r="E26" s="259" t="e">
        <f t="shared" ca="1" si="1"/>
        <v>#NAME?</v>
      </c>
      <c r="F26" s="260">
        <f>Acreditados!H31</f>
        <v>46841</v>
      </c>
      <c r="G26" s="261" t="e">
        <f t="shared" ca="1" si="2"/>
        <v>#NAME?</v>
      </c>
      <c r="H26" s="259" t="e">
        <f t="shared" ca="1" si="3"/>
        <v>#NAME?</v>
      </c>
      <c r="I26" s="262"/>
    </row>
    <row r="27" spans="1:9" ht="12.75" customHeight="1" x14ac:dyDescent="0.2">
      <c r="A27" s="255">
        <v>26</v>
      </c>
      <c r="B27" s="256" t="str">
        <f>Acreditados!C19</f>
        <v>Fisioterapia</v>
      </c>
      <c r="C27" s="257">
        <f>Acreditados!I19</f>
        <v>47304</v>
      </c>
      <c r="D27" s="258" t="e">
        <f t="shared" ca="1" si="0"/>
        <v>#NAME?</v>
      </c>
      <c r="E27" s="259" t="e">
        <f t="shared" ca="1" si="1"/>
        <v>#NAME?</v>
      </c>
      <c r="F27" s="260">
        <f>Acreditados!H19</f>
        <v>46878</v>
      </c>
      <c r="G27" s="261" t="e">
        <f t="shared" ca="1" si="2"/>
        <v>#NAME?</v>
      </c>
      <c r="H27" s="259" t="e">
        <f t="shared" ca="1" si="3"/>
        <v>#NAME?</v>
      </c>
      <c r="I27" s="262"/>
    </row>
    <row r="28" spans="1:9" ht="12.75" customHeight="1" x14ac:dyDescent="0.2">
      <c r="A28" s="255">
        <v>27</v>
      </c>
      <c r="B28" s="256" t="str">
        <f>Acreditados!C20</f>
        <v>Enfermería</v>
      </c>
      <c r="C28" s="257">
        <f>Acreditados!I20</f>
        <v>47353</v>
      </c>
      <c r="D28" s="258" t="e">
        <f t="shared" ca="1" si="0"/>
        <v>#NAME?</v>
      </c>
      <c r="E28" s="259" t="e">
        <f t="shared" ca="1" si="1"/>
        <v>#NAME?</v>
      </c>
      <c r="F28" s="260">
        <f>Acreditados!H20</f>
        <v>46927</v>
      </c>
      <c r="G28" s="261" t="e">
        <f t="shared" ca="1" si="2"/>
        <v>#NAME?</v>
      </c>
      <c r="H28" s="259" t="e">
        <f t="shared" ca="1" si="3"/>
        <v>#NAME?</v>
      </c>
      <c r="I28" s="262"/>
    </row>
    <row r="29" spans="1:9" ht="12.75" customHeight="1" x14ac:dyDescent="0.2">
      <c r="A29" s="255">
        <v>28</v>
      </c>
      <c r="B29" s="256" t="str">
        <f>Acreditados!C33</f>
        <v>Doctorado en Ciencias de la Educación</v>
      </c>
      <c r="C29" s="257">
        <f>Acreditados!I33</f>
        <v>47381</v>
      </c>
      <c r="D29" s="258" t="e">
        <f t="shared" ca="1" si="0"/>
        <v>#NAME?</v>
      </c>
      <c r="E29" s="259" t="e">
        <f t="shared" ca="1" si="1"/>
        <v>#NAME?</v>
      </c>
      <c r="F29" s="260">
        <f>Acreditados!H33</f>
        <v>46954</v>
      </c>
      <c r="G29" s="261" t="e">
        <f t="shared" ca="1" si="2"/>
        <v>#NAME?</v>
      </c>
      <c r="H29" s="259" t="e">
        <f t="shared" ca="1" si="3"/>
        <v>#NAME?</v>
      </c>
      <c r="I29" s="262"/>
    </row>
    <row r="30" spans="1:9" ht="12.75" customHeight="1" x14ac:dyDescent="0.2">
      <c r="A30" s="255">
        <v>29</v>
      </c>
      <c r="B30" s="256" t="str">
        <f>Acreditados!C40</f>
        <v>Doctorado en Ciencias de la Electrónica</v>
      </c>
      <c r="C30" s="257">
        <f>Acreditados!I40</f>
        <v>47422</v>
      </c>
      <c r="D30" s="258" t="e">
        <f t="shared" ca="1" si="0"/>
        <v>#NAME?</v>
      </c>
      <c r="E30" s="259" t="e">
        <f t="shared" ca="1" si="1"/>
        <v>#NAME?</v>
      </c>
      <c r="F30" s="260">
        <f>Acreditados!H40</f>
        <v>46996</v>
      </c>
      <c r="G30" s="261" t="e">
        <f t="shared" ca="1" si="2"/>
        <v>#NAME?</v>
      </c>
      <c r="H30" s="259" t="e">
        <f t="shared" ca="1" si="3"/>
        <v>#NAME?</v>
      </c>
      <c r="I30" s="262"/>
    </row>
    <row r="31" spans="1:9" ht="12.75" customHeight="1" x14ac:dyDescent="0.2">
      <c r="A31" s="255">
        <v>30</v>
      </c>
      <c r="B31" s="256" t="str">
        <f>Acreditados!C43</f>
        <v>Maestría en Computación</v>
      </c>
      <c r="C31" s="257">
        <f>Acreditados!I43</f>
        <v>47424</v>
      </c>
      <c r="D31" s="258" t="e">
        <f t="shared" ca="1" si="0"/>
        <v>#NAME?</v>
      </c>
      <c r="E31" s="259" t="e">
        <f t="shared" ca="1" si="1"/>
        <v>#NAME?</v>
      </c>
      <c r="F31" s="260">
        <f>Acreditados!H43</f>
        <v>46998</v>
      </c>
      <c r="G31" s="261" t="e">
        <f t="shared" ca="1" si="2"/>
        <v>#NAME?</v>
      </c>
      <c r="H31" s="259" t="e">
        <f t="shared" ca="1" si="3"/>
        <v>#NAME?</v>
      </c>
      <c r="I31" s="262"/>
    </row>
    <row r="32" spans="1:9" ht="12.75" customHeight="1" x14ac:dyDescent="0.2">
      <c r="A32" s="255">
        <v>31</v>
      </c>
      <c r="B32" s="256" t="str">
        <f>Acreditados!C32</f>
        <v>Maestría en Recursos Hidrobiológicos Continentales</v>
      </c>
      <c r="C32" s="257">
        <f>Acreditados!I32</f>
        <v>47445</v>
      </c>
      <c r="D32" s="258" t="e">
        <f t="shared" ca="1" si="0"/>
        <v>#NAME?</v>
      </c>
      <c r="E32" s="259" t="e">
        <f t="shared" ca="1" si="1"/>
        <v>#NAME?</v>
      </c>
      <c r="F32" s="260">
        <f>Acreditados!H32</f>
        <v>47019</v>
      </c>
      <c r="G32" s="261" t="e">
        <f t="shared" ca="1" si="2"/>
        <v>#NAME?</v>
      </c>
      <c r="H32" s="259" t="e">
        <f t="shared" ca="1" si="3"/>
        <v>#NAME?</v>
      </c>
      <c r="I32" s="262"/>
    </row>
    <row r="33" spans="1:9" ht="12.75" customHeight="1" x14ac:dyDescent="0.2">
      <c r="A33" s="255">
        <v>32</v>
      </c>
      <c r="B33" s="256" t="str">
        <f>Acreditados!C35</f>
        <v>Doctorado en Ciencias Ambientales</v>
      </c>
      <c r="C33" s="257">
        <f>Acreditados!I35</f>
        <v>47527</v>
      </c>
      <c r="D33" s="258" t="e">
        <f t="shared" ca="1" si="0"/>
        <v>#NAME?</v>
      </c>
      <c r="E33" s="259" t="e">
        <f t="shared" ca="1" si="1"/>
        <v>#NAME?</v>
      </c>
      <c r="F33" s="260">
        <f>Acreditados!H35</f>
        <v>47100</v>
      </c>
      <c r="G33" s="261" t="e">
        <f t="shared" ca="1" si="2"/>
        <v>#NAME?</v>
      </c>
      <c r="H33" s="259" t="e">
        <f t="shared" ca="1" si="3"/>
        <v>#NAME?</v>
      </c>
      <c r="I33" s="262"/>
    </row>
    <row r="34" spans="1:9" ht="12.75" customHeight="1" x14ac:dyDescent="0.2">
      <c r="A34" s="255">
        <v>33</v>
      </c>
      <c r="B34" s="256" t="str">
        <f>Acreditados!C34</f>
        <v xml:space="preserve">Licenciatura en Matemáticas </v>
      </c>
      <c r="C34" s="257">
        <f>Acreditados!I34</f>
        <v>47542</v>
      </c>
      <c r="D34" s="258" t="e">
        <f t="shared" ca="1" si="0"/>
        <v>#NAME?</v>
      </c>
      <c r="E34" s="259" t="e">
        <f t="shared" ca="1" si="1"/>
        <v>#NAME?</v>
      </c>
      <c r="F34" s="260">
        <f>Acreditados!H34</f>
        <v>47115</v>
      </c>
      <c r="G34" s="261" t="e">
        <f t="shared" ca="1" si="2"/>
        <v>#NAME?</v>
      </c>
      <c r="H34" s="259" t="e">
        <f t="shared" ca="1" si="3"/>
        <v>#NAME?</v>
      </c>
      <c r="I34" s="262"/>
    </row>
    <row r="35" spans="1:9" ht="12.75" customHeight="1" x14ac:dyDescent="0.2">
      <c r="A35" s="255">
        <v>34</v>
      </c>
      <c r="B35" s="256" t="str">
        <f>Acreditados!C16</f>
        <v>Ingeniería Forestal</v>
      </c>
      <c r="C35" s="257">
        <f>Acreditados!I16</f>
        <v>47962</v>
      </c>
      <c r="D35" s="258" t="e">
        <f t="shared" ca="1" si="0"/>
        <v>#NAME?</v>
      </c>
      <c r="E35" s="259" t="e">
        <f t="shared" ca="1" si="1"/>
        <v>#NAME?</v>
      </c>
      <c r="F35" s="260">
        <f>Acreditados!H16</f>
        <v>47538</v>
      </c>
      <c r="G35" s="261" t="e">
        <f t="shared" ca="1" si="2"/>
        <v>#NAME?</v>
      </c>
      <c r="H35" s="259" t="e">
        <f t="shared" ca="1" si="3"/>
        <v>#NAME?</v>
      </c>
      <c r="I35" s="262"/>
    </row>
    <row r="36" spans="1:9" ht="12.75" customHeight="1" x14ac:dyDescent="0.2">
      <c r="A36" s="255">
        <v>35</v>
      </c>
      <c r="B36" s="256" t="str">
        <f>Acreditados!C24</f>
        <v xml:space="preserve">Antropología </v>
      </c>
      <c r="C36" s="257">
        <f>Acreditados!I24</f>
        <v>48022</v>
      </c>
      <c r="D36" s="258" t="e">
        <f t="shared" ca="1" si="0"/>
        <v>#NAME?</v>
      </c>
      <c r="E36" s="259" t="e">
        <f t="shared" ca="1" si="1"/>
        <v>#NAME?</v>
      </c>
      <c r="F36" s="260">
        <f>Acreditados!H24</f>
        <v>47596</v>
      </c>
      <c r="G36" s="261" t="e">
        <f t="shared" ca="1" si="2"/>
        <v>#NAME?</v>
      </c>
      <c r="H36" s="259" t="e">
        <f t="shared" ca="1" si="3"/>
        <v>#NAME?</v>
      </c>
      <c r="I36" s="262"/>
    </row>
    <row r="37" spans="1:9" ht="12.75" customHeight="1" x14ac:dyDescent="0.2">
      <c r="I37" s="133"/>
    </row>
    <row r="38" spans="1:9" ht="12.75" customHeight="1" x14ac:dyDescent="0.2">
      <c r="I38" s="133"/>
    </row>
    <row r="39" spans="1:9" ht="12.75" customHeight="1" x14ac:dyDescent="0.2">
      <c r="I39" s="133"/>
    </row>
    <row r="40" spans="1:9" ht="12.75" customHeight="1" x14ac:dyDescent="0.2">
      <c r="I40" s="133"/>
    </row>
    <row r="41" spans="1:9" ht="12.75" customHeight="1" x14ac:dyDescent="0.2">
      <c r="I41" s="133"/>
    </row>
    <row r="42" spans="1:9" ht="12.75" customHeight="1" x14ac:dyDescent="0.2">
      <c r="I42" s="133"/>
    </row>
    <row r="43" spans="1:9" ht="12.75" customHeight="1" x14ac:dyDescent="0.2">
      <c r="I43" s="133"/>
    </row>
    <row r="44" spans="1:9" ht="12.75" customHeight="1" x14ac:dyDescent="0.2">
      <c r="I44" s="133"/>
    </row>
    <row r="45" spans="1:9" ht="12.75" customHeight="1" x14ac:dyDescent="0.2">
      <c r="I45" s="133"/>
    </row>
    <row r="46" spans="1:9" ht="12.75" customHeight="1" x14ac:dyDescent="0.2">
      <c r="I46" s="133"/>
    </row>
    <row r="47" spans="1:9" ht="12.75" customHeight="1" x14ac:dyDescent="0.2">
      <c r="I47" s="133"/>
    </row>
    <row r="48" spans="1:9" ht="12.75" customHeight="1" x14ac:dyDescent="0.2">
      <c r="I48" s="133"/>
    </row>
    <row r="49" spans="9:9" ht="12.75" customHeight="1" x14ac:dyDescent="0.2">
      <c r="I49" s="133"/>
    </row>
    <row r="50" spans="9:9" ht="12.75" customHeight="1" x14ac:dyDescent="0.2">
      <c r="I50" s="133"/>
    </row>
    <row r="51" spans="9:9" ht="12.75" customHeight="1" x14ac:dyDescent="0.2">
      <c r="I51" s="133"/>
    </row>
    <row r="52" spans="9:9" ht="12.75" customHeight="1" x14ac:dyDescent="0.2">
      <c r="I52" s="133"/>
    </row>
    <row r="53" spans="9:9" ht="12.75" customHeight="1" x14ac:dyDescent="0.2">
      <c r="I53" s="133"/>
    </row>
    <row r="54" spans="9:9" ht="12.75" customHeight="1" x14ac:dyDescent="0.2">
      <c r="I54" s="133"/>
    </row>
    <row r="55" spans="9:9" ht="12.75" customHeight="1" x14ac:dyDescent="0.2">
      <c r="I55" s="133"/>
    </row>
    <row r="56" spans="9:9" ht="12.75" customHeight="1" x14ac:dyDescent="0.2">
      <c r="I56" s="133"/>
    </row>
    <row r="57" spans="9:9" ht="12.75" customHeight="1" x14ac:dyDescent="0.2">
      <c r="I57" s="133"/>
    </row>
    <row r="58" spans="9:9" ht="12.75" customHeight="1" x14ac:dyDescent="0.2">
      <c r="I58" s="133"/>
    </row>
    <row r="59" spans="9:9" ht="12.75" customHeight="1" x14ac:dyDescent="0.2">
      <c r="I59" s="133"/>
    </row>
    <row r="60" spans="9:9" ht="12.75" customHeight="1" x14ac:dyDescent="0.2">
      <c r="I60" s="133"/>
    </row>
    <row r="61" spans="9:9" ht="12.75" customHeight="1" x14ac:dyDescent="0.2">
      <c r="I61" s="133"/>
    </row>
    <row r="62" spans="9:9" ht="12.75" customHeight="1" x14ac:dyDescent="0.2">
      <c r="I62" s="133"/>
    </row>
    <row r="63" spans="9:9" ht="12.75" customHeight="1" x14ac:dyDescent="0.2">
      <c r="I63" s="133"/>
    </row>
    <row r="64" spans="9:9" ht="12.75" customHeight="1" x14ac:dyDescent="0.2">
      <c r="I64" s="133"/>
    </row>
    <row r="65" spans="9:9" ht="12.75" customHeight="1" x14ac:dyDescent="0.2">
      <c r="I65" s="133"/>
    </row>
    <row r="66" spans="9:9" ht="12.75" customHeight="1" x14ac:dyDescent="0.2">
      <c r="I66" s="133"/>
    </row>
    <row r="67" spans="9:9" ht="12.75" customHeight="1" x14ac:dyDescent="0.2">
      <c r="I67" s="133"/>
    </row>
    <row r="68" spans="9:9" ht="12.75" customHeight="1" x14ac:dyDescent="0.2">
      <c r="I68" s="133"/>
    </row>
    <row r="69" spans="9:9" ht="12.75" customHeight="1" x14ac:dyDescent="0.2">
      <c r="I69" s="133"/>
    </row>
    <row r="70" spans="9:9" ht="12.75" customHeight="1" x14ac:dyDescent="0.2">
      <c r="I70" s="133"/>
    </row>
    <row r="71" spans="9:9" ht="12.75" customHeight="1" x14ac:dyDescent="0.2">
      <c r="I71" s="133"/>
    </row>
    <row r="72" spans="9:9" ht="12.75" customHeight="1" x14ac:dyDescent="0.2">
      <c r="I72" s="133"/>
    </row>
    <row r="73" spans="9:9" ht="12.75" customHeight="1" x14ac:dyDescent="0.2">
      <c r="I73" s="133"/>
    </row>
    <row r="74" spans="9:9" ht="12.75" customHeight="1" x14ac:dyDescent="0.2">
      <c r="I74" s="133"/>
    </row>
    <row r="75" spans="9:9" ht="12.75" customHeight="1" x14ac:dyDescent="0.2">
      <c r="I75" s="133"/>
    </row>
    <row r="76" spans="9:9" ht="12.75" customHeight="1" x14ac:dyDescent="0.2">
      <c r="I76" s="133"/>
    </row>
    <row r="77" spans="9:9" ht="12.75" customHeight="1" x14ac:dyDescent="0.2">
      <c r="I77" s="133"/>
    </row>
    <row r="78" spans="9:9" ht="12.75" customHeight="1" x14ac:dyDescent="0.2">
      <c r="I78" s="133"/>
    </row>
    <row r="79" spans="9:9" ht="12.75" customHeight="1" x14ac:dyDescent="0.2">
      <c r="I79" s="133"/>
    </row>
    <row r="80" spans="9:9" ht="12.75" customHeight="1" x14ac:dyDescent="0.2">
      <c r="I80" s="133"/>
    </row>
    <row r="81" spans="9:9" ht="12.75" customHeight="1" x14ac:dyDescent="0.2">
      <c r="I81" s="133"/>
    </row>
    <row r="82" spans="9:9" ht="12.75" customHeight="1" x14ac:dyDescent="0.2">
      <c r="I82" s="133"/>
    </row>
    <row r="83" spans="9:9" ht="12.75" customHeight="1" x14ac:dyDescent="0.2">
      <c r="I83" s="133"/>
    </row>
    <row r="84" spans="9:9" ht="12.75" customHeight="1" x14ac:dyDescent="0.2">
      <c r="I84" s="133"/>
    </row>
    <row r="85" spans="9:9" ht="12.75" customHeight="1" x14ac:dyDescent="0.2">
      <c r="I85" s="133"/>
    </row>
    <row r="86" spans="9:9" ht="12.75" customHeight="1" x14ac:dyDescent="0.2">
      <c r="I86" s="133"/>
    </row>
    <row r="87" spans="9:9" ht="12.75" customHeight="1" x14ac:dyDescent="0.2">
      <c r="I87" s="133"/>
    </row>
    <row r="88" spans="9:9" ht="12.75" customHeight="1" x14ac:dyDescent="0.2">
      <c r="I88" s="133"/>
    </row>
    <row r="89" spans="9:9" ht="12.75" customHeight="1" x14ac:dyDescent="0.2">
      <c r="I89" s="133"/>
    </row>
    <row r="90" spans="9:9" ht="12.75" customHeight="1" x14ac:dyDescent="0.2">
      <c r="I90" s="133"/>
    </row>
    <row r="91" spans="9:9" ht="12.75" customHeight="1" x14ac:dyDescent="0.2">
      <c r="I91" s="133"/>
    </row>
    <row r="92" spans="9:9" ht="12.75" customHeight="1" x14ac:dyDescent="0.2">
      <c r="I92" s="133"/>
    </row>
    <row r="93" spans="9:9" ht="12.75" customHeight="1" x14ac:dyDescent="0.2">
      <c r="I93" s="133"/>
    </row>
    <row r="94" spans="9:9" ht="12.75" customHeight="1" x14ac:dyDescent="0.2">
      <c r="I94" s="133"/>
    </row>
    <row r="95" spans="9:9" ht="12.75" customHeight="1" x14ac:dyDescent="0.2">
      <c r="I95" s="133"/>
    </row>
    <row r="96" spans="9:9" ht="12.75" customHeight="1" x14ac:dyDescent="0.2">
      <c r="I96" s="133"/>
    </row>
    <row r="97" spans="9:9" ht="12.75" customHeight="1" x14ac:dyDescent="0.2">
      <c r="I97" s="133"/>
    </row>
    <row r="98" spans="9:9" ht="12.75" customHeight="1" x14ac:dyDescent="0.2">
      <c r="I98" s="133"/>
    </row>
    <row r="99" spans="9:9" ht="12.75" customHeight="1" x14ac:dyDescent="0.2">
      <c r="I99" s="133"/>
    </row>
    <row r="100" spans="9:9" ht="12.75" customHeight="1" x14ac:dyDescent="0.2">
      <c r="I100" s="133"/>
    </row>
    <row r="101" spans="9:9" ht="12.75" customHeight="1" x14ac:dyDescent="0.2">
      <c r="I101" s="133"/>
    </row>
    <row r="102" spans="9:9" ht="12.75" customHeight="1" x14ac:dyDescent="0.2">
      <c r="I102" s="133"/>
    </row>
    <row r="103" spans="9:9" ht="12.75" customHeight="1" x14ac:dyDescent="0.2">
      <c r="I103" s="133"/>
    </row>
    <row r="104" spans="9:9" ht="12.75" customHeight="1" x14ac:dyDescent="0.2">
      <c r="I104" s="133"/>
    </row>
    <row r="105" spans="9:9" ht="12.75" customHeight="1" x14ac:dyDescent="0.2">
      <c r="I105" s="133"/>
    </row>
    <row r="106" spans="9:9" ht="12.75" customHeight="1" x14ac:dyDescent="0.2">
      <c r="I106" s="133"/>
    </row>
    <row r="107" spans="9:9" ht="12.75" customHeight="1" x14ac:dyDescent="0.2">
      <c r="I107" s="133"/>
    </row>
    <row r="108" spans="9:9" ht="12.75" customHeight="1" x14ac:dyDescent="0.2">
      <c r="I108" s="133"/>
    </row>
    <row r="109" spans="9:9" ht="12.75" customHeight="1" x14ac:dyDescent="0.2">
      <c r="I109" s="133"/>
    </row>
    <row r="110" spans="9:9" ht="12.75" customHeight="1" x14ac:dyDescent="0.2">
      <c r="I110" s="133"/>
    </row>
    <row r="111" spans="9:9" ht="12.75" customHeight="1" x14ac:dyDescent="0.2">
      <c r="I111" s="133"/>
    </row>
    <row r="112" spans="9:9" ht="12.75" customHeight="1" x14ac:dyDescent="0.2">
      <c r="I112" s="133"/>
    </row>
    <row r="113" spans="9:9" ht="12.75" customHeight="1" x14ac:dyDescent="0.2">
      <c r="I113" s="133"/>
    </row>
    <row r="114" spans="9:9" ht="12.75" customHeight="1" x14ac:dyDescent="0.2">
      <c r="I114" s="133"/>
    </row>
    <row r="115" spans="9:9" ht="12.75" customHeight="1" x14ac:dyDescent="0.2">
      <c r="I115" s="133"/>
    </row>
    <row r="116" spans="9:9" ht="12.75" customHeight="1" x14ac:dyDescent="0.2">
      <c r="I116" s="133"/>
    </row>
    <row r="117" spans="9:9" ht="12.75" customHeight="1" x14ac:dyDescent="0.2">
      <c r="I117" s="133"/>
    </row>
    <row r="118" spans="9:9" ht="12.75" customHeight="1" x14ac:dyDescent="0.2">
      <c r="I118" s="133"/>
    </row>
    <row r="119" spans="9:9" ht="12.75" customHeight="1" x14ac:dyDescent="0.2">
      <c r="I119" s="133"/>
    </row>
    <row r="120" spans="9:9" ht="12.75" customHeight="1" x14ac:dyDescent="0.2">
      <c r="I120" s="133"/>
    </row>
    <row r="121" spans="9:9" ht="12.75" customHeight="1" x14ac:dyDescent="0.2">
      <c r="I121" s="133"/>
    </row>
    <row r="122" spans="9:9" ht="12.75" customHeight="1" x14ac:dyDescent="0.2">
      <c r="I122" s="133"/>
    </row>
    <row r="123" spans="9:9" ht="12.75" customHeight="1" x14ac:dyDescent="0.2">
      <c r="I123" s="133"/>
    </row>
    <row r="124" spans="9:9" ht="12.75" customHeight="1" x14ac:dyDescent="0.2">
      <c r="I124" s="133"/>
    </row>
    <row r="125" spans="9:9" ht="12.75" customHeight="1" x14ac:dyDescent="0.2">
      <c r="I125" s="133"/>
    </row>
    <row r="126" spans="9:9" ht="12.75" customHeight="1" x14ac:dyDescent="0.2">
      <c r="I126" s="133"/>
    </row>
    <row r="127" spans="9:9" ht="12.75" customHeight="1" x14ac:dyDescent="0.2">
      <c r="I127" s="133"/>
    </row>
    <row r="128" spans="9:9" ht="12.75" customHeight="1" x14ac:dyDescent="0.2">
      <c r="I128" s="133"/>
    </row>
    <row r="129" spans="9:9" ht="12.75" customHeight="1" x14ac:dyDescent="0.2">
      <c r="I129" s="133"/>
    </row>
    <row r="130" spans="9:9" ht="12.75" customHeight="1" x14ac:dyDescent="0.2">
      <c r="I130" s="133"/>
    </row>
    <row r="131" spans="9:9" ht="12.75" customHeight="1" x14ac:dyDescent="0.2">
      <c r="I131" s="133"/>
    </row>
    <row r="132" spans="9:9" ht="12.75" customHeight="1" x14ac:dyDescent="0.2">
      <c r="I132" s="133"/>
    </row>
    <row r="133" spans="9:9" ht="12.75" customHeight="1" x14ac:dyDescent="0.2">
      <c r="I133" s="133"/>
    </row>
    <row r="134" spans="9:9" ht="12.75" customHeight="1" x14ac:dyDescent="0.2">
      <c r="I134" s="133"/>
    </row>
    <row r="135" spans="9:9" ht="12.75" customHeight="1" x14ac:dyDescent="0.2">
      <c r="I135" s="133"/>
    </row>
    <row r="136" spans="9:9" ht="12.75" customHeight="1" x14ac:dyDescent="0.2">
      <c r="I136" s="133"/>
    </row>
    <row r="137" spans="9:9" ht="12.75" customHeight="1" x14ac:dyDescent="0.2">
      <c r="I137" s="133"/>
    </row>
    <row r="138" spans="9:9" ht="12.75" customHeight="1" x14ac:dyDescent="0.2">
      <c r="I138" s="133"/>
    </row>
    <row r="139" spans="9:9" ht="12.75" customHeight="1" x14ac:dyDescent="0.2">
      <c r="I139" s="133"/>
    </row>
    <row r="140" spans="9:9" ht="12.75" customHeight="1" x14ac:dyDescent="0.2">
      <c r="I140" s="133"/>
    </row>
    <row r="141" spans="9:9" ht="12.75" customHeight="1" x14ac:dyDescent="0.2">
      <c r="I141" s="133"/>
    </row>
    <row r="142" spans="9:9" ht="12.75" customHeight="1" x14ac:dyDescent="0.2">
      <c r="I142" s="133"/>
    </row>
    <row r="143" spans="9:9" ht="12.75" customHeight="1" x14ac:dyDescent="0.2">
      <c r="I143" s="133"/>
    </row>
    <row r="144" spans="9:9" ht="12.75" customHeight="1" x14ac:dyDescent="0.2">
      <c r="I144" s="133"/>
    </row>
    <row r="145" spans="9:9" ht="12.75" customHeight="1" x14ac:dyDescent="0.2">
      <c r="I145" s="133"/>
    </row>
    <row r="146" spans="9:9" ht="12.75" customHeight="1" x14ac:dyDescent="0.2">
      <c r="I146" s="133"/>
    </row>
    <row r="147" spans="9:9" ht="12.75" customHeight="1" x14ac:dyDescent="0.2">
      <c r="I147" s="133"/>
    </row>
    <row r="148" spans="9:9" ht="12.75" customHeight="1" x14ac:dyDescent="0.2">
      <c r="I148" s="133"/>
    </row>
    <row r="149" spans="9:9" ht="12.75" customHeight="1" x14ac:dyDescent="0.2">
      <c r="I149" s="133"/>
    </row>
    <row r="150" spans="9:9" ht="12.75" customHeight="1" x14ac:dyDescent="0.2">
      <c r="I150" s="133"/>
    </row>
    <row r="151" spans="9:9" ht="12.75" customHeight="1" x14ac:dyDescent="0.2">
      <c r="I151" s="133"/>
    </row>
    <row r="152" spans="9:9" ht="12.75" customHeight="1" x14ac:dyDescent="0.2">
      <c r="I152" s="133"/>
    </row>
    <row r="153" spans="9:9" ht="12.75" customHeight="1" x14ac:dyDescent="0.2">
      <c r="I153" s="133"/>
    </row>
    <row r="154" spans="9:9" ht="12.75" customHeight="1" x14ac:dyDescent="0.2">
      <c r="I154" s="133"/>
    </row>
    <row r="155" spans="9:9" ht="12.75" customHeight="1" x14ac:dyDescent="0.2">
      <c r="I155" s="133"/>
    </row>
    <row r="156" spans="9:9" ht="12.75" customHeight="1" x14ac:dyDescent="0.2">
      <c r="I156" s="133"/>
    </row>
    <row r="157" spans="9:9" ht="12.75" customHeight="1" x14ac:dyDescent="0.2">
      <c r="I157" s="133"/>
    </row>
    <row r="158" spans="9:9" ht="12.75" customHeight="1" x14ac:dyDescent="0.2">
      <c r="I158" s="133"/>
    </row>
    <row r="159" spans="9:9" ht="12.75" customHeight="1" x14ac:dyDescent="0.2">
      <c r="I159" s="133"/>
    </row>
    <row r="160" spans="9:9" ht="12.75" customHeight="1" x14ac:dyDescent="0.2">
      <c r="I160" s="133"/>
    </row>
    <row r="161" spans="9:9" ht="12.75" customHeight="1" x14ac:dyDescent="0.2">
      <c r="I161" s="133"/>
    </row>
    <row r="162" spans="9:9" ht="12.75" customHeight="1" x14ac:dyDescent="0.2">
      <c r="I162" s="133"/>
    </row>
    <row r="163" spans="9:9" ht="12.75" customHeight="1" x14ac:dyDescent="0.2">
      <c r="I163" s="133"/>
    </row>
    <row r="164" spans="9:9" ht="12.75" customHeight="1" x14ac:dyDescent="0.2">
      <c r="I164" s="133"/>
    </row>
    <row r="165" spans="9:9" ht="12.75" customHeight="1" x14ac:dyDescent="0.2">
      <c r="I165" s="133"/>
    </row>
    <row r="166" spans="9:9" ht="12.75" customHeight="1" x14ac:dyDescent="0.2">
      <c r="I166" s="133"/>
    </row>
    <row r="167" spans="9:9" ht="12.75" customHeight="1" x14ac:dyDescent="0.2">
      <c r="I167" s="133"/>
    </row>
    <row r="168" spans="9:9" ht="12.75" customHeight="1" x14ac:dyDescent="0.2">
      <c r="I168" s="133"/>
    </row>
    <row r="169" spans="9:9" ht="12.75" customHeight="1" x14ac:dyDescent="0.2">
      <c r="I169" s="133"/>
    </row>
    <row r="170" spans="9:9" ht="12.75" customHeight="1" x14ac:dyDescent="0.2">
      <c r="I170" s="133"/>
    </row>
    <row r="171" spans="9:9" ht="12.75" customHeight="1" x14ac:dyDescent="0.2">
      <c r="I171" s="133"/>
    </row>
    <row r="172" spans="9:9" ht="12.75" customHeight="1" x14ac:dyDescent="0.2">
      <c r="I172" s="133"/>
    </row>
    <row r="173" spans="9:9" ht="12.75" customHeight="1" x14ac:dyDescent="0.2">
      <c r="I173" s="133"/>
    </row>
    <row r="174" spans="9:9" ht="12.75" customHeight="1" x14ac:dyDescent="0.2">
      <c r="I174" s="133"/>
    </row>
    <row r="175" spans="9:9" ht="12.75" customHeight="1" x14ac:dyDescent="0.2">
      <c r="I175" s="133"/>
    </row>
    <row r="176" spans="9:9" ht="12.75" customHeight="1" x14ac:dyDescent="0.2">
      <c r="I176" s="133"/>
    </row>
    <row r="177" spans="9:9" ht="12.75" customHeight="1" x14ac:dyDescent="0.2">
      <c r="I177" s="133"/>
    </row>
    <row r="178" spans="9:9" ht="12.75" customHeight="1" x14ac:dyDescent="0.2">
      <c r="I178" s="133"/>
    </row>
    <row r="179" spans="9:9" ht="12.75" customHeight="1" x14ac:dyDescent="0.2">
      <c r="I179" s="133"/>
    </row>
    <row r="180" spans="9:9" ht="12.75" customHeight="1" x14ac:dyDescent="0.2">
      <c r="I180" s="133"/>
    </row>
    <row r="181" spans="9:9" ht="12.75" customHeight="1" x14ac:dyDescent="0.2">
      <c r="I181" s="133"/>
    </row>
    <row r="182" spans="9:9" ht="12.75" customHeight="1" x14ac:dyDescent="0.2">
      <c r="I182" s="133"/>
    </row>
    <row r="183" spans="9:9" ht="12.75" customHeight="1" x14ac:dyDescent="0.2">
      <c r="I183" s="133"/>
    </row>
    <row r="184" spans="9:9" ht="12.75" customHeight="1" x14ac:dyDescent="0.2">
      <c r="I184" s="133"/>
    </row>
    <row r="185" spans="9:9" ht="12.75" customHeight="1" x14ac:dyDescent="0.2">
      <c r="I185" s="133"/>
    </row>
    <row r="186" spans="9:9" ht="12.75" customHeight="1" x14ac:dyDescent="0.2">
      <c r="I186" s="133"/>
    </row>
    <row r="187" spans="9:9" ht="12.75" customHeight="1" x14ac:dyDescent="0.2">
      <c r="I187" s="133"/>
    </row>
    <row r="188" spans="9:9" ht="12.75" customHeight="1" x14ac:dyDescent="0.2">
      <c r="I188" s="133"/>
    </row>
    <row r="189" spans="9:9" ht="12.75" customHeight="1" x14ac:dyDescent="0.2">
      <c r="I189" s="133"/>
    </row>
    <row r="190" spans="9:9" ht="12.75" customHeight="1" x14ac:dyDescent="0.2">
      <c r="I190" s="133"/>
    </row>
    <row r="191" spans="9:9" ht="12.75" customHeight="1" x14ac:dyDescent="0.2">
      <c r="I191" s="133"/>
    </row>
    <row r="192" spans="9:9" ht="12.75" customHeight="1" x14ac:dyDescent="0.2">
      <c r="I192" s="133"/>
    </row>
    <row r="193" spans="9:9" ht="12.75" customHeight="1" x14ac:dyDescent="0.2">
      <c r="I193" s="133"/>
    </row>
    <row r="194" spans="9:9" ht="12.75" customHeight="1" x14ac:dyDescent="0.2">
      <c r="I194" s="133"/>
    </row>
    <row r="195" spans="9:9" ht="12.75" customHeight="1" x14ac:dyDescent="0.2">
      <c r="I195" s="133"/>
    </row>
    <row r="196" spans="9:9" ht="12.75" customHeight="1" x14ac:dyDescent="0.2">
      <c r="I196" s="133"/>
    </row>
    <row r="197" spans="9:9" ht="12.75" customHeight="1" x14ac:dyDescent="0.2">
      <c r="I197" s="133"/>
    </row>
    <row r="198" spans="9:9" ht="12.75" customHeight="1" x14ac:dyDescent="0.2">
      <c r="I198" s="133"/>
    </row>
    <row r="199" spans="9:9" ht="12.75" customHeight="1" x14ac:dyDescent="0.2">
      <c r="I199" s="133"/>
    </row>
    <row r="200" spans="9:9" ht="12.75" customHeight="1" x14ac:dyDescent="0.2">
      <c r="I200" s="133"/>
    </row>
    <row r="201" spans="9:9" ht="12.75" customHeight="1" x14ac:dyDescent="0.2">
      <c r="I201" s="133"/>
    </row>
    <row r="202" spans="9:9" ht="12.75" customHeight="1" x14ac:dyDescent="0.2">
      <c r="I202" s="133"/>
    </row>
    <row r="203" spans="9:9" ht="12.75" customHeight="1" x14ac:dyDescent="0.2">
      <c r="I203" s="133"/>
    </row>
    <row r="204" spans="9:9" ht="12.75" customHeight="1" x14ac:dyDescent="0.2">
      <c r="I204" s="133"/>
    </row>
    <row r="205" spans="9:9" ht="12.75" customHeight="1" x14ac:dyDescent="0.2">
      <c r="I205" s="133"/>
    </row>
    <row r="206" spans="9:9" ht="12.75" customHeight="1" x14ac:dyDescent="0.2">
      <c r="I206" s="133"/>
    </row>
    <row r="207" spans="9:9" ht="12.75" customHeight="1" x14ac:dyDescent="0.2">
      <c r="I207" s="133"/>
    </row>
    <row r="208" spans="9:9" ht="12.75" customHeight="1" x14ac:dyDescent="0.2">
      <c r="I208" s="133"/>
    </row>
    <row r="209" spans="9:9" ht="12.75" customHeight="1" x14ac:dyDescent="0.2">
      <c r="I209" s="133"/>
    </row>
    <row r="210" spans="9:9" ht="12.75" customHeight="1" x14ac:dyDescent="0.2">
      <c r="I210" s="133"/>
    </row>
    <row r="211" spans="9:9" ht="12.75" customHeight="1" x14ac:dyDescent="0.2">
      <c r="I211" s="133"/>
    </row>
    <row r="212" spans="9:9" ht="12.75" customHeight="1" x14ac:dyDescent="0.2">
      <c r="I212" s="133"/>
    </row>
    <row r="213" spans="9:9" ht="12.75" customHeight="1" x14ac:dyDescent="0.2">
      <c r="I213" s="133"/>
    </row>
    <row r="214" spans="9:9" ht="12.75" customHeight="1" x14ac:dyDescent="0.2">
      <c r="I214" s="133"/>
    </row>
    <row r="215" spans="9:9" ht="12.75" customHeight="1" x14ac:dyDescent="0.2">
      <c r="I215" s="133"/>
    </row>
    <row r="216" spans="9:9" ht="12.75" customHeight="1" x14ac:dyDescent="0.2">
      <c r="I216" s="133"/>
    </row>
    <row r="217" spans="9:9" ht="12.75" customHeight="1" x14ac:dyDescent="0.2">
      <c r="I217" s="133"/>
    </row>
    <row r="218" spans="9:9" ht="12.75" customHeight="1" x14ac:dyDescent="0.2">
      <c r="I218" s="133"/>
    </row>
    <row r="219" spans="9:9" ht="12.75" customHeight="1" x14ac:dyDescent="0.2">
      <c r="I219" s="133"/>
    </row>
    <row r="220" spans="9:9" ht="12.75" customHeight="1" x14ac:dyDescent="0.2">
      <c r="I220" s="133"/>
    </row>
    <row r="221" spans="9:9" ht="12.75" customHeight="1" x14ac:dyDescent="0.2">
      <c r="I221" s="133"/>
    </row>
    <row r="222" spans="9:9" ht="12.75" customHeight="1" x14ac:dyDescent="0.2">
      <c r="I222" s="133"/>
    </row>
    <row r="223" spans="9:9" ht="12.75" customHeight="1" x14ac:dyDescent="0.2">
      <c r="I223" s="133"/>
    </row>
    <row r="224" spans="9:9" ht="12.75" customHeight="1" x14ac:dyDescent="0.2">
      <c r="I224" s="133"/>
    </row>
    <row r="225" spans="9:9" ht="12.75" customHeight="1" x14ac:dyDescent="0.2">
      <c r="I225" s="133"/>
    </row>
    <row r="226" spans="9:9" ht="12.75" customHeight="1" x14ac:dyDescent="0.2">
      <c r="I226" s="133"/>
    </row>
    <row r="227" spans="9:9" ht="12.75" customHeight="1" x14ac:dyDescent="0.2">
      <c r="I227" s="133"/>
    </row>
    <row r="228" spans="9:9" ht="12.75" customHeight="1" x14ac:dyDescent="0.2">
      <c r="I228" s="133"/>
    </row>
    <row r="229" spans="9:9" ht="12.75" customHeight="1" x14ac:dyDescent="0.2">
      <c r="I229" s="133"/>
    </row>
    <row r="230" spans="9:9" ht="12.75" customHeight="1" x14ac:dyDescent="0.2">
      <c r="I230" s="133"/>
    </row>
    <row r="231" spans="9:9" ht="12.75" customHeight="1" x14ac:dyDescent="0.2">
      <c r="I231" s="133"/>
    </row>
    <row r="232" spans="9:9" ht="12.75" customHeight="1" x14ac:dyDescent="0.2">
      <c r="I232" s="133"/>
    </row>
    <row r="233" spans="9:9" ht="12.75" customHeight="1" x14ac:dyDescent="0.2">
      <c r="I233" s="133"/>
    </row>
    <row r="234" spans="9:9" ht="12.75" customHeight="1" x14ac:dyDescent="0.2">
      <c r="I234" s="133"/>
    </row>
    <row r="235" spans="9:9" ht="12.75" customHeight="1" x14ac:dyDescent="0.2">
      <c r="I235" s="133"/>
    </row>
    <row r="236" spans="9:9" ht="12.75" customHeight="1" x14ac:dyDescent="0.2">
      <c r="I236" s="133"/>
    </row>
    <row r="237" spans="9:9" ht="12.75" customHeight="1" x14ac:dyDescent="0.2">
      <c r="I237" s="133"/>
    </row>
    <row r="238" spans="9:9" ht="12.75" customHeight="1" x14ac:dyDescent="0.2">
      <c r="I238" s="133"/>
    </row>
    <row r="239" spans="9:9" ht="12.75" customHeight="1" x14ac:dyDescent="0.2">
      <c r="I239" s="133"/>
    </row>
    <row r="240" spans="9:9" ht="12.75" customHeight="1" x14ac:dyDescent="0.2">
      <c r="I240" s="133"/>
    </row>
    <row r="241" spans="9:9" ht="12.75" customHeight="1" x14ac:dyDescent="0.2">
      <c r="I241" s="133"/>
    </row>
    <row r="242" spans="9:9" ht="12.75" customHeight="1" x14ac:dyDescent="0.2">
      <c r="I242" s="133"/>
    </row>
    <row r="243" spans="9:9" ht="12.75" customHeight="1" x14ac:dyDescent="0.2">
      <c r="I243" s="133"/>
    </row>
    <row r="244" spans="9:9" ht="12.75" customHeight="1" x14ac:dyDescent="0.2">
      <c r="I244" s="133"/>
    </row>
    <row r="245" spans="9:9" ht="12.75" customHeight="1" x14ac:dyDescent="0.2">
      <c r="I245" s="133"/>
    </row>
    <row r="246" spans="9:9" ht="12.75" customHeight="1" x14ac:dyDescent="0.2">
      <c r="I246" s="133"/>
    </row>
    <row r="247" spans="9:9" ht="12.75" customHeight="1" x14ac:dyDescent="0.2">
      <c r="I247" s="133"/>
    </row>
    <row r="248" spans="9:9" ht="12.75" customHeight="1" x14ac:dyDescent="0.2">
      <c r="I248" s="133"/>
    </row>
    <row r="249" spans="9:9" ht="12.75" customHeight="1" x14ac:dyDescent="0.2">
      <c r="I249" s="133"/>
    </row>
    <row r="250" spans="9:9" ht="12.75" customHeight="1" x14ac:dyDescent="0.2">
      <c r="I250" s="133"/>
    </row>
    <row r="251" spans="9:9" ht="12.75" customHeight="1" x14ac:dyDescent="0.2">
      <c r="I251" s="133"/>
    </row>
    <row r="252" spans="9:9" ht="12.75" customHeight="1" x14ac:dyDescent="0.2">
      <c r="I252" s="133"/>
    </row>
    <row r="253" spans="9:9" ht="12.75" customHeight="1" x14ac:dyDescent="0.2">
      <c r="I253" s="133"/>
    </row>
    <row r="254" spans="9:9" ht="12.75" customHeight="1" x14ac:dyDescent="0.2">
      <c r="I254" s="133"/>
    </row>
    <row r="255" spans="9:9" ht="12.75" customHeight="1" x14ac:dyDescent="0.2">
      <c r="I255" s="133"/>
    </row>
    <row r="256" spans="9:9" ht="12.75" customHeight="1" x14ac:dyDescent="0.2">
      <c r="I256" s="133"/>
    </row>
    <row r="257" spans="9:9" ht="12.75" customHeight="1" x14ac:dyDescent="0.2">
      <c r="I257" s="133"/>
    </row>
    <row r="258" spans="9:9" ht="12.75" customHeight="1" x14ac:dyDescent="0.2">
      <c r="I258" s="133"/>
    </row>
    <row r="259" spans="9:9" ht="12.75" customHeight="1" x14ac:dyDescent="0.2">
      <c r="I259" s="133"/>
    </row>
    <row r="260" spans="9:9" ht="12.75" customHeight="1" x14ac:dyDescent="0.2">
      <c r="I260" s="133"/>
    </row>
    <row r="261" spans="9:9" ht="12.75" customHeight="1" x14ac:dyDescent="0.2">
      <c r="I261" s="133"/>
    </row>
    <row r="262" spans="9:9" ht="12.75" customHeight="1" x14ac:dyDescent="0.2">
      <c r="I262" s="133"/>
    </row>
    <row r="263" spans="9:9" ht="12.75" customHeight="1" x14ac:dyDescent="0.2">
      <c r="I263" s="133"/>
    </row>
    <row r="264" spans="9:9" ht="12.75" customHeight="1" x14ac:dyDescent="0.2">
      <c r="I264" s="133"/>
    </row>
    <row r="265" spans="9:9" ht="12.75" customHeight="1" x14ac:dyDescent="0.2">
      <c r="I265" s="133"/>
    </row>
    <row r="266" spans="9:9" ht="12.75" customHeight="1" x14ac:dyDescent="0.2">
      <c r="I266" s="133"/>
    </row>
    <row r="267" spans="9:9" ht="12.75" customHeight="1" x14ac:dyDescent="0.2">
      <c r="I267" s="133"/>
    </row>
    <row r="268" spans="9:9" ht="12.75" customHeight="1" x14ac:dyDescent="0.2">
      <c r="I268" s="133"/>
    </row>
    <row r="269" spans="9:9" ht="12.75" customHeight="1" x14ac:dyDescent="0.2">
      <c r="I269" s="133"/>
    </row>
    <row r="270" spans="9:9" ht="12.75" customHeight="1" x14ac:dyDescent="0.2">
      <c r="I270" s="133"/>
    </row>
    <row r="271" spans="9:9" ht="12.75" customHeight="1" x14ac:dyDescent="0.2">
      <c r="I271" s="133"/>
    </row>
    <row r="272" spans="9:9" ht="12.75" customHeight="1" x14ac:dyDescent="0.2">
      <c r="I272" s="133"/>
    </row>
    <row r="273" spans="9:9" ht="12.75" customHeight="1" x14ac:dyDescent="0.2">
      <c r="I273" s="133"/>
    </row>
    <row r="274" spans="9:9" ht="12.75" customHeight="1" x14ac:dyDescent="0.2">
      <c r="I274" s="133"/>
    </row>
    <row r="275" spans="9:9" ht="12.75" customHeight="1" x14ac:dyDescent="0.2">
      <c r="I275" s="133"/>
    </row>
    <row r="276" spans="9:9" ht="12.75" customHeight="1" x14ac:dyDescent="0.2">
      <c r="I276" s="133"/>
    </row>
    <row r="277" spans="9:9" ht="12.75" customHeight="1" x14ac:dyDescent="0.2">
      <c r="I277" s="133"/>
    </row>
    <row r="278" spans="9:9" ht="12.75" customHeight="1" x14ac:dyDescent="0.2">
      <c r="I278" s="133"/>
    </row>
    <row r="279" spans="9:9" ht="12.75" customHeight="1" x14ac:dyDescent="0.2">
      <c r="I279" s="133"/>
    </row>
    <row r="280" spans="9:9" ht="12.75" customHeight="1" x14ac:dyDescent="0.2">
      <c r="I280" s="133"/>
    </row>
    <row r="281" spans="9:9" ht="12.75" customHeight="1" x14ac:dyDescent="0.2">
      <c r="I281" s="133"/>
    </row>
    <row r="282" spans="9:9" ht="12.75" customHeight="1" x14ac:dyDescent="0.2">
      <c r="I282" s="133"/>
    </row>
    <row r="283" spans="9:9" ht="12.75" customHeight="1" x14ac:dyDescent="0.2">
      <c r="I283" s="133"/>
    </row>
    <row r="284" spans="9:9" ht="12.75" customHeight="1" x14ac:dyDescent="0.2">
      <c r="I284" s="133"/>
    </row>
    <row r="285" spans="9:9" ht="12.75" customHeight="1" x14ac:dyDescent="0.2">
      <c r="I285" s="133"/>
    </row>
    <row r="286" spans="9:9" ht="12.75" customHeight="1" x14ac:dyDescent="0.2">
      <c r="I286" s="133"/>
    </row>
    <row r="287" spans="9:9" ht="12.75" customHeight="1" x14ac:dyDescent="0.2">
      <c r="I287" s="133"/>
    </row>
    <row r="288" spans="9:9" ht="12.75" customHeight="1" x14ac:dyDescent="0.2">
      <c r="I288" s="133"/>
    </row>
    <row r="289" spans="9:9" ht="12.75" customHeight="1" x14ac:dyDescent="0.2">
      <c r="I289" s="133"/>
    </row>
    <row r="290" spans="9:9" ht="12.75" customHeight="1" x14ac:dyDescent="0.2">
      <c r="I290" s="133"/>
    </row>
    <row r="291" spans="9:9" ht="12.75" customHeight="1" x14ac:dyDescent="0.2">
      <c r="I291" s="133"/>
    </row>
    <row r="292" spans="9:9" ht="12.75" customHeight="1" x14ac:dyDescent="0.2">
      <c r="I292" s="133"/>
    </row>
    <row r="293" spans="9:9" ht="12.75" customHeight="1" x14ac:dyDescent="0.2">
      <c r="I293" s="133"/>
    </row>
    <row r="294" spans="9:9" ht="12.75" customHeight="1" x14ac:dyDescent="0.2">
      <c r="I294" s="133"/>
    </row>
    <row r="295" spans="9:9" ht="12.75" customHeight="1" x14ac:dyDescent="0.2">
      <c r="I295" s="133"/>
    </row>
    <row r="296" spans="9:9" ht="12.75" customHeight="1" x14ac:dyDescent="0.2">
      <c r="I296" s="133"/>
    </row>
    <row r="297" spans="9:9" ht="12.75" customHeight="1" x14ac:dyDescent="0.2">
      <c r="I297" s="133"/>
    </row>
    <row r="298" spans="9:9" ht="12.75" customHeight="1" x14ac:dyDescent="0.2">
      <c r="I298" s="133"/>
    </row>
    <row r="299" spans="9:9" ht="12.75" customHeight="1" x14ac:dyDescent="0.2">
      <c r="I299" s="133"/>
    </row>
    <row r="300" spans="9:9" ht="12.75" customHeight="1" x14ac:dyDescent="0.2">
      <c r="I300" s="133"/>
    </row>
    <row r="301" spans="9:9" ht="12.75" customHeight="1" x14ac:dyDescent="0.2">
      <c r="I301" s="133"/>
    </row>
    <row r="302" spans="9:9" ht="12.75" customHeight="1" x14ac:dyDescent="0.2">
      <c r="I302" s="133"/>
    </row>
    <row r="303" spans="9:9" ht="12.75" customHeight="1" x14ac:dyDescent="0.2">
      <c r="I303" s="133"/>
    </row>
    <row r="304" spans="9:9" ht="12.75" customHeight="1" x14ac:dyDescent="0.2">
      <c r="I304" s="133"/>
    </row>
    <row r="305" spans="9:9" ht="12.75" customHeight="1" x14ac:dyDescent="0.2">
      <c r="I305" s="133"/>
    </row>
    <row r="306" spans="9:9" ht="12.75" customHeight="1" x14ac:dyDescent="0.2">
      <c r="I306" s="133"/>
    </row>
    <row r="307" spans="9:9" ht="12.75" customHeight="1" x14ac:dyDescent="0.2">
      <c r="I307" s="133"/>
    </row>
    <row r="308" spans="9:9" ht="12.75" customHeight="1" x14ac:dyDescent="0.2">
      <c r="I308" s="133"/>
    </row>
    <row r="309" spans="9:9" ht="12.75" customHeight="1" x14ac:dyDescent="0.2">
      <c r="I309" s="133"/>
    </row>
    <row r="310" spans="9:9" ht="12.75" customHeight="1" x14ac:dyDescent="0.2">
      <c r="I310" s="133"/>
    </row>
    <row r="311" spans="9:9" ht="12.75" customHeight="1" x14ac:dyDescent="0.2">
      <c r="I311" s="133"/>
    </row>
    <row r="312" spans="9:9" ht="12.75" customHeight="1" x14ac:dyDescent="0.2">
      <c r="I312" s="133"/>
    </row>
    <row r="313" spans="9:9" ht="12.75" customHeight="1" x14ac:dyDescent="0.2">
      <c r="I313" s="133"/>
    </row>
    <row r="314" spans="9:9" ht="12.75" customHeight="1" x14ac:dyDescent="0.2">
      <c r="I314" s="133"/>
    </row>
    <row r="315" spans="9:9" ht="12.75" customHeight="1" x14ac:dyDescent="0.2">
      <c r="I315" s="133"/>
    </row>
    <row r="316" spans="9:9" ht="12.75" customHeight="1" x14ac:dyDescent="0.2">
      <c r="I316" s="133"/>
    </row>
    <row r="317" spans="9:9" ht="12.75" customHeight="1" x14ac:dyDescent="0.2">
      <c r="I317" s="133"/>
    </row>
    <row r="318" spans="9:9" ht="12.75" customHeight="1" x14ac:dyDescent="0.2">
      <c r="I318" s="133"/>
    </row>
    <row r="319" spans="9:9" ht="12.75" customHeight="1" x14ac:dyDescent="0.2">
      <c r="I319" s="133"/>
    </row>
    <row r="320" spans="9:9" ht="12.75" customHeight="1" x14ac:dyDescent="0.2">
      <c r="I320" s="133"/>
    </row>
    <row r="321" spans="9:9" ht="12.75" customHeight="1" x14ac:dyDescent="0.2">
      <c r="I321" s="133"/>
    </row>
    <row r="322" spans="9:9" ht="12.75" customHeight="1" x14ac:dyDescent="0.2">
      <c r="I322" s="133"/>
    </row>
    <row r="323" spans="9:9" ht="12.75" customHeight="1" x14ac:dyDescent="0.2">
      <c r="I323" s="133"/>
    </row>
    <row r="324" spans="9:9" ht="12.75" customHeight="1" x14ac:dyDescent="0.2">
      <c r="I324" s="133"/>
    </row>
    <row r="325" spans="9:9" ht="12.75" customHeight="1" x14ac:dyDescent="0.2">
      <c r="I325" s="133"/>
    </row>
    <row r="326" spans="9:9" ht="12.75" customHeight="1" x14ac:dyDescent="0.2">
      <c r="I326" s="133"/>
    </row>
    <row r="327" spans="9:9" ht="12.75" customHeight="1" x14ac:dyDescent="0.2">
      <c r="I327" s="133"/>
    </row>
    <row r="328" spans="9:9" ht="12.75" customHeight="1" x14ac:dyDescent="0.2">
      <c r="I328" s="133"/>
    </row>
    <row r="329" spans="9:9" ht="12.75" customHeight="1" x14ac:dyDescent="0.2">
      <c r="I329" s="133"/>
    </row>
    <row r="330" spans="9:9" ht="12.75" customHeight="1" x14ac:dyDescent="0.2">
      <c r="I330" s="133"/>
    </row>
    <row r="331" spans="9:9" ht="12.75" customHeight="1" x14ac:dyDescent="0.2">
      <c r="I331" s="133"/>
    </row>
    <row r="332" spans="9:9" ht="12.75" customHeight="1" x14ac:dyDescent="0.2">
      <c r="I332" s="133"/>
    </row>
    <row r="333" spans="9:9" ht="12.75" customHeight="1" x14ac:dyDescent="0.2">
      <c r="I333" s="133"/>
    </row>
    <row r="334" spans="9:9" ht="12.75" customHeight="1" x14ac:dyDescent="0.2">
      <c r="I334" s="133"/>
    </row>
    <row r="335" spans="9:9" ht="12.75" customHeight="1" x14ac:dyDescent="0.2">
      <c r="I335" s="133"/>
    </row>
    <row r="336" spans="9:9" ht="12.75" customHeight="1" x14ac:dyDescent="0.2">
      <c r="I336" s="133"/>
    </row>
    <row r="337" spans="9:9" ht="12.75" customHeight="1" x14ac:dyDescent="0.2">
      <c r="I337" s="133"/>
    </row>
    <row r="338" spans="9:9" ht="12.75" customHeight="1" x14ac:dyDescent="0.2">
      <c r="I338" s="133"/>
    </row>
    <row r="339" spans="9:9" ht="12.75" customHeight="1" x14ac:dyDescent="0.2">
      <c r="I339" s="133"/>
    </row>
    <row r="340" spans="9:9" ht="12.75" customHeight="1" x14ac:dyDescent="0.2">
      <c r="I340" s="133"/>
    </row>
    <row r="341" spans="9:9" ht="12.75" customHeight="1" x14ac:dyDescent="0.2">
      <c r="I341" s="133"/>
    </row>
    <row r="342" spans="9:9" ht="12.75" customHeight="1" x14ac:dyDescent="0.2">
      <c r="I342" s="133"/>
    </row>
    <row r="343" spans="9:9" ht="12.75" customHeight="1" x14ac:dyDescent="0.2">
      <c r="I343" s="133"/>
    </row>
    <row r="344" spans="9:9" ht="12.75" customHeight="1" x14ac:dyDescent="0.2">
      <c r="I344" s="133"/>
    </row>
    <row r="345" spans="9:9" ht="12.75" customHeight="1" x14ac:dyDescent="0.2">
      <c r="I345" s="133"/>
    </row>
    <row r="346" spans="9:9" ht="12.75" customHeight="1" x14ac:dyDescent="0.2">
      <c r="I346" s="133"/>
    </row>
    <row r="347" spans="9:9" ht="12.75" customHeight="1" x14ac:dyDescent="0.2">
      <c r="I347" s="133"/>
    </row>
    <row r="348" spans="9:9" ht="12.75" customHeight="1" x14ac:dyDescent="0.2">
      <c r="I348" s="133"/>
    </row>
    <row r="349" spans="9:9" ht="12.75" customHeight="1" x14ac:dyDescent="0.2">
      <c r="I349" s="133"/>
    </row>
    <row r="350" spans="9:9" ht="12.75" customHeight="1" x14ac:dyDescent="0.2">
      <c r="I350" s="133"/>
    </row>
    <row r="351" spans="9:9" ht="12.75" customHeight="1" x14ac:dyDescent="0.2">
      <c r="I351" s="133"/>
    </row>
    <row r="352" spans="9:9" ht="12.75" customHeight="1" x14ac:dyDescent="0.2">
      <c r="I352" s="133"/>
    </row>
    <row r="353" spans="9:9" ht="12.75" customHeight="1" x14ac:dyDescent="0.2">
      <c r="I353" s="133"/>
    </row>
    <row r="354" spans="9:9" ht="12.75" customHeight="1" x14ac:dyDescent="0.2">
      <c r="I354" s="133"/>
    </row>
    <row r="355" spans="9:9" ht="12.75" customHeight="1" x14ac:dyDescent="0.2">
      <c r="I355" s="133"/>
    </row>
    <row r="356" spans="9:9" ht="12.75" customHeight="1" x14ac:dyDescent="0.2">
      <c r="I356" s="133"/>
    </row>
    <row r="357" spans="9:9" ht="12.75" customHeight="1" x14ac:dyDescent="0.2">
      <c r="I357" s="133"/>
    </row>
    <row r="358" spans="9:9" ht="12.75" customHeight="1" x14ac:dyDescent="0.2">
      <c r="I358" s="133"/>
    </row>
    <row r="359" spans="9:9" ht="12.75" customHeight="1" x14ac:dyDescent="0.2">
      <c r="I359" s="133"/>
    </row>
    <row r="360" spans="9:9" ht="12.75" customHeight="1" x14ac:dyDescent="0.2">
      <c r="I360" s="133"/>
    </row>
    <row r="361" spans="9:9" ht="12.75" customHeight="1" x14ac:dyDescent="0.2">
      <c r="I361" s="133"/>
    </row>
    <row r="362" spans="9:9" ht="12.75" customHeight="1" x14ac:dyDescent="0.2">
      <c r="I362" s="133"/>
    </row>
    <row r="363" spans="9:9" ht="12.75" customHeight="1" x14ac:dyDescent="0.2">
      <c r="I363" s="133"/>
    </row>
    <row r="364" spans="9:9" ht="12.75" customHeight="1" x14ac:dyDescent="0.2">
      <c r="I364" s="133"/>
    </row>
    <row r="365" spans="9:9" ht="12.75" customHeight="1" x14ac:dyDescent="0.2">
      <c r="I365" s="133"/>
    </row>
    <row r="366" spans="9:9" ht="12.75" customHeight="1" x14ac:dyDescent="0.2">
      <c r="I366" s="133"/>
    </row>
    <row r="367" spans="9:9" ht="12.75" customHeight="1" x14ac:dyDescent="0.2">
      <c r="I367" s="133"/>
    </row>
    <row r="368" spans="9:9" ht="12.75" customHeight="1" x14ac:dyDescent="0.2">
      <c r="I368" s="133"/>
    </row>
    <row r="369" spans="9:9" ht="12.75" customHeight="1" x14ac:dyDescent="0.2">
      <c r="I369" s="133"/>
    </row>
    <row r="370" spans="9:9" ht="12.75" customHeight="1" x14ac:dyDescent="0.2">
      <c r="I370" s="133"/>
    </row>
    <row r="371" spans="9:9" ht="12.75" customHeight="1" x14ac:dyDescent="0.2">
      <c r="I371" s="133"/>
    </row>
    <row r="372" spans="9:9" ht="12.75" customHeight="1" x14ac:dyDescent="0.2">
      <c r="I372" s="133"/>
    </row>
    <row r="373" spans="9:9" ht="12.75" customHeight="1" x14ac:dyDescent="0.2">
      <c r="I373" s="133"/>
    </row>
    <row r="374" spans="9:9" ht="12.75" customHeight="1" x14ac:dyDescent="0.2">
      <c r="I374" s="133"/>
    </row>
    <row r="375" spans="9:9" ht="12.75" customHeight="1" x14ac:dyDescent="0.2">
      <c r="I375" s="133"/>
    </row>
    <row r="376" spans="9:9" ht="12.75" customHeight="1" x14ac:dyDescent="0.2">
      <c r="I376" s="133"/>
    </row>
    <row r="377" spans="9:9" ht="12.75" customHeight="1" x14ac:dyDescent="0.2">
      <c r="I377" s="133"/>
    </row>
    <row r="378" spans="9:9" ht="12.75" customHeight="1" x14ac:dyDescent="0.2">
      <c r="I378" s="133"/>
    </row>
    <row r="379" spans="9:9" ht="12.75" customHeight="1" x14ac:dyDescent="0.2">
      <c r="I379" s="133"/>
    </row>
    <row r="380" spans="9:9" ht="12.75" customHeight="1" x14ac:dyDescent="0.2">
      <c r="I380" s="133"/>
    </row>
    <row r="381" spans="9:9" ht="12.75" customHeight="1" x14ac:dyDescent="0.2">
      <c r="I381" s="133"/>
    </row>
    <row r="382" spans="9:9" ht="12.75" customHeight="1" x14ac:dyDescent="0.2">
      <c r="I382" s="133"/>
    </row>
    <row r="383" spans="9:9" ht="12.75" customHeight="1" x14ac:dyDescent="0.2">
      <c r="I383" s="133"/>
    </row>
    <row r="384" spans="9:9" ht="12.75" customHeight="1" x14ac:dyDescent="0.2">
      <c r="I384" s="133"/>
    </row>
    <row r="385" spans="9:9" ht="12.75" customHeight="1" x14ac:dyDescent="0.2">
      <c r="I385" s="133"/>
    </row>
    <row r="386" spans="9:9" ht="12.75" customHeight="1" x14ac:dyDescent="0.2">
      <c r="I386" s="133"/>
    </row>
    <row r="387" spans="9:9" ht="12.75" customHeight="1" x14ac:dyDescent="0.2">
      <c r="I387" s="133"/>
    </row>
    <row r="388" spans="9:9" ht="12.75" customHeight="1" x14ac:dyDescent="0.2">
      <c r="I388" s="133"/>
    </row>
    <row r="389" spans="9:9" ht="12.75" customHeight="1" x14ac:dyDescent="0.2">
      <c r="I389" s="133"/>
    </row>
    <row r="390" spans="9:9" ht="12.75" customHeight="1" x14ac:dyDescent="0.2">
      <c r="I390" s="133"/>
    </row>
    <row r="391" spans="9:9" ht="12.75" customHeight="1" x14ac:dyDescent="0.2">
      <c r="I391" s="133"/>
    </row>
    <row r="392" spans="9:9" ht="12.75" customHeight="1" x14ac:dyDescent="0.2">
      <c r="I392" s="133"/>
    </row>
    <row r="393" spans="9:9" ht="12.75" customHeight="1" x14ac:dyDescent="0.2">
      <c r="I393" s="133"/>
    </row>
    <row r="394" spans="9:9" ht="12.75" customHeight="1" x14ac:dyDescent="0.2">
      <c r="I394" s="133"/>
    </row>
    <row r="395" spans="9:9" ht="12.75" customHeight="1" x14ac:dyDescent="0.2">
      <c r="I395" s="133"/>
    </row>
    <row r="396" spans="9:9" ht="12.75" customHeight="1" x14ac:dyDescent="0.2">
      <c r="I396" s="133"/>
    </row>
    <row r="397" spans="9:9" ht="12.75" customHeight="1" x14ac:dyDescent="0.2">
      <c r="I397" s="133"/>
    </row>
    <row r="398" spans="9:9" ht="12.75" customHeight="1" x14ac:dyDescent="0.2">
      <c r="I398" s="133"/>
    </row>
    <row r="399" spans="9:9" ht="12.75" customHeight="1" x14ac:dyDescent="0.2">
      <c r="I399" s="133"/>
    </row>
    <row r="400" spans="9:9" ht="12.75" customHeight="1" x14ac:dyDescent="0.2">
      <c r="I400" s="133"/>
    </row>
    <row r="401" spans="9:9" ht="12.75" customHeight="1" x14ac:dyDescent="0.2">
      <c r="I401" s="133"/>
    </row>
    <row r="402" spans="9:9" ht="12.75" customHeight="1" x14ac:dyDescent="0.2">
      <c r="I402" s="133"/>
    </row>
    <row r="403" spans="9:9" ht="12.75" customHeight="1" x14ac:dyDescent="0.2">
      <c r="I403" s="133"/>
    </row>
    <row r="404" spans="9:9" ht="12.75" customHeight="1" x14ac:dyDescent="0.2">
      <c r="I404" s="133"/>
    </row>
    <row r="405" spans="9:9" ht="12.75" customHeight="1" x14ac:dyDescent="0.2">
      <c r="I405" s="133"/>
    </row>
    <row r="406" spans="9:9" ht="12.75" customHeight="1" x14ac:dyDescent="0.2">
      <c r="I406" s="133"/>
    </row>
    <row r="407" spans="9:9" ht="12.75" customHeight="1" x14ac:dyDescent="0.2">
      <c r="I407" s="133"/>
    </row>
    <row r="408" spans="9:9" ht="12.75" customHeight="1" x14ac:dyDescent="0.2">
      <c r="I408" s="133"/>
    </row>
    <row r="409" spans="9:9" ht="12.75" customHeight="1" x14ac:dyDescent="0.2">
      <c r="I409" s="133"/>
    </row>
    <row r="410" spans="9:9" ht="12.75" customHeight="1" x14ac:dyDescent="0.2">
      <c r="I410" s="133"/>
    </row>
    <row r="411" spans="9:9" ht="12.75" customHeight="1" x14ac:dyDescent="0.2">
      <c r="I411" s="133"/>
    </row>
    <row r="412" spans="9:9" ht="12.75" customHeight="1" x14ac:dyDescent="0.2">
      <c r="I412" s="133"/>
    </row>
    <row r="413" spans="9:9" ht="12.75" customHeight="1" x14ac:dyDescent="0.2">
      <c r="I413" s="133"/>
    </row>
    <row r="414" spans="9:9" ht="12.75" customHeight="1" x14ac:dyDescent="0.2">
      <c r="I414" s="133"/>
    </row>
    <row r="415" spans="9:9" ht="12.75" customHeight="1" x14ac:dyDescent="0.2">
      <c r="I415" s="133"/>
    </row>
    <row r="416" spans="9:9" ht="12.75" customHeight="1" x14ac:dyDescent="0.2">
      <c r="I416" s="133"/>
    </row>
    <row r="417" spans="9:9" ht="12.75" customHeight="1" x14ac:dyDescent="0.2">
      <c r="I417" s="133"/>
    </row>
    <row r="418" spans="9:9" ht="12.75" customHeight="1" x14ac:dyDescent="0.2">
      <c r="I418" s="133"/>
    </row>
    <row r="419" spans="9:9" ht="12.75" customHeight="1" x14ac:dyDescent="0.2">
      <c r="I419" s="133"/>
    </row>
    <row r="420" spans="9:9" ht="12.75" customHeight="1" x14ac:dyDescent="0.2">
      <c r="I420" s="133"/>
    </row>
    <row r="421" spans="9:9" ht="12.75" customHeight="1" x14ac:dyDescent="0.2">
      <c r="I421" s="133"/>
    </row>
    <row r="422" spans="9:9" ht="12.75" customHeight="1" x14ac:dyDescent="0.2">
      <c r="I422" s="133"/>
    </row>
    <row r="423" spans="9:9" ht="12.75" customHeight="1" x14ac:dyDescent="0.2">
      <c r="I423" s="133"/>
    </row>
    <row r="424" spans="9:9" ht="12.75" customHeight="1" x14ac:dyDescent="0.2">
      <c r="I424" s="133"/>
    </row>
    <row r="425" spans="9:9" ht="12.75" customHeight="1" x14ac:dyDescent="0.2">
      <c r="I425" s="133"/>
    </row>
    <row r="426" spans="9:9" ht="12.75" customHeight="1" x14ac:dyDescent="0.2">
      <c r="I426" s="133"/>
    </row>
    <row r="427" spans="9:9" ht="12.75" customHeight="1" x14ac:dyDescent="0.2">
      <c r="I427" s="133"/>
    </row>
    <row r="428" spans="9:9" ht="12.75" customHeight="1" x14ac:dyDescent="0.2">
      <c r="I428" s="133"/>
    </row>
    <row r="429" spans="9:9" ht="12.75" customHeight="1" x14ac:dyDescent="0.2">
      <c r="I429" s="133"/>
    </row>
    <row r="430" spans="9:9" ht="12.75" customHeight="1" x14ac:dyDescent="0.2">
      <c r="I430" s="133"/>
    </row>
    <row r="431" spans="9:9" ht="12.75" customHeight="1" x14ac:dyDescent="0.2">
      <c r="I431" s="133"/>
    </row>
    <row r="432" spans="9:9" ht="12.75" customHeight="1" x14ac:dyDescent="0.2">
      <c r="I432" s="133"/>
    </row>
    <row r="433" spans="9:9" ht="12.75" customHeight="1" x14ac:dyDescent="0.2">
      <c r="I433" s="133"/>
    </row>
    <row r="434" spans="9:9" ht="12.75" customHeight="1" x14ac:dyDescent="0.2">
      <c r="I434" s="133"/>
    </row>
    <row r="435" spans="9:9" ht="12.75" customHeight="1" x14ac:dyDescent="0.2">
      <c r="I435" s="133"/>
    </row>
    <row r="436" spans="9:9" ht="12.75" customHeight="1" x14ac:dyDescent="0.2">
      <c r="I436" s="133"/>
    </row>
    <row r="437" spans="9:9" ht="12.75" customHeight="1" x14ac:dyDescent="0.2">
      <c r="I437" s="133"/>
    </row>
    <row r="438" spans="9:9" ht="12.75" customHeight="1" x14ac:dyDescent="0.2">
      <c r="I438" s="133"/>
    </row>
    <row r="439" spans="9:9" ht="12.75" customHeight="1" x14ac:dyDescent="0.2">
      <c r="I439" s="133"/>
    </row>
    <row r="440" spans="9:9" ht="12.75" customHeight="1" x14ac:dyDescent="0.2">
      <c r="I440" s="133"/>
    </row>
    <row r="441" spans="9:9" ht="12.75" customHeight="1" x14ac:dyDescent="0.2">
      <c r="I441" s="133"/>
    </row>
    <row r="442" spans="9:9" ht="12.75" customHeight="1" x14ac:dyDescent="0.2">
      <c r="I442" s="133"/>
    </row>
    <row r="443" spans="9:9" ht="12.75" customHeight="1" x14ac:dyDescent="0.2">
      <c r="I443" s="133"/>
    </row>
    <row r="444" spans="9:9" ht="12.75" customHeight="1" x14ac:dyDescent="0.2">
      <c r="I444" s="133"/>
    </row>
    <row r="445" spans="9:9" ht="12.75" customHeight="1" x14ac:dyDescent="0.2">
      <c r="I445" s="133"/>
    </row>
    <row r="446" spans="9:9" ht="12.75" customHeight="1" x14ac:dyDescent="0.2">
      <c r="I446" s="133"/>
    </row>
    <row r="447" spans="9:9" ht="12.75" customHeight="1" x14ac:dyDescent="0.2">
      <c r="I447" s="133"/>
    </row>
    <row r="448" spans="9:9" ht="12.75" customHeight="1" x14ac:dyDescent="0.2">
      <c r="I448" s="133"/>
    </row>
    <row r="449" spans="9:9" ht="12.75" customHeight="1" x14ac:dyDescent="0.2">
      <c r="I449" s="133"/>
    </row>
    <row r="450" spans="9:9" ht="12.75" customHeight="1" x14ac:dyDescent="0.2">
      <c r="I450" s="133"/>
    </row>
    <row r="451" spans="9:9" ht="12.75" customHeight="1" x14ac:dyDescent="0.2">
      <c r="I451" s="133"/>
    </row>
    <row r="452" spans="9:9" ht="12.75" customHeight="1" x14ac:dyDescent="0.2">
      <c r="I452" s="133"/>
    </row>
    <row r="453" spans="9:9" ht="12.75" customHeight="1" x14ac:dyDescent="0.2">
      <c r="I453" s="133"/>
    </row>
    <row r="454" spans="9:9" ht="12.75" customHeight="1" x14ac:dyDescent="0.2">
      <c r="I454" s="133"/>
    </row>
    <row r="455" spans="9:9" ht="12.75" customHeight="1" x14ac:dyDescent="0.2">
      <c r="I455" s="133"/>
    </row>
    <row r="456" spans="9:9" ht="12.75" customHeight="1" x14ac:dyDescent="0.2">
      <c r="I456" s="133"/>
    </row>
    <row r="457" spans="9:9" ht="12.75" customHeight="1" x14ac:dyDescent="0.2">
      <c r="I457" s="133"/>
    </row>
    <row r="458" spans="9:9" ht="12.75" customHeight="1" x14ac:dyDescent="0.2">
      <c r="I458" s="133"/>
    </row>
    <row r="459" spans="9:9" ht="12.75" customHeight="1" x14ac:dyDescent="0.2">
      <c r="I459" s="133"/>
    </row>
    <row r="460" spans="9:9" ht="12.75" customHeight="1" x14ac:dyDescent="0.2">
      <c r="I460" s="133"/>
    </row>
    <row r="461" spans="9:9" ht="12.75" customHeight="1" x14ac:dyDescent="0.2">
      <c r="I461" s="133"/>
    </row>
    <row r="462" spans="9:9" ht="12.75" customHeight="1" x14ac:dyDescent="0.2">
      <c r="I462" s="133"/>
    </row>
    <row r="463" spans="9:9" ht="12.75" customHeight="1" x14ac:dyDescent="0.2">
      <c r="I463" s="133"/>
    </row>
    <row r="464" spans="9:9" ht="12.75" customHeight="1" x14ac:dyDescent="0.2">
      <c r="I464" s="133"/>
    </row>
    <row r="465" spans="9:9" ht="12.75" customHeight="1" x14ac:dyDescent="0.2">
      <c r="I465" s="133"/>
    </row>
    <row r="466" spans="9:9" ht="12.75" customHeight="1" x14ac:dyDescent="0.2">
      <c r="I466" s="133"/>
    </row>
    <row r="467" spans="9:9" ht="12.75" customHeight="1" x14ac:dyDescent="0.2">
      <c r="I467" s="133"/>
    </row>
    <row r="468" spans="9:9" ht="12.75" customHeight="1" x14ac:dyDescent="0.2">
      <c r="I468" s="133"/>
    </row>
    <row r="469" spans="9:9" ht="12.75" customHeight="1" x14ac:dyDescent="0.2">
      <c r="I469" s="133"/>
    </row>
    <row r="470" spans="9:9" ht="12.75" customHeight="1" x14ac:dyDescent="0.2">
      <c r="I470" s="133"/>
    </row>
    <row r="471" spans="9:9" ht="12.75" customHeight="1" x14ac:dyDescent="0.2">
      <c r="I471" s="133"/>
    </row>
    <row r="472" spans="9:9" ht="12.75" customHeight="1" x14ac:dyDescent="0.2">
      <c r="I472" s="133"/>
    </row>
    <row r="473" spans="9:9" ht="12.75" customHeight="1" x14ac:dyDescent="0.2">
      <c r="I473" s="133"/>
    </row>
    <row r="474" spans="9:9" ht="12.75" customHeight="1" x14ac:dyDescent="0.2">
      <c r="I474" s="133"/>
    </row>
    <row r="475" spans="9:9" ht="12.75" customHeight="1" x14ac:dyDescent="0.2">
      <c r="I475" s="133"/>
    </row>
    <row r="476" spans="9:9" ht="12.75" customHeight="1" x14ac:dyDescent="0.2">
      <c r="I476" s="133"/>
    </row>
    <row r="477" spans="9:9" ht="12.75" customHeight="1" x14ac:dyDescent="0.2">
      <c r="I477" s="133"/>
    </row>
    <row r="478" spans="9:9" ht="12.75" customHeight="1" x14ac:dyDescent="0.2">
      <c r="I478" s="133"/>
    </row>
    <row r="479" spans="9:9" ht="12.75" customHeight="1" x14ac:dyDescent="0.2">
      <c r="I479" s="133"/>
    </row>
    <row r="480" spans="9:9" ht="12.75" customHeight="1" x14ac:dyDescent="0.2">
      <c r="I480" s="133"/>
    </row>
    <row r="481" spans="9:9" ht="12.75" customHeight="1" x14ac:dyDescent="0.2">
      <c r="I481" s="133"/>
    </row>
    <row r="482" spans="9:9" ht="12.75" customHeight="1" x14ac:dyDescent="0.2">
      <c r="I482" s="133"/>
    </row>
    <row r="483" spans="9:9" ht="12.75" customHeight="1" x14ac:dyDescent="0.2">
      <c r="I483" s="133"/>
    </row>
    <row r="484" spans="9:9" ht="12.75" customHeight="1" x14ac:dyDescent="0.2">
      <c r="I484" s="133"/>
    </row>
    <row r="485" spans="9:9" ht="12.75" customHeight="1" x14ac:dyDescent="0.2">
      <c r="I485" s="133"/>
    </row>
    <row r="486" spans="9:9" ht="12.75" customHeight="1" x14ac:dyDescent="0.2">
      <c r="I486" s="133"/>
    </row>
    <row r="487" spans="9:9" ht="12.75" customHeight="1" x14ac:dyDescent="0.2">
      <c r="I487" s="133"/>
    </row>
    <row r="488" spans="9:9" ht="12.75" customHeight="1" x14ac:dyDescent="0.2">
      <c r="I488" s="133"/>
    </row>
    <row r="489" spans="9:9" ht="12.75" customHeight="1" x14ac:dyDescent="0.2">
      <c r="I489" s="133"/>
    </row>
    <row r="490" spans="9:9" ht="12.75" customHeight="1" x14ac:dyDescent="0.2">
      <c r="I490" s="133"/>
    </row>
    <row r="491" spans="9:9" ht="12.75" customHeight="1" x14ac:dyDescent="0.2">
      <c r="I491" s="133"/>
    </row>
    <row r="492" spans="9:9" ht="12.75" customHeight="1" x14ac:dyDescent="0.2">
      <c r="I492" s="133"/>
    </row>
    <row r="493" spans="9:9" ht="12.75" customHeight="1" x14ac:dyDescent="0.2">
      <c r="I493" s="133"/>
    </row>
    <row r="494" spans="9:9" ht="12.75" customHeight="1" x14ac:dyDescent="0.2">
      <c r="I494" s="133"/>
    </row>
    <row r="495" spans="9:9" ht="12.75" customHeight="1" x14ac:dyDescent="0.2">
      <c r="I495" s="133"/>
    </row>
    <row r="496" spans="9:9" ht="12.75" customHeight="1" x14ac:dyDescent="0.2">
      <c r="I496" s="133"/>
    </row>
    <row r="497" spans="9:9" ht="12.75" customHeight="1" x14ac:dyDescent="0.2">
      <c r="I497" s="133"/>
    </row>
    <row r="498" spans="9:9" ht="12.75" customHeight="1" x14ac:dyDescent="0.2">
      <c r="I498" s="133"/>
    </row>
    <row r="499" spans="9:9" ht="12.75" customHeight="1" x14ac:dyDescent="0.2">
      <c r="I499" s="133"/>
    </row>
    <row r="500" spans="9:9" ht="12.75" customHeight="1" x14ac:dyDescent="0.2">
      <c r="I500" s="133"/>
    </row>
    <row r="501" spans="9:9" ht="12.75" customHeight="1" x14ac:dyDescent="0.2">
      <c r="I501" s="133"/>
    </row>
    <row r="502" spans="9:9" ht="12.75" customHeight="1" x14ac:dyDescent="0.2">
      <c r="I502" s="133"/>
    </row>
    <row r="503" spans="9:9" ht="12.75" customHeight="1" x14ac:dyDescent="0.2">
      <c r="I503" s="133"/>
    </row>
    <row r="504" spans="9:9" ht="12.75" customHeight="1" x14ac:dyDescent="0.2">
      <c r="I504" s="133"/>
    </row>
    <row r="505" spans="9:9" ht="12.75" customHeight="1" x14ac:dyDescent="0.2">
      <c r="I505" s="133"/>
    </row>
    <row r="506" spans="9:9" ht="12.75" customHeight="1" x14ac:dyDescent="0.2">
      <c r="I506" s="133"/>
    </row>
    <row r="507" spans="9:9" ht="12.75" customHeight="1" x14ac:dyDescent="0.2">
      <c r="I507" s="133"/>
    </row>
    <row r="508" spans="9:9" ht="12.75" customHeight="1" x14ac:dyDescent="0.2">
      <c r="I508" s="133"/>
    </row>
    <row r="509" spans="9:9" ht="12.75" customHeight="1" x14ac:dyDescent="0.2">
      <c r="I509" s="133"/>
    </row>
    <row r="510" spans="9:9" ht="12.75" customHeight="1" x14ac:dyDescent="0.2">
      <c r="I510" s="133"/>
    </row>
    <row r="511" spans="9:9" ht="12.75" customHeight="1" x14ac:dyDescent="0.2">
      <c r="I511" s="133"/>
    </row>
    <row r="512" spans="9:9" ht="12.75" customHeight="1" x14ac:dyDescent="0.2">
      <c r="I512" s="133"/>
    </row>
    <row r="513" spans="9:9" ht="12.75" customHeight="1" x14ac:dyDescent="0.2">
      <c r="I513" s="133"/>
    </row>
    <row r="514" spans="9:9" ht="12.75" customHeight="1" x14ac:dyDescent="0.2">
      <c r="I514" s="133"/>
    </row>
    <row r="515" spans="9:9" ht="12.75" customHeight="1" x14ac:dyDescent="0.2">
      <c r="I515" s="133"/>
    </row>
    <row r="516" spans="9:9" ht="12.75" customHeight="1" x14ac:dyDescent="0.2">
      <c r="I516" s="133"/>
    </row>
    <row r="517" spans="9:9" ht="12.75" customHeight="1" x14ac:dyDescent="0.2">
      <c r="I517" s="133"/>
    </row>
    <row r="518" spans="9:9" ht="12.75" customHeight="1" x14ac:dyDescent="0.2">
      <c r="I518" s="133"/>
    </row>
    <row r="519" spans="9:9" ht="12.75" customHeight="1" x14ac:dyDescent="0.2">
      <c r="I519" s="133"/>
    </row>
    <row r="520" spans="9:9" ht="12.75" customHeight="1" x14ac:dyDescent="0.2">
      <c r="I520" s="133"/>
    </row>
    <row r="521" spans="9:9" ht="12.75" customHeight="1" x14ac:dyDescent="0.2">
      <c r="I521" s="133"/>
    </row>
    <row r="522" spans="9:9" ht="12.75" customHeight="1" x14ac:dyDescent="0.2">
      <c r="I522" s="133"/>
    </row>
    <row r="523" spans="9:9" ht="12.75" customHeight="1" x14ac:dyDescent="0.2">
      <c r="I523" s="133"/>
    </row>
    <row r="524" spans="9:9" ht="12.75" customHeight="1" x14ac:dyDescent="0.2">
      <c r="I524" s="133"/>
    </row>
    <row r="525" spans="9:9" ht="12.75" customHeight="1" x14ac:dyDescent="0.2">
      <c r="I525" s="133"/>
    </row>
    <row r="526" spans="9:9" ht="12.75" customHeight="1" x14ac:dyDescent="0.2">
      <c r="I526" s="133"/>
    </row>
    <row r="527" spans="9:9" ht="12.75" customHeight="1" x14ac:dyDescent="0.2">
      <c r="I527" s="133"/>
    </row>
    <row r="528" spans="9:9" ht="12.75" customHeight="1" x14ac:dyDescent="0.2">
      <c r="I528" s="133"/>
    </row>
    <row r="529" spans="9:9" ht="12.75" customHeight="1" x14ac:dyDescent="0.2">
      <c r="I529" s="133"/>
    </row>
    <row r="530" spans="9:9" ht="12.75" customHeight="1" x14ac:dyDescent="0.2">
      <c r="I530" s="133"/>
    </row>
    <row r="531" spans="9:9" ht="12.75" customHeight="1" x14ac:dyDescent="0.2">
      <c r="I531" s="133"/>
    </row>
    <row r="532" spans="9:9" ht="12.75" customHeight="1" x14ac:dyDescent="0.2">
      <c r="I532" s="133"/>
    </row>
    <row r="533" spans="9:9" ht="12.75" customHeight="1" x14ac:dyDescent="0.2">
      <c r="I533" s="133"/>
    </row>
    <row r="534" spans="9:9" ht="12.75" customHeight="1" x14ac:dyDescent="0.2">
      <c r="I534" s="133"/>
    </row>
    <row r="535" spans="9:9" ht="12.75" customHeight="1" x14ac:dyDescent="0.2">
      <c r="I535" s="133"/>
    </row>
    <row r="536" spans="9:9" ht="12.75" customHeight="1" x14ac:dyDescent="0.2">
      <c r="I536" s="133"/>
    </row>
    <row r="537" spans="9:9" ht="12.75" customHeight="1" x14ac:dyDescent="0.2">
      <c r="I537" s="133"/>
    </row>
    <row r="538" spans="9:9" ht="12.75" customHeight="1" x14ac:dyDescent="0.2">
      <c r="I538" s="133"/>
    </row>
    <row r="539" spans="9:9" ht="12.75" customHeight="1" x14ac:dyDescent="0.2">
      <c r="I539" s="133"/>
    </row>
    <row r="540" spans="9:9" ht="12.75" customHeight="1" x14ac:dyDescent="0.2">
      <c r="I540" s="133"/>
    </row>
    <row r="541" spans="9:9" ht="12.75" customHeight="1" x14ac:dyDescent="0.2">
      <c r="I541" s="133"/>
    </row>
    <row r="542" spans="9:9" ht="12.75" customHeight="1" x14ac:dyDescent="0.2">
      <c r="I542" s="133"/>
    </row>
    <row r="543" spans="9:9" ht="12.75" customHeight="1" x14ac:dyDescent="0.2">
      <c r="I543" s="133"/>
    </row>
    <row r="544" spans="9:9" ht="12.75" customHeight="1" x14ac:dyDescent="0.2">
      <c r="I544" s="133"/>
    </row>
    <row r="545" spans="9:9" ht="12.75" customHeight="1" x14ac:dyDescent="0.2">
      <c r="I545" s="133"/>
    </row>
    <row r="546" spans="9:9" ht="12.75" customHeight="1" x14ac:dyDescent="0.2">
      <c r="I546" s="133"/>
    </row>
    <row r="547" spans="9:9" ht="12.75" customHeight="1" x14ac:dyDescent="0.2">
      <c r="I547" s="133"/>
    </row>
    <row r="548" spans="9:9" ht="12.75" customHeight="1" x14ac:dyDescent="0.2">
      <c r="I548" s="133"/>
    </row>
    <row r="549" spans="9:9" ht="12.75" customHeight="1" x14ac:dyDescent="0.2">
      <c r="I549" s="133"/>
    </row>
    <row r="550" spans="9:9" ht="12.75" customHeight="1" x14ac:dyDescent="0.2">
      <c r="I550" s="133"/>
    </row>
    <row r="551" spans="9:9" ht="12.75" customHeight="1" x14ac:dyDescent="0.2">
      <c r="I551" s="133"/>
    </row>
    <row r="552" spans="9:9" ht="12.75" customHeight="1" x14ac:dyDescent="0.2">
      <c r="I552" s="133"/>
    </row>
    <row r="553" spans="9:9" ht="12.75" customHeight="1" x14ac:dyDescent="0.2">
      <c r="I553" s="133"/>
    </row>
    <row r="554" spans="9:9" ht="12.75" customHeight="1" x14ac:dyDescent="0.2">
      <c r="I554" s="133"/>
    </row>
    <row r="555" spans="9:9" ht="12.75" customHeight="1" x14ac:dyDescent="0.2">
      <c r="I555" s="133"/>
    </row>
    <row r="556" spans="9:9" ht="12.75" customHeight="1" x14ac:dyDescent="0.2">
      <c r="I556" s="133"/>
    </row>
    <row r="557" spans="9:9" ht="12.75" customHeight="1" x14ac:dyDescent="0.2">
      <c r="I557" s="133"/>
    </row>
    <row r="558" spans="9:9" ht="12.75" customHeight="1" x14ac:dyDescent="0.2">
      <c r="I558" s="133"/>
    </row>
    <row r="559" spans="9:9" ht="12.75" customHeight="1" x14ac:dyDescent="0.2">
      <c r="I559" s="133"/>
    </row>
    <row r="560" spans="9:9" ht="12.75" customHeight="1" x14ac:dyDescent="0.2">
      <c r="I560" s="133"/>
    </row>
    <row r="561" spans="9:9" ht="12.75" customHeight="1" x14ac:dyDescent="0.2">
      <c r="I561" s="133"/>
    </row>
    <row r="562" spans="9:9" ht="12.75" customHeight="1" x14ac:dyDescent="0.2">
      <c r="I562" s="133"/>
    </row>
    <row r="563" spans="9:9" ht="12.75" customHeight="1" x14ac:dyDescent="0.2">
      <c r="I563" s="133"/>
    </row>
    <row r="564" spans="9:9" ht="12.75" customHeight="1" x14ac:dyDescent="0.2">
      <c r="I564" s="133"/>
    </row>
    <row r="565" spans="9:9" ht="12.75" customHeight="1" x14ac:dyDescent="0.2">
      <c r="I565" s="133"/>
    </row>
    <row r="566" spans="9:9" ht="12.75" customHeight="1" x14ac:dyDescent="0.2">
      <c r="I566" s="133"/>
    </row>
    <row r="567" spans="9:9" ht="12.75" customHeight="1" x14ac:dyDescent="0.2">
      <c r="I567" s="133"/>
    </row>
    <row r="568" spans="9:9" ht="12.75" customHeight="1" x14ac:dyDescent="0.2">
      <c r="I568" s="133"/>
    </row>
    <row r="569" spans="9:9" ht="12.75" customHeight="1" x14ac:dyDescent="0.2">
      <c r="I569" s="133"/>
    </row>
    <row r="570" spans="9:9" ht="12.75" customHeight="1" x14ac:dyDescent="0.2">
      <c r="I570" s="133"/>
    </row>
    <row r="571" spans="9:9" ht="12.75" customHeight="1" x14ac:dyDescent="0.2">
      <c r="I571" s="133"/>
    </row>
    <row r="572" spans="9:9" ht="12.75" customHeight="1" x14ac:dyDescent="0.2">
      <c r="I572" s="133"/>
    </row>
    <row r="573" spans="9:9" ht="12.75" customHeight="1" x14ac:dyDescent="0.2">
      <c r="I573" s="133"/>
    </row>
    <row r="574" spans="9:9" ht="12.75" customHeight="1" x14ac:dyDescent="0.2">
      <c r="I574" s="133"/>
    </row>
    <row r="575" spans="9:9" ht="12.75" customHeight="1" x14ac:dyDescent="0.2">
      <c r="I575" s="133"/>
    </row>
    <row r="576" spans="9:9" ht="12.75" customHeight="1" x14ac:dyDescent="0.2">
      <c r="I576" s="133"/>
    </row>
    <row r="577" spans="9:9" ht="12.75" customHeight="1" x14ac:dyDescent="0.2">
      <c r="I577" s="133"/>
    </row>
    <row r="578" spans="9:9" ht="12.75" customHeight="1" x14ac:dyDescent="0.2">
      <c r="I578" s="133"/>
    </row>
    <row r="579" spans="9:9" ht="12.75" customHeight="1" x14ac:dyDescent="0.2">
      <c r="I579" s="133"/>
    </row>
    <row r="580" spans="9:9" ht="12.75" customHeight="1" x14ac:dyDescent="0.2">
      <c r="I580" s="133"/>
    </row>
    <row r="581" spans="9:9" ht="12.75" customHeight="1" x14ac:dyDescent="0.2">
      <c r="I581" s="133"/>
    </row>
    <row r="582" spans="9:9" ht="12.75" customHeight="1" x14ac:dyDescent="0.2">
      <c r="I582" s="133"/>
    </row>
    <row r="583" spans="9:9" ht="12.75" customHeight="1" x14ac:dyDescent="0.2">
      <c r="I583" s="133"/>
    </row>
    <row r="584" spans="9:9" ht="12.75" customHeight="1" x14ac:dyDescent="0.2">
      <c r="I584" s="133"/>
    </row>
    <row r="585" spans="9:9" ht="12.75" customHeight="1" x14ac:dyDescent="0.2">
      <c r="I585" s="133"/>
    </row>
    <row r="586" spans="9:9" ht="12.75" customHeight="1" x14ac:dyDescent="0.2">
      <c r="I586" s="133"/>
    </row>
    <row r="587" spans="9:9" ht="12.75" customHeight="1" x14ac:dyDescent="0.2">
      <c r="I587" s="133"/>
    </row>
    <row r="588" spans="9:9" ht="12.75" customHeight="1" x14ac:dyDescent="0.2">
      <c r="I588" s="133"/>
    </row>
    <row r="589" spans="9:9" ht="12.75" customHeight="1" x14ac:dyDescent="0.2">
      <c r="I589" s="133"/>
    </row>
    <row r="590" spans="9:9" ht="12.75" customHeight="1" x14ac:dyDescent="0.2">
      <c r="I590" s="133"/>
    </row>
    <row r="591" spans="9:9" ht="12.75" customHeight="1" x14ac:dyDescent="0.2">
      <c r="I591" s="133"/>
    </row>
    <row r="592" spans="9:9" ht="12.75" customHeight="1" x14ac:dyDescent="0.2">
      <c r="I592" s="133"/>
    </row>
    <row r="593" spans="9:9" ht="12.75" customHeight="1" x14ac:dyDescent="0.2">
      <c r="I593" s="133"/>
    </row>
    <row r="594" spans="9:9" ht="12.75" customHeight="1" x14ac:dyDescent="0.2">
      <c r="I594" s="133"/>
    </row>
    <row r="595" spans="9:9" ht="12.75" customHeight="1" x14ac:dyDescent="0.2">
      <c r="I595" s="133"/>
    </row>
    <row r="596" spans="9:9" ht="12.75" customHeight="1" x14ac:dyDescent="0.2">
      <c r="I596" s="133"/>
    </row>
    <row r="597" spans="9:9" ht="12.75" customHeight="1" x14ac:dyDescent="0.2">
      <c r="I597" s="133"/>
    </row>
    <row r="598" spans="9:9" ht="12.75" customHeight="1" x14ac:dyDescent="0.2">
      <c r="I598" s="133"/>
    </row>
    <row r="599" spans="9:9" ht="12.75" customHeight="1" x14ac:dyDescent="0.2">
      <c r="I599" s="133"/>
    </row>
    <row r="600" spans="9:9" ht="12.75" customHeight="1" x14ac:dyDescent="0.2">
      <c r="I600" s="133"/>
    </row>
    <row r="601" spans="9:9" ht="12.75" customHeight="1" x14ac:dyDescent="0.2">
      <c r="I601" s="133"/>
    </row>
    <row r="602" spans="9:9" ht="12.75" customHeight="1" x14ac:dyDescent="0.2">
      <c r="I602" s="133"/>
    </row>
    <row r="603" spans="9:9" ht="12.75" customHeight="1" x14ac:dyDescent="0.2">
      <c r="I603" s="133"/>
    </row>
    <row r="604" spans="9:9" ht="12.75" customHeight="1" x14ac:dyDescent="0.2">
      <c r="I604" s="133"/>
    </row>
    <row r="605" spans="9:9" ht="12.75" customHeight="1" x14ac:dyDescent="0.2">
      <c r="I605" s="133"/>
    </row>
    <row r="606" spans="9:9" ht="12.75" customHeight="1" x14ac:dyDescent="0.2">
      <c r="I606" s="133"/>
    </row>
    <row r="607" spans="9:9" ht="12.75" customHeight="1" x14ac:dyDescent="0.2">
      <c r="I607" s="133"/>
    </row>
    <row r="608" spans="9:9" ht="12.75" customHeight="1" x14ac:dyDescent="0.2">
      <c r="I608" s="133"/>
    </row>
    <row r="609" spans="9:9" ht="12.75" customHeight="1" x14ac:dyDescent="0.2">
      <c r="I609" s="133"/>
    </row>
    <row r="610" spans="9:9" ht="12.75" customHeight="1" x14ac:dyDescent="0.2">
      <c r="I610" s="133"/>
    </row>
    <row r="611" spans="9:9" ht="12.75" customHeight="1" x14ac:dyDescent="0.2">
      <c r="I611" s="133"/>
    </row>
    <row r="612" spans="9:9" ht="12.75" customHeight="1" x14ac:dyDescent="0.2">
      <c r="I612" s="133"/>
    </row>
    <row r="613" spans="9:9" ht="12.75" customHeight="1" x14ac:dyDescent="0.2">
      <c r="I613" s="133"/>
    </row>
    <row r="614" spans="9:9" ht="12.75" customHeight="1" x14ac:dyDescent="0.2">
      <c r="I614" s="133"/>
    </row>
    <row r="615" spans="9:9" ht="12.75" customHeight="1" x14ac:dyDescent="0.2">
      <c r="I615" s="133"/>
    </row>
    <row r="616" spans="9:9" ht="12.75" customHeight="1" x14ac:dyDescent="0.2">
      <c r="I616" s="133"/>
    </row>
    <row r="617" spans="9:9" ht="12.75" customHeight="1" x14ac:dyDescent="0.2">
      <c r="I617" s="133"/>
    </row>
    <row r="618" spans="9:9" ht="12.75" customHeight="1" x14ac:dyDescent="0.2">
      <c r="I618" s="133"/>
    </row>
    <row r="619" spans="9:9" ht="12.75" customHeight="1" x14ac:dyDescent="0.2">
      <c r="I619" s="133"/>
    </row>
    <row r="620" spans="9:9" ht="12.75" customHeight="1" x14ac:dyDescent="0.2">
      <c r="I620" s="133"/>
    </row>
    <row r="621" spans="9:9" ht="12.75" customHeight="1" x14ac:dyDescent="0.2">
      <c r="I621" s="133"/>
    </row>
    <row r="622" spans="9:9" ht="12.75" customHeight="1" x14ac:dyDescent="0.2">
      <c r="I622" s="133"/>
    </row>
    <row r="623" spans="9:9" ht="12.75" customHeight="1" x14ac:dyDescent="0.2">
      <c r="I623" s="133"/>
    </row>
    <row r="624" spans="9:9" ht="12.75" customHeight="1" x14ac:dyDescent="0.2">
      <c r="I624" s="133"/>
    </row>
    <row r="625" spans="9:9" ht="12.75" customHeight="1" x14ac:dyDescent="0.2">
      <c r="I625" s="133"/>
    </row>
    <row r="626" spans="9:9" ht="12.75" customHeight="1" x14ac:dyDescent="0.2">
      <c r="I626" s="133"/>
    </row>
    <row r="627" spans="9:9" ht="12.75" customHeight="1" x14ac:dyDescent="0.2">
      <c r="I627" s="133"/>
    </row>
    <row r="628" spans="9:9" ht="12.75" customHeight="1" x14ac:dyDescent="0.2">
      <c r="I628" s="133"/>
    </row>
    <row r="629" spans="9:9" ht="12.75" customHeight="1" x14ac:dyDescent="0.2">
      <c r="I629" s="133"/>
    </row>
    <row r="630" spans="9:9" ht="12.75" customHeight="1" x14ac:dyDescent="0.2">
      <c r="I630" s="133"/>
    </row>
    <row r="631" spans="9:9" ht="12.75" customHeight="1" x14ac:dyDescent="0.2">
      <c r="I631" s="133"/>
    </row>
    <row r="632" spans="9:9" ht="12.75" customHeight="1" x14ac:dyDescent="0.2">
      <c r="I632" s="133"/>
    </row>
    <row r="633" spans="9:9" ht="12.75" customHeight="1" x14ac:dyDescent="0.2">
      <c r="I633" s="133"/>
    </row>
    <row r="634" spans="9:9" ht="12.75" customHeight="1" x14ac:dyDescent="0.2">
      <c r="I634" s="133"/>
    </row>
    <row r="635" spans="9:9" ht="12.75" customHeight="1" x14ac:dyDescent="0.2">
      <c r="I635" s="133"/>
    </row>
    <row r="636" spans="9:9" ht="12.75" customHeight="1" x14ac:dyDescent="0.2">
      <c r="I636" s="133"/>
    </row>
    <row r="637" spans="9:9" ht="12.75" customHeight="1" x14ac:dyDescent="0.2">
      <c r="I637" s="133"/>
    </row>
    <row r="638" spans="9:9" ht="12.75" customHeight="1" x14ac:dyDescent="0.2">
      <c r="I638" s="133"/>
    </row>
    <row r="639" spans="9:9" ht="12.75" customHeight="1" x14ac:dyDescent="0.2">
      <c r="I639" s="133"/>
    </row>
    <row r="640" spans="9:9" ht="12.75" customHeight="1" x14ac:dyDescent="0.2">
      <c r="I640" s="133"/>
    </row>
    <row r="641" spans="9:9" ht="12.75" customHeight="1" x14ac:dyDescent="0.2">
      <c r="I641" s="133"/>
    </row>
    <row r="642" spans="9:9" ht="12.75" customHeight="1" x14ac:dyDescent="0.2">
      <c r="I642" s="133"/>
    </row>
    <row r="643" spans="9:9" ht="12.75" customHeight="1" x14ac:dyDescent="0.2">
      <c r="I643" s="133"/>
    </row>
    <row r="644" spans="9:9" ht="12.75" customHeight="1" x14ac:dyDescent="0.2">
      <c r="I644" s="133"/>
    </row>
    <row r="645" spans="9:9" ht="12.75" customHeight="1" x14ac:dyDescent="0.2">
      <c r="I645" s="133"/>
    </row>
    <row r="646" spans="9:9" ht="12.75" customHeight="1" x14ac:dyDescent="0.2">
      <c r="I646" s="133"/>
    </row>
    <row r="647" spans="9:9" ht="12.75" customHeight="1" x14ac:dyDescent="0.2">
      <c r="I647" s="133"/>
    </row>
    <row r="648" spans="9:9" ht="12.75" customHeight="1" x14ac:dyDescent="0.2">
      <c r="I648" s="133"/>
    </row>
    <row r="649" spans="9:9" ht="12.75" customHeight="1" x14ac:dyDescent="0.2">
      <c r="I649" s="133"/>
    </row>
    <row r="650" spans="9:9" ht="12.75" customHeight="1" x14ac:dyDescent="0.2">
      <c r="I650" s="133"/>
    </row>
    <row r="651" spans="9:9" ht="12.75" customHeight="1" x14ac:dyDescent="0.2">
      <c r="I651" s="133"/>
    </row>
    <row r="652" spans="9:9" ht="12.75" customHeight="1" x14ac:dyDescent="0.2">
      <c r="I652" s="133"/>
    </row>
    <row r="653" spans="9:9" ht="12.75" customHeight="1" x14ac:dyDescent="0.2">
      <c r="I653" s="133"/>
    </row>
    <row r="654" spans="9:9" ht="12.75" customHeight="1" x14ac:dyDescent="0.2">
      <c r="I654" s="133"/>
    </row>
    <row r="655" spans="9:9" ht="12.75" customHeight="1" x14ac:dyDescent="0.2">
      <c r="I655" s="133"/>
    </row>
    <row r="656" spans="9:9" ht="12.75" customHeight="1" x14ac:dyDescent="0.2">
      <c r="I656" s="133"/>
    </row>
    <row r="657" spans="9:9" ht="12.75" customHeight="1" x14ac:dyDescent="0.2">
      <c r="I657" s="133"/>
    </row>
    <row r="658" spans="9:9" ht="12.75" customHeight="1" x14ac:dyDescent="0.2">
      <c r="I658" s="133"/>
    </row>
    <row r="659" spans="9:9" ht="12.75" customHeight="1" x14ac:dyDescent="0.2">
      <c r="I659" s="133"/>
    </row>
    <row r="660" spans="9:9" ht="12.75" customHeight="1" x14ac:dyDescent="0.2">
      <c r="I660" s="133"/>
    </row>
    <row r="661" spans="9:9" ht="12.75" customHeight="1" x14ac:dyDescent="0.2">
      <c r="I661" s="133"/>
    </row>
    <row r="662" spans="9:9" ht="12.75" customHeight="1" x14ac:dyDescent="0.2">
      <c r="I662" s="133"/>
    </row>
    <row r="663" spans="9:9" ht="12.75" customHeight="1" x14ac:dyDescent="0.2">
      <c r="I663" s="133"/>
    </row>
    <row r="664" spans="9:9" ht="12.75" customHeight="1" x14ac:dyDescent="0.2">
      <c r="I664" s="133"/>
    </row>
    <row r="665" spans="9:9" ht="12.75" customHeight="1" x14ac:dyDescent="0.2">
      <c r="I665" s="133"/>
    </row>
    <row r="666" spans="9:9" ht="12.75" customHeight="1" x14ac:dyDescent="0.2">
      <c r="I666" s="133"/>
    </row>
    <row r="667" spans="9:9" ht="12.75" customHeight="1" x14ac:dyDescent="0.2">
      <c r="I667" s="133"/>
    </row>
    <row r="668" spans="9:9" ht="12.75" customHeight="1" x14ac:dyDescent="0.2">
      <c r="I668" s="133"/>
    </row>
    <row r="669" spans="9:9" ht="12.75" customHeight="1" x14ac:dyDescent="0.2">
      <c r="I669" s="133"/>
    </row>
    <row r="670" spans="9:9" ht="12.75" customHeight="1" x14ac:dyDescent="0.2">
      <c r="I670" s="133"/>
    </row>
    <row r="671" spans="9:9" ht="12.75" customHeight="1" x14ac:dyDescent="0.2">
      <c r="I671" s="133"/>
    </row>
    <row r="672" spans="9:9" ht="12.75" customHeight="1" x14ac:dyDescent="0.2">
      <c r="I672" s="133"/>
    </row>
    <row r="673" spans="9:9" ht="12.75" customHeight="1" x14ac:dyDescent="0.2">
      <c r="I673" s="133"/>
    </row>
    <row r="674" spans="9:9" ht="12.75" customHeight="1" x14ac:dyDescent="0.2">
      <c r="I674" s="133"/>
    </row>
    <row r="675" spans="9:9" ht="12.75" customHeight="1" x14ac:dyDescent="0.2">
      <c r="I675" s="133"/>
    </row>
    <row r="676" spans="9:9" ht="12.75" customHeight="1" x14ac:dyDescent="0.2">
      <c r="I676" s="133"/>
    </row>
    <row r="677" spans="9:9" ht="12.75" customHeight="1" x14ac:dyDescent="0.2">
      <c r="I677" s="133"/>
    </row>
    <row r="678" spans="9:9" ht="12.75" customHeight="1" x14ac:dyDescent="0.2">
      <c r="I678" s="133"/>
    </row>
    <row r="679" spans="9:9" ht="12.75" customHeight="1" x14ac:dyDescent="0.2">
      <c r="I679" s="133"/>
    </row>
    <row r="680" spans="9:9" ht="12.75" customHeight="1" x14ac:dyDescent="0.2">
      <c r="I680" s="133"/>
    </row>
    <row r="681" spans="9:9" ht="12.75" customHeight="1" x14ac:dyDescent="0.2">
      <c r="I681" s="133"/>
    </row>
    <row r="682" spans="9:9" ht="12.75" customHeight="1" x14ac:dyDescent="0.2">
      <c r="I682" s="133"/>
    </row>
    <row r="683" spans="9:9" ht="12.75" customHeight="1" x14ac:dyDescent="0.2">
      <c r="I683" s="133"/>
    </row>
    <row r="684" spans="9:9" ht="12.75" customHeight="1" x14ac:dyDescent="0.2">
      <c r="I684" s="133"/>
    </row>
    <row r="685" spans="9:9" ht="12.75" customHeight="1" x14ac:dyDescent="0.2">
      <c r="I685" s="133"/>
    </row>
    <row r="686" spans="9:9" ht="12.75" customHeight="1" x14ac:dyDescent="0.2">
      <c r="I686" s="133"/>
    </row>
    <row r="687" spans="9:9" ht="12.75" customHeight="1" x14ac:dyDescent="0.2">
      <c r="I687" s="133"/>
    </row>
    <row r="688" spans="9:9" ht="12.75" customHeight="1" x14ac:dyDescent="0.2">
      <c r="I688" s="133"/>
    </row>
    <row r="689" spans="9:9" ht="12.75" customHeight="1" x14ac:dyDescent="0.2">
      <c r="I689" s="133"/>
    </row>
    <row r="690" spans="9:9" ht="12.75" customHeight="1" x14ac:dyDescent="0.2">
      <c r="I690" s="133"/>
    </row>
    <row r="691" spans="9:9" ht="12.75" customHeight="1" x14ac:dyDescent="0.2">
      <c r="I691" s="133"/>
    </row>
    <row r="692" spans="9:9" ht="12.75" customHeight="1" x14ac:dyDescent="0.2">
      <c r="I692" s="133"/>
    </row>
    <row r="693" spans="9:9" ht="12.75" customHeight="1" x14ac:dyDescent="0.2">
      <c r="I693" s="133"/>
    </row>
    <row r="694" spans="9:9" ht="12.75" customHeight="1" x14ac:dyDescent="0.2">
      <c r="I694" s="133"/>
    </row>
    <row r="695" spans="9:9" ht="12.75" customHeight="1" x14ac:dyDescent="0.2">
      <c r="I695" s="133"/>
    </row>
    <row r="696" spans="9:9" ht="12.75" customHeight="1" x14ac:dyDescent="0.2">
      <c r="I696" s="133"/>
    </row>
    <row r="697" spans="9:9" ht="12.75" customHeight="1" x14ac:dyDescent="0.2">
      <c r="I697" s="133"/>
    </row>
    <row r="698" spans="9:9" ht="12.75" customHeight="1" x14ac:dyDescent="0.2">
      <c r="I698" s="133"/>
    </row>
    <row r="699" spans="9:9" ht="12.75" customHeight="1" x14ac:dyDescent="0.2">
      <c r="I699" s="133"/>
    </row>
    <row r="700" spans="9:9" ht="12.75" customHeight="1" x14ac:dyDescent="0.2">
      <c r="I700" s="133"/>
    </row>
    <row r="701" spans="9:9" ht="12.75" customHeight="1" x14ac:dyDescent="0.2">
      <c r="I701" s="133"/>
    </row>
    <row r="702" spans="9:9" ht="12.75" customHeight="1" x14ac:dyDescent="0.2">
      <c r="I702" s="133"/>
    </row>
    <row r="703" spans="9:9" ht="12.75" customHeight="1" x14ac:dyDescent="0.2">
      <c r="I703" s="133"/>
    </row>
    <row r="704" spans="9:9" ht="12.75" customHeight="1" x14ac:dyDescent="0.2">
      <c r="I704" s="133"/>
    </row>
    <row r="705" spans="9:9" ht="12.75" customHeight="1" x14ac:dyDescent="0.2">
      <c r="I705" s="133"/>
    </row>
    <row r="706" spans="9:9" ht="12.75" customHeight="1" x14ac:dyDescent="0.2">
      <c r="I706" s="133"/>
    </row>
    <row r="707" spans="9:9" ht="12.75" customHeight="1" x14ac:dyDescent="0.2">
      <c r="I707" s="133"/>
    </row>
    <row r="708" spans="9:9" ht="12.75" customHeight="1" x14ac:dyDescent="0.2">
      <c r="I708" s="133"/>
    </row>
    <row r="709" spans="9:9" ht="12.75" customHeight="1" x14ac:dyDescent="0.2">
      <c r="I709" s="133"/>
    </row>
    <row r="710" spans="9:9" ht="12.75" customHeight="1" x14ac:dyDescent="0.2">
      <c r="I710" s="133"/>
    </row>
    <row r="711" spans="9:9" ht="12.75" customHeight="1" x14ac:dyDescent="0.2">
      <c r="I711" s="133"/>
    </row>
    <row r="712" spans="9:9" ht="12.75" customHeight="1" x14ac:dyDescent="0.2">
      <c r="I712" s="133"/>
    </row>
    <row r="713" spans="9:9" ht="12.75" customHeight="1" x14ac:dyDescent="0.2">
      <c r="I713" s="133"/>
    </row>
    <row r="714" spans="9:9" ht="12.75" customHeight="1" x14ac:dyDescent="0.2">
      <c r="I714" s="133"/>
    </row>
    <row r="715" spans="9:9" ht="12.75" customHeight="1" x14ac:dyDescent="0.2">
      <c r="I715" s="133"/>
    </row>
    <row r="716" spans="9:9" ht="12.75" customHeight="1" x14ac:dyDescent="0.2">
      <c r="I716" s="133"/>
    </row>
    <row r="717" spans="9:9" ht="12.75" customHeight="1" x14ac:dyDescent="0.2">
      <c r="I717" s="133"/>
    </row>
    <row r="718" spans="9:9" ht="12.75" customHeight="1" x14ac:dyDescent="0.2">
      <c r="I718" s="133"/>
    </row>
    <row r="719" spans="9:9" ht="12.75" customHeight="1" x14ac:dyDescent="0.2">
      <c r="I719" s="133"/>
    </row>
    <row r="720" spans="9:9" ht="12.75" customHeight="1" x14ac:dyDescent="0.2">
      <c r="I720" s="133"/>
    </row>
    <row r="721" spans="9:9" ht="12.75" customHeight="1" x14ac:dyDescent="0.2">
      <c r="I721" s="133"/>
    </row>
    <row r="722" spans="9:9" ht="12.75" customHeight="1" x14ac:dyDescent="0.2">
      <c r="I722" s="133"/>
    </row>
    <row r="723" spans="9:9" ht="12.75" customHeight="1" x14ac:dyDescent="0.2">
      <c r="I723" s="133"/>
    </row>
    <row r="724" spans="9:9" ht="12.75" customHeight="1" x14ac:dyDescent="0.2">
      <c r="I724" s="133"/>
    </row>
    <row r="725" spans="9:9" ht="12.75" customHeight="1" x14ac:dyDescent="0.2">
      <c r="I725" s="133"/>
    </row>
    <row r="726" spans="9:9" ht="12.75" customHeight="1" x14ac:dyDescent="0.2">
      <c r="I726" s="133"/>
    </row>
    <row r="727" spans="9:9" ht="12.75" customHeight="1" x14ac:dyDescent="0.2">
      <c r="I727" s="133"/>
    </row>
    <row r="728" spans="9:9" ht="12.75" customHeight="1" x14ac:dyDescent="0.2">
      <c r="I728" s="133"/>
    </row>
    <row r="729" spans="9:9" ht="12.75" customHeight="1" x14ac:dyDescent="0.2">
      <c r="I729" s="133"/>
    </row>
    <row r="730" spans="9:9" ht="12.75" customHeight="1" x14ac:dyDescent="0.2">
      <c r="I730" s="133"/>
    </row>
    <row r="731" spans="9:9" ht="12.75" customHeight="1" x14ac:dyDescent="0.2">
      <c r="I731" s="133"/>
    </row>
    <row r="732" spans="9:9" ht="12.75" customHeight="1" x14ac:dyDescent="0.2">
      <c r="I732" s="133"/>
    </row>
    <row r="733" spans="9:9" ht="12.75" customHeight="1" x14ac:dyDescent="0.2">
      <c r="I733" s="133"/>
    </row>
    <row r="734" spans="9:9" ht="12.75" customHeight="1" x14ac:dyDescent="0.2">
      <c r="I734" s="133"/>
    </row>
    <row r="735" spans="9:9" ht="12.75" customHeight="1" x14ac:dyDescent="0.2">
      <c r="I735" s="133"/>
    </row>
    <row r="736" spans="9:9" ht="12.75" customHeight="1" x14ac:dyDescent="0.2">
      <c r="I736" s="133"/>
    </row>
    <row r="737" spans="9:9" ht="12.75" customHeight="1" x14ac:dyDescent="0.2">
      <c r="I737" s="133"/>
    </row>
    <row r="738" spans="9:9" ht="12.75" customHeight="1" x14ac:dyDescent="0.2">
      <c r="I738" s="133"/>
    </row>
    <row r="739" spans="9:9" ht="12.75" customHeight="1" x14ac:dyDescent="0.2">
      <c r="I739" s="133"/>
    </row>
    <row r="740" spans="9:9" ht="12.75" customHeight="1" x14ac:dyDescent="0.2">
      <c r="I740" s="133"/>
    </row>
    <row r="741" spans="9:9" ht="12.75" customHeight="1" x14ac:dyDescent="0.2">
      <c r="I741" s="133"/>
    </row>
    <row r="742" spans="9:9" ht="12.75" customHeight="1" x14ac:dyDescent="0.2">
      <c r="I742" s="133"/>
    </row>
    <row r="743" spans="9:9" ht="12.75" customHeight="1" x14ac:dyDescent="0.2">
      <c r="I743" s="133"/>
    </row>
    <row r="744" spans="9:9" ht="12.75" customHeight="1" x14ac:dyDescent="0.2">
      <c r="I744" s="133"/>
    </row>
    <row r="745" spans="9:9" ht="12.75" customHeight="1" x14ac:dyDescent="0.2">
      <c r="I745" s="133"/>
    </row>
    <row r="746" spans="9:9" ht="12.75" customHeight="1" x14ac:dyDescent="0.2">
      <c r="I746" s="133"/>
    </row>
    <row r="747" spans="9:9" ht="12.75" customHeight="1" x14ac:dyDescent="0.2">
      <c r="I747" s="133"/>
    </row>
    <row r="748" spans="9:9" ht="12.75" customHeight="1" x14ac:dyDescent="0.2">
      <c r="I748" s="133"/>
    </row>
    <row r="749" spans="9:9" ht="12.75" customHeight="1" x14ac:dyDescent="0.2">
      <c r="I749" s="133"/>
    </row>
    <row r="750" spans="9:9" ht="12.75" customHeight="1" x14ac:dyDescent="0.2">
      <c r="I750" s="133"/>
    </row>
    <row r="751" spans="9:9" ht="12.75" customHeight="1" x14ac:dyDescent="0.2">
      <c r="I751" s="133"/>
    </row>
    <row r="752" spans="9:9" ht="12.75" customHeight="1" x14ac:dyDescent="0.2">
      <c r="I752" s="133"/>
    </row>
    <row r="753" spans="9:9" ht="12.75" customHeight="1" x14ac:dyDescent="0.2">
      <c r="I753" s="133"/>
    </row>
    <row r="754" spans="9:9" ht="12.75" customHeight="1" x14ac:dyDescent="0.2">
      <c r="I754" s="133"/>
    </row>
    <row r="755" spans="9:9" ht="12.75" customHeight="1" x14ac:dyDescent="0.2">
      <c r="I755" s="133"/>
    </row>
    <row r="756" spans="9:9" ht="12.75" customHeight="1" x14ac:dyDescent="0.2">
      <c r="I756" s="133"/>
    </row>
    <row r="757" spans="9:9" ht="12.75" customHeight="1" x14ac:dyDescent="0.2">
      <c r="I757" s="133"/>
    </row>
    <row r="758" spans="9:9" ht="12.75" customHeight="1" x14ac:dyDescent="0.2">
      <c r="I758" s="133"/>
    </row>
    <row r="759" spans="9:9" ht="12.75" customHeight="1" x14ac:dyDescent="0.2">
      <c r="I759" s="133"/>
    </row>
    <row r="760" spans="9:9" ht="12.75" customHeight="1" x14ac:dyDescent="0.2">
      <c r="I760" s="133"/>
    </row>
    <row r="761" spans="9:9" ht="12.75" customHeight="1" x14ac:dyDescent="0.2">
      <c r="I761" s="133"/>
    </row>
    <row r="762" spans="9:9" ht="12.75" customHeight="1" x14ac:dyDescent="0.2">
      <c r="I762" s="133"/>
    </row>
    <row r="763" spans="9:9" ht="12.75" customHeight="1" x14ac:dyDescent="0.2">
      <c r="I763" s="133"/>
    </row>
    <row r="764" spans="9:9" ht="12.75" customHeight="1" x14ac:dyDescent="0.2">
      <c r="I764" s="133"/>
    </row>
    <row r="765" spans="9:9" ht="12.75" customHeight="1" x14ac:dyDescent="0.2">
      <c r="I765" s="133"/>
    </row>
    <row r="766" spans="9:9" ht="12.75" customHeight="1" x14ac:dyDescent="0.2">
      <c r="I766" s="133"/>
    </row>
    <row r="767" spans="9:9" ht="12.75" customHeight="1" x14ac:dyDescent="0.2">
      <c r="I767" s="133"/>
    </row>
    <row r="768" spans="9:9" ht="12.75" customHeight="1" x14ac:dyDescent="0.2">
      <c r="I768" s="133"/>
    </row>
    <row r="769" spans="9:9" ht="12.75" customHeight="1" x14ac:dyDescent="0.2">
      <c r="I769" s="133"/>
    </row>
    <row r="770" spans="9:9" ht="12.75" customHeight="1" x14ac:dyDescent="0.2">
      <c r="I770" s="133"/>
    </row>
    <row r="771" spans="9:9" ht="12.75" customHeight="1" x14ac:dyDescent="0.2">
      <c r="I771" s="133"/>
    </row>
    <row r="772" spans="9:9" ht="12.75" customHeight="1" x14ac:dyDescent="0.2">
      <c r="I772" s="133"/>
    </row>
    <row r="773" spans="9:9" ht="12.75" customHeight="1" x14ac:dyDescent="0.2">
      <c r="I773" s="133"/>
    </row>
    <row r="774" spans="9:9" ht="12.75" customHeight="1" x14ac:dyDescent="0.2">
      <c r="I774" s="133"/>
    </row>
    <row r="775" spans="9:9" ht="12.75" customHeight="1" x14ac:dyDescent="0.2">
      <c r="I775" s="133"/>
    </row>
    <row r="776" spans="9:9" ht="12.75" customHeight="1" x14ac:dyDescent="0.2">
      <c r="I776" s="133"/>
    </row>
    <row r="777" spans="9:9" ht="12.75" customHeight="1" x14ac:dyDescent="0.2">
      <c r="I777" s="133"/>
    </row>
    <row r="778" spans="9:9" ht="12.75" customHeight="1" x14ac:dyDescent="0.2">
      <c r="I778" s="133"/>
    </row>
    <row r="779" spans="9:9" ht="12.75" customHeight="1" x14ac:dyDescent="0.2">
      <c r="I779" s="133"/>
    </row>
    <row r="780" spans="9:9" ht="12.75" customHeight="1" x14ac:dyDescent="0.2">
      <c r="I780" s="133"/>
    </row>
    <row r="781" spans="9:9" ht="12.75" customHeight="1" x14ac:dyDescent="0.2">
      <c r="I781" s="133"/>
    </row>
    <row r="782" spans="9:9" ht="12.75" customHeight="1" x14ac:dyDescent="0.2">
      <c r="I782" s="133"/>
    </row>
    <row r="783" spans="9:9" ht="12.75" customHeight="1" x14ac:dyDescent="0.2">
      <c r="I783" s="133"/>
    </row>
    <row r="784" spans="9:9" ht="12.75" customHeight="1" x14ac:dyDescent="0.2">
      <c r="I784" s="133"/>
    </row>
    <row r="785" spans="9:9" ht="12.75" customHeight="1" x14ac:dyDescent="0.2">
      <c r="I785" s="133"/>
    </row>
    <row r="786" spans="9:9" ht="12.75" customHeight="1" x14ac:dyDescent="0.2">
      <c r="I786" s="133"/>
    </row>
    <row r="787" spans="9:9" ht="12.75" customHeight="1" x14ac:dyDescent="0.2">
      <c r="I787" s="133"/>
    </row>
    <row r="788" spans="9:9" ht="12.75" customHeight="1" x14ac:dyDescent="0.2">
      <c r="I788" s="133"/>
    </row>
    <row r="789" spans="9:9" ht="12.75" customHeight="1" x14ac:dyDescent="0.2">
      <c r="I789" s="133"/>
    </row>
    <row r="790" spans="9:9" ht="12.75" customHeight="1" x14ac:dyDescent="0.2">
      <c r="I790" s="133"/>
    </row>
    <row r="791" spans="9:9" ht="12.75" customHeight="1" x14ac:dyDescent="0.2">
      <c r="I791" s="133"/>
    </row>
    <row r="792" spans="9:9" ht="12.75" customHeight="1" x14ac:dyDescent="0.2">
      <c r="I792" s="133"/>
    </row>
    <row r="793" spans="9:9" ht="12.75" customHeight="1" x14ac:dyDescent="0.2">
      <c r="I793" s="133"/>
    </row>
    <row r="794" spans="9:9" ht="12.75" customHeight="1" x14ac:dyDescent="0.2">
      <c r="I794" s="133"/>
    </row>
    <row r="795" spans="9:9" ht="12.75" customHeight="1" x14ac:dyDescent="0.2">
      <c r="I795" s="133"/>
    </row>
    <row r="796" spans="9:9" ht="12.75" customHeight="1" x14ac:dyDescent="0.2">
      <c r="I796" s="133"/>
    </row>
    <row r="797" spans="9:9" ht="12.75" customHeight="1" x14ac:dyDescent="0.2">
      <c r="I797" s="133"/>
    </row>
    <row r="798" spans="9:9" ht="12.75" customHeight="1" x14ac:dyDescent="0.2">
      <c r="I798" s="133"/>
    </row>
    <row r="799" spans="9:9" ht="12.75" customHeight="1" x14ac:dyDescent="0.2">
      <c r="I799" s="133"/>
    </row>
    <row r="800" spans="9:9" ht="12.75" customHeight="1" x14ac:dyDescent="0.2">
      <c r="I800" s="133"/>
    </row>
    <row r="801" spans="9:9" ht="12.75" customHeight="1" x14ac:dyDescent="0.2">
      <c r="I801" s="133"/>
    </row>
    <row r="802" spans="9:9" ht="12.75" customHeight="1" x14ac:dyDescent="0.2">
      <c r="I802" s="133"/>
    </row>
    <row r="803" spans="9:9" ht="12.75" customHeight="1" x14ac:dyDescent="0.2">
      <c r="I803" s="133"/>
    </row>
    <row r="804" spans="9:9" ht="12.75" customHeight="1" x14ac:dyDescent="0.2">
      <c r="I804" s="133"/>
    </row>
    <row r="805" spans="9:9" ht="12.75" customHeight="1" x14ac:dyDescent="0.2">
      <c r="I805" s="133"/>
    </row>
    <row r="806" spans="9:9" ht="12.75" customHeight="1" x14ac:dyDescent="0.2">
      <c r="I806" s="133"/>
    </row>
    <row r="807" spans="9:9" ht="12.75" customHeight="1" x14ac:dyDescent="0.2">
      <c r="I807" s="133"/>
    </row>
    <row r="808" spans="9:9" ht="12.75" customHeight="1" x14ac:dyDescent="0.2">
      <c r="I808" s="133"/>
    </row>
    <row r="809" spans="9:9" ht="12.75" customHeight="1" x14ac:dyDescent="0.2">
      <c r="I809" s="133"/>
    </row>
    <row r="810" spans="9:9" ht="12.75" customHeight="1" x14ac:dyDescent="0.2">
      <c r="I810" s="133"/>
    </row>
    <row r="811" spans="9:9" ht="12.75" customHeight="1" x14ac:dyDescent="0.2">
      <c r="I811" s="133"/>
    </row>
    <row r="812" spans="9:9" ht="12.75" customHeight="1" x14ac:dyDescent="0.2">
      <c r="I812" s="133"/>
    </row>
    <row r="813" spans="9:9" ht="12.75" customHeight="1" x14ac:dyDescent="0.2">
      <c r="I813" s="133"/>
    </row>
    <row r="814" spans="9:9" ht="12.75" customHeight="1" x14ac:dyDescent="0.2">
      <c r="I814" s="133"/>
    </row>
    <row r="815" spans="9:9" ht="12.75" customHeight="1" x14ac:dyDescent="0.2">
      <c r="I815" s="133"/>
    </row>
    <row r="816" spans="9:9" ht="12.75" customHeight="1" x14ac:dyDescent="0.2">
      <c r="I816" s="133"/>
    </row>
    <row r="817" spans="9:9" ht="12.75" customHeight="1" x14ac:dyDescent="0.2">
      <c r="I817" s="133"/>
    </row>
    <row r="818" spans="9:9" ht="12.75" customHeight="1" x14ac:dyDescent="0.2">
      <c r="I818" s="133"/>
    </row>
    <row r="819" spans="9:9" ht="12.75" customHeight="1" x14ac:dyDescent="0.2">
      <c r="I819" s="133"/>
    </row>
    <row r="820" spans="9:9" ht="12.75" customHeight="1" x14ac:dyDescent="0.2">
      <c r="I820" s="133"/>
    </row>
    <row r="821" spans="9:9" ht="12.75" customHeight="1" x14ac:dyDescent="0.2">
      <c r="I821" s="133"/>
    </row>
    <row r="822" spans="9:9" ht="12.75" customHeight="1" x14ac:dyDescent="0.2">
      <c r="I822" s="133"/>
    </row>
    <row r="823" spans="9:9" ht="12.75" customHeight="1" x14ac:dyDescent="0.2">
      <c r="I823" s="133"/>
    </row>
    <row r="824" spans="9:9" ht="12.75" customHeight="1" x14ac:dyDescent="0.2">
      <c r="I824" s="133"/>
    </row>
    <row r="825" spans="9:9" ht="12.75" customHeight="1" x14ac:dyDescent="0.2">
      <c r="I825" s="133"/>
    </row>
    <row r="826" spans="9:9" ht="12.75" customHeight="1" x14ac:dyDescent="0.2">
      <c r="I826" s="133"/>
    </row>
    <row r="827" spans="9:9" ht="12.75" customHeight="1" x14ac:dyDescent="0.2">
      <c r="I827" s="133"/>
    </row>
    <row r="828" spans="9:9" ht="12.75" customHeight="1" x14ac:dyDescent="0.2">
      <c r="I828" s="133"/>
    </row>
    <row r="829" spans="9:9" ht="12.75" customHeight="1" x14ac:dyDescent="0.2">
      <c r="I829" s="133"/>
    </row>
    <row r="830" spans="9:9" ht="12.75" customHeight="1" x14ac:dyDescent="0.2">
      <c r="I830" s="133"/>
    </row>
    <row r="831" spans="9:9" ht="12.75" customHeight="1" x14ac:dyDescent="0.2">
      <c r="I831" s="133"/>
    </row>
    <row r="832" spans="9:9" ht="12.75" customHeight="1" x14ac:dyDescent="0.2">
      <c r="I832" s="133"/>
    </row>
    <row r="833" spans="9:9" ht="12.75" customHeight="1" x14ac:dyDescent="0.2">
      <c r="I833" s="133"/>
    </row>
    <row r="834" spans="9:9" ht="12.75" customHeight="1" x14ac:dyDescent="0.2">
      <c r="I834" s="133"/>
    </row>
    <row r="835" spans="9:9" ht="12.75" customHeight="1" x14ac:dyDescent="0.2">
      <c r="I835" s="133"/>
    </row>
    <row r="836" spans="9:9" ht="12.75" customHeight="1" x14ac:dyDescent="0.2">
      <c r="I836" s="133"/>
    </row>
    <row r="837" spans="9:9" ht="12.75" customHeight="1" x14ac:dyDescent="0.2">
      <c r="I837" s="133"/>
    </row>
    <row r="838" spans="9:9" ht="12.75" customHeight="1" x14ac:dyDescent="0.2">
      <c r="I838" s="133"/>
    </row>
    <row r="839" spans="9:9" ht="12.75" customHeight="1" x14ac:dyDescent="0.2">
      <c r="I839" s="133"/>
    </row>
    <row r="840" spans="9:9" ht="12.75" customHeight="1" x14ac:dyDescent="0.2">
      <c r="I840" s="133"/>
    </row>
    <row r="841" spans="9:9" ht="12.75" customHeight="1" x14ac:dyDescent="0.2">
      <c r="I841" s="133"/>
    </row>
    <row r="842" spans="9:9" ht="12.75" customHeight="1" x14ac:dyDescent="0.2">
      <c r="I842" s="133"/>
    </row>
    <row r="843" spans="9:9" ht="12.75" customHeight="1" x14ac:dyDescent="0.2">
      <c r="I843" s="133"/>
    </row>
    <row r="844" spans="9:9" ht="12.75" customHeight="1" x14ac:dyDescent="0.2">
      <c r="I844" s="133"/>
    </row>
    <row r="845" spans="9:9" ht="12.75" customHeight="1" x14ac:dyDescent="0.2">
      <c r="I845" s="133"/>
    </row>
    <row r="846" spans="9:9" ht="12.75" customHeight="1" x14ac:dyDescent="0.2">
      <c r="I846" s="133"/>
    </row>
    <row r="847" spans="9:9" ht="12.75" customHeight="1" x14ac:dyDescent="0.2">
      <c r="I847" s="133"/>
    </row>
    <row r="848" spans="9:9" ht="12.75" customHeight="1" x14ac:dyDescent="0.2">
      <c r="I848" s="133"/>
    </row>
    <row r="849" spans="9:9" ht="12.75" customHeight="1" x14ac:dyDescent="0.2">
      <c r="I849" s="133"/>
    </row>
    <row r="850" spans="9:9" ht="12.75" customHeight="1" x14ac:dyDescent="0.2">
      <c r="I850" s="133"/>
    </row>
    <row r="851" spans="9:9" ht="12.75" customHeight="1" x14ac:dyDescent="0.2">
      <c r="I851" s="133"/>
    </row>
    <row r="852" spans="9:9" ht="12.75" customHeight="1" x14ac:dyDescent="0.2">
      <c r="I852" s="133"/>
    </row>
    <row r="853" spans="9:9" ht="12.75" customHeight="1" x14ac:dyDescent="0.2">
      <c r="I853" s="133"/>
    </row>
    <row r="854" spans="9:9" ht="12.75" customHeight="1" x14ac:dyDescent="0.2">
      <c r="I854" s="133"/>
    </row>
    <row r="855" spans="9:9" ht="12.75" customHeight="1" x14ac:dyDescent="0.2">
      <c r="I855" s="133"/>
    </row>
    <row r="856" spans="9:9" ht="12.75" customHeight="1" x14ac:dyDescent="0.2">
      <c r="I856" s="133"/>
    </row>
    <row r="857" spans="9:9" ht="12.75" customHeight="1" x14ac:dyDescent="0.2">
      <c r="I857" s="133"/>
    </row>
    <row r="858" spans="9:9" ht="12.75" customHeight="1" x14ac:dyDescent="0.2">
      <c r="I858" s="133"/>
    </row>
    <row r="859" spans="9:9" ht="12.75" customHeight="1" x14ac:dyDescent="0.2">
      <c r="I859" s="133"/>
    </row>
    <row r="860" spans="9:9" ht="12.75" customHeight="1" x14ac:dyDescent="0.2">
      <c r="I860" s="133"/>
    </row>
    <row r="861" spans="9:9" ht="12.75" customHeight="1" x14ac:dyDescent="0.2">
      <c r="I861" s="133"/>
    </row>
    <row r="862" spans="9:9" ht="12.75" customHeight="1" x14ac:dyDescent="0.2">
      <c r="I862" s="133"/>
    </row>
    <row r="863" spans="9:9" ht="12.75" customHeight="1" x14ac:dyDescent="0.2">
      <c r="I863" s="133"/>
    </row>
    <row r="864" spans="9:9" ht="12.75" customHeight="1" x14ac:dyDescent="0.2">
      <c r="I864" s="133"/>
    </row>
    <row r="865" spans="9:9" ht="12.75" customHeight="1" x14ac:dyDescent="0.2">
      <c r="I865" s="133"/>
    </row>
    <row r="866" spans="9:9" ht="12.75" customHeight="1" x14ac:dyDescent="0.2">
      <c r="I866" s="133"/>
    </row>
    <row r="867" spans="9:9" ht="12.75" customHeight="1" x14ac:dyDescent="0.2">
      <c r="I867" s="133"/>
    </row>
    <row r="868" spans="9:9" ht="12.75" customHeight="1" x14ac:dyDescent="0.2">
      <c r="I868" s="133"/>
    </row>
    <row r="869" spans="9:9" ht="12.75" customHeight="1" x14ac:dyDescent="0.2">
      <c r="I869" s="133"/>
    </row>
    <row r="870" spans="9:9" ht="12.75" customHeight="1" x14ac:dyDescent="0.2">
      <c r="I870" s="133"/>
    </row>
    <row r="871" spans="9:9" ht="12.75" customHeight="1" x14ac:dyDescent="0.2">
      <c r="I871" s="133"/>
    </row>
    <row r="872" spans="9:9" ht="12.75" customHeight="1" x14ac:dyDescent="0.2">
      <c r="I872" s="133"/>
    </row>
    <row r="873" spans="9:9" ht="12.75" customHeight="1" x14ac:dyDescent="0.2">
      <c r="I873" s="133"/>
    </row>
    <row r="874" spans="9:9" ht="12.75" customHeight="1" x14ac:dyDescent="0.2">
      <c r="I874" s="133"/>
    </row>
    <row r="875" spans="9:9" ht="12.75" customHeight="1" x14ac:dyDescent="0.2">
      <c r="I875" s="133"/>
    </row>
    <row r="876" spans="9:9" ht="12.75" customHeight="1" x14ac:dyDescent="0.2">
      <c r="I876" s="133"/>
    </row>
    <row r="877" spans="9:9" ht="12.75" customHeight="1" x14ac:dyDescent="0.2">
      <c r="I877" s="133"/>
    </row>
    <row r="878" spans="9:9" ht="12.75" customHeight="1" x14ac:dyDescent="0.2">
      <c r="I878" s="133"/>
    </row>
    <row r="879" spans="9:9" ht="12.75" customHeight="1" x14ac:dyDescent="0.2">
      <c r="I879" s="133"/>
    </row>
    <row r="880" spans="9:9" ht="12.75" customHeight="1" x14ac:dyDescent="0.2">
      <c r="I880" s="133"/>
    </row>
    <row r="881" spans="9:9" ht="12.75" customHeight="1" x14ac:dyDescent="0.2">
      <c r="I881" s="133"/>
    </row>
    <row r="882" spans="9:9" ht="12.75" customHeight="1" x14ac:dyDescent="0.2">
      <c r="I882" s="133"/>
    </row>
    <row r="883" spans="9:9" ht="12.75" customHeight="1" x14ac:dyDescent="0.2">
      <c r="I883" s="133"/>
    </row>
    <row r="884" spans="9:9" ht="12.75" customHeight="1" x14ac:dyDescent="0.2">
      <c r="I884" s="133"/>
    </row>
    <row r="885" spans="9:9" ht="12.75" customHeight="1" x14ac:dyDescent="0.2">
      <c r="I885" s="133"/>
    </row>
    <row r="886" spans="9:9" ht="12.75" customHeight="1" x14ac:dyDescent="0.2">
      <c r="I886" s="133"/>
    </row>
    <row r="887" spans="9:9" ht="12.75" customHeight="1" x14ac:dyDescent="0.2">
      <c r="I887" s="133"/>
    </row>
    <row r="888" spans="9:9" ht="12.75" customHeight="1" x14ac:dyDescent="0.2">
      <c r="I888" s="133"/>
    </row>
    <row r="889" spans="9:9" ht="12.75" customHeight="1" x14ac:dyDescent="0.2">
      <c r="I889" s="133"/>
    </row>
    <row r="890" spans="9:9" ht="12.75" customHeight="1" x14ac:dyDescent="0.2">
      <c r="I890" s="133"/>
    </row>
    <row r="891" spans="9:9" ht="12.75" customHeight="1" x14ac:dyDescent="0.2">
      <c r="I891" s="133"/>
    </row>
    <row r="892" spans="9:9" ht="12.75" customHeight="1" x14ac:dyDescent="0.2">
      <c r="I892" s="133"/>
    </row>
    <row r="893" spans="9:9" ht="12.75" customHeight="1" x14ac:dyDescent="0.2">
      <c r="I893" s="133"/>
    </row>
    <row r="894" spans="9:9" ht="12.75" customHeight="1" x14ac:dyDescent="0.2">
      <c r="I894" s="133"/>
    </row>
    <row r="895" spans="9:9" ht="12.75" customHeight="1" x14ac:dyDescent="0.2">
      <c r="I895" s="133"/>
    </row>
    <row r="896" spans="9:9" ht="12.75" customHeight="1" x14ac:dyDescent="0.2">
      <c r="I896" s="133"/>
    </row>
    <row r="897" spans="9:9" ht="12.75" customHeight="1" x14ac:dyDescent="0.2">
      <c r="I897" s="133"/>
    </row>
    <row r="898" spans="9:9" ht="12.75" customHeight="1" x14ac:dyDescent="0.2">
      <c r="I898" s="133"/>
    </row>
    <row r="899" spans="9:9" ht="12.75" customHeight="1" x14ac:dyDescent="0.2">
      <c r="I899" s="133"/>
    </row>
    <row r="900" spans="9:9" ht="12.75" customHeight="1" x14ac:dyDescent="0.2">
      <c r="I900" s="133"/>
    </row>
    <row r="901" spans="9:9" ht="12.75" customHeight="1" x14ac:dyDescent="0.2">
      <c r="I901" s="133"/>
    </row>
    <row r="902" spans="9:9" ht="12.75" customHeight="1" x14ac:dyDescent="0.2">
      <c r="I902" s="133"/>
    </row>
    <row r="903" spans="9:9" ht="12.75" customHeight="1" x14ac:dyDescent="0.2">
      <c r="I903" s="133"/>
    </row>
    <row r="904" spans="9:9" ht="12.75" customHeight="1" x14ac:dyDescent="0.2">
      <c r="I904" s="133"/>
    </row>
    <row r="905" spans="9:9" ht="12.75" customHeight="1" x14ac:dyDescent="0.2">
      <c r="I905" s="133"/>
    </row>
    <row r="906" spans="9:9" ht="12.75" customHeight="1" x14ac:dyDescent="0.2">
      <c r="I906" s="133"/>
    </row>
    <row r="907" spans="9:9" ht="12.75" customHeight="1" x14ac:dyDescent="0.2">
      <c r="I907" s="133"/>
    </row>
    <row r="908" spans="9:9" ht="12.75" customHeight="1" x14ac:dyDescent="0.2">
      <c r="I908" s="133"/>
    </row>
    <row r="909" spans="9:9" ht="12.75" customHeight="1" x14ac:dyDescent="0.2">
      <c r="I909" s="133"/>
    </row>
    <row r="910" spans="9:9" ht="12.75" customHeight="1" x14ac:dyDescent="0.2">
      <c r="I910" s="133"/>
    </row>
    <row r="911" spans="9:9" ht="12.75" customHeight="1" x14ac:dyDescent="0.2">
      <c r="I911" s="133"/>
    </row>
    <row r="912" spans="9:9" ht="12.75" customHeight="1" x14ac:dyDescent="0.2">
      <c r="I912" s="133"/>
    </row>
    <row r="913" spans="9:9" ht="12.75" customHeight="1" x14ac:dyDescent="0.2">
      <c r="I913" s="133"/>
    </row>
    <row r="914" spans="9:9" ht="12.75" customHeight="1" x14ac:dyDescent="0.2">
      <c r="I914" s="133"/>
    </row>
    <row r="915" spans="9:9" ht="12.75" customHeight="1" x14ac:dyDescent="0.2">
      <c r="I915" s="133"/>
    </row>
  </sheetData>
  <autoFilter ref="A1:I36" xr:uid="{00000000-0009-0000-0000-000003000000}"/>
  <conditionalFormatting sqref="E2:E36">
    <cfRule type="colorScale" priority="1">
      <colorScale>
        <cfvo type="min"/>
        <cfvo type="percentile" val="50"/>
        <cfvo type="max"/>
        <color rgb="FFF8696B"/>
        <color rgb="FFFFEB84"/>
        <color rgb="FF63BE7B"/>
      </colorScale>
    </cfRule>
  </conditionalFormatting>
  <conditionalFormatting sqref="H2:H36">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B1:L1034"/>
  <sheetViews>
    <sheetView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12.5703125" defaultRowHeight="15" customHeight="1" x14ac:dyDescent="0.2"/>
  <cols>
    <col min="1" max="1" width="3.85546875" customWidth="1"/>
    <col min="2" max="2" width="26.28515625" customWidth="1"/>
    <col min="3" max="3" width="34" customWidth="1"/>
    <col min="4" max="4" width="32.85546875" customWidth="1"/>
    <col min="5" max="5" width="67.7109375" customWidth="1"/>
    <col min="6" max="6" width="5.140625" customWidth="1"/>
    <col min="7" max="7" width="8.140625" customWidth="1"/>
    <col min="8" max="8" width="4.42578125" customWidth="1"/>
    <col min="9" max="9" width="12.42578125" customWidth="1"/>
    <col min="10" max="10" width="8.42578125" customWidth="1"/>
    <col min="11" max="11" width="5.140625" customWidth="1"/>
    <col min="12" max="32" width="11.42578125" customWidth="1"/>
  </cols>
  <sheetData>
    <row r="1" spans="2:12" ht="12.75" x14ac:dyDescent="0.2">
      <c r="E1" s="268"/>
    </row>
    <row r="2" spans="2:12" ht="12.75" customHeight="1" x14ac:dyDescent="0.2">
      <c r="B2" s="269"/>
      <c r="C2" s="269"/>
      <c r="D2" s="269"/>
      <c r="E2" s="269"/>
      <c r="F2" s="270"/>
      <c r="G2" s="270"/>
      <c r="H2" s="270"/>
      <c r="I2" s="270"/>
      <c r="J2" s="270"/>
      <c r="K2" s="270"/>
      <c r="L2" s="271"/>
    </row>
    <row r="3" spans="2:12" ht="12.75" customHeight="1" x14ac:dyDescent="0.2">
      <c r="B3" s="269"/>
      <c r="C3" s="269"/>
      <c r="D3" s="269"/>
      <c r="E3" s="269"/>
      <c r="F3" s="270"/>
      <c r="G3" s="270"/>
      <c r="H3" s="270"/>
      <c r="I3" s="270"/>
      <c r="J3" s="270"/>
      <c r="K3" s="270"/>
      <c r="L3" s="270"/>
    </row>
    <row r="4" spans="2:12" ht="12.75" customHeight="1" x14ac:dyDescent="0.2">
      <c r="B4" s="269"/>
      <c r="C4" s="269"/>
      <c r="D4" s="269"/>
      <c r="E4" s="269"/>
      <c r="F4" s="270"/>
      <c r="G4" s="270"/>
      <c r="H4" s="270"/>
      <c r="I4" s="270"/>
      <c r="J4" s="270"/>
      <c r="K4" s="270"/>
      <c r="L4" s="271"/>
    </row>
    <row r="5" spans="2:12" ht="12.75" customHeight="1" x14ac:dyDescent="0.2">
      <c r="B5" s="269"/>
      <c r="C5" s="269"/>
      <c r="D5" s="269"/>
      <c r="E5" s="269"/>
      <c r="F5" s="270"/>
      <c r="G5" s="270"/>
      <c r="H5" s="270"/>
      <c r="I5" s="270"/>
      <c r="J5" s="270"/>
      <c r="K5" s="270"/>
      <c r="L5" s="272"/>
    </row>
    <row r="6" spans="2:12" ht="17.25" customHeight="1" x14ac:dyDescent="0.2">
      <c r="B6" s="273" t="s">
        <v>19</v>
      </c>
      <c r="C6" s="274" t="s">
        <v>20</v>
      </c>
      <c r="D6" s="274" t="s">
        <v>800</v>
      </c>
      <c r="E6" s="274" t="s">
        <v>801</v>
      </c>
      <c r="F6" s="275" t="s">
        <v>802</v>
      </c>
      <c r="G6" s="276" t="s">
        <v>84</v>
      </c>
      <c r="H6" s="275" t="s">
        <v>803</v>
      </c>
      <c r="I6" s="275" t="s">
        <v>804</v>
      </c>
      <c r="J6" s="275" t="s">
        <v>805</v>
      </c>
      <c r="K6" s="277" t="s">
        <v>806</v>
      </c>
      <c r="L6" s="278" t="s">
        <v>807</v>
      </c>
    </row>
    <row r="7" spans="2:12" ht="27.75" customHeight="1" x14ac:dyDescent="0.2">
      <c r="B7" s="780" t="s">
        <v>74</v>
      </c>
      <c r="C7" s="279" t="s">
        <v>808</v>
      </c>
      <c r="D7" s="279" t="s">
        <v>84</v>
      </c>
      <c r="E7" s="279"/>
      <c r="F7" s="776">
        <f>COUNTIF(D7:D12,"Tecnologías")</f>
        <v>0</v>
      </c>
      <c r="G7" s="776">
        <f>COUNTIF(D7:D12,"Pregrado")</f>
        <v>5</v>
      </c>
      <c r="H7" s="776">
        <f>COUNTIF(D7:D12,"Especializaciones")</f>
        <v>0</v>
      </c>
      <c r="I7" s="776">
        <f>COUNTIF(D7:D12,"Esp. Médico Quirúrgicas")</f>
        <v>0</v>
      </c>
      <c r="J7" s="776">
        <f>COUNTIF(D7:D12,"Maestrías")</f>
        <v>1</v>
      </c>
      <c r="K7" s="776">
        <f>COUNTIF(D7:D12,"Doctorados")</f>
        <v>0</v>
      </c>
      <c r="L7" s="777">
        <f>SUM(F7:K12)</f>
        <v>6</v>
      </c>
    </row>
    <row r="8" spans="2:12" ht="27.75" customHeight="1" x14ac:dyDescent="0.2">
      <c r="B8" s="772"/>
      <c r="C8" s="279" t="s">
        <v>809</v>
      </c>
      <c r="D8" s="279" t="s">
        <v>84</v>
      </c>
      <c r="E8" s="279"/>
      <c r="F8" s="772"/>
      <c r="G8" s="772"/>
      <c r="H8" s="772"/>
      <c r="I8" s="772"/>
      <c r="J8" s="772"/>
      <c r="K8" s="772"/>
      <c r="L8" s="772"/>
    </row>
    <row r="9" spans="2:12" ht="27.75" customHeight="1" x14ac:dyDescent="0.2">
      <c r="B9" s="772"/>
      <c r="C9" s="279" t="s">
        <v>810</v>
      </c>
      <c r="D9" s="279" t="s">
        <v>84</v>
      </c>
      <c r="E9" s="279"/>
      <c r="F9" s="772"/>
      <c r="G9" s="772"/>
      <c r="H9" s="772"/>
      <c r="I9" s="772"/>
      <c r="J9" s="772"/>
      <c r="K9" s="772"/>
      <c r="L9" s="772"/>
    </row>
    <row r="10" spans="2:12" ht="27.75" customHeight="1" x14ac:dyDescent="0.2">
      <c r="B10" s="772"/>
      <c r="C10" s="279" t="s">
        <v>811</v>
      </c>
      <c r="D10" s="279" t="s">
        <v>84</v>
      </c>
      <c r="E10" s="279"/>
      <c r="F10" s="772"/>
      <c r="G10" s="772"/>
      <c r="H10" s="772"/>
      <c r="I10" s="772"/>
      <c r="J10" s="772"/>
      <c r="K10" s="772"/>
      <c r="L10" s="772"/>
    </row>
    <row r="11" spans="2:12" ht="27.75" customHeight="1" x14ac:dyDescent="0.2">
      <c r="B11" s="772"/>
      <c r="C11" s="279" t="s">
        <v>812</v>
      </c>
      <c r="D11" s="279" t="s">
        <v>84</v>
      </c>
      <c r="E11" s="279"/>
      <c r="F11" s="772"/>
      <c r="G11" s="772"/>
      <c r="H11" s="772"/>
      <c r="I11" s="772"/>
      <c r="J11" s="772"/>
      <c r="K11" s="772"/>
      <c r="L11" s="772"/>
    </row>
    <row r="12" spans="2:12" ht="27.75" customHeight="1" x14ac:dyDescent="0.2">
      <c r="B12" s="773"/>
      <c r="C12" s="279" t="s">
        <v>813</v>
      </c>
      <c r="D12" s="279" t="s">
        <v>805</v>
      </c>
      <c r="E12" s="279"/>
      <c r="F12" s="773"/>
      <c r="G12" s="773"/>
      <c r="H12" s="773"/>
      <c r="I12" s="773"/>
      <c r="J12" s="773"/>
      <c r="K12" s="773"/>
      <c r="L12" s="773"/>
    </row>
    <row r="13" spans="2:12" ht="27.75" customHeight="1" x14ac:dyDescent="0.2">
      <c r="B13" s="774" t="s">
        <v>130</v>
      </c>
      <c r="C13" s="280" t="s">
        <v>814</v>
      </c>
      <c r="D13" s="280" t="s">
        <v>84</v>
      </c>
      <c r="E13" s="280"/>
      <c r="F13" s="774">
        <f>COUNTIF(D13:D19,"Tecnologías")</f>
        <v>0</v>
      </c>
      <c r="G13" s="774">
        <f>COUNTIF(D13:D19,"Pregrado")</f>
        <v>3</v>
      </c>
      <c r="H13" s="774">
        <f>COUNTIF(D13:D19,"Especializaciones")</f>
        <v>2</v>
      </c>
      <c r="I13" s="774">
        <f>COUNTIF(D13:D19,"Esp. Médico Quirúrgicas")</f>
        <v>0</v>
      </c>
      <c r="J13" s="774">
        <f>COUNTIF(D13:D19,"Maestrías")</f>
        <v>1</v>
      </c>
      <c r="K13" s="774">
        <f>COUNTIF(D13:D19,"Doctorados")</f>
        <v>1</v>
      </c>
      <c r="L13" s="774">
        <f>SUM(F13:K16)</f>
        <v>7</v>
      </c>
    </row>
    <row r="14" spans="2:12" ht="27.75" customHeight="1" x14ac:dyDescent="0.2">
      <c r="B14" s="772"/>
      <c r="C14" s="280" t="s">
        <v>815</v>
      </c>
      <c r="D14" s="280" t="s">
        <v>84</v>
      </c>
      <c r="E14" s="280"/>
      <c r="F14" s="772"/>
      <c r="G14" s="772"/>
      <c r="H14" s="772"/>
      <c r="I14" s="772"/>
      <c r="J14" s="772"/>
      <c r="K14" s="772"/>
      <c r="L14" s="772"/>
    </row>
    <row r="15" spans="2:12" ht="27.75" customHeight="1" x14ac:dyDescent="0.2">
      <c r="B15" s="772"/>
      <c r="C15" s="280" t="s">
        <v>816</v>
      </c>
      <c r="D15" s="280" t="s">
        <v>84</v>
      </c>
      <c r="E15" s="280"/>
      <c r="F15" s="772"/>
      <c r="G15" s="772"/>
      <c r="H15" s="772"/>
      <c r="I15" s="772"/>
      <c r="J15" s="772"/>
      <c r="K15" s="772"/>
      <c r="L15" s="772"/>
    </row>
    <row r="16" spans="2:12" ht="27.75" customHeight="1" x14ac:dyDescent="0.2">
      <c r="B16" s="772"/>
      <c r="C16" s="280" t="s">
        <v>817</v>
      </c>
      <c r="D16" s="280" t="s">
        <v>818</v>
      </c>
      <c r="E16" s="280"/>
      <c r="F16" s="772"/>
      <c r="G16" s="772"/>
      <c r="H16" s="772"/>
      <c r="I16" s="772"/>
      <c r="J16" s="772"/>
      <c r="K16" s="772"/>
      <c r="L16" s="772"/>
    </row>
    <row r="17" spans="2:12" ht="27.75" customHeight="1" x14ac:dyDescent="0.2">
      <c r="B17" s="772"/>
      <c r="C17" s="280" t="s">
        <v>819</v>
      </c>
      <c r="D17" s="280" t="s">
        <v>818</v>
      </c>
      <c r="E17" s="280"/>
      <c r="F17" s="772"/>
      <c r="G17" s="772"/>
      <c r="H17" s="772"/>
      <c r="I17" s="772"/>
      <c r="J17" s="772"/>
      <c r="K17" s="772"/>
      <c r="L17" s="772"/>
    </row>
    <row r="18" spans="2:12" ht="27.75" customHeight="1" x14ac:dyDescent="0.2">
      <c r="B18" s="772"/>
      <c r="C18" s="280" t="s">
        <v>820</v>
      </c>
      <c r="D18" s="280" t="s">
        <v>805</v>
      </c>
      <c r="E18" s="280"/>
      <c r="F18" s="772"/>
      <c r="G18" s="772"/>
      <c r="H18" s="772"/>
      <c r="I18" s="772"/>
      <c r="J18" s="772"/>
      <c r="K18" s="772"/>
      <c r="L18" s="772"/>
    </row>
    <row r="19" spans="2:12" ht="27.75" customHeight="1" x14ac:dyDescent="0.2">
      <c r="B19" s="773"/>
      <c r="C19" s="280" t="s">
        <v>821</v>
      </c>
      <c r="D19" s="280" t="s">
        <v>822</v>
      </c>
      <c r="E19" s="280"/>
      <c r="F19" s="773"/>
      <c r="G19" s="773"/>
      <c r="H19" s="773"/>
      <c r="I19" s="773"/>
      <c r="J19" s="773"/>
      <c r="K19" s="773"/>
      <c r="L19" s="773"/>
    </row>
    <row r="20" spans="2:12" ht="33.75" customHeight="1" x14ac:dyDescent="0.2">
      <c r="B20" s="778" t="s">
        <v>823</v>
      </c>
      <c r="C20" s="281" t="s">
        <v>824</v>
      </c>
      <c r="D20" s="281" t="s">
        <v>84</v>
      </c>
      <c r="E20" s="282" t="s">
        <v>825</v>
      </c>
      <c r="F20" s="778">
        <f>COUNTIF(D20:D32,"Tecnologías")</f>
        <v>0</v>
      </c>
      <c r="G20" s="778">
        <f>COUNTIF(D20:D32,"Pregrado")</f>
        <v>4</v>
      </c>
      <c r="H20" s="778">
        <f>COUNTIF(D20:D32,"Especializaciones")</f>
        <v>5</v>
      </c>
      <c r="I20" s="778">
        <f>COUNTIF(D20:D32,"Esp. Médico Quirúrgicas")</f>
        <v>0</v>
      </c>
      <c r="J20" s="778">
        <f>COUNTIF(D20:D32,"Maestrías")</f>
        <v>4</v>
      </c>
      <c r="K20" s="778">
        <f>COUNTIF(D20:D32,"Doctorados")</f>
        <v>0</v>
      </c>
      <c r="L20" s="778">
        <f>SUM(F20:K29)</f>
        <v>13</v>
      </c>
    </row>
    <row r="21" spans="2:12" ht="27.75" customHeight="1" x14ac:dyDescent="0.2">
      <c r="B21" s="772"/>
      <c r="C21" s="281" t="s">
        <v>826</v>
      </c>
      <c r="D21" s="281" t="s">
        <v>84</v>
      </c>
      <c r="E21" s="281"/>
      <c r="F21" s="772"/>
      <c r="G21" s="772"/>
      <c r="H21" s="772"/>
      <c r="I21" s="772"/>
      <c r="J21" s="772"/>
      <c r="K21" s="772"/>
      <c r="L21" s="772"/>
    </row>
    <row r="22" spans="2:12" ht="27.75" customHeight="1" x14ac:dyDescent="0.2">
      <c r="B22" s="772"/>
      <c r="C22" s="281" t="s">
        <v>827</v>
      </c>
      <c r="D22" s="281" t="s">
        <v>84</v>
      </c>
      <c r="E22" s="281"/>
      <c r="F22" s="772"/>
      <c r="G22" s="772"/>
      <c r="H22" s="772"/>
      <c r="I22" s="772"/>
      <c r="J22" s="772"/>
      <c r="K22" s="772"/>
      <c r="L22" s="772"/>
    </row>
    <row r="23" spans="2:12" ht="27.75" customHeight="1" x14ac:dyDescent="0.2">
      <c r="B23" s="772"/>
      <c r="C23" s="281" t="s">
        <v>828</v>
      </c>
      <c r="D23" s="281" t="s">
        <v>84</v>
      </c>
      <c r="E23" s="281"/>
      <c r="F23" s="772"/>
      <c r="G23" s="772"/>
      <c r="H23" s="772"/>
      <c r="I23" s="772"/>
      <c r="J23" s="772"/>
      <c r="K23" s="772"/>
      <c r="L23" s="772"/>
    </row>
    <row r="24" spans="2:12" ht="27.75" customHeight="1" x14ac:dyDescent="0.2">
      <c r="B24" s="772"/>
      <c r="C24" s="281" t="s">
        <v>829</v>
      </c>
      <c r="D24" s="281" t="s">
        <v>818</v>
      </c>
      <c r="E24" s="281"/>
      <c r="F24" s="772"/>
      <c r="G24" s="772"/>
      <c r="H24" s="772"/>
      <c r="I24" s="772"/>
      <c r="J24" s="772"/>
      <c r="K24" s="772"/>
      <c r="L24" s="772"/>
    </row>
    <row r="25" spans="2:12" ht="27.75" customHeight="1" x14ac:dyDescent="0.2">
      <c r="B25" s="772"/>
      <c r="C25" s="281" t="s">
        <v>830</v>
      </c>
      <c r="D25" s="281" t="s">
        <v>818</v>
      </c>
      <c r="E25" s="281"/>
      <c r="F25" s="772"/>
      <c r="G25" s="772"/>
      <c r="H25" s="772"/>
      <c r="I25" s="772"/>
      <c r="J25" s="772"/>
      <c r="K25" s="772"/>
      <c r="L25" s="772"/>
    </row>
    <row r="26" spans="2:12" ht="27.75" customHeight="1" x14ac:dyDescent="0.2">
      <c r="B26" s="772"/>
      <c r="C26" s="281" t="s">
        <v>831</v>
      </c>
      <c r="D26" s="281" t="s">
        <v>818</v>
      </c>
      <c r="E26" s="281"/>
      <c r="F26" s="772"/>
      <c r="G26" s="772"/>
      <c r="H26" s="772"/>
      <c r="I26" s="772"/>
      <c r="J26" s="772"/>
      <c r="K26" s="772"/>
      <c r="L26" s="772"/>
    </row>
    <row r="27" spans="2:12" ht="27.75" customHeight="1" x14ac:dyDescent="0.2">
      <c r="B27" s="772"/>
      <c r="C27" s="281" t="s">
        <v>832</v>
      </c>
      <c r="D27" s="281" t="s">
        <v>818</v>
      </c>
      <c r="E27" s="281"/>
      <c r="F27" s="772"/>
      <c r="G27" s="772"/>
      <c r="H27" s="772"/>
      <c r="I27" s="772"/>
      <c r="J27" s="772"/>
      <c r="K27" s="772"/>
      <c r="L27" s="772"/>
    </row>
    <row r="28" spans="2:12" ht="27.75" customHeight="1" x14ac:dyDescent="0.2">
      <c r="B28" s="772"/>
      <c r="C28" s="281" t="s">
        <v>833</v>
      </c>
      <c r="D28" s="281" t="s">
        <v>818</v>
      </c>
      <c r="E28" s="281"/>
      <c r="F28" s="772"/>
      <c r="G28" s="772"/>
      <c r="H28" s="772"/>
      <c r="I28" s="772"/>
      <c r="J28" s="772"/>
      <c r="K28" s="772"/>
      <c r="L28" s="772"/>
    </row>
    <row r="29" spans="2:12" ht="27.75" customHeight="1" x14ac:dyDescent="0.2">
      <c r="B29" s="772"/>
      <c r="C29" s="281" t="s">
        <v>834</v>
      </c>
      <c r="D29" s="281" t="s">
        <v>805</v>
      </c>
      <c r="E29" s="281"/>
      <c r="F29" s="772"/>
      <c r="G29" s="772"/>
      <c r="H29" s="772"/>
      <c r="I29" s="772"/>
      <c r="J29" s="772"/>
      <c r="K29" s="772"/>
      <c r="L29" s="772"/>
    </row>
    <row r="30" spans="2:12" ht="27.75" customHeight="1" x14ac:dyDescent="0.2">
      <c r="B30" s="772"/>
      <c r="C30" s="281" t="s">
        <v>835</v>
      </c>
      <c r="D30" s="281" t="s">
        <v>805</v>
      </c>
      <c r="E30" s="281"/>
      <c r="F30" s="772"/>
      <c r="G30" s="772"/>
      <c r="H30" s="772"/>
      <c r="I30" s="772"/>
      <c r="J30" s="772"/>
      <c r="K30" s="772"/>
      <c r="L30" s="772"/>
    </row>
    <row r="31" spans="2:12" ht="27.75" customHeight="1" x14ac:dyDescent="0.2">
      <c r="B31" s="772"/>
      <c r="C31" s="281" t="s">
        <v>836</v>
      </c>
      <c r="D31" s="281" t="s">
        <v>805</v>
      </c>
      <c r="E31" s="281"/>
      <c r="F31" s="772"/>
      <c r="G31" s="772"/>
      <c r="H31" s="772"/>
      <c r="I31" s="772"/>
      <c r="J31" s="772"/>
      <c r="K31" s="772"/>
      <c r="L31" s="772"/>
    </row>
    <row r="32" spans="2:12" ht="27.75" customHeight="1" x14ac:dyDescent="0.2">
      <c r="B32" s="773"/>
      <c r="C32" s="281" t="s">
        <v>837</v>
      </c>
      <c r="D32" s="281" t="s">
        <v>805</v>
      </c>
      <c r="E32" s="281"/>
      <c r="F32" s="773"/>
      <c r="G32" s="773"/>
      <c r="H32" s="773"/>
      <c r="I32" s="773"/>
      <c r="J32" s="773"/>
      <c r="K32" s="773"/>
      <c r="L32" s="773"/>
    </row>
    <row r="33" spans="2:12" ht="27.75" customHeight="1" x14ac:dyDescent="0.2">
      <c r="B33" s="784" t="s">
        <v>413</v>
      </c>
      <c r="C33" s="283" t="s">
        <v>838</v>
      </c>
      <c r="D33" s="283" t="s">
        <v>84</v>
      </c>
      <c r="E33" s="283"/>
      <c r="F33" s="779">
        <f>COUNTIF(D33:D59,"Tecnologías")</f>
        <v>0</v>
      </c>
      <c r="G33" s="779">
        <f>COUNTIF(D33:D59,"Pregrado")</f>
        <v>9</v>
      </c>
      <c r="H33" s="779">
        <f>COUNTIF(D33:D59,"Especializaciones")</f>
        <v>1</v>
      </c>
      <c r="I33" s="779">
        <f>COUNTIF(D33:D59,"Esp. Médico Quirúrgicas")</f>
        <v>0</v>
      </c>
      <c r="J33" s="779">
        <f>COUNTIF(D33:D59,"Maestrías")</f>
        <v>12</v>
      </c>
      <c r="K33" s="779">
        <f>COUNTIF(D33:D59,"Doctorados")</f>
        <v>5</v>
      </c>
      <c r="L33" s="779">
        <f>SUM(F33:K59)</f>
        <v>27</v>
      </c>
    </row>
    <row r="34" spans="2:12" ht="27.75" customHeight="1" x14ac:dyDescent="0.2">
      <c r="B34" s="758"/>
      <c r="C34" s="283" t="s">
        <v>839</v>
      </c>
      <c r="D34" s="283" t="s">
        <v>84</v>
      </c>
      <c r="E34" s="283"/>
      <c r="F34" s="772"/>
      <c r="G34" s="772"/>
      <c r="H34" s="772"/>
      <c r="I34" s="772"/>
      <c r="J34" s="772"/>
      <c r="K34" s="772"/>
      <c r="L34" s="772"/>
    </row>
    <row r="35" spans="2:12" ht="27.75" customHeight="1" x14ac:dyDescent="0.2">
      <c r="B35" s="758"/>
      <c r="C35" s="283" t="s">
        <v>840</v>
      </c>
      <c r="D35" s="283" t="s">
        <v>84</v>
      </c>
      <c r="E35" s="283"/>
      <c r="F35" s="772"/>
      <c r="G35" s="772"/>
      <c r="H35" s="772"/>
      <c r="I35" s="772"/>
      <c r="J35" s="772"/>
      <c r="K35" s="772"/>
      <c r="L35" s="772"/>
    </row>
    <row r="36" spans="2:12" ht="27.75" customHeight="1" x14ac:dyDescent="0.2">
      <c r="B36" s="758"/>
      <c r="C36" s="283" t="s">
        <v>841</v>
      </c>
      <c r="D36" s="283" t="s">
        <v>84</v>
      </c>
      <c r="E36" s="283"/>
      <c r="F36" s="772"/>
      <c r="G36" s="772"/>
      <c r="H36" s="772"/>
      <c r="I36" s="772"/>
      <c r="J36" s="772"/>
      <c r="K36" s="772"/>
      <c r="L36" s="772"/>
    </row>
    <row r="37" spans="2:12" ht="27.75" customHeight="1" x14ac:dyDescent="0.2">
      <c r="B37" s="758"/>
      <c r="C37" s="283" t="s">
        <v>842</v>
      </c>
      <c r="D37" s="283" t="s">
        <v>84</v>
      </c>
      <c r="E37" s="283"/>
      <c r="F37" s="772"/>
      <c r="G37" s="772"/>
      <c r="H37" s="772"/>
      <c r="I37" s="772"/>
      <c r="J37" s="772"/>
      <c r="K37" s="772"/>
      <c r="L37" s="772"/>
    </row>
    <row r="38" spans="2:12" ht="27.75" customHeight="1" x14ac:dyDescent="0.2">
      <c r="B38" s="758"/>
      <c r="C38" s="283" t="s">
        <v>843</v>
      </c>
      <c r="D38" s="283" t="s">
        <v>84</v>
      </c>
      <c r="E38" s="283"/>
      <c r="F38" s="772"/>
      <c r="G38" s="772"/>
      <c r="H38" s="772"/>
      <c r="I38" s="772"/>
      <c r="J38" s="772"/>
      <c r="K38" s="772"/>
      <c r="L38" s="772"/>
    </row>
    <row r="39" spans="2:12" ht="33.75" customHeight="1" x14ac:dyDescent="0.2">
      <c r="B39" s="758"/>
      <c r="C39" s="283" t="s">
        <v>844</v>
      </c>
      <c r="D39" s="283" t="s">
        <v>84</v>
      </c>
      <c r="E39" s="284" t="s">
        <v>825</v>
      </c>
      <c r="F39" s="772"/>
      <c r="G39" s="772"/>
      <c r="H39" s="772"/>
      <c r="I39" s="772"/>
      <c r="J39" s="772"/>
      <c r="K39" s="772"/>
      <c r="L39" s="772"/>
    </row>
    <row r="40" spans="2:12" ht="27.75" customHeight="1" x14ac:dyDescent="0.2">
      <c r="B40" s="758"/>
      <c r="C40" s="283" t="s">
        <v>845</v>
      </c>
      <c r="D40" s="283" t="s">
        <v>84</v>
      </c>
      <c r="E40" s="283"/>
      <c r="F40" s="772"/>
      <c r="G40" s="772"/>
      <c r="H40" s="772"/>
      <c r="I40" s="772"/>
      <c r="J40" s="772"/>
      <c r="K40" s="772"/>
      <c r="L40" s="772"/>
    </row>
    <row r="41" spans="2:12" ht="27.75" customHeight="1" x14ac:dyDescent="0.2">
      <c r="B41" s="758"/>
      <c r="C41" s="283" t="s">
        <v>846</v>
      </c>
      <c r="D41" s="283" t="s">
        <v>84</v>
      </c>
      <c r="E41" s="283"/>
      <c r="F41" s="772"/>
      <c r="G41" s="772"/>
      <c r="H41" s="772"/>
      <c r="I41" s="772"/>
      <c r="J41" s="772"/>
      <c r="K41" s="772"/>
      <c r="L41" s="772"/>
    </row>
    <row r="42" spans="2:12" ht="27.75" customHeight="1" x14ac:dyDescent="0.2">
      <c r="B42" s="758"/>
      <c r="C42" s="283" t="s">
        <v>847</v>
      </c>
      <c r="D42" s="283" t="s">
        <v>818</v>
      </c>
      <c r="E42" s="283"/>
      <c r="F42" s="772"/>
      <c r="G42" s="772"/>
      <c r="H42" s="772"/>
      <c r="I42" s="772"/>
      <c r="J42" s="772"/>
      <c r="K42" s="772"/>
      <c r="L42" s="772"/>
    </row>
    <row r="43" spans="2:12" ht="27.75" customHeight="1" x14ac:dyDescent="0.2">
      <c r="B43" s="758"/>
      <c r="C43" s="283" t="s">
        <v>848</v>
      </c>
      <c r="D43" s="283" t="s">
        <v>805</v>
      </c>
      <c r="E43" s="283"/>
      <c r="F43" s="772"/>
      <c r="G43" s="772"/>
      <c r="H43" s="772"/>
      <c r="I43" s="772"/>
      <c r="J43" s="772"/>
      <c r="K43" s="772"/>
      <c r="L43" s="772"/>
    </row>
    <row r="44" spans="2:12" ht="27.75" customHeight="1" x14ac:dyDescent="0.2">
      <c r="B44" s="758"/>
      <c r="C44" s="283" t="s">
        <v>849</v>
      </c>
      <c r="D44" s="283" t="s">
        <v>805</v>
      </c>
      <c r="E44" s="283"/>
      <c r="F44" s="772"/>
      <c r="G44" s="772"/>
      <c r="H44" s="772"/>
      <c r="I44" s="772"/>
      <c r="J44" s="772"/>
      <c r="K44" s="772"/>
      <c r="L44" s="772"/>
    </row>
    <row r="45" spans="2:12" ht="27.75" customHeight="1" x14ac:dyDescent="0.2">
      <c r="B45" s="758"/>
      <c r="C45" s="283" t="s">
        <v>850</v>
      </c>
      <c r="D45" s="283" t="s">
        <v>805</v>
      </c>
      <c r="E45" s="283"/>
      <c r="F45" s="772"/>
      <c r="G45" s="772"/>
      <c r="H45" s="772"/>
      <c r="I45" s="772"/>
      <c r="J45" s="772"/>
      <c r="K45" s="772"/>
      <c r="L45" s="772"/>
    </row>
    <row r="46" spans="2:12" ht="27.75" customHeight="1" x14ac:dyDescent="0.2">
      <c r="B46" s="758"/>
      <c r="C46" s="283" t="s">
        <v>851</v>
      </c>
      <c r="D46" s="283" t="s">
        <v>805</v>
      </c>
      <c r="E46" s="283"/>
      <c r="F46" s="772"/>
      <c r="G46" s="772"/>
      <c r="H46" s="772"/>
      <c r="I46" s="772"/>
      <c r="J46" s="772"/>
      <c r="K46" s="772"/>
      <c r="L46" s="772"/>
    </row>
    <row r="47" spans="2:12" ht="27.75" customHeight="1" x14ac:dyDescent="0.2">
      <c r="B47" s="758"/>
      <c r="C47" s="283" t="s">
        <v>852</v>
      </c>
      <c r="D47" s="283" t="s">
        <v>805</v>
      </c>
      <c r="E47" s="283"/>
      <c r="F47" s="772"/>
      <c r="G47" s="772"/>
      <c r="H47" s="772"/>
      <c r="I47" s="772"/>
      <c r="J47" s="772"/>
      <c r="K47" s="772"/>
      <c r="L47" s="772"/>
    </row>
    <row r="48" spans="2:12" ht="27.75" customHeight="1" x14ac:dyDescent="0.2">
      <c r="B48" s="758"/>
      <c r="C48" s="283" t="s">
        <v>853</v>
      </c>
      <c r="D48" s="283" t="s">
        <v>805</v>
      </c>
      <c r="E48" s="283"/>
      <c r="F48" s="772"/>
      <c r="G48" s="772"/>
      <c r="H48" s="772"/>
      <c r="I48" s="772"/>
      <c r="J48" s="772"/>
      <c r="K48" s="772"/>
      <c r="L48" s="772"/>
    </row>
    <row r="49" spans="2:12" ht="27.75" customHeight="1" x14ac:dyDescent="0.2">
      <c r="B49" s="758"/>
      <c r="C49" s="283" t="s">
        <v>854</v>
      </c>
      <c r="D49" s="283" t="s">
        <v>805</v>
      </c>
      <c r="E49" s="283"/>
      <c r="F49" s="772"/>
      <c r="G49" s="772"/>
      <c r="H49" s="772"/>
      <c r="I49" s="772"/>
      <c r="J49" s="772"/>
      <c r="K49" s="772"/>
      <c r="L49" s="772"/>
    </row>
    <row r="50" spans="2:12" ht="27.75" customHeight="1" x14ac:dyDescent="0.2">
      <c r="B50" s="758"/>
      <c r="C50" s="283" t="s">
        <v>855</v>
      </c>
      <c r="D50" s="283" t="s">
        <v>805</v>
      </c>
      <c r="E50" s="283"/>
      <c r="F50" s="772"/>
      <c r="G50" s="772"/>
      <c r="H50" s="772"/>
      <c r="I50" s="772"/>
      <c r="J50" s="772"/>
      <c r="K50" s="772"/>
      <c r="L50" s="772"/>
    </row>
    <row r="51" spans="2:12" ht="27.75" customHeight="1" x14ac:dyDescent="0.2">
      <c r="B51" s="758"/>
      <c r="C51" s="283" t="s">
        <v>856</v>
      </c>
      <c r="D51" s="283" t="s">
        <v>805</v>
      </c>
      <c r="E51" s="283"/>
      <c r="F51" s="772"/>
      <c r="G51" s="772"/>
      <c r="H51" s="772"/>
      <c r="I51" s="772"/>
      <c r="J51" s="772"/>
      <c r="K51" s="772"/>
      <c r="L51" s="772"/>
    </row>
    <row r="52" spans="2:12" ht="27.75" customHeight="1" x14ac:dyDescent="0.2">
      <c r="B52" s="758"/>
      <c r="C52" s="283" t="s">
        <v>857</v>
      </c>
      <c r="D52" s="283" t="s">
        <v>805</v>
      </c>
      <c r="E52" s="283"/>
      <c r="F52" s="772"/>
      <c r="G52" s="772"/>
      <c r="H52" s="772"/>
      <c r="I52" s="772"/>
      <c r="J52" s="772"/>
      <c r="K52" s="772"/>
      <c r="L52" s="772"/>
    </row>
    <row r="53" spans="2:12" ht="27.75" customHeight="1" x14ac:dyDescent="0.2">
      <c r="B53" s="758"/>
      <c r="C53" s="283" t="s">
        <v>858</v>
      </c>
      <c r="D53" s="283" t="s">
        <v>805</v>
      </c>
      <c r="E53" s="283"/>
      <c r="F53" s="772"/>
      <c r="G53" s="772"/>
      <c r="H53" s="772"/>
      <c r="I53" s="772"/>
      <c r="J53" s="772"/>
      <c r="K53" s="772"/>
      <c r="L53" s="772"/>
    </row>
    <row r="54" spans="2:12" ht="27.75" customHeight="1" x14ac:dyDescent="0.2">
      <c r="B54" s="758"/>
      <c r="C54" s="283" t="s">
        <v>859</v>
      </c>
      <c r="D54" s="283" t="s">
        <v>805</v>
      </c>
      <c r="E54" s="283"/>
      <c r="F54" s="772"/>
      <c r="G54" s="772"/>
      <c r="H54" s="772"/>
      <c r="I54" s="772"/>
      <c r="J54" s="772"/>
      <c r="K54" s="772"/>
      <c r="L54" s="772"/>
    </row>
    <row r="55" spans="2:12" ht="27.75" customHeight="1" x14ac:dyDescent="0.2">
      <c r="B55" s="758"/>
      <c r="C55" s="283" t="s">
        <v>860</v>
      </c>
      <c r="D55" s="283" t="s">
        <v>822</v>
      </c>
      <c r="E55" s="283"/>
      <c r="F55" s="772"/>
      <c r="G55" s="772"/>
      <c r="H55" s="772"/>
      <c r="I55" s="772"/>
      <c r="J55" s="772"/>
      <c r="K55" s="772"/>
      <c r="L55" s="772"/>
    </row>
    <row r="56" spans="2:12" ht="27.75" customHeight="1" x14ac:dyDescent="0.2">
      <c r="B56" s="758"/>
      <c r="C56" s="283" t="s">
        <v>861</v>
      </c>
      <c r="D56" s="283" t="s">
        <v>822</v>
      </c>
      <c r="E56" s="283"/>
      <c r="F56" s="772"/>
      <c r="G56" s="772"/>
      <c r="H56" s="772"/>
      <c r="I56" s="772"/>
      <c r="J56" s="772"/>
      <c r="K56" s="772"/>
      <c r="L56" s="772"/>
    </row>
    <row r="57" spans="2:12" ht="27.75" customHeight="1" x14ac:dyDescent="0.2">
      <c r="B57" s="758"/>
      <c r="C57" s="283" t="s">
        <v>862</v>
      </c>
      <c r="D57" s="283" t="s">
        <v>822</v>
      </c>
      <c r="E57" s="283"/>
      <c r="F57" s="772"/>
      <c r="G57" s="772"/>
      <c r="H57" s="772"/>
      <c r="I57" s="772"/>
      <c r="J57" s="772"/>
      <c r="K57" s="772"/>
      <c r="L57" s="772"/>
    </row>
    <row r="58" spans="2:12" ht="27.75" customHeight="1" x14ac:dyDescent="0.2">
      <c r="B58" s="758"/>
      <c r="C58" s="283" t="s">
        <v>863</v>
      </c>
      <c r="D58" s="283" t="s">
        <v>822</v>
      </c>
      <c r="E58" s="283"/>
      <c r="F58" s="772"/>
      <c r="G58" s="772"/>
      <c r="H58" s="772"/>
      <c r="I58" s="772"/>
      <c r="J58" s="772"/>
      <c r="K58" s="772"/>
      <c r="L58" s="772"/>
    </row>
    <row r="59" spans="2:12" ht="27.75" customHeight="1" x14ac:dyDescent="0.2">
      <c r="B59" s="783"/>
      <c r="C59" s="283" t="s">
        <v>864</v>
      </c>
      <c r="D59" s="283" t="s">
        <v>822</v>
      </c>
      <c r="E59" s="283"/>
      <c r="F59" s="773"/>
      <c r="G59" s="773"/>
      <c r="H59" s="773"/>
      <c r="I59" s="773"/>
      <c r="J59" s="773"/>
      <c r="K59" s="773"/>
      <c r="L59" s="773"/>
    </row>
    <row r="60" spans="2:12" ht="27.75" customHeight="1" x14ac:dyDescent="0.2">
      <c r="B60" s="785" t="s">
        <v>333</v>
      </c>
      <c r="C60" s="279" t="s">
        <v>865</v>
      </c>
      <c r="D60" s="279" t="s">
        <v>84</v>
      </c>
      <c r="E60" s="279"/>
      <c r="F60" s="780">
        <f>COUNTIF(D60:D72,"Tecnologías")</f>
        <v>0</v>
      </c>
      <c r="G60" s="780">
        <f>COUNTIF(D60:D72,"Pregrado")</f>
        <v>8</v>
      </c>
      <c r="H60" s="780">
        <f>COUNTIF(D60:D72,"Especializaciones")</f>
        <v>0</v>
      </c>
      <c r="I60" s="780">
        <f>COUNTIF(D60:D72,"Esp. Médico Quirúrgicas")</f>
        <v>0</v>
      </c>
      <c r="J60" s="780">
        <f>COUNTIF(D60:D72,"Maestrías")</f>
        <v>3</v>
      </c>
      <c r="K60" s="780">
        <f>COUNTIF(D60:D72,"Doctorados")</f>
        <v>2</v>
      </c>
      <c r="L60" s="780">
        <f>SUM(F60:K70)</f>
        <v>13</v>
      </c>
    </row>
    <row r="61" spans="2:12" ht="27.75" customHeight="1" x14ac:dyDescent="0.2">
      <c r="B61" s="758"/>
      <c r="C61" s="279" t="s">
        <v>866</v>
      </c>
      <c r="D61" s="279" t="s">
        <v>84</v>
      </c>
      <c r="E61" s="279"/>
      <c r="F61" s="772"/>
      <c r="G61" s="772"/>
      <c r="H61" s="772"/>
      <c r="I61" s="772"/>
      <c r="J61" s="772"/>
      <c r="K61" s="772"/>
      <c r="L61" s="772"/>
    </row>
    <row r="62" spans="2:12" ht="27.75" customHeight="1" x14ac:dyDescent="0.2">
      <c r="B62" s="758"/>
      <c r="C62" s="279" t="s">
        <v>867</v>
      </c>
      <c r="D62" s="279" t="s">
        <v>84</v>
      </c>
      <c r="E62" s="279"/>
      <c r="F62" s="772"/>
      <c r="G62" s="772"/>
      <c r="H62" s="772"/>
      <c r="I62" s="772"/>
      <c r="J62" s="772"/>
      <c r="K62" s="772"/>
      <c r="L62" s="772"/>
    </row>
    <row r="63" spans="2:12" ht="27.75" customHeight="1" x14ac:dyDescent="0.2">
      <c r="B63" s="758"/>
      <c r="C63" s="279" t="s">
        <v>868</v>
      </c>
      <c r="D63" s="279" t="s">
        <v>84</v>
      </c>
      <c r="E63" s="279"/>
      <c r="F63" s="772"/>
      <c r="G63" s="772"/>
      <c r="H63" s="772"/>
      <c r="I63" s="772"/>
      <c r="J63" s="772"/>
      <c r="K63" s="772"/>
      <c r="L63" s="772"/>
    </row>
    <row r="64" spans="2:12" ht="27.75" customHeight="1" x14ac:dyDescent="0.2">
      <c r="B64" s="758"/>
      <c r="C64" s="279" t="s">
        <v>869</v>
      </c>
      <c r="D64" s="279" t="s">
        <v>84</v>
      </c>
      <c r="E64" s="279"/>
      <c r="F64" s="772"/>
      <c r="G64" s="772"/>
      <c r="H64" s="772"/>
      <c r="I64" s="772"/>
      <c r="J64" s="772"/>
      <c r="K64" s="772"/>
      <c r="L64" s="772"/>
    </row>
    <row r="65" spans="2:12" ht="27.75" customHeight="1" x14ac:dyDescent="0.2">
      <c r="B65" s="758"/>
      <c r="C65" s="279" t="s">
        <v>870</v>
      </c>
      <c r="D65" s="279" t="s">
        <v>84</v>
      </c>
      <c r="E65" s="279"/>
      <c r="F65" s="772"/>
      <c r="G65" s="772"/>
      <c r="H65" s="772"/>
      <c r="I65" s="772"/>
      <c r="J65" s="772"/>
      <c r="K65" s="772"/>
      <c r="L65" s="772"/>
    </row>
    <row r="66" spans="2:12" ht="27.75" customHeight="1" x14ac:dyDescent="0.2">
      <c r="B66" s="758"/>
      <c r="C66" s="279" t="s">
        <v>871</v>
      </c>
      <c r="D66" s="279" t="s">
        <v>84</v>
      </c>
      <c r="E66" s="279"/>
      <c r="F66" s="772"/>
      <c r="G66" s="772"/>
      <c r="H66" s="772"/>
      <c r="I66" s="772"/>
      <c r="J66" s="772"/>
      <c r="K66" s="772"/>
      <c r="L66" s="772"/>
    </row>
    <row r="67" spans="2:12" ht="36.75" customHeight="1" x14ac:dyDescent="0.2">
      <c r="B67" s="758"/>
      <c r="C67" s="285" t="s">
        <v>872</v>
      </c>
      <c r="D67" s="279" t="s">
        <v>84</v>
      </c>
      <c r="E67" s="286" t="s">
        <v>873</v>
      </c>
      <c r="F67" s="772"/>
      <c r="G67" s="772"/>
      <c r="H67" s="772"/>
      <c r="I67" s="772"/>
      <c r="J67" s="772"/>
      <c r="K67" s="772"/>
      <c r="L67" s="772"/>
    </row>
    <row r="68" spans="2:12" ht="27.75" customHeight="1" x14ac:dyDescent="0.2">
      <c r="B68" s="758"/>
      <c r="C68" s="279" t="s">
        <v>874</v>
      </c>
      <c r="D68" s="279" t="s">
        <v>805</v>
      </c>
      <c r="E68" s="279"/>
      <c r="F68" s="772"/>
      <c r="G68" s="772"/>
      <c r="H68" s="772"/>
      <c r="I68" s="772"/>
      <c r="J68" s="772"/>
      <c r="K68" s="772"/>
      <c r="L68" s="772"/>
    </row>
    <row r="69" spans="2:12" ht="27.75" customHeight="1" x14ac:dyDescent="0.2">
      <c r="B69" s="758"/>
      <c r="C69" s="279" t="s">
        <v>875</v>
      </c>
      <c r="D69" s="279" t="s">
        <v>805</v>
      </c>
      <c r="E69" s="279"/>
      <c r="F69" s="772"/>
      <c r="G69" s="772"/>
      <c r="H69" s="772"/>
      <c r="I69" s="772"/>
      <c r="J69" s="772"/>
      <c r="K69" s="772"/>
      <c r="L69" s="772"/>
    </row>
    <row r="70" spans="2:12" ht="27.75" customHeight="1" x14ac:dyDescent="0.2">
      <c r="B70" s="758"/>
      <c r="C70" s="279" t="s">
        <v>876</v>
      </c>
      <c r="D70" s="279" t="s">
        <v>805</v>
      </c>
      <c r="E70" s="279"/>
      <c r="F70" s="772"/>
      <c r="G70" s="772"/>
      <c r="H70" s="772"/>
      <c r="I70" s="772"/>
      <c r="J70" s="772"/>
      <c r="K70" s="772"/>
      <c r="L70" s="772"/>
    </row>
    <row r="71" spans="2:12" ht="27.75" customHeight="1" x14ac:dyDescent="0.2">
      <c r="B71" s="758"/>
      <c r="C71" s="279" t="s">
        <v>877</v>
      </c>
      <c r="D71" s="279" t="s">
        <v>822</v>
      </c>
      <c r="E71" s="279"/>
      <c r="F71" s="772"/>
      <c r="G71" s="772"/>
      <c r="H71" s="772"/>
      <c r="I71" s="772"/>
      <c r="J71" s="772"/>
      <c r="K71" s="772"/>
      <c r="L71" s="772"/>
    </row>
    <row r="72" spans="2:12" ht="27.75" customHeight="1" x14ac:dyDescent="0.2">
      <c r="B72" s="783"/>
      <c r="C72" s="279" t="s">
        <v>878</v>
      </c>
      <c r="D72" s="279" t="s">
        <v>822</v>
      </c>
      <c r="E72" s="279"/>
      <c r="F72" s="773"/>
      <c r="G72" s="773"/>
      <c r="H72" s="773"/>
      <c r="I72" s="773"/>
      <c r="J72" s="773"/>
      <c r="K72" s="773"/>
      <c r="L72" s="773"/>
    </row>
    <row r="73" spans="2:12" ht="27.75" customHeight="1" x14ac:dyDescent="0.2">
      <c r="B73" s="781" t="s">
        <v>255</v>
      </c>
      <c r="C73" s="287" t="s">
        <v>879</v>
      </c>
      <c r="D73" s="287" t="s">
        <v>84</v>
      </c>
      <c r="E73" s="287"/>
      <c r="F73" s="771">
        <f>COUNTIF(D73:D86,"Tecnologías")</f>
        <v>0</v>
      </c>
      <c r="G73" s="771">
        <f>COUNTIF(D73:D85,"Pregrado")</f>
        <v>4</v>
      </c>
      <c r="H73" s="771">
        <f>COUNTIF(D73:D86,"Especializaciones")</f>
        <v>2</v>
      </c>
      <c r="I73" s="771">
        <f>COUNTIF(D73:D86,"Esp. Médico Quirúrgicas")</f>
        <v>6</v>
      </c>
      <c r="J73" s="771">
        <f>COUNTIF(D73:D86,"Maestrías")</f>
        <v>1</v>
      </c>
      <c r="K73" s="771">
        <f>COUNTIF(D73:D86,"Doctorados")</f>
        <v>0</v>
      </c>
      <c r="L73" s="771">
        <f>SUM(F73:K80)</f>
        <v>13</v>
      </c>
    </row>
    <row r="74" spans="2:12" ht="27.75" customHeight="1" x14ac:dyDescent="0.2">
      <c r="B74" s="758"/>
      <c r="C74" s="287" t="s">
        <v>880</v>
      </c>
      <c r="D74" s="287" t="s">
        <v>84</v>
      </c>
      <c r="E74" s="287"/>
      <c r="F74" s="772"/>
      <c r="G74" s="772"/>
      <c r="H74" s="772"/>
      <c r="I74" s="772"/>
      <c r="J74" s="772"/>
      <c r="K74" s="772"/>
      <c r="L74" s="772"/>
    </row>
    <row r="75" spans="2:12" ht="27.75" customHeight="1" x14ac:dyDescent="0.2">
      <c r="B75" s="758"/>
      <c r="C75" s="287" t="s">
        <v>881</v>
      </c>
      <c r="D75" s="287" t="s">
        <v>84</v>
      </c>
      <c r="E75" s="287"/>
      <c r="F75" s="772"/>
      <c r="G75" s="772"/>
      <c r="H75" s="772"/>
      <c r="I75" s="772"/>
      <c r="J75" s="772"/>
      <c r="K75" s="772"/>
      <c r="L75" s="772"/>
    </row>
    <row r="76" spans="2:12" ht="62.25" customHeight="1" x14ac:dyDescent="0.2">
      <c r="B76" s="758"/>
      <c r="C76" s="287" t="s">
        <v>882</v>
      </c>
      <c r="D76" s="287" t="s">
        <v>84</v>
      </c>
      <c r="E76" s="288" t="s">
        <v>883</v>
      </c>
      <c r="F76" s="772"/>
      <c r="G76" s="772"/>
      <c r="H76" s="772"/>
      <c r="I76" s="772"/>
      <c r="J76" s="772"/>
      <c r="K76" s="772"/>
      <c r="L76" s="772"/>
    </row>
    <row r="77" spans="2:12" ht="36" customHeight="1" x14ac:dyDescent="0.2">
      <c r="B77" s="758"/>
      <c r="C77" s="287" t="s">
        <v>884</v>
      </c>
      <c r="D77" s="287" t="s">
        <v>818</v>
      </c>
      <c r="E77" s="287"/>
      <c r="F77" s="772"/>
      <c r="G77" s="772"/>
      <c r="H77" s="772"/>
      <c r="I77" s="772"/>
      <c r="J77" s="772"/>
      <c r="K77" s="772"/>
      <c r="L77" s="772"/>
    </row>
    <row r="78" spans="2:12" ht="27.75" customHeight="1" x14ac:dyDescent="0.2">
      <c r="B78" s="758"/>
      <c r="C78" s="287" t="s">
        <v>885</v>
      </c>
      <c r="D78" s="287" t="s">
        <v>818</v>
      </c>
      <c r="E78" s="287"/>
      <c r="F78" s="772"/>
      <c r="G78" s="772"/>
      <c r="H78" s="772"/>
      <c r="I78" s="772"/>
      <c r="J78" s="772"/>
      <c r="K78" s="772"/>
      <c r="L78" s="772"/>
    </row>
    <row r="79" spans="2:12" ht="27.75" customHeight="1" x14ac:dyDescent="0.2">
      <c r="B79" s="758"/>
      <c r="C79" s="287" t="s">
        <v>886</v>
      </c>
      <c r="D79" s="287" t="s">
        <v>887</v>
      </c>
      <c r="E79" s="287"/>
      <c r="F79" s="772"/>
      <c r="G79" s="772"/>
      <c r="H79" s="772"/>
      <c r="I79" s="772"/>
      <c r="J79" s="772"/>
      <c r="K79" s="772"/>
      <c r="L79" s="772"/>
    </row>
    <row r="80" spans="2:12" ht="27.75" customHeight="1" x14ac:dyDescent="0.2">
      <c r="B80" s="758"/>
      <c r="C80" s="287" t="s">
        <v>888</v>
      </c>
      <c r="D80" s="287" t="s">
        <v>887</v>
      </c>
      <c r="E80" s="287"/>
      <c r="F80" s="772"/>
      <c r="G80" s="772"/>
      <c r="H80" s="772"/>
      <c r="I80" s="772"/>
      <c r="J80" s="772"/>
      <c r="K80" s="772"/>
      <c r="L80" s="772"/>
    </row>
    <row r="81" spans="2:12" ht="27.75" customHeight="1" x14ac:dyDescent="0.2">
      <c r="B81" s="758"/>
      <c r="C81" s="287" t="s">
        <v>889</v>
      </c>
      <c r="D81" s="287" t="s">
        <v>887</v>
      </c>
      <c r="E81" s="287"/>
      <c r="F81" s="772"/>
      <c r="G81" s="772"/>
      <c r="H81" s="772"/>
      <c r="I81" s="772"/>
      <c r="J81" s="772"/>
      <c r="K81" s="772"/>
      <c r="L81" s="772"/>
    </row>
    <row r="82" spans="2:12" ht="27.75" customHeight="1" x14ac:dyDescent="0.2">
      <c r="B82" s="758"/>
      <c r="C82" s="287" t="s">
        <v>890</v>
      </c>
      <c r="D82" s="287" t="s">
        <v>887</v>
      </c>
      <c r="E82" s="288" t="s">
        <v>891</v>
      </c>
      <c r="F82" s="772"/>
      <c r="G82" s="772"/>
      <c r="H82" s="772"/>
      <c r="I82" s="772"/>
      <c r="J82" s="772"/>
      <c r="K82" s="772"/>
      <c r="L82" s="772"/>
    </row>
    <row r="83" spans="2:12" ht="27.75" customHeight="1" x14ac:dyDescent="0.2">
      <c r="B83" s="758"/>
      <c r="C83" s="287" t="s">
        <v>892</v>
      </c>
      <c r="D83" s="287" t="s">
        <v>887</v>
      </c>
      <c r="E83" s="287"/>
      <c r="F83" s="772"/>
      <c r="G83" s="772"/>
      <c r="H83" s="772"/>
      <c r="I83" s="772"/>
      <c r="J83" s="772"/>
      <c r="K83" s="772"/>
      <c r="L83" s="772"/>
    </row>
    <row r="84" spans="2:12" ht="27.75" customHeight="1" x14ac:dyDescent="0.2">
      <c r="B84" s="758"/>
      <c r="C84" s="287" t="s">
        <v>893</v>
      </c>
      <c r="D84" s="287" t="s">
        <v>887</v>
      </c>
      <c r="E84" s="287"/>
      <c r="F84" s="772"/>
      <c r="G84" s="772"/>
      <c r="H84" s="772"/>
      <c r="I84" s="772"/>
      <c r="J84" s="772"/>
      <c r="K84" s="772"/>
      <c r="L84" s="772"/>
    </row>
    <row r="85" spans="2:12" ht="27.75" customHeight="1" x14ac:dyDescent="0.2">
      <c r="B85" s="783"/>
      <c r="C85" s="287" t="s">
        <v>894</v>
      </c>
      <c r="D85" s="287" t="s">
        <v>805</v>
      </c>
      <c r="E85" s="287"/>
      <c r="F85" s="773"/>
      <c r="G85" s="773"/>
      <c r="H85" s="773"/>
      <c r="I85" s="773"/>
      <c r="J85" s="773"/>
      <c r="K85" s="773"/>
      <c r="L85" s="773"/>
    </row>
    <row r="86" spans="2:12" ht="27.75" customHeight="1" x14ac:dyDescent="0.2">
      <c r="B86" s="786" t="s">
        <v>895</v>
      </c>
      <c r="C86" s="280" t="s">
        <v>896</v>
      </c>
      <c r="D86" s="280" t="s">
        <v>84</v>
      </c>
      <c r="E86" s="280"/>
      <c r="F86" s="774">
        <f>COUNTIF(D86:D92,"Tecnologías")</f>
        <v>0</v>
      </c>
      <c r="G86" s="774">
        <f>COUNTIF(D86:D92,"Pregrado")</f>
        <v>4</v>
      </c>
      <c r="H86" s="774">
        <f>COUNTIF(D86:D92,"Especializaciones")</f>
        <v>3</v>
      </c>
      <c r="I86" s="774">
        <f>COUNTIF(D86:D92,"Esp. Médico Quirúrgicas")</f>
        <v>0</v>
      </c>
      <c r="J86" s="774">
        <f>COUNTIF(D86:D92,"Maestrías")</f>
        <v>0</v>
      </c>
      <c r="K86" s="774">
        <f>COUNTIF(D86:D92,"Doctorados")</f>
        <v>0</v>
      </c>
      <c r="L86" s="774">
        <f>SUM(F86:K92)</f>
        <v>7</v>
      </c>
    </row>
    <row r="87" spans="2:12" ht="27.75" customHeight="1" x14ac:dyDescent="0.2">
      <c r="B87" s="758"/>
      <c r="C87" s="280" t="s">
        <v>897</v>
      </c>
      <c r="D87" s="280" t="s">
        <v>84</v>
      </c>
      <c r="E87" s="289" t="s">
        <v>898</v>
      </c>
      <c r="F87" s="772"/>
      <c r="G87" s="772"/>
      <c r="H87" s="772"/>
      <c r="I87" s="772"/>
      <c r="J87" s="772"/>
      <c r="K87" s="772"/>
      <c r="L87" s="772"/>
    </row>
    <row r="88" spans="2:12" ht="38.25" customHeight="1" x14ac:dyDescent="0.2">
      <c r="B88" s="758"/>
      <c r="C88" s="280" t="s">
        <v>899</v>
      </c>
      <c r="D88" s="280" t="s">
        <v>84</v>
      </c>
      <c r="E88" s="280"/>
      <c r="F88" s="772"/>
      <c r="G88" s="772"/>
      <c r="H88" s="772"/>
      <c r="I88" s="772"/>
      <c r="J88" s="772"/>
      <c r="K88" s="772"/>
      <c r="L88" s="772"/>
    </row>
    <row r="89" spans="2:12" ht="27.75" customHeight="1" x14ac:dyDescent="0.2">
      <c r="B89" s="758"/>
      <c r="C89" s="280" t="s">
        <v>900</v>
      </c>
      <c r="D89" s="280" t="s">
        <v>84</v>
      </c>
      <c r="E89" s="280"/>
      <c r="F89" s="772"/>
      <c r="G89" s="772"/>
      <c r="H89" s="772"/>
      <c r="I89" s="772"/>
      <c r="J89" s="772"/>
      <c r="K89" s="772"/>
      <c r="L89" s="772"/>
    </row>
    <row r="90" spans="2:12" ht="27.75" customHeight="1" x14ac:dyDescent="0.2">
      <c r="B90" s="758"/>
      <c r="C90" s="280" t="s">
        <v>901</v>
      </c>
      <c r="D90" s="280" t="s">
        <v>818</v>
      </c>
      <c r="E90" s="280"/>
      <c r="F90" s="772"/>
      <c r="G90" s="772"/>
      <c r="H90" s="772"/>
      <c r="I90" s="772"/>
      <c r="J90" s="772"/>
      <c r="K90" s="772"/>
      <c r="L90" s="772"/>
    </row>
    <row r="91" spans="2:12" ht="27.75" customHeight="1" x14ac:dyDescent="0.2">
      <c r="B91" s="758"/>
      <c r="C91" s="280" t="s">
        <v>902</v>
      </c>
      <c r="D91" s="280" t="s">
        <v>818</v>
      </c>
      <c r="E91" s="280"/>
      <c r="F91" s="772"/>
      <c r="G91" s="772"/>
      <c r="H91" s="772"/>
      <c r="I91" s="772"/>
      <c r="J91" s="772"/>
      <c r="K91" s="772"/>
      <c r="L91" s="772"/>
    </row>
    <row r="92" spans="2:12" ht="27.75" customHeight="1" x14ac:dyDescent="0.2">
      <c r="B92" s="783"/>
      <c r="C92" s="280" t="s">
        <v>903</v>
      </c>
      <c r="D92" s="280" t="s">
        <v>818</v>
      </c>
      <c r="E92" s="289" t="s">
        <v>825</v>
      </c>
      <c r="F92" s="773"/>
      <c r="G92" s="773"/>
      <c r="H92" s="773"/>
      <c r="I92" s="773"/>
      <c r="J92" s="773"/>
      <c r="K92" s="773"/>
      <c r="L92" s="773"/>
    </row>
    <row r="93" spans="2:12" ht="27.75" customHeight="1" x14ac:dyDescent="0.2">
      <c r="B93" s="781" t="s">
        <v>904</v>
      </c>
      <c r="C93" s="287" t="s">
        <v>905</v>
      </c>
      <c r="D93" s="287" t="s">
        <v>906</v>
      </c>
      <c r="E93" s="287"/>
      <c r="F93" s="771">
        <f>COUNTIF(D93:D107,"Tecnologías")</f>
        <v>1</v>
      </c>
      <c r="G93" s="771">
        <f>COUNTIF(D93:D107,"Pregrado")</f>
        <v>4</v>
      </c>
      <c r="H93" s="771">
        <f>COUNTIF(D93:D107,"Especializaciones")</f>
        <v>3</v>
      </c>
      <c r="I93" s="771">
        <f>COUNTIF(D93:D107,"Esp. Médico Quirúrgicas")</f>
        <v>0</v>
      </c>
      <c r="J93" s="771">
        <f>COUNTIF(D93:D107,"Maestrías")</f>
        <v>7</v>
      </c>
      <c r="K93" s="771">
        <f>COUNTIF(D93:D107,"Doctorados")</f>
        <v>0</v>
      </c>
      <c r="L93" s="771">
        <f>SUM(F93:K99)</f>
        <v>15</v>
      </c>
    </row>
    <row r="94" spans="2:12" ht="27.75" customHeight="1" x14ac:dyDescent="0.2">
      <c r="B94" s="758"/>
      <c r="C94" s="287" t="s">
        <v>907</v>
      </c>
      <c r="D94" s="287" t="s">
        <v>84</v>
      </c>
      <c r="E94" s="287"/>
      <c r="F94" s="772"/>
      <c r="G94" s="772"/>
      <c r="H94" s="772"/>
      <c r="I94" s="772"/>
      <c r="J94" s="772"/>
      <c r="K94" s="772"/>
      <c r="L94" s="772"/>
    </row>
    <row r="95" spans="2:12" ht="27.75" customHeight="1" x14ac:dyDescent="0.2">
      <c r="B95" s="758"/>
      <c r="C95" s="287" t="s">
        <v>908</v>
      </c>
      <c r="D95" s="287" t="s">
        <v>84</v>
      </c>
      <c r="E95" s="287"/>
      <c r="F95" s="772"/>
      <c r="G95" s="772"/>
      <c r="H95" s="772"/>
      <c r="I95" s="772"/>
      <c r="J95" s="772"/>
      <c r="K95" s="772"/>
      <c r="L95" s="772"/>
    </row>
    <row r="96" spans="2:12" ht="27.75" customHeight="1" x14ac:dyDescent="0.2">
      <c r="B96" s="758"/>
      <c r="C96" s="287" t="s">
        <v>909</v>
      </c>
      <c r="D96" s="287" t="s">
        <v>84</v>
      </c>
      <c r="E96" s="287"/>
      <c r="F96" s="772"/>
      <c r="G96" s="772"/>
      <c r="H96" s="772"/>
      <c r="I96" s="772"/>
      <c r="J96" s="772"/>
      <c r="K96" s="772"/>
      <c r="L96" s="772"/>
    </row>
    <row r="97" spans="2:12" ht="27.75" customHeight="1" x14ac:dyDescent="0.2">
      <c r="B97" s="758"/>
      <c r="C97" s="287" t="s">
        <v>910</v>
      </c>
      <c r="D97" s="287" t="s">
        <v>84</v>
      </c>
      <c r="E97" s="287"/>
      <c r="F97" s="772"/>
      <c r="G97" s="772"/>
      <c r="H97" s="772"/>
      <c r="I97" s="772"/>
      <c r="J97" s="772"/>
      <c r="K97" s="772"/>
      <c r="L97" s="772"/>
    </row>
    <row r="98" spans="2:12" ht="27.75" customHeight="1" x14ac:dyDescent="0.2">
      <c r="B98" s="758"/>
      <c r="C98" s="287" t="s">
        <v>911</v>
      </c>
      <c r="D98" s="287" t="s">
        <v>818</v>
      </c>
      <c r="E98" s="287"/>
      <c r="F98" s="772"/>
      <c r="G98" s="772"/>
      <c r="H98" s="772"/>
      <c r="I98" s="772"/>
      <c r="J98" s="772"/>
      <c r="K98" s="772"/>
      <c r="L98" s="772"/>
    </row>
    <row r="99" spans="2:12" ht="27.75" customHeight="1" x14ac:dyDescent="0.2">
      <c r="B99" s="758"/>
      <c r="C99" s="287" t="s">
        <v>912</v>
      </c>
      <c r="D99" s="287" t="s">
        <v>818</v>
      </c>
      <c r="E99" s="288" t="s">
        <v>913</v>
      </c>
      <c r="F99" s="772"/>
      <c r="G99" s="772"/>
      <c r="H99" s="772"/>
      <c r="I99" s="772"/>
      <c r="J99" s="772"/>
      <c r="K99" s="772"/>
      <c r="L99" s="772"/>
    </row>
    <row r="100" spans="2:12" ht="27.75" customHeight="1" x14ac:dyDescent="0.2">
      <c r="B100" s="758"/>
      <c r="C100" s="287" t="s">
        <v>914</v>
      </c>
      <c r="D100" s="287" t="s">
        <v>818</v>
      </c>
      <c r="E100" s="287"/>
      <c r="F100" s="772"/>
      <c r="G100" s="772"/>
      <c r="H100" s="772"/>
      <c r="I100" s="772"/>
      <c r="J100" s="772"/>
      <c r="K100" s="772"/>
      <c r="L100" s="772"/>
    </row>
    <row r="101" spans="2:12" ht="27.75" customHeight="1" x14ac:dyDescent="0.2">
      <c r="B101" s="758"/>
      <c r="C101" s="287" t="s">
        <v>915</v>
      </c>
      <c r="D101" s="287" t="s">
        <v>805</v>
      </c>
      <c r="E101" s="287"/>
      <c r="F101" s="772"/>
      <c r="G101" s="772"/>
      <c r="H101" s="772"/>
      <c r="I101" s="772"/>
      <c r="J101" s="772"/>
      <c r="K101" s="772"/>
      <c r="L101" s="772"/>
    </row>
    <row r="102" spans="2:12" ht="27.75" customHeight="1" x14ac:dyDescent="0.2">
      <c r="B102" s="758"/>
      <c r="C102" s="287" t="s">
        <v>916</v>
      </c>
      <c r="D102" s="287" t="s">
        <v>805</v>
      </c>
      <c r="E102" s="287"/>
      <c r="F102" s="772"/>
      <c r="G102" s="772"/>
      <c r="H102" s="772"/>
      <c r="I102" s="772"/>
      <c r="J102" s="772"/>
      <c r="K102" s="772"/>
      <c r="L102" s="772"/>
    </row>
    <row r="103" spans="2:12" ht="27.75" customHeight="1" x14ac:dyDescent="0.2">
      <c r="B103" s="758"/>
      <c r="C103" s="287" t="s">
        <v>917</v>
      </c>
      <c r="D103" s="287" t="s">
        <v>805</v>
      </c>
      <c r="E103" s="287"/>
      <c r="F103" s="772"/>
      <c r="G103" s="772"/>
      <c r="H103" s="772"/>
      <c r="I103" s="772"/>
      <c r="J103" s="772"/>
      <c r="K103" s="772"/>
      <c r="L103" s="772"/>
    </row>
    <row r="104" spans="2:12" ht="27.75" customHeight="1" x14ac:dyDescent="0.2">
      <c r="B104" s="758"/>
      <c r="C104" s="287" t="s">
        <v>918</v>
      </c>
      <c r="D104" s="287" t="s">
        <v>805</v>
      </c>
      <c r="E104" s="287"/>
      <c r="F104" s="772"/>
      <c r="G104" s="772"/>
      <c r="H104" s="772"/>
      <c r="I104" s="772"/>
      <c r="J104" s="772"/>
      <c r="K104" s="772"/>
      <c r="L104" s="772"/>
    </row>
    <row r="105" spans="2:12" ht="27.75" customHeight="1" x14ac:dyDescent="0.2">
      <c r="B105" s="758"/>
      <c r="C105" s="287" t="s">
        <v>919</v>
      </c>
      <c r="D105" s="287" t="s">
        <v>805</v>
      </c>
      <c r="E105" s="287"/>
      <c r="F105" s="772"/>
      <c r="G105" s="772"/>
      <c r="H105" s="772"/>
      <c r="I105" s="772"/>
      <c r="J105" s="772"/>
      <c r="K105" s="772"/>
      <c r="L105" s="772"/>
    </row>
    <row r="106" spans="2:12" ht="27.75" customHeight="1" x14ac:dyDescent="0.2">
      <c r="B106" s="758"/>
      <c r="C106" s="287" t="s">
        <v>920</v>
      </c>
      <c r="D106" s="287" t="s">
        <v>805</v>
      </c>
      <c r="E106" s="288" t="s">
        <v>921</v>
      </c>
      <c r="F106" s="772"/>
      <c r="G106" s="772"/>
      <c r="H106" s="772"/>
      <c r="I106" s="772"/>
      <c r="J106" s="772"/>
      <c r="K106" s="772"/>
      <c r="L106" s="772"/>
    </row>
    <row r="107" spans="2:12" ht="27.75" customHeight="1" x14ac:dyDescent="0.2">
      <c r="B107" s="758"/>
      <c r="C107" s="287" t="s">
        <v>922</v>
      </c>
      <c r="D107" s="287" t="s">
        <v>805</v>
      </c>
      <c r="E107" s="288" t="s">
        <v>923</v>
      </c>
      <c r="F107" s="773"/>
      <c r="G107" s="773"/>
      <c r="H107" s="773"/>
      <c r="I107" s="773"/>
      <c r="J107" s="773"/>
      <c r="K107" s="773"/>
      <c r="L107" s="773"/>
    </row>
    <row r="108" spans="2:12" ht="27.75" customHeight="1" x14ac:dyDescent="0.2">
      <c r="B108" s="782" t="s">
        <v>924</v>
      </c>
      <c r="C108" s="290" t="s">
        <v>925</v>
      </c>
      <c r="D108" s="290" t="s">
        <v>906</v>
      </c>
      <c r="E108" s="290"/>
      <c r="F108" s="775">
        <f>COUNTIF(D108:D122,"Tecnologías")</f>
        <v>1</v>
      </c>
      <c r="G108" s="775">
        <f>COUNTIF(D108:D122,"Pregrado")</f>
        <v>3</v>
      </c>
      <c r="H108" s="775">
        <f>COUNTIF(D108:D122,"Especializaciones")</f>
        <v>3</v>
      </c>
      <c r="I108" s="775">
        <f>COUNTIF(D108:D122,"Esp. Médico Quirúrgicas")</f>
        <v>0</v>
      </c>
      <c r="J108" s="775">
        <f>COUNTIF(D108:D122,"Maestrías")</f>
        <v>5</v>
      </c>
      <c r="K108" s="775">
        <f>COUNTIF(D108:D122,"Doctorados")</f>
        <v>3</v>
      </c>
      <c r="L108" s="775">
        <f>SUM(F108:K113)</f>
        <v>15</v>
      </c>
    </row>
    <row r="109" spans="2:12" ht="27.75" customHeight="1" x14ac:dyDescent="0.2">
      <c r="B109" s="758"/>
      <c r="C109" s="290" t="s">
        <v>926</v>
      </c>
      <c r="D109" s="290" t="s">
        <v>84</v>
      </c>
      <c r="E109" s="290"/>
      <c r="F109" s="772"/>
      <c r="G109" s="772"/>
      <c r="H109" s="772"/>
      <c r="I109" s="772"/>
      <c r="J109" s="772"/>
      <c r="K109" s="772"/>
      <c r="L109" s="772"/>
    </row>
    <row r="110" spans="2:12" ht="27.75" customHeight="1" x14ac:dyDescent="0.2">
      <c r="B110" s="758"/>
      <c r="C110" s="290" t="s">
        <v>927</v>
      </c>
      <c r="D110" s="290" t="s">
        <v>84</v>
      </c>
      <c r="E110" s="290"/>
      <c r="F110" s="772"/>
      <c r="G110" s="772"/>
      <c r="H110" s="772"/>
      <c r="I110" s="772"/>
      <c r="J110" s="772"/>
      <c r="K110" s="772"/>
      <c r="L110" s="772"/>
    </row>
    <row r="111" spans="2:12" ht="27.75" customHeight="1" x14ac:dyDescent="0.2">
      <c r="B111" s="758"/>
      <c r="C111" s="290" t="s">
        <v>928</v>
      </c>
      <c r="D111" s="290" t="s">
        <v>84</v>
      </c>
      <c r="E111" s="290"/>
      <c r="F111" s="772"/>
      <c r="G111" s="772"/>
      <c r="H111" s="772"/>
      <c r="I111" s="772"/>
      <c r="J111" s="772"/>
      <c r="K111" s="772"/>
      <c r="L111" s="772"/>
    </row>
    <row r="112" spans="2:12" ht="27.75" customHeight="1" x14ac:dyDescent="0.2">
      <c r="B112" s="758"/>
      <c r="C112" s="290" t="s">
        <v>929</v>
      </c>
      <c r="D112" s="290" t="s">
        <v>818</v>
      </c>
      <c r="E112" s="290"/>
      <c r="F112" s="772"/>
      <c r="G112" s="772"/>
      <c r="H112" s="772"/>
      <c r="I112" s="772"/>
      <c r="J112" s="772"/>
      <c r="K112" s="772"/>
      <c r="L112" s="772"/>
    </row>
    <row r="113" spans="2:12" ht="27.75" customHeight="1" x14ac:dyDescent="0.2">
      <c r="B113" s="758"/>
      <c r="C113" s="290" t="s">
        <v>930</v>
      </c>
      <c r="D113" s="290" t="s">
        <v>818</v>
      </c>
      <c r="E113" s="290"/>
      <c r="F113" s="772"/>
      <c r="G113" s="772"/>
      <c r="H113" s="772"/>
      <c r="I113" s="772"/>
      <c r="J113" s="772"/>
      <c r="K113" s="772"/>
      <c r="L113" s="772"/>
    </row>
    <row r="114" spans="2:12" ht="27.75" customHeight="1" x14ac:dyDescent="0.2">
      <c r="B114" s="758"/>
      <c r="C114" s="290" t="s">
        <v>931</v>
      </c>
      <c r="D114" s="290" t="s">
        <v>818</v>
      </c>
      <c r="E114" s="290"/>
      <c r="F114" s="772"/>
      <c r="G114" s="772"/>
      <c r="H114" s="772"/>
      <c r="I114" s="772"/>
      <c r="J114" s="772"/>
      <c r="K114" s="772"/>
      <c r="L114" s="772"/>
    </row>
    <row r="115" spans="2:12" ht="27.75" customHeight="1" x14ac:dyDescent="0.2">
      <c r="B115" s="758"/>
      <c r="C115" s="290" t="s">
        <v>932</v>
      </c>
      <c r="D115" s="290" t="s">
        <v>805</v>
      </c>
      <c r="E115" s="290"/>
      <c r="F115" s="772"/>
      <c r="G115" s="772"/>
      <c r="H115" s="772"/>
      <c r="I115" s="772"/>
      <c r="J115" s="772"/>
      <c r="K115" s="772"/>
      <c r="L115" s="772"/>
    </row>
    <row r="116" spans="2:12" ht="27.75" customHeight="1" x14ac:dyDescent="0.2">
      <c r="B116" s="758"/>
      <c r="C116" s="290" t="s">
        <v>933</v>
      </c>
      <c r="D116" s="290" t="s">
        <v>805</v>
      </c>
      <c r="E116" s="290"/>
      <c r="F116" s="772"/>
      <c r="G116" s="772"/>
      <c r="H116" s="772"/>
      <c r="I116" s="772"/>
      <c r="J116" s="772"/>
      <c r="K116" s="772"/>
      <c r="L116" s="772"/>
    </row>
    <row r="117" spans="2:12" ht="27.75" customHeight="1" x14ac:dyDescent="0.2">
      <c r="B117" s="758"/>
      <c r="C117" s="290" t="s">
        <v>934</v>
      </c>
      <c r="D117" s="290" t="s">
        <v>805</v>
      </c>
      <c r="E117" s="290"/>
      <c r="F117" s="772"/>
      <c r="G117" s="772"/>
      <c r="H117" s="772"/>
      <c r="I117" s="772"/>
      <c r="J117" s="772"/>
      <c r="K117" s="772"/>
      <c r="L117" s="772"/>
    </row>
    <row r="118" spans="2:12" ht="27.75" customHeight="1" x14ac:dyDescent="0.2">
      <c r="B118" s="758"/>
      <c r="C118" s="290" t="s">
        <v>935</v>
      </c>
      <c r="D118" s="290" t="s">
        <v>805</v>
      </c>
      <c r="E118" s="290"/>
      <c r="F118" s="772"/>
      <c r="G118" s="772"/>
      <c r="H118" s="772"/>
      <c r="I118" s="772"/>
      <c r="J118" s="772"/>
      <c r="K118" s="772"/>
      <c r="L118" s="772"/>
    </row>
    <row r="119" spans="2:12" ht="27.75" customHeight="1" x14ac:dyDescent="0.2">
      <c r="B119" s="758"/>
      <c r="C119" s="290" t="s">
        <v>936</v>
      </c>
      <c r="D119" s="290" t="s">
        <v>805</v>
      </c>
      <c r="E119" s="290"/>
      <c r="F119" s="772"/>
      <c r="G119" s="772"/>
      <c r="H119" s="772"/>
      <c r="I119" s="772"/>
      <c r="J119" s="772"/>
      <c r="K119" s="772"/>
      <c r="L119" s="772"/>
    </row>
    <row r="120" spans="2:12" ht="27.75" customHeight="1" x14ac:dyDescent="0.2">
      <c r="B120" s="758"/>
      <c r="C120" s="290" t="s">
        <v>937</v>
      </c>
      <c r="D120" s="290" t="s">
        <v>822</v>
      </c>
      <c r="E120" s="290"/>
      <c r="F120" s="772"/>
      <c r="G120" s="772"/>
      <c r="H120" s="772"/>
      <c r="I120" s="772"/>
      <c r="J120" s="772"/>
      <c r="K120" s="772"/>
      <c r="L120" s="772"/>
    </row>
    <row r="121" spans="2:12" ht="27.75" customHeight="1" x14ac:dyDescent="0.2">
      <c r="B121" s="758"/>
      <c r="C121" s="290" t="s">
        <v>938</v>
      </c>
      <c r="D121" s="290" t="s">
        <v>822</v>
      </c>
      <c r="E121" s="290"/>
      <c r="F121" s="772"/>
      <c r="G121" s="772"/>
      <c r="H121" s="772"/>
      <c r="I121" s="772"/>
      <c r="J121" s="772"/>
      <c r="K121" s="772"/>
      <c r="L121" s="772"/>
    </row>
    <row r="122" spans="2:12" ht="27.75" customHeight="1" x14ac:dyDescent="0.2">
      <c r="B122" s="783"/>
      <c r="C122" s="290" t="s">
        <v>939</v>
      </c>
      <c r="D122" s="290" t="s">
        <v>822</v>
      </c>
      <c r="E122" s="290"/>
      <c r="F122" s="773"/>
      <c r="G122" s="773"/>
      <c r="H122" s="773"/>
      <c r="I122" s="773"/>
      <c r="J122" s="773"/>
      <c r="K122" s="773"/>
      <c r="L122" s="773"/>
    </row>
    <row r="123" spans="2:12" ht="35.25" customHeight="1" x14ac:dyDescent="0.2">
      <c r="B123" s="291"/>
      <c r="C123" s="292"/>
      <c r="D123" s="293"/>
      <c r="E123" s="294"/>
      <c r="F123" s="295">
        <f t="shared" ref="F123:L123" si="0">SUM(F7:F113)</f>
        <v>2</v>
      </c>
      <c r="G123" s="295">
        <f t="shared" si="0"/>
        <v>44</v>
      </c>
      <c r="H123" s="295">
        <f t="shared" si="0"/>
        <v>19</v>
      </c>
      <c r="I123" s="295">
        <f t="shared" si="0"/>
        <v>6</v>
      </c>
      <c r="J123" s="295">
        <f t="shared" si="0"/>
        <v>34</v>
      </c>
      <c r="K123" s="295">
        <f t="shared" si="0"/>
        <v>11</v>
      </c>
      <c r="L123" s="295">
        <f t="shared" si="0"/>
        <v>116</v>
      </c>
    </row>
    <row r="124" spans="2:12" ht="12.75" x14ac:dyDescent="0.2">
      <c r="E124" s="268"/>
    </row>
    <row r="125" spans="2:12" ht="12.75" x14ac:dyDescent="0.2">
      <c r="E125" s="268"/>
    </row>
    <row r="126" spans="2:12" ht="12.75" x14ac:dyDescent="0.2">
      <c r="E126" s="268"/>
    </row>
    <row r="127" spans="2:12" ht="12.75" x14ac:dyDescent="0.2">
      <c r="E127" s="268"/>
    </row>
    <row r="128" spans="2:12" ht="12.75" x14ac:dyDescent="0.2">
      <c r="E128" s="268"/>
    </row>
    <row r="129" spans="5:5" ht="12.75" x14ac:dyDescent="0.2">
      <c r="E129" s="268"/>
    </row>
    <row r="130" spans="5:5" ht="12.75" x14ac:dyDescent="0.2">
      <c r="E130" s="268"/>
    </row>
    <row r="131" spans="5:5" ht="12.75" x14ac:dyDescent="0.2">
      <c r="E131" s="268"/>
    </row>
    <row r="132" spans="5:5" ht="12.75" x14ac:dyDescent="0.2">
      <c r="E132" s="268"/>
    </row>
    <row r="133" spans="5:5" ht="12.75" x14ac:dyDescent="0.2">
      <c r="E133" s="268"/>
    </row>
    <row r="134" spans="5:5" ht="12.75" x14ac:dyDescent="0.2">
      <c r="E134" s="268"/>
    </row>
    <row r="135" spans="5:5" ht="12.75" x14ac:dyDescent="0.2">
      <c r="E135" s="268"/>
    </row>
    <row r="136" spans="5:5" ht="12.75" x14ac:dyDescent="0.2">
      <c r="E136" s="268"/>
    </row>
    <row r="137" spans="5:5" ht="12.75" x14ac:dyDescent="0.2">
      <c r="E137" s="268"/>
    </row>
    <row r="138" spans="5:5" ht="12.75" x14ac:dyDescent="0.2">
      <c r="E138" s="268"/>
    </row>
    <row r="139" spans="5:5" ht="12.75" x14ac:dyDescent="0.2">
      <c r="E139" s="268"/>
    </row>
    <row r="140" spans="5:5" ht="12.75" x14ac:dyDescent="0.2">
      <c r="E140" s="268"/>
    </row>
    <row r="141" spans="5:5" ht="12.75" x14ac:dyDescent="0.2">
      <c r="E141" s="268"/>
    </row>
    <row r="142" spans="5:5" ht="12.75" x14ac:dyDescent="0.2">
      <c r="E142" s="268"/>
    </row>
    <row r="143" spans="5:5" ht="12.75" x14ac:dyDescent="0.2">
      <c r="E143" s="268"/>
    </row>
    <row r="144" spans="5:5" ht="12.75" x14ac:dyDescent="0.2">
      <c r="E144" s="268"/>
    </row>
    <row r="145" spans="5:5" ht="12.75" x14ac:dyDescent="0.2">
      <c r="E145" s="268"/>
    </row>
    <row r="146" spans="5:5" ht="12.75" x14ac:dyDescent="0.2">
      <c r="E146" s="268"/>
    </row>
    <row r="147" spans="5:5" ht="12.75" x14ac:dyDescent="0.2">
      <c r="E147" s="268"/>
    </row>
    <row r="148" spans="5:5" ht="12.75" x14ac:dyDescent="0.2">
      <c r="E148" s="268"/>
    </row>
    <row r="149" spans="5:5" ht="12.75" x14ac:dyDescent="0.2">
      <c r="E149" s="268"/>
    </row>
    <row r="150" spans="5:5" ht="12.75" x14ac:dyDescent="0.2">
      <c r="E150" s="268"/>
    </row>
    <row r="151" spans="5:5" ht="12.75" x14ac:dyDescent="0.2">
      <c r="E151" s="268"/>
    </row>
    <row r="152" spans="5:5" ht="12.75" x14ac:dyDescent="0.2">
      <c r="E152" s="268"/>
    </row>
    <row r="153" spans="5:5" ht="12.75" x14ac:dyDescent="0.2">
      <c r="E153" s="268"/>
    </row>
    <row r="154" spans="5:5" ht="12.75" x14ac:dyDescent="0.2">
      <c r="E154" s="268"/>
    </row>
    <row r="155" spans="5:5" ht="12.75" x14ac:dyDescent="0.2">
      <c r="E155" s="268"/>
    </row>
    <row r="156" spans="5:5" ht="12.75" x14ac:dyDescent="0.2">
      <c r="E156" s="268"/>
    </row>
    <row r="157" spans="5:5" ht="12.75" x14ac:dyDescent="0.2">
      <c r="E157" s="268"/>
    </row>
    <row r="158" spans="5:5" ht="12.75" x14ac:dyDescent="0.2">
      <c r="E158" s="268"/>
    </row>
    <row r="159" spans="5:5" ht="12.75" x14ac:dyDescent="0.2">
      <c r="E159" s="268"/>
    </row>
    <row r="160" spans="5:5" ht="12.75" x14ac:dyDescent="0.2">
      <c r="E160" s="268"/>
    </row>
    <row r="161" spans="5:5" ht="12.75" x14ac:dyDescent="0.2">
      <c r="E161" s="268"/>
    </row>
    <row r="162" spans="5:5" ht="12.75" x14ac:dyDescent="0.2">
      <c r="E162" s="268"/>
    </row>
    <row r="163" spans="5:5" ht="12.75" x14ac:dyDescent="0.2">
      <c r="E163" s="268"/>
    </row>
    <row r="164" spans="5:5" ht="12.75" x14ac:dyDescent="0.2">
      <c r="E164" s="268"/>
    </row>
    <row r="165" spans="5:5" ht="12.75" x14ac:dyDescent="0.2">
      <c r="E165" s="268"/>
    </row>
    <row r="166" spans="5:5" ht="12.75" x14ac:dyDescent="0.2">
      <c r="E166" s="268"/>
    </row>
    <row r="167" spans="5:5" ht="12.75" x14ac:dyDescent="0.2">
      <c r="E167" s="268"/>
    </row>
    <row r="168" spans="5:5" ht="12.75" x14ac:dyDescent="0.2">
      <c r="E168" s="268"/>
    </row>
    <row r="169" spans="5:5" ht="12.75" x14ac:dyDescent="0.2">
      <c r="E169" s="268"/>
    </row>
    <row r="170" spans="5:5" ht="12.75" x14ac:dyDescent="0.2">
      <c r="E170" s="268"/>
    </row>
    <row r="171" spans="5:5" ht="12.75" x14ac:dyDescent="0.2">
      <c r="E171" s="268"/>
    </row>
    <row r="172" spans="5:5" ht="12.75" x14ac:dyDescent="0.2">
      <c r="E172" s="268"/>
    </row>
    <row r="173" spans="5:5" ht="12.75" x14ac:dyDescent="0.2">
      <c r="E173" s="268"/>
    </row>
    <row r="174" spans="5:5" ht="12.75" x14ac:dyDescent="0.2">
      <c r="E174" s="268"/>
    </row>
    <row r="175" spans="5:5" ht="12.75" x14ac:dyDescent="0.2">
      <c r="E175" s="268"/>
    </row>
    <row r="176" spans="5:5" ht="12.75" x14ac:dyDescent="0.2">
      <c r="E176" s="268"/>
    </row>
    <row r="177" spans="5:5" ht="12.75" x14ac:dyDescent="0.2">
      <c r="E177" s="268"/>
    </row>
    <row r="178" spans="5:5" ht="12.75" x14ac:dyDescent="0.2">
      <c r="E178" s="268"/>
    </row>
    <row r="179" spans="5:5" ht="12.75" x14ac:dyDescent="0.2">
      <c r="E179" s="268"/>
    </row>
    <row r="180" spans="5:5" ht="12.75" x14ac:dyDescent="0.2">
      <c r="E180" s="268"/>
    </row>
    <row r="181" spans="5:5" ht="12.75" x14ac:dyDescent="0.2">
      <c r="E181" s="268"/>
    </row>
    <row r="182" spans="5:5" ht="12.75" x14ac:dyDescent="0.2">
      <c r="E182" s="268"/>
    </row>
    <row r="183" spans="5:5" ht="12.75" x14ac:dyDescent="0.2">
      <c r="E183" s="268"/>
    </row>
    <row r="184" spans="5:5" ht="12.75" x14ac:dyDescent="0.2">
      <c r="E184" s="268"/>
    </row>
    <row r="185" spans="5:5" ht="12.75" x14ac:dyDescent="0.2">
      <c r="E185" s="268"/>
    </row>
    <row r="186" spans="5:5" ht="12.75" x14ac:dyDescent="0.2">
      <c r="E186" s="268"/>
    </row>
    <row r="187" spans="5:5" ht="12.75" x14ac:dyDescent="0.2">
      <c r="E187" s="268"/>
    </row>
    <row r="188" spans="5:5" ht="12.75" x14ac:dyDescent="0.2">
      <c r="E188" s="268"/>
    </row>
    <row r="189" spans="5:5" ht="12.75" x14ac:dyDescent="0.2">
      <c r="E189" s="268"/>
    </row>
    <row r="190" spans="5:5" ht="12.75" x14ac:dyDescent="0.2">
      <c r="E190" s="268"/>
    </row>
    <row r="191" spans="5:5" ht="12.75" x14ac:dyDescent="0.2">
      <c r="E191" s="268"/>
    </row>
    <row r="192" spans="5:5" ht="12.75" x14ac:dyDescent="0.2">
      <c r="E192" s="268"/>
    </row>
    <row r="193" spans="5:5" ht="12.75" x14ac:dyDescent="0.2">
      <c r="E193" s="268"/>
    </row>
    <row r="194" spans="5:5" ht="12.75" x14ac:dyDescent="0.2">
      <c r="E194" s="268"/>
    </row>
    <row r="195" spans="5:5" ht="12.75" x14ac:dyDescent="0.2">
      <c r="E195" s="268"/>
    </row>
    <row r="196" spans="5:5" ht="12.75" x14ac:dyDescent="0.2">
      <c r="E196" s="268"/>
    </row>
    <row r="197" spans="5:5" ht="12.75" x14ac:dyDescent="0.2">
      <c r="E197" s="268"/>
    </row>
    <row r="198" spans="5:5" ht="12.75" x14ac:dyDescent="0.2">
      <c r="E198" s="268"/>
    </row>
    <row r="199" spans="5:5" ht="12.75" x14ac:dyDescent="0.2">
      <c r="E199" s="268"/>
    </row>
    <row r="200" spans="5:5" ht="12.75" x14ac:dyDescent="0.2">
      <c r="E200" s="268"/>
    </row>
    <row r="201" spans="5:5" ht="12.75" x14ac:dyDescent="0.2">
      <c r="E201" s="268"/>
    </row>
    <row r="202" spans="5:5" ht="12.75" x14ac:dyDescent="0.2">
      <c r="E202" s="268"/>
    </row>
    <row r="203" spans="5:5" ht="12.75" x14ac:dyDescent="0.2">
      <c r="E203" s="268"/>
    </row>
    <row r="204" spans="5:5" ht="12.75" x14ac:dyDescent="0.2">
      <c r="E204" s="268"/>
    </row>
    <row r="205" spans="5:5" ht="12.75" x14ac:dyDescent="0.2">
      <c r="E205" s="268"/>
    </row>
    <row r="206" spans="5:5" ht="12.75" x14ac:dyDescent="0.2">
      <c r="E206" s="268"/>
    </row>
    <row r="207" spans="5:5" ht="12.75" x14ac:dyDescent="0.2">
      <c r="E207" s="268"/>
    </row>
    <row r="208" spans="5:5" ht="12.75" x14ac:dyDescent="0.2">
      <c r="E208" s="268"/>
    </row>
    <row r="209" spans="5:5" ht="12.75" x14ac:dyDescent="0.2">
      <c r="E209" s="268"/>
    </row>
    <row r="210" spans="5:5" ht="12.75" x14ac:dyDescent="0.2">
      <c r="E210" s="268"/>
    </row>
    <row r="211" spans="5:5" ht="12.75" x14ac:dyDescent="0.2">
      <c r="E211" s="268"/>
    </row>
    <row r="212" spans="5:5" ht="12.75" x14ac:dyDescent="0.2">
      <c r="E212" s="268"/>
    </row>
    <row r="213" spans="5:5" ht="12.75" x14ac:dyDescent="0.2">
      <c r="E213" s="268"/>
    </row>
    <row r="214" spans="5:5" ht="12.75" x14ac:dyDescent="0.2">
      <c r="E214" s="268"/>
    </row>
    <row r="215" spans="5:5" ht="12.75" x14ac:dyDescent="0.2">
      <c r="E215" s="268"/>
    </row>
    <row r="216" spans="5:5" ht="12.75" x14ac:dyDescent="0.2">
      <c r="E216" s="268"/>
    </row>
    <row r="217" spans="5:5" ht="12.75" x14ac:dyDescent="0.2">
      <c r="E217" s="268"/>
    </row>
    <row r="218" spans="5:5" ht="12.75" x14ac:dyDescent="0.2">
      <c r="E218" s="268"/>
    </row>
    <row r="219" spans="5:5" ht="12.75" x14ac:dyDescent="0.2">
      <c r="E219" s="268"/>
    </row>
    <row r="220" spans="5:5" ht="12.75" x14ac:dyDescent="0.2">
      <c r="E220" s="268"/>
    </row>
    <row r="221" spans="5:5" ht="12.75" x14ac:dyDescent="0.2">
      <c r="E221" s="268"/>
    </row>
    <row r="222" spans="5:5" ht="12.75" x14ac:dyDescent="0.2">
      <c r="E222" s="268"/>
    </row>
    <row r="223" spans="5:5" ht="12.75" x14ac:dyDescent="0.2">
      <c r="E223" s="268"/>
    </row>
    <row r="224" spans="5:5" ht="12.75" x14ac:dyDescent="0.2">
      <c r="E224" s="268"/>
    </row>
    <row r="225" spans="5:5" ht="12.75" x14ac:dyDescent="0.2">
      <c r="E225" s="268"/>
    </row>
    <row r="226" spans="5:5" ht="12.75" x14ac:dyDescent="0.2">
      <c r="E226" s="268"/>
    </row>
    <row r="227" spans="5:5" ht="12.75" x14ac:dyDescent="0.2">
      <c r="E227" s="268"/>
    </row>
    <row r="228" spans="5:5" ht="12.75" x14ac:dyDescent="0.2">
      <c r="E228" s="268"/>
    </row>
    <row r="229" spans="5:5" ht="12.75" x14ac:dyDescent="0.2">
      <c r="E229" s="268"/>
    </row>
    <row r="230" spans="5:5" ht="12.75" x14ac:dyDescent="0.2">
      <c r="E230" s="268"/>
    </row>
    <row r="231" spans="5:5" ht="12.75" x14ac:dyDescent="0.2">
      <c r="E231" s="268"/>
    </row>
    <row r="232" spans="5:5" ht="12.75" x14ac:dyDescent="0.2">
      <c r="E232" s="268"/>
    </row>
    <row r="233" spans="5:5" ht="12.75" x14ac:dyDescent="0.2">
      <c r="E233" s="268"/>
    </row>
    <row r="234" spans="5:5" ht="12.75" x14ac:dyDescent="0.2">
      <c r="E234" s="268"/>
    </row>
    <row r="235" spans="5:5" ht="12.75" x14ac:dyDescent="0.2">
      <c r="E235" s="268"/>
    </row>
    <row r="236" spans="5:5" ht="12.75" x14ac:dyDescent="0.2">
      <c r="E236" s="268"/>
    </row>
    <row r="237" spans="5:5" ht="12.75" x14ac:dyDescent="0.2">
      <c r="E237" s="268"/>
    </row>
    <row r="238" spans="5:5" ht="12.75" x14ac:dyDescent="0.2">
      <c r="E238" s="268"/>
    </row>
    <row r="239" spans="5:5" ht="12.75" x14ac:dyDescent="0.2">
      <c r="E239" s="268"/>
    </row>
    <row r="240" spans="5:5" ht="12.75" x14ac:dyDescent="0.2">
      <c r="E240" s="268"/>
    </row>
    <row r="241" spans="5:5" ht="12.75" x14ac:dyDescent="0.2">
      <c r="E241" s="268"/>
    </row>
    <row r="242" spans="5:5" ht="12.75" x14ac:dyDescent="0.2">
      <c r="E242" s="268"/>
    </row>
    <row r="243" spans="5:5" ht="12.75" x14ac:dyDescent="0.2">
      <c r="E243" s="268"/>
    </row>
    <row r="244" spans="5:5" ht="12.75" x14ac:dyDescent="0.2">
      <c r="E244" s="268"/>
    </row>
    <row r="245" spans="5:5" ht="12.75" x14ac:dyDescent="0.2">
      <c r="E245" s="268"/>
    </row>
    <row r="246" spans="5:5" ht="12.75" x14ac:dyDescent="0.2">
      <c r="E246" s="268"/>
    </row>
    <row r="247" spans="5:5" ht="12.75" x14ac:dyDescent="0.2">
      <c r="E247" s="268"/>
    </row>
    <row r="248" spans="5:5" ht="12.75" x14ac:dyDescent="0.2">
      <c r="E248" s="268"/>
    </row>
    <row r="249" spans="5:5" ht="12.75" x14ac:dyDescent="0.2">
      <c r="E249" s="268"/>
    </row>
    <row r="250" spans="5:5" ht="12.75" x14ac:dyDescent="0.2">
      <c r="E250" s="268"/>
    </row>
    <row r="251" spans="5:5" ht="12.75" x14ac:dyDescent="0.2">
      <c r="E251" s="268"/>
    </row>
    <row r="252" spans="5:5" ht="12.75" x14ac:dyDescent="0.2">
      <c r="E252" s="268"/>
    </row>
    <row r="253" spans="5:5" ht="12.75" x14ac:dyDescent="0.2">
      <c r="E253" s="268"/>
    </row>
    <row r="254" spans="5:5" ht="12.75" x14ac:dyDescent="0.2">
      <c r="E254" s="268"/>
    </row>
    <row r="255" spans="5:5" ht="12.75" x14ac:dyDescent="0.2">
      <c r="E255" s="268"/>
    </row>
    <row r="256" spans="5:5" ht="12.75" x14ac:dyDescent="0.2">
      <c r="E256" s="268"/>
    </row>
    <row r="257" spans="5:5" ht="12.75" x14ac:dyDescent="0.2">
      <c r="E257" s="268"/>
    </row>
    <row r="258" spans="5:5" ht="12.75" x14ac:dyDescent="0.2">
      <c r="E258" s="268"/>
    </row>
    <row r="259" spans="5:5" ht="12.75" x14ac:dyDescent="0.2">
      <c r="E259" s="268"/>
    </row>
    <row r="260" spans="5:5" ht="12.75" x14ac:dyDescent="0.2">
      <c r="E260" s="268"/>
    </row>
    <row r="261" spans="5:5" ht="12.75" x14ac:dyDescent="0.2">
      <c r="E261" s="268"/>
    </row>
    <row r="262" spans="5:5" ht="12.75" x14ac:dyDescent="0.2">
      <c r="E262" s="268"/>
    </row>
    <row r="263" spans="5:5" ht="12.75" x14ac:dyDescent="0.2">
      <c r="E263" s="268"/>
    </row>
    <row r="264" spans="5:5" ht="12.75" x14ac:dyDescent="0.2">
      <c r="E264" s="268"/>
    </row>
    <row r="265" spans="5:5" ht="12.75" x14ac:dyDescent="0.2">
      <c r="E265" s="268"/>
    </row>
    <row r="266" spans="5:5" ht="12.75" x14ac:dyDescent="0.2">
      <c r="E266" s="268"/>
    </row>
    <row r="267" spans="5:5" ht="12.75" x14ac:dyDescent="0.2">
      <c r="E267" s="268"/>
    </row>
    <row r="268" spans="5:5" ht="12.75" x14ac:dyDescent="0.2">
      <c r="E268" s="268"/>
    </row>
    <row r="269" spans="5:5" ht="12.75" x14ac:dyDescent="0.2">
      <c r="E269" s="268"/>
    </row>
    <row r="270" spans="5:5" ht="12.75" x14ac:dyDescent="0.2">
      <c r="E270" s="268"/>
    </row>
    <row r="271" spans="5:5" ht="12.75" x14ac:dyDescent="0.2">
      <c r="E271" s="268"/>
    </row>
    <row r="272" spans="5:5" ht="12.75" x14ac:dyDescent="0.2">
      <c r="E272" s="268"/>
    </row>
    <row r="273" spans="5:5" ht="12.75" x14ac:dyDescent="0.2">
      <c r="E273" s="268"/>
    </row>
    <row r="274" spans="5:5" ht="12.75" x14ac:dyDescent="0.2">
      <c r="E274" s="268"/>
    </row>
    <row r="275" spans="5:5" ht="12.75" x14ac:dyDescent="0.2">
      <c r="E275" s="268"/>
    </row>
    <row r="276" spans="5:5" ht="12.75" x14ac:dyDescent="0.2">
      <c r="E276" s="268"/>
    </row>
    <row r="277" spans="5:5" ht="12.75" x14ac:dyDescent="0.2">
      <c r="E277" s="268"/>
    </row>
    <row r="278" spans="5:5" ht="12.75" x14ac:dyDescent="0.2">
      <c r="E278" s="268"/>
    </row>
    <row r="279" spans="5:5" ht="12.75" x14ac:dyDescent="0.2">
      <c r="E279" s="268"/>
    </row>
    <row r="280" spans="5:5" ht="12.75" x14ac:dyDescent="0.2">
      <c r="E280" s="268"/>
    </row>
    <row r="281" spans="5:5" ht="12.75" x14ac:dyDescent="0.2">
      <c r="E281" s="268"/>
    </row>
    <row r="282" spans="5:5" ht="12.75" x14ac:dyDescent="0.2">
      <c r="E282" s="268"/>
    </row>
    <row r="283" spans="5:5" ht="12.75" x14ac:dyDescent="0.2">
      <c r="E283" s="268"/>
    </row>
    <row r="284" spans="5:5" ht="12.75" x14ac:dyDescent="0.2">
      <c r="E284" s="268"/>
    </row>
    <row r="285" spans="5:5" ht="12.75" x14ac:dyDescent="0.2">
      <c r="E285" s="268"/>
    </row>
    <row r="286" spans="5:5" ht="12.75" x14ac:dyDescent="0.2">
      <c r="E286" s="268"/>
    </row>
    <row r="287" spans="5:5" ht="12.75" x14ac:dyDescent="0.2">
      <c r="E287" s="268"/>
    </row>
    <row r="288" spans="5:5" ht="12.75" x14ac:dyDescent="0.2">
      <c r="E288" s="268"/>
    </row>
    <row r="289" spans="5:5" ht="12.75" x14ac:dyDescent="0.2">
      <c r="E289" s="268"/>
    </row>
    <row r="290" spans="5:5" ht="12.75" x14ac:dyDescent="0.2">
      <c r="E290" s="268"/>
    </row>
    <row r="291" spans="5:5" ht="12.75" x14ac:dyDescent="0.2">
      <c r="E291" s="268"/>
    </row>
    <row r="292" spans="5:5" ht="12.75" x14ac:dyDescent="0.2">
      <c r="E292" s="268"/>
    </row>
    <row r="293" spans="5:5" ht="12.75" x14ac:dyDescent="0.2">
      <c r="E293" s="268"/>
    </row>
    <row r="294" spans="5:5" ht="12.75" x14ac:dyDescent="0.2">
      <c r="E294" s="268"/>
    </row>
    <row r="295" spans="5:5" ht="12.75" x14ac:dyDescent="0.2">
      <c r="E295" s="268"/>
    </row>
    <row r="296" spans="5:5" ht="12.75" x14ac:dyDescent="0.2">
      <c r="E296" s="268"/>
    </row>
    <row r="297" spans="5:5" ht="12.75" x14ac:dyDescent="0.2">
      <c r="E297" s="268"/>
    </row>
    <row r="298" spans="5:5" ht="12.75" x14ac:dyDescent="0.2">
      <c r="E298" s="268"/>
    </row>
    <row r="299" spans="5:5" ht="12.75" x14ac:dyDescent="0.2">
      <c r="E299" s="268"/>
    </row>
    <row r="300" spans="5:5" ht="12.75" x14ac:dyDescent="0.2">
      <c r="E300" s="268"/>
    </row>
    <row r="301" spans="5:5" ht="12.75" x14ac:dyDescent="0.2">
      <c r="E301" s="268"/>
    </row>
    <row r="302" spans="5:5" ht="12.75" x14ac:dyDescent="0.2">
      <c r="E302" s="268"/>
    </row>
    <row r="303" spans="5:5" ht="12.75" x14ac:dyDescent="0.2">
      <c r="E303" s="268"/>
    </row>
    <row r="304" spans="5:5" ht="12.75" x14ac:dyDescent="0.2">
      <c r="E304" s="268"/>
    </row>
    <row r="305" spans="5:5" ht="12.75" x14ac:dyDescent="0.2">
      <c r="E305" s="268"/>
    </row>
    <row r="306" spans="5:5" ht="12.75" x14ac:dyDescent="0.2">
      <c r="E306" s="268"/>
    </row>
    <row r="307" spans="5:5" ht="12.75" x14ac:dyDescent="0.2">
      <c r="E307" s="268"/>
    </row>
    <row r="308" spans="5:5" ht="12.75" x14ac:dyDescent="0.2">
      <c r="E308" s="268"/>
    </row>
    <row r="309" spans="5:5" ht="12.75" x14ac:dyDescent="0.2">
      <c r="E309" s="268"/>
    </row>
    <row r="310" spans="5:5" ht="12.75" x14ac:dyDescent="0.2">
      <c r="E310" s="268"/>
    </row>
    <row r="311" spans="5:5" ht="12.75" x14ac:dyDescent="0.2">
      <c r="E311" s="268"/>
    </row>
    <row r="312" spans="5:5" ht="12.75" x14ac:dyDescent="0.2">
      <c r="E312" s="268"/>
    </row>
    <row r="313" spans="5:5" ht="12.75" x14ac:dyDescent="0.2">
      <c r="E313" s="268"/>
    </row>
    <row r="314" spans="5:5" ht="12.75" x14ac:dyDescent="0.2">
      <c r="E314" s="268"/>
    </row>
    <row r="315" spans="5:5" ht="12.75" x14ac:dyDescent="0.2">
      <c r="E315" s="268"/>
    </row>
    <row r="316" spans="5:5" ht="12.75" x14ac:dyDescent="0.2">
      <c r="E316" s="268"/>
    </row>
    <row r="317" spans="5:5" ht="12.75" x14ac:dyDescent="0.2">
      <c r="E317" s="268"/>
    </row>
    <row r="318" spans="5:5" ht="12.75" x14ac:dyDescent="0.2">
      <c r="E318" s="268"/>
    </row>
    <row r="319" spans="5:5" ht="12.75" x14ac:dyDescent="0.2">
      <c r="E319" s="268"/>
    </row>
    <row r="320" spans="5:5" ht="12.75" x14ac:dyDescent="0.2">
      <c r="E320" s="268"/>
    </row>
    <row r="321" spans="5:5" ht="12.75" x14ac:dyDescent="0.2">
      <c r="E321" s="268"/>
    </row>
    <row r="322" spans="5:5" ht="12.75" x14ac:dyDescent="0.2">
      <c r="E322" s="268"/>
    </row>
    <row r="323" spans="5:5" ht="12.75" x14ac:dyDescent="0.2">
      <c r="E323" s="268"/>
    </row>
    <row r="324" spans="5:5" ht="12.75" x14ac:dyDescent="0.2">
      <c r="E324" s="268"/>
    </row>
    <row r="325" spans="5:5" ht="12.75" x14ac:dyDescent="0.2">
      <c r="E325" s="268"/>
    </row>
    <row r="326" spans="5:5" ht="12.75" x14ac:dyDescent="0.2">
      <c r="E326" s="268"/>
    </row>
    <row r="327" spans="5:5" ht="12.75" x14ac:dyDescent="0.2">
      <c r="E327" s="268"/>
    </row>
    <row r="328" spans="5:5" ht="12.75" x14ac:dyDescent="0.2">
      <c r="E328" s="268"/>
    </row>
    <row r="329" spans="5:5" ht="12.75" x14ac:dyDescent="0.2">
      <c r="E329" s="268"/>
    </row>
    <row r="330" spans="5:5" ht="12.75" x14ac:dyDescent="0.2">
      <c r="E330" s="268"/>
    </row>
    <row r="331" spans="5:5" ht="12.75" x14ac:dyDescent="0.2">
      <c r="E331" s="268"/>
    </row>
    <row r="332" spans="5:5" ht="12.75" x14ac:dyDescent="0.2">
      <c r="E332" s="268"/>
    </row>
    <row r="333" spans="5:5" ht="12.75" x14ac:dyDescent="0.2">
      <c r="E333" s="268"/>
    </row>
    <row r="334" spans="5:5" ht="12.75" x14ac:dyDescent="0.2">
      <c r="E334" s="268"/>
    </row>
    <row r="335" spans="5:5" ht="12.75" x14ac:dyDescent="0.2">
      <c r="E335" s="268"/>
    </row>
    <row r="336" spans="5:5" ht="12.75" x14ac:dyDescent="0.2">
      <c r="E336" s="268"/>
    </row>
    <row r="337" spans="5:5" ht="12.75" x14ac:dyDescent="0.2">
      <c r="E337" s="268"/>
    </row>
    <row r="338" spans="5:5" ht="12.75" x14ac:dyDescent="0.2">
      <c r="E338" s="268"/>
    </row>
    <row r="339" spans="5:5" ht="12.75" x14ac:dyDescent="0.2">
      <c r="E339" s="268"/>
    </row>
    <row r="340" spans="5:5" ht="12.75" x14ac:dyDescent="0.2">
      <c r="E340" s="268"/>
    </row>
    <row r="341" spans="5:5" ht="12.75" x14ac:dyDescent="0.2">
      <c r="E341" s="268"/>
    </row>
    <row r="342" spans="5:5" ht="12.75" x14ac:dyDescent="0.2">
      <c r="E342" s="268"/>
    </row>
    <row r="343" spans="5:5" ht="12.75" x14ac:dyDescent="0.2">
      <c r="E343" s="268"/>
    </row>
    <row r="344" spans="5:5" ht="12.75" x14ac:dyDescent="0.2">
      <c r="E344" s="268"/>
    </row>
    <row r="345" spans="5:5" ht="12.75" x14ac:dyDescent="0.2">
      <c r="E345" s="268"/>
    </row>
    <row r="346" spans="5:5" ht="12.75" x14ac:dyDescent="0.2">
      <c r="E346" s="268"/>
    </row>
    <row r="347" spans="5:5" ht="12.75" x14ac:dyDescent="0.2">
      <c r="E347" s="268"/>
    </row>
    <row r="348" spans="5:5" ht="12.75" x14ac:dyDescent="0.2">
      <c r="E348" s="268"/>
    </row>
    <row r="349" spans="5:5" ht="12.75" x14ac:dyDescent="0.2">
      <c r="E349" s="268"/>
    </row>
    <row r="350" spans="5:5" ht="12.75" x14ac:dyDescent="0.2">
      <c r="E350" s="268"/>
    </row>
    <row r="351" spans="5:5" ht="12.75" x14ac:dyDescent="0.2">
      <c r="E351" s="268"/>
    </row>
    <row r="352" spans="5:5" ht="12.75" x14ac:dyDescent="0.2">
      <c r="E352" s="268"/>
    </row>
    <row r="353" spans="5:5" ht="12.75" x14ac:dyDescent="0.2">
      <c r="E353" s="268"/>
    </row>
    <row r="354" spans="5:5" ht="12.75" x14ac:dyDescent="0.2">
      <c r="E354" s="268"/>
    </row>
    <row r="355" spans="5:5" ht="12.75" x14ac:dyDescent="0.2">
      <c r="E355" s="268"/>
    </row>
    <row r="356" spans="5:5" ht="12.75" x14ac:dyDescent="0.2">
      <c r="E356" s="268"/>
    </row>
    <row r="357" spans="5:5" ht="12.75" x14ac:dyDescent="0.2">
      <c r="E357" s="268"/>
    </row>
    <row r="358" spans="5:5" ht="12.75" x14ac:dyDescent="0.2">
      <c r="E358" s="268"/>
    </row>
    <row r="359" spans="5:5" ht="12.75" x14ac:dyDescent="0.2">
      <c r="E359" s="268"/>
    </row>
    <row r="360" spans="5:5" ht="12.75" x14ac:dyDescent="0.2">
      <c r="E360" s="268"/>
    </row>
    <row r="361" spans="5:5" ht="12.75" x14ac:dyDescent="0.2">
      <c r="E361" s="268"/>
    </row>
    <row r="362" spans="5:5" ht="12.75" x14ac:dyDescent="0.2">
      <c r="E362" s="268"/>
    </row>
    <row r="363" spans="5:5" ht="12.75" x14ac:dyDescent="0.2">
      <c r="E363" s="268"/>
    </row>
    <row r="364" spans="5:5" ht="12.75" x14ac:dyDescent="0.2">
      <c r="E364" s="268"/>
    </row>
    <row r="365" spans="5:5" ht="12.75" x14ac:dyDescent="0.2">
      <c r="E365" s="268"/>
    </row>
    <row r="366" spans="5:5" ht="12.75" x14ac:dyDescent="0.2">
      <c r="E366" s="268"/>
    </row>
    <row r="367" spans="5:5" ht="12.75" x14ac:dyDescent="0.2">
      <c r="E367" s="268"/>
    </row>
    <row r="368" spans="5:5" ht="12.75" x14ac:dyDescent="0.2">
      <c r="E368" s="268"/>
    </row>
    <row r="369" spans="5:5" ht="12.75" x14ac:dyDescent="0.2">
      <c r="E369" s="268"/>
    </row>
    <row r="370" spans="5:5" ht="12.75" x14ac:dyDescent="0.2">
      <c r="E370" s="268"/>
    </row>
    <row r="371" spans="5:5" ht="12.75" x14ac:dyDescent="0.2">
      <c r="E371" s="268"/>
    </row>
    <row r="372" spans="5:5" ht="12.75" x14ac:dyDescent="0.2">
      <c r="E372" s="268"/>
    </row>
    <row r="373" spans="5:5" ht="12.75" x14ac:dyDescent="0.2">
      <c r="E373" s="268"/>
    </row>
    <row r="374" spans="5:5" ht="12.75" x14ac:dyDescent="0.2">
      <c r="E374" s="268"/>
    </row>
    <row r="375" spans="5:5" ht="12.75" x14ac:dyDescent="0.2">
      <c r="E375" s="268"/>
    </row>
    <row r="376" spans="5:5" ht="12.75" x14ac:dyDescent="0.2">
      <c r="E376" s="268"/>
    </row>
    <row r="377" spans="5:5" ht="12.75" x14ac:dyDescent="0.2">
      <c r="E377" s="268"/>
    </row>
    <row r="378" spans="5:5" ht="12.75" x14ac:dyDescent="0.2">
      <c r="E378" s="268"/>
    </row>
    <row r="379" spans="5:5" ht="12.75" x14ac:dyDescent="0.2">
      <c r="E379" s="268"/>
    </row>
    <row r="380" spans="5:5" ht="12.75" x14ac:dyDescent="0.2">
      <c r="E380" s="268"/>
    </row>
    <row r="381" spans="5:5" ht="12.75" x14ac:dyDescent="0.2">
      <c r="E381" s="268"/>
    </row>
    <row r="382" spans="5:5" ht="12.75" x14ac:dyDescent="0.2">
      <c r="E382" s="268"/>
    </row>
    <row r="383" spans="5:5" ht="12.75" x14ac:dyDescent="0.2">
      <c r="E383" s="268"/>
    </row>
    <row r="384" spans="5:5" ht="12.75" x14ac:dyDescent="0.2">
      <c r="E384" s="268"/>
    </row>
    <row r="385" spans="5:5" ht="12.75" x14ac:dyDescent="0.2">
      <c r="E385" s="268"/>
    </row>
    <row r="386" spans="5:5" ht="12.75" x14ac:dyDescent="0.2">
      <c r="E386" s="268"/>
    </row>
    <row r="387" spans="5:5" ht="12.75" x14ac:dyDescent="0.2">
      <c r="E387" s="268"/>
    </row>
    <row r="388" spans="5:5" ht="12.75" x14ac:dyDescent="0.2">
      <c r="E388" s="268"/>
    </row>
    <row r="389" spans="5:5" ht="12.75" x14ac:dyDescent="0.2">
      <c r="E389" s="268"/>
    </row>
    <row r="390" spans="5:5" ht="12.75" x14ac:dyDescent="0.2">
      <c r="E390" s="268"/>
    </row>
    <row r="391" spans="5:5" ht="12.75" x14ac:dyDescent="0.2">
      <c r="E391" s="268"/>
    </row>
    <row r="392" spans="5:5" ht="12.75" x14ac:dyDescent="0.2">
      <c r="E392" s="268"/>
    </row>
    <row r="393" spans="5:5" ht="12.75" x14ac:dyDescent="0.2">
      <c r="E393" s="268"/>
    </row>
    <row r="394" spans="5:5" ht="12.75" x14ac:dyDescent="0.2">
      <c r="E394" s="268"/>
    </row>
    <row r="395" spans="5:5" ht="12.75" x14ac:dyDescent="0.2">
      <c r="E395" s="268"/>
    </row>
    <row r="396" spans="5:5" ht="12.75" x14ac:dyDescent="0.2">
      <c r="E396" s="268"/>
    </row>
    <row r="397" spans="5:5" ht="12.75" x14ac:dyDescent="0.2">
      <c r="E397" s="268"/>
    </row>
    <row r="398" spans="5:5" ht="12.75" x14ac:dyDescent="0.2">
      <c r="E398" s="268"/>
    </row>
    <row r="399" spans="5:5" ht="12.75" x14ac:dyDescent="0.2">
      <c r="E399" s="268"/>
    </row>
    <row r="400" spans="5:5" ht="12.75" x14ac:dyDescent="0.2">
      <c r="E400" s="268"/>
    </row>
    <row r="401" spans="5:5" ht="12.75" x14ac:dyDescent="0.2">
      <c r="E401" s="268"/>
    </row>
    <row r="402" spans="5:5" ht="12.75" x14ac:dyDescent="0.2">
      <c r="E402" s="268"/>
    </row>
    <row r="403" spans="5:5" ht="12.75" x14ac:dyDescent="0.2">
      <c r="E403" s="268"/>
    </row>
    <row r="404" spans="5:5" ht="12.75" x14ac:dyDescent="0.2">
      <c r="E404" s="268"/>
    </row>
    <row r="405" spans="5:5" ht="12.75" x14ac:dyDescent="0.2">
      <c r="E405" s="268"/>
    </row>
    <row r="406" spans="5:5" ht="12.75" x14ac:dyDescent="0.2">
      <c r="E406" s="268"/>
    </row>
    <row r="407" spans="5:5" ht="12.75" x14ac:dyDescent="0.2">
      <c r="E407" s="268"/>
    </row>
    <row r="408" spans="5:5" ht="12.75" x14ac:dyDescent="0.2">
      <c r="E408" s="268"/>
    </row>
    <row r="409" spans="5:5" ht="12.75" x14ac:dyDescent="0.2">
      <c r="E409" s="268"/>
    </row>
    <row r="410" spans="5:5" ht="12.75" x14ac:dyDescent="0.2">
      <c r="E410" s="268"/>
    </row>
    <row r="411" spans="5:5" ht="12.75" x14ac:dyDescent="0.2">
      <c r="E411" s="268"/>
    </row>
    <row r="412" spans="5:5" ht="12.75" x14ac:dyDescent="0.2">
      <c r="E412" s="268"/>
    </row>
    <row r="413" spans="5:5" ht="12.75" x14ac:dyDescent="0.2">
      <c r="E413" s="268"/>
    </row>
    <row r="414" spans="5:5" ht="12.75" x14ac:dyDescent="0.2">
      <c r="E414" s="268"/>
    </row>
    <row r="415" spans="5:5" ht="12.75" x14ac:dyDescent="0.2">
      <c r="E415" s="268"/>
    </row>
    <row r="416" spans="5:5" ht="12.75" x14ac:dyDescent="0.2">
      <c r="E416" s="268"/>
    </row>
    <row r="417" spans="5:5" ht="12.75" x14ac:dyDescent="0.2">
      <c r="E417" s="268"/>
    </row>
    <row r="418" spans="5:5" ht="12.75" x14ac:dyDescent="0.2">
      <c r="E418" s="268"/>
    </row>
    <row r="419" spans="5:5" ht="12.75" x14ac:dyDescent="0.2">
      <c r="E419" s="268"/>
    </row>
    <row r="420" spans="5:5" ht="12.75" x14ac:dyDescent="0.2">
      <c r="E420" s="268"/>
    </row>
    <row r="421" spans="5:5" ht="12.75" x14ac:dyDescent="0.2">
      <c r="E421" s="268"/>
    </row>
    <row r="422" spans="5:5" ht="12.75" x14ac:dyDescent="0.2">
      <c r="E422" s="268"/>
    </row>
    <row r="423" spans="5:5" ht="12.75" x14ac:dyDescent="0.2">
      <c r="E423" s="268"/>
    </row>
    <row r="424" spans="5:5" ht="12.75" x14ac:dyDescent="0.2">
      <c r="E424" s="268"/>
    </row>
    <row r="425" spans="5:5" ht="12.75" x14ac:dyDescent="0.2">
      <c r="E425" s="268"/>
    </row>
    <row r="426" spans="5:5" ht="12.75" x14ac:dyDescent="0.2">
      <c r="E426" s="268"/>
    </row>
    <row r="427" spans="5:5" ht="12.75" x14ac:dyDescent="0.2">
      <c r="E427" s="268"/>
    </row>
    <row r="428" spans="5:5" ht="12.75" x14ac:dyDescent="0.2">
      <c r="E428" s="268"/>
    </row>
    <row r="429" spans="5:5" ht="12.75" x14ac:dyDescent="0.2">
      <c r="E429" s="268"/>
    </row>
    <row r="430" spans="5:5" ht="12.75" x14ac:dyDescent="0.2">
      <c r="E430" s="268"/>
    </row>
    <row r="431" spans="5:5" ht="12.75" x14ac:dyDescent="0.2">
      <c r="E431" s="268"/>
    </row>
    <row r="432" spans="5:5" ht="12.75" x14ac:dyDescent="0.2">
      <c r="E432" s="268"/>
    </row>
    <row r="433" spans="5:5" ht="12.75" x14ac:dyDescent="0.2">
      <c r="E433" s="268"/>
    </row>
    <row r="434" spans="5:5" ht="12.75" x14ac:dyDescent="0.2">
      <c r="E434" s="268"/>
    </row>
    <row r="435" spans="5:5" ht="12.75" x14ac:dyDescent="0.2">
      <c r="E435" s="268"/>
    </row>
    <row r="436" spans="5:5" ht="12.75" x14ac:dyDescent="0.2">
      <c r="E436" s="268"/>
    </row>
    <row r="437" spans="5:5" ht="12.75" x14ac:dyDescent="0.2">
      <c r="E437" s="268"/>
    </row>
    <row r="438" spans="5:5" ht="12.75" x14ac:dyDescent="0.2">
      <c r="E438" s="268"/>
    </row>
    <row r="439" spans="5:5" ht="12.75" x14ac:dyDescent="0.2">
      <c r="E439" s="268"/>
    </row>
    <row r="440" spans="5:5" ht="12.75" x14ac:dyDescent="0.2">
      <c r="E440" s="268"/>
    </row>
    <row r="441" spans="5:5" ht="12.75" x14ac:dyDescent="0.2">
      <c r="E441" s="268"/>
    </row>
    <row r="442" spans="5:5" ht="12.75" x14ac:dyDescent="0.2">
      <c r="E442" s="268"/>
    </row>
    <row r="443" spans="5:5" ht="12.75" x14ac:dyDescent="0.2">
      <c r="E443" s="268"/>
    </row>
    <row r="444" spans="5:5" ht="12.75" x14ac:dyDescent="0.2">
      <c r="E444" s="268"/>
    </row>
    <row r="445" spans="5:5" ht="12.75" x14ac:dyDescent="0.2">
      <c r="E445" s="268"/>
    </row>
    <row r="446" spans="5:5" ht="12.75" x14ac:dyDescent="0.2">
      <c r="E446" s="268"/>
    </row>
    <row r="447" spans="5:5" ht="12.75" x14ac:dyDescent="0.2">
      <c r="E447" s="268"/>
    </row>
    <row r="448" spans="5:5" ht="12.75" x14ac:dyDescent="0.2">
      <c r="E448" s="268"/>
    </row>
    <row r="449" spans="5:5" ht="12.75" x14ac:dyDescent="0.2">
      <c r="E449" s="268"/>
    </row>
    <row r="450" spans="5:5" ht="12.75" x14ac:dyDescent="0.2">
      <c r="E450" s="268"/>
    </row>
    <row r="451" spans="5:5" ht="12.75" x14ac:dyDescent="0.2">
      <c r="E451" s="268"/>
    </row>
    <row r="452" spans="5:5" ht="12.75" x14ac:dyDescent="0.2">
      <c r="E452" s="268"/>
    </row>
    <row r="453" spans="5:5" ht="12.75" x14ac:dyDescent="0.2">
      <c r="E453" s="268"/>
    </row>
    <row r="454" spans="5:5" ht="12.75" x14ac:dyDescent="0.2">
      <c r="E454" s="268"/>
    </row>
    <row r="455" spans="5:5" ht="12.75" x14ac:dyDescent="0.2">
      <c r="E455" s="268"/>
    </row>
    <row r="456" spans="5:5" ht="12.75" x14ac:dyDescent="0.2">
      <c r="E456" s="268"/>
    </row>
    <row r="457" spans="5:5" ht="12.75" x14ac:dyDescent="0.2">
      <c r="E457" s="268"/>
    </row>
    <row r="458" spans="5:5" ht="12.75" x14ac:dyDescent="0.2">
      <c r="E458" s="268"/>
    </row>
    <row r="459" spans="5:5" ht="12.75" x14ac:dyDescent="0.2">
      <c r="E459" s="268"/>
    </row>
    <row r="460" spans="5:5" ht="12.75" x14ac:dyDescent="0.2">
      <c r="E460" s="268"/>
    </row>
    <row r="461" spans="5:5" ht="12.75" x14ac:dyDescent="0.2">
      <c r="E461" s="268"/>
    </row>
    <row r="462" spans="5:5" ht="12.75" x14ac:dyDescent="0.2">
      <c r="E462" s="268"/>
    </row>
    <row r="463" spans="5:5" ht="12.75" x14ac:dyDescent="0.2">
      <c r="E463" s="268"/>
    </row>
    <row r="464" spans="5:5" ht="12.75" x14ac:dyDescent="0.2">
      <c r="E464" s="268"/>
    </row>
    <row r="465" spans="5:5" ht="12.75" x14ac:dyDescent="0.2">
      <c r="E465" s="268"/>
    </row>
    <row r="466" spans="5:5" ht="12.75" x14ac:dyDescent="0.2">
      <c r="E466" s="268"/>
    </row>
    <row r="467" spans="5:5" ht="12.75" x14ac:dyDescent="0.2">
      <c r="E467" s="268"/>
    </row>
    <row r="468" spans="5:5" ht="12.75" x14ac:dyDescent="0.2">
      <c r="E468" s="268"/>
    </row>
    <row r="469" spans="5:5" ht="12.75" x14ac:dyDescent="0.2">
      <c r="E469" s="268"/>
    </row>
    <row r="470" spans="5:5" ht="12.75" x14ac:dyDescent="0.2">
      <c r="E470" s="268"/>
    </row>
    <row r="471" spans="5:5" ht="12.75" x14ac:dyDescent="0.2">
      <c r="E471" s="268"/>
    </row>
    <row r="472" spans="5:5" ht="12.75" x14ac:dyDescent="0.2">
      <c r="E472" s="268"/>
    </row>
    <row r="473" spans="5:5" ht="12.75" x14ac:dyDescent="0.2">
      <c r="E473" s="268"/>
    </row>
    <row r="474" spans="5:5" ht="12.75" x14ac:dyDescent="0.2">
      <c r="E474" s="268"/>
    </row>
    <row r="475" spans="5:5" ht="12.75" x14ac:dyDescent="0.2">
      <c r="E475" s="268"/>
    </row>
    <row r="476" spans="5:5" ht="12.75" x14ac:dyDescent="0.2">
      <c r="E476" s="268"/>
    </row>
    <row r="477" spans="5:5" ht="12.75" x14ac:dyDescent="0.2">
      <c r="E477" s="268"/>
    </row>
    <row r="478" spans="5:5" ht="12.75" x14ac:dyDescent="0.2">
      <c r="E478" s="268"/>
    </row>
    <row r="479" spans="5:5" ht="12.75" x14ac:dyDescent="0.2">
      <c r="E479" s="268"/>
    </row>
    <row r="480" spans="5:5" ht="12.75" x14ac:dyDescent="0.2">
      <c r="E480" s="268"/>
    </row>
    <row r="481" spans="5:5" ht="12.75" x14ac:dyDescent="0.2">
      <c r="E481" s="268"/>
    </row>
    <row r="482" spans="5:5" ht="12.75" x14ac:dyDescent="0.2">
      <c r="E482" s="268"/>
    </row>
    <row r="483" spans="5:5" ht="12.75" x14ac:dyDescent="0.2">
      <c r="E483" s="268"/>
    </row>
    <row r="484" spans="5:5" ht="12.75" x14ac:dyDescent="0.2">
      <c r="E484" s="268"/>
    </row>
    <row r="485" spans="5:5" ht="12.75" x14ac:dyDescent="0.2">
      <c r="E485" s="268"/>
    </row>
    <row r="486" spans="5:5" ht="12.75" x14ac:dyDescent="0.2">
      <c r="E486" s="268"/>
    </row>
    <row r="487" spans="5:5" ht="12.75" x14ac:dyDescent="0.2">
      <c r="E487" s="268"/>
    </row>
    <row r="488" spans="5:5" ht="12.75" x14ac:dyDescent="0.2">
      <c r="E488" s="268"/>
    </row>
    <row r="489" spans="5:5" ht="12.75" x14ac:dyDescent="0.2">
      <c r="E489" s="268"/>
    </row>
    <row r="490" spans="5:5" ht="12.75" x14ac:dyDescent="0.2">
      <c r="E490" s="268"/>
    </row>
    <row r="491" spans="5:5" ht="12.75" x14ac:dyDescent="0.2">
      <c r="E491" s="268"/>
    </row>
    <row r="492" spans="5:5" ht="12.75" x14ac:dyDescent="0.2">
      <c r="E492" s="268"/>
    </row>
    <row r="493" spans="5:5" ht="12.75" x14ac:dyDescent="0.2">
      <c r="E493" s="268"/>
    </row>
    <row r="494" spans="5:5" ht="12.75" x14ac:dyDescent="0.2">
      <c r="E494" s="268"/>
    </row>
    <row r="495" spans="5:5" ht="12.75" x14ac:dyDescent="0.2">
      <c r="E495" s="268"/>
    </row>
    <row r="496" spans="5:5" ht="12.75" x14ac:dyDescent="0.2">
      <c r="E496" s="268"/>
    </row>
    <row r="497" spans="5:5" ht="12.75" x14ac:dyDescent="0.2">
      <c r="E497" s="268"/>
    </row>
    <row r="498" spans="5:5" ht="12.75" x14ac:dyDescent="0.2">
      <c r="E498" s="268"/>
    </row>
    <row r="499" spans="5:5" ht="12.75" x14ac:dyDescent="0.2">
      <c r="E499" s="268"/>
    </row>
    <row r="500" spans="5:5" ht="12.75" x14ac:dyDescent="0.2">
      <c r="E500" s="268"/>
    </row>
    <row r="501" spans="5:5" ht="12.75" x14ac:dyDescent="0.2">
      <c r="E501" s="268"/>
    </row>
    <row r="502" spans="5:5" ht="12.75" x14ac:dyDescent="0.2">
      <c r="E502" s="268"/>
    </row>
    <row r="503" spans="5:5" ht="12.75" x14ac:dyDescent="0.2">
      <c r="E503" s="268"/>
    </row>
    <row r="504" spans="5:5" ht="12.75" x14ac:dyDescent="0.2">
      <c r="E504" s="268"/>
    </row>
    <row r="505" spans="5:5" ht="12.75" x14ac:dyDescent="0.2">
      <c r="E505" s="268"/>
    </row>
    <row r="506" spans="5:5" ht="12.75" x14ac:dyDescent="0.2">
      <c r="E506" s="268"/>
    </row>
    <row r="507" spans="5:5" ht="12.75" x14ac:dyDescent="0.2">
      <c r="E507" s="268"/>
    </row>
    <row r="508" spans="5:5" ht="12.75" x14ac:dyDescent="0.2">
      <c r="E508" s="268"/>
    </row>
    <row r="509" spans="5:5" ht="12.75" x14ac:dyDescent="0.2">
      <c r="E509" s="268"/>
    </row>
    <row r="510" spans="5:5" ht="12.75" x14ac:dyDescent="0.2">
      <c r="E510" s="268"/>
    </row>
    <row r="511" spans="5:5" ht="12.75" x14ac:dyDescent="0.2">
      <c r="E511" s="268"/>
    </row>
    <row r="512" spans="5:5" ht="12.75" x14ac:dyDescent="0.2">
      <c r="E512" s="268"/>
    </row>
    <row r="513" spans="5:5" ht="12.75" x14ac:dyDescent="0.2">
      <c r="E513" s="268"/>
    </row>
    <row r="514" spans="5:5" ht="12.75" x14ac:dyDescent="0.2">
      <c r="E514" s="268"/>
    </row>
    <row r="515" spans="5:5" ht="12.75" x14ac:dyDescent="0.2">
      <c r="E515" s="268"/>
    </row>
    <row r="516" spans="5:5" ht="12.75" x14ac:dyDescent="0.2">
      <c r="E516" s="268"/>
    </row>
    <row r="517" spans="5:5" ht="12.75" x14ac:dyDescent="0.2">
      <c r="E517" s="268"/>
    </row>
    <row r="518" spans="5:5" ht="12.75" x14ac:dyDescent="0.2">
      <c r="E518" s="268"/>
    </row>
    <row r="519" spans="5:5" ht="12.75" x14ac:dyDescent="0.2">
      <c r="E519" s="268"/>
    </row>
    <row r="520" spans="5:5" ht="12.75" x14ac:dyDescent="0.2">
      <c r="E520" s="268"/>
    </row>
    <row r="521" spans="5:5" ht="12.75" x14ac:dyDescent="0.2">
      <c r="E521" s="268"/>
    </row>
    <row r="522" spans="5:5" ht="12.75" x14ac:dyDescent="0.2">
      <c r="E522" s="268"/>
    </row>
    <row r="523" spans="5:5" ht="12.75" x14ac:dyDescent="0.2">
      <c r="E523" s="268"/>
    </row>
    <row r="524" spans="5:5" ht="12.75" x14ac:dyDescent="0.2">
      <c r="E524" s="268"/>
    </row>
    <row r="525" spans="5:5" ht="12.75" x14ac:dyDescent="0.2">
      <c r="E525" s="268"/>
    </row>
    <row r="526" spans="5:5" ht="12.75" x14ac:dyDescent="0.2">
      <c r="E526" s="268"/>
    </row>
    <row r="527" spans="5:5" ht="12.75" x14ac:dyDescent="0.2">
      <c r="E527" s="268"/>
    </row>
    <row r="528" spans="5:5" ht="12.75" x14ac:dyDescent="0.2">
      <c r="E528" s="268"/>
    </row>
    <row r="529" spans="5:5" ht="12.75" x14ac:dyDescent="0.2">
      <c r="E529" s="268"/>
    </row>
    <row r="530" spans="5:5" ht="12.75" x14ac:dyDescent="0.2">
      <c r="E530" s="268"/>
    </row>
    <row r="531" spans="5:5" ht="12.75" x14ac:dyDescent="0.2">
      <c r="E531" s="268"/>
    </row>
    <row r="532" spans="5:5" ht="12.75" x14ac:dyDescent="0.2">
      <c r="E532" s="268"/>
    </row>
    <row r="533" spans="5:5" ht="12.75" x14ac:dyDescent="0.2">
      <c r="E533" s="268"/>
    </row>
    <row r="534" spans="5:5" ht="12.75" x14ac:dyDescent="0.2">
      <c r="E534" s="268"/>
    </row>
    <row r="535" spans="5:5" ht="12.75" x14ac:dyDescent="0.2">
      <c r="E535" s="268"/>
    </row>
    <row r="536" spans="5:5" ht="12.75" x14ac:dyDescent="0.2">
      <c r="E536" s="268"/>
    </row>
    <row r="537" spans="5:5" ht="12.75" x14ac:dyDescent="0.2">
      <c r="E537" s="268"/>
    </row>
    <row r="538" spans="5:5" ht="12.75" x14ac:dyDescent="0.2">
      <c r="E538" s="268"/>
    </row>
    <row r="539" spans="5:5" ht="12.75" x14ac:dyDescent="0.2">
      <c r="E539" s="268"/>
    </row>
    <row r="540" spans="5:5" ht="12.75" x14ac:dyDescent="0.2">
      <c r="E540" s="268"/>
    </row>
    <row r="541" spans="5:5" ht="12.75" x14ac:dyDescent="0.2">
      <c r="E541" s="268"/>
    </row>
    <row r="542" spans="5:5" ht="12.75" x14ac:dyDescent="0.2">
      <c r="E542" s="268"/>
    </row>
    <row r="543" spans="5:5" ht="12.75" x14ac:dyDescent="0.2">
      <c r="E543" s="268"/>
    </row>
    <row r="544" spans="5:5" ht="12.75" x14ac:dyDescent="0.2">
      <c r="E544" s="268"/>
    </row>
    <row r="545" spans="5:5" ht="12.75" x14ac:dyDescent="0.2">
      <c r="E545" s="268"/>
    </row>
    <row r="546" spans="5:5" ht="12.75" x14ac:dyDescent="0.2">
      <c r="E546" s="268"/>
    </row>
    <row r="547" spans="5:5" ht="12.75" x14ac:dyDescent="0.2">
      <c r="E547" s="268"/>
    </row>
    <row r="548" spans="5:5" ht="12.75" x14ac:dyDescent="0.2">
      <c r="E548" s="268"/>
    </row>
    <row r="549" spans="5:5" ht="12.75" x14ac:dyDescent="0.2">
      <c r="E549" s="268"/>
    </row>
    <row r="550" spans="5:5" ht="12.75" x14ac:dyDescent="0.2">
      <c r="E550" s="268"/>
    </row>
    <row r="551" spans="5:5" ht="12.75" x14ac:dyDescent="0.2">
      <c r="E551" s="268"/>
    </row>
    <row r="552" spans="5:5" ht="12.75" x14ac:dyDescent="0.2">
      <c r="E552" s="268"/>
    </row>
    <row r="553" spans="5:5" ht="12.75" x14ac:dyDescent="0.2">
      <c r="E553" s="268"/>
    </row>
    <row r="554" spans="5:5" ht="12.75" x14ac:dyDescent="0.2">
      <c r="E554" s="268"/>
    </row>
    <row r="555" spans="5:5" ht="12.75" x14ac:dyDescent="0.2">
      <c r="E555" s="268"/>
    </row>
    <row r="556" spans="5:5" ht="12.75" x14ac:dyDescent="0.2">
      <c r="E556" s="268"/>
    </row>
    <row r="557" spans="5:5" ht="12.75" x14ac:dyDescent="0.2">
      <c r="E557" s="268"/>
    </row>
    <row r="558" spans="5:5" ht="12.75" x14ac:dyDescent="0.2">
      <c r="E558" s="268"/>
    </row>
    <row r="559" spans="5:5" ht="12.75" x14ac:dyDescent="0.2">
      <c r="E559" s="268"/>
    </row>
    <row r="560" spans="5:5" ht="12.75" x14ac:dyDescent="0.2">
      <c r="E560" s="268"/>
    </row>
    <row r="561" spans="5:5" ht="12.75" x14ac:dyDescent="0.2">
      <c r="E561" s="268"/>
    </row>
    <row r="562" spans="5:5" ht="12.75" x14ac:dyDescent="0.2">
      <c r="E562" s="268"/>
    </row>
    <row r="563" spans="5:5" ht="12.75" x14ac:dyDescent="0.2">
      <c r="E563" s="268"/>
    </row>
    <row r="564" spans="5:5" ht="12.75" x14ac:dyDescent="0.2">
      <c r="E564" s="268"/>
    </row>
    <row r="565" spans="5:5" ht="12.75" x14ac:dyDescent="0.2">
      <c r="E565" s="268"/>
    </row>
    <row r="566" spans="5:5" ht="12.75" x14ac:dyDescent="0.2">
      <c r="E566" s="268"/>
    </row>
    <row r="567" spans="5:5" ht="12.75" x14ac:dyDescent="0.2">
      <c r="E567" s="268"/>
    </row>
    <row r="568" spans="5:5" ht="12.75" x14ac:dyDescent="0.2">
      <c r="E568" s="268"/>
    </row>
    <row r="569" spans="5:5" ht="12.75" x14ac:dyDescent="0.2">
      <c r="E569" s="268"/>
    </row>
    <row r="570" spans="5:5" ht="12.75" x14ac:dyDescent="0.2">
      <c r="E570" s="268"/>
    </row>
    <row r="571" spans="5:5" ht="12.75" x14ac:dyDescent="0.2">
      <c r="E571" s="268"/>
    </row>
    <row r="572" spans="5:5" ht="12.75" x14ac:dyDescent="0.2">
      <c r="E572" s="268"/>
    </row>
    <row r="573" spans="5:5" ht="12.75" x14ac:dyDescent="0.2">
      <c r="E573" s="268"/>
    </row>
    <row r="574" spans="5:5" ht="12.75" x14ac:dyDescent="0.2">
      <c r="E574" s="268"/>
    </row>
    <row r="575" spans="5:5" ht="12.75" x14ac:dyDescent="0.2">
      <c r="E575" s="268"/>
    </row>
    <row r="576" spans="5:5" ht="12.75" x14ac:dyDescent="0.2">
      <c r="E576" s="268"/>
    </row>
    <row r="577" spans="5:5" ht="12.75" x14ac:dyDescent="0.2">
      <c r="E577" s="268"/>
    </row>
    <row r="578" spans="5:5" ht="12.75" x14ac:dyDescent="0.2">
      <c r="E578" s="268"/>
    </row>
    <row r="579" spans="5:5" ht="12.75" x14ac:dyDescent="0.2">
      <c r="E579" s="268"/>
    </row>
    <row r="580" spans="5:5" ht="12.75" x14ac:dyDescent="0.2">
      <c r="E580" s="268"/>
    </row>
    <row r="581" spans="5:5" ht="12.75" x14ac:dyDescent="0.2">
      <c r="E581" s="268"/>
    </row>
    <row r="582" spans="5:5" ht="12.75" x14ac:dyDescent="0.2">
      <c r="E582" s="268"/>
    </row>
    <row r="583" spans="5:5" ht="12.75" x14ac:dyDescent="0.2">
      <c r="E583" s="268"/>
    </row>
    <row r="584" spans="5:5" ht="12.75" x14ac:dyDescent="0.2">
      <c r="E584" s="268"/>
    </row>
    <row r="585" spans="5:5" ht="12.75" x14ac:dyDescent="0.2">
      <c r="E585" s="268"/>
    </row>
    <row r="586" spans="5:5" ht="12.75" x14ac:dyDescent="0.2">
      <c r="E586" s="268"/>
    </row>
    <row r="587" spans="5:5" ht="12.75" x14ac:dyDescent="0.2">
      <c r="E587" s="268"/>
    </row>
    <row r="588" spans="5:5" ht="12.75" x14ac:dyDescent="0.2">
      <c r="E588" s="268"/>
    </row>
    <row r="589" spans="5:5" ht="12.75" x14ac:dyDescent="0.2">
      <c r="E589" s="268"/>
    </row>
    <row r="590" spans="5:5" ht="12.75" x14ac:dyDescent="0.2">
      <c r="E590" s="268"/>
    </row>
    <row r="591" spans="5:5" ht="12.75" x14ac:dyDescent="0.2">
      <c r="E591" s="268"/>
    </row>
    <row r="592" spans="5:5" ht="12.75" x14ac:dyDescent="0.2">
      <c r="E592" s="268"/>
    </row>
    <row r="593" spans="5:5" ht="12.75" x14ac:dyDescent="0.2">
      <c r="E593" s="268"/>
    </row>
    <row r="594" spans="5:5" ht="12.75" x14ac:dyDescent="0.2">
      <c r="E594" s="268"/>
    </row>
    <row r="595" spans="5:5" ht="12.75" x14ac:dyDescent="0.2">
      <c r="E595" s="268"/>
    </row>
    <row r="596" spans="5:5" ht="12.75" x14ac:dyDescent="0.2">
      <c r="E596" s="268"/>
    </row>
    <row r="597" spans="5:5" ht="12.75" x14ac:dyDescent="0.2">
      <c r="E597" s="268"/>
    </row>
    <row r="598" spans="5:5" ht="12.75" x14ac:dyDescent="0.2">
      <c r="E598" s="268"/>
    </row>
    <row r="599" spans="5:5" ht="12.75" x14ac:dyDescent="0.2">
      <c r="E599" s="268"/>
    </row>
    <row r="600" spans="5:5" ht="12.75" x14ac:dyDescent="0.2">
      <c r="E600" s="268"/>
    </row>
    <row r="601" spans="5:5" ht="12.75" x14ac:dyDescent="0.2">
      <c r="E601" s="268"/>
    </row>
    <row r="602" spans="5:5" ht="12.75" x14ac:dyDescent="0.2">
      <c r="E602" s="268"/>
    </row>
    <row r="603" spans="5:5" ht="12.75" x14ac:dyDescent="0.2">
      <c r="E603" s="268"/>
    </row>
    <row r="604" spans="5:5" ht="12.75" x14ac:dyDescent="0.2">
      <c r="E604" s="268"/>
    </row>
    <row r="605" spans="5:5" ht="12.75" x14ac:dyDescent="0.2">
      <c r="E605" s="268"/>
    </row>
    <row r="606" spans="5:5" ht="12.75" x14ac:dyDescent="0.2">
      <c r="E606" s="268"/>
    </row>
    <row r="607" spans="5:5" ht="12.75" x14ac:dyDescent="0.2">
      <c r="E607" s="268"/>
    </row>
    <row r="608" spans="5:5" ht="12.75" x14ac:dyDescent="0.2">
      <c r="E608" s="268"/>
    </row>
    <row r="609" spans="5:5" ht="12.75" x14ac:dyDescent="0.2">
      <c r="E609" s="268"/>
    </row>
    <row r="610" spans="5:5" ht="12.75" x14ac:dyDescent="0.2">
      <c r="E610" s="268"/>
    </row>
    <row r="611" spans="5:5" ht="12.75" x14ac:dyDescent="0.2">
      <c r="E611" s="268"/>
    </row>
    <row r="612" spans="5:5" ht="12.75" x14ac:dyDescent="0.2">
      <c r="E612" s="268"/>
    </row>
    <row r="613" spans="5:5" ht="12.75" x14ac:dyDescent="0.2">
      <c r="E613" s="268"/>
    </row>
    <row r="614" spans="5:5" ht="12.75" x14ac:dyDescent="0.2">
      <c r="E614" s="268"/>
    </row>
    <row r="615" spans="5:5" ht="12.75" x14ac:dyDescent="0.2">
      <c r="E615" s="268"/>
    </row>
    <row r="616" spans="5:5" ht="12.75" x14ac:dyDescent="0.2">
      <c r="E616" s="268"/>
    </row>
    <row r="617" spans="5:5" ht="12.75" x14ac:dyDescent="0.2">
      <c r="E617" s="268"/>
    </row>
    <row r="618" spans="5:5" ht="12.75" x14ac:dyDescent="0.2">
      <c r="E618" s="268"/>
    </row>
    <row r="619" spans="5:5" ht="12.75" x14ac:dyDescent="0.2">
      <c r="E619" s="268"/>
    </row>
    <row r="620" spans="5:5" ht="12.75" x14ac:dyDescent="0.2">
      <c r="E620" s="268"/>
    </row>
    <row r="621" spans="5:5" ht="12.75" x14ac:dyDescent="0.2">
      <c r="E621" s="268"/>
    </row>
    <row r="622" spans="5:5" ht="12.75" x14ac:dyDescent="0.2">
      <c r="E622" s="268"/>
    </row>
    <row r="623" spans="5:5" ht="12.75" x14ac:dyDescent="0.2">
      <c r="E623" s="268"/>
    </row>
    <row r="624" spans="5:5" ht="12.75" x14ac:dyDescent="0.2">
      <c r="E624" s="268"/>
    </row>
    <row r="625" spans="5:5" ht="12.75" x14ac:dyDescent="0.2">
      <c r="E625" s="268"/>
    </row>
    <row r="626" spans="5:5" ht="12.75" x14ac:dyDescent="0.2">
      <c r="E626" s="268"/>
    </row>
    <row r="627" spans="5:5" ht="12.75" x14ac:dyDescent="0.2">
      <c r="E627" s="268"/>
    </row>
    <row r="628" spans="5:5" ht="12.75" x14ac:dyDescent="0.2">
      <c r="E628" s="268"/>
    </row>
    <row r="629" spans="5:5" ht="12.75" x14ac:dyDescent="0.2">
      <c r="E629" s="268"/>
    </row>
    <row r="630" spans="5:5" ht="12.75" x14ac:dyDescent="0.2">
      <c r="E630" s="268"/>
    </row>
    <row r="631" spans="5:5" ht="12.75" x14ac:dyDescent="0.2">
      <c r="E631" s="268"/>
    </row>
    <row r="632" spans="5:5" ht="12.75" x14ac:dyDescent="0.2">
      <c r="E632" s="268"/>
    </row>
    <row r="633" spans="5:5" ht="12.75" x14ac:dyDescent="0.2">
      <c r="E633" s="268"/>
    </row>
    <row r="634" spans="5:5" ht="12.75" x14ac:dyDescent="0.2">
      <c r="E634" s="268"/>
    </row>
    <row r="635" spans="5:5" ht="12.75" x14ac:dyDescent="0.2">
      <c r="E635" s="268"/>
    </row>
    <row r="636" spans="5:5" ht="12.75" x14ac:dyDescent="0.2">
      <c r="E636" s="268"/>
    </row>
    <row r="637" spans="5:5" ht="12.75" x14ac:dyDescent="0.2">
      <c r="E637" s="268"/>
    </row>
    <row r="638" spans="5:5" ht="12.75" x14ac:dyDescent="0.2">
      <c r="E638" s="268"/>
    </row>
    <row r="639" spans="5:5" ht="12.75" x14ac:dyDescent="0.2">
      <c r="E639" s="268"/>
    </row>
    <row r="640" spans="5:5" ht="12.75" x14ac:dyDescent="0.2">
      <c r="E640" s="268"/>
    </row>
    <row r="641" spans="5:5" ht="12.75" x14ac:dyDescent="0.2">
      <c r="E641" s="268"/>
    </row>
    <row r="642" spans="5:5" ht="12.75" x14ac:dyDescent="0.2">
      <c r="E642" s="268"/>
    </row>
    <row r="643" spans="5:5" ht="12.75" x14ac:dyDescent="0.2">
      <c r="E643" s="268"/>
    </row>
    <row r="644" spans="5:5" ht="12.75" x14ac:dyDescent="0.2">
      <c r="E644" s="268"/>
    </row>
    <row r="645" spans="5:5" ht="12.75" x14ac:dyDescent="0.2">
      <c r="E645" s="268"/>
    </row>
    <row r="646" spans="5:5" ht="12.75" x14ac:dyDescent="0.2">
      <c r="E646" s="268"/>
    </row>
    <row r="647" spans="5:5" ht="12.75" x14ac:dyDescent="0.2">
      <c r="E647" s="268"/>
    </row>
    <row r="648" spans="5:5" ht="12.75" x14ac:dyDescent="0.2">
      <c r="E648" s="268"/>
    </row>
    <row r="649" spans="5:5" ht="12.75" x14ac:dyDescent="0.2">
      <c r="E649" s="268"/>
    </row>
    <row r="650" spans="5:5" ht="12.75" x14ac:dyDescent="0.2">
      <c r="E650" s="268"/>
    </row>
    <row r="651" spans="5:5" ht="12.75" x14ac:dyDescent="0.2">
      <c r="E651" s="268"/>
    </row>
    <row r="652" spans="5:5" ht="12.75" x14ac:dyDescent="0.2">
      <c r="E652" s="268"/>
    </row>
    <row r="653" spans="5:5" ht="12.75" x14ac:dyDescent="0.2">
      <c r="E653" s="268"/>
    </row>
    <row r="654" spans="5:5" ht="12.75" x14ac:dyDescent="0.2">
      <c r="E654" s="268"/>
    </row>
    <row r="655" spans="5:5" ht="12.75" x14ac:dyDescent="0.2">
      <c r="E655" s="268"/>
    </row>
    <row r="656" spans="5:5" ht="12.75" x14ac:dyDescent="0.2">
      <c r="E656" s="268"/>
    </row>
    <row r="657" spans="5:5" ht="12.75" x14ac:dyDescent="0.2">
      <c r="E657" s="268"/>
    </row>
    <row r="658" spans="5:5" ht="12.75" x14ac:dyDescent="0.2">
      <c r="E658" s="268"/>
    </row>
    <row r="659" spans="5:5" ht="12.75" x14ac:dyDescent="0.2">
      <c r="E659" s="268"/>
    </row>
    <row r="660" spans="5:5" ht="12.75" x14ac:dyDescent="0.2">
      <c r="E660" s="268"/>
    </row>
    <row r="661" spans="5:5" ht="12.75" x14ac:dyDescent="0.2">
      <c r="E661" s="268"/>
    </row>
    <row r="662" spans="5:5" ht="12.75" x14ac:dyDescent="0.2">
      <c r="E662" s="268"/>
    </row>
    <row r="663" spans="5:5" ht="12.75" x14ac:dyDescent="0.2">
      <c r="E663" s="268"/>
    </row>
    <row r="664" spans="5:5" ht="12.75" x14ac:dyDescent="0.2">
      <c r="E664" s="268"/>
    </row>
    <row r="665" spans="5:5" ht="12.75" x14ac:dyDescent="0.2">
      <c r="E665" s="268"/>
    </row>
    <row r="666" spans="5:5" ht="12.75" x14ac:dyDescent="0.2">
      <c r="E666" s="268"/>
    </row>
    <row r="667" spans="5:5" ht="12.75" x14ac:dyDescent="0.2">
      <c r="E667" s="268"/>
    </row>
    <row r="668" spans="5:5" ht="12.75" x14ac:dyDescent="0.2">
      <c r="E668" s="268"/>
    </row>
    <row r="669" spans="5:5" ht="12.75" x14ac:dyDescent="0.2">
      <c r="E669" s="268"/>
    </row>
    <row r="670" spans="5:5" ht="12.75" x14ac:dyDescent="0.2">
      <c r="E670" s="268"/>
    </row>
    <row r="671" spans="5:5" ht="12.75" x14ac:dyDescent="0.2">
      <c r="E671" s="268"/>
    </row>
    <row r="672" spans="5:5" ht="12.75" x14ac:dyDescent="0.2">
      <c r="E672" s="268"/>
    </row>
    <row r="673" spans="5:5" ht="12.75" x14ac:dyDescent="0.2">
      <c r="E673" s="268"/>
    </row>
    <row r="674" spans="5:5" ht="12.75" x14ac:dyDescent="0.2">
      <c r="E674" s="268"/>
    </row>
    <row r="675" spans="5:5" ht="12.75" x14ac:dyDescent="0.2">
      <c r="E675" s="268"/>
    </row>
    <row r="676" spans="5:5" ht="12.75" x14ac:dyDescent="0.2">
      <c r="E676" s="268"/>
    </row>
    <row r="677" spans="5:5" ht="12.75" x14ac:dyDescent="0.2">
      <c r="E677" s="268"/>
    </row>
    <row r="678" spans="5:5" ht="12.75" x14ac:dyDescent="0.2">
      <c r="E678" s="268"/>
    </row>
    <row r="679" spans="5:5" ht="12.75" x14ac:dyDescent="0.2">
      <c r="E679" s="268"/>
    </row>
    <row r="680" spans="5:5" ht="12.75" x14ac:dyDescent="0.2">
      <c r="E680" s="268"/>
    </row>
    <row r="681" spans="5:5" ht="12.75" x14ac:dyDescent="0.2">
      <c r="E681" s="268"/>
    </row>
    <row r="682" spans="5:5" ht="12.75" x14ac:dyDescent="0.2">
      <c r="E682" s="268"/>
    </row>
    <row r="683" spans="5:5" ht="12.75" x14ac:dyDescent="0.2">
      <c r="E683" s="268"/>
    </row>
    <row r="684" spans="5:5" ht="12.75" x14ac:dyDescent="0.2">
      <c r="E684" s="268"/>
    </row>
    <row r="685" spans="5:5" ht="12.75" x14ac:dyDescent="0.2">
      <c r="E685" s="268"/>
    </row>
    <row r="686" spans="5:5" ht="12.75" x14ac:dyDescent="0.2">
      <c r="E686" s="268"/>
    </row>
    <row r="687" spans="5:5" ht="12.75" x14ac:dyDescent="0.2">
      <c r="E687" s="268"/>
    </row>
    <row r="688" spans="5:5" ht="12.75" x14ac:dyDescent="0.2">
      <c r="E688" s="268"/>
    </row>
    <row r="689" spans="5:5" ht="12.75" x14ac:dyDescent="0.2">
      <c r="E689" s="268"/>
    </row>
    <row r="690" spans="5:5" ht="12.75" x14ac:dyDescent="0.2">
      <c r="E690" s="268"/>
    </row>
    <row r="691" spans="5:5" ht="12.75" x14ac:dyDescent="0.2">
      <c r="E691" s="268"/>
    </row>
    <row r="692" spans="5:5" ht="12.75" x14ac:dyDescent="0.2">
      <c r="E692" s="268"/>
    </row>
    <row r="693" spans="5:5" ht="12.75" x14ac:dyDescent="0.2">
      <c r="E693" s="268"/>
    </row>
    <row r="694" spans="5:5" ht="12.75" x14ac:dyDescent="0.2">
      <c r="E694" s="268"/>
    </row>
    <row r="695" spans="5:5" ht="12.75" x14ac:dyDescent="0.2">
      <c r="E695" s="268"/>
    </row>
    <row r="696" spans="5:5" ht="12.75" x14ac:dyDescent="0.2">
      <c r="E696" s="268"/>
    </row>
    <row r="697" spans="5:5" ht="12.75" x14ac:dyDescent="0.2">
      <c r="E697" s="268"/>
    </row>
    <row r="698" spans="5:5" ht="12.75" x14ac:dyDescent="0.2">
      <c r="E698" s="268"/>
    </row>
    <row r="699" spans="5:5" ht="12.75" x14ac:dyDescent="0.2">
      <c r="E699" s="268"/>
    </row>
    <row r="700" spans="5:5" ht="12.75" x14ac:dyDescent="0.2">
      <c r="E700" s="268"/>
    </row>
    <row r="701" spans="5:5" ht="12.75" x14ac:dyDescent="0.2">
      <c r="E701" s="268"/>
    </row>
    <row r="702" spans="5:5" ht="12.75" x14ac:dyDescent="0.2">
      <c r="E702" s="268"/>
    </row>
    <row r="703" spans="5:5" ht="12.75" x14ac:dyDescent="0.2">
      <c r="E703" s="268"/>
    </row>
    <row r="704" spans="5:5" ht="12.75" x14ac:dyDescent="0.2">
      <c r="E704" s="268"/>
    </row>
    <row r="705" spans="5:5" ht="12.75" x14ac:dyDescent="0.2">
      <c r="E705" s="268"/>
    </row>
    <row r="706" spans="5:5" ht="12.75" x14ac:dyDescent="0.2">
      <c r="E706" s="268"/>
    </row>
    <row r="707" spans="5:5" ht="12.75" x14ac:dyDescent="0.2">
      <c r="E707" s="268"/>
    </row>
    <row r="708" spans="5:5" ht="12.75" x14ac:dyDescent="0.2">
      <c r="E708" s="268"/>
    </row>
    <row r="709" spans="5:5" ht="12.75" x14ac:dyDescent="0.2">
      <c r="E709" s="268"/>
    </row>
    <row r="710" spans="5:5" ht="12.75" x14ac:dyDescent="0.2">
      <c r="E710" s="268"/>
    </row>
    <row r="711" spans="5:5" ht="12.75" x14ac:dyDescent="0.2">
      <c r="E711" s="268"/>
    </row>
    <row r="712" spans="5:5" ht="12.75" x14ac:dyDescent="0.2">
      <c r="E712" s="268"/>
    </row>
    <row r="713" spans="5:5" ht="12.75" x14ac:dyDescent="0.2">
      <c r="E713" s="268"/>
    </row>
    <row r="714" spans="5:5" ht="12.75" x14ac:dyDescent="0.2">
      <c r="E714" s="268"/>
    </row>
    <row r="715" spans="5:5" ht="12.75" x14ac:dyDescent="0.2">
      <c r="E715" s="268"/>
    </row>
    <row r="716" spans="5:5" ht="12.75" x14ac:dyDescent="0.2">
      <c r="E716" s="268"/>
    </row>
    <row r="717" spans="5:5" ht="12.75" x14ac:dyDescent="0.2">
      <c r="E717" s="268"/>
    </row>
    <row r="718" spans="5:5" ht="12.75" x14ac:dyDescent="0.2">
      <c r="E718" s="268"/>
    </row>
    <row r="719" spans="5:5" ht="12.75" x14ac:dyDescent="0.2">
      <c r="E719" s="268"/>
    </row>
    <row r="720" spans="5:5" ht="12.75" x14ac:dyDescent="0.2">
      <c r="E720" s="268"/>
    </row>
    <row r="721" spans="5:5" ht="12.75" x14ac:dyDescent="0.2">
      <c r="E721" s="268"/>
    </row>
    <row r="722" spans="5:5" ht="12.75" x14ac:dyDescent="0.2">
      <c r="E722" s="268"/>
    </row>
    <row r="723" spans="5:5" ht="12.75" x14ac:dyDescent="0.2">
      <c r="E723" s="268"/>
    </row>
    <row r="724" spans="5:5" ht="12.75" x14ac:dyDescent="0.2">
      <c r="E724" s="268"/>
    </row>
    <row r="725" spans="5:5" ht="12.75" x14ac:dyDescent="0.2">
      <c r="E725" s="268"/>
    </row>
    <row r="726" spans="5:5" ht="12.75" x14ac:dyDescent="0.2">
      <c r="E726" s="268"/>
    </row>
    <row r="727" spans="5:5" ht="12.75" x14ac:dyDescent="0.2">
      <c r="E727" s="268"/>
    </row>
    <row r="728" spans="5:5" ht="12.75" x14ac:dyDescent="0.2">
      <c r="E728" s="268"/>
    </row>
    <row r="729" spans="5:5" ht="12.75" x14ac:dyDescent="0.2">
      <c r="E729" s="268"/>
    </row>
    <row r="730" spans="5:5" ht="12.75" x14ac:dyDescent="0.2">
      <c r="E730" s="268"/>
    </row>
    <row r="731" spans="5:5" ht="12.75" x14ac:dyDescent="0.2">
      <c r="E731" s="268"/>
    </row>
    <row r="732" spans="5:5" ht="12.75" x14ac:dyDescent="0.2">
      <c r="E732" s="268"/>
    </row>
    <row r="733" spans="5:5" ht="12.75" x14ac:dyDescent="0.2">
      <c r="E733" s="268"/>
    </row>
    <row r="734" spans="5:5" ht="12.75" x14ac:dyDescent="0.2">
      <c r="E734" s="268"/>
    </row>
    <row r="735" spans="5:5" ht="12.75" x14ac:dyDescent="0.2">
      <c r="E735" s="268"/>
    </row>
    <row r="736" spans="5:5" ht="12.75" x14ac:dyDescent="0.2">
      <c r="E736" s="268"/>
    </row>
    <row r="737" spans="5:5" ht="12.75" x14ac:dyDescent="0.2">
      <c r="E737" s="268"/>
    </row>
    <row r="738" spans="5:5" ht="12.75" x14ac:dyDescent="0.2">
      <c r="E738" s="268"/>
    </row>
    <row r="739" spans="5:5" ht="12.75" x14ac:dyDescent="0.2">
      <c r="E739" s="268"/>
    </row>
    <row r="740" spans="5:5" ht="12.75" x14ac:dyDescent="0.2">
      <c r="E740" s="268"/>
    </row>
    <row r="741" spans="5:5" ht="12.75" x14ac:dyDescent="0.2">
      <c r="E741" s="268"/>
    </row>
    <row r="742" spans="5:5" ht="12.75" x14ac:dyDescent="0.2">
      <c r="E742" s="268"/>
    </row>
    <row r="743" spans="5:5" ht="12.75" x14ac:dyDescent="0.2">
      <c r="E743" s="268"/>
    </row>
    <row r="744" spans="5:5" ht="12.75" x14ac:dyDescent="0.2">
      <c r="E744" s="268"/>
    </row>
    <row r="745" spans="5:5" ht="12.75" x14ac:dyDescent="0.2">
      <c r="E745" s="268"/>
    </row>
    <row r="746" spans="5:5" ht="12.75" x14ac:dyDescent="0.2">
      <c r="E746" s="268"/>
    </row>
    <row r="747" spans="5:5" ht="12.75" x14ac:dyDescent="0.2">
      <c r="E747" s="268"/>
    </row>
    <row r="748" spans="5:5" ht="12.75" x14ac:dyDescent="0.2">
      <c r="E748" s="268"/>
    </row>
    <row r="749" spans="5:5" ht="12.75" x14ac:dyDescent="0.2">
      <c r="E749" s="268"/>
    </row>
    <row r="750" spans="5:5" ht="12.75" x14ac:dyDescent="0.2">
      <c r="E750" s="268"/>
    </row>
    <row r="751" spans="5:5" ht="12.75" x14ac:dyDescent="0.2">
      <c r="E751" s="268"/>
    </row>
    <row r="752" spans="5:5" ht="12.75" x14ac:dyDescent="0.2">
      <c r="E752" s="268"/>
    </row>
    <row r="753" spans="5:5" ht="12.75" x14ac:dyDescent="0.2">
      <c r="E753" s="268"/>
    </row>
    <row r="754" spans="5:5" ht="12.75" x14ac:dyDescent="0.2">
      <c r="E754" s="268"/>
    </row>
    <row r="755" spans="5:5" ht="12.75" x14ac:dyDescent="0.2">
      <c r="E755" s="268"/>
    </row>
    <row r="756" spans="5:5" ht="12.75" x14ac:dyDescent="0.2">
      <c r="E756" s="268"/>
    </row>
    <row r="757" spans="5:5" ht="12.75" x14ac:dyDescent="0.2">
      <c r="E757" s="268"/>
    </row>
    <row r="758" spans="5:5" ht="12.75" x14ac:dyDescent="0.2">
      <c r="E758" s="268"/>
    </row>
    <row r="759" spans="5:5" ht="12.75" x14ac:dyDescent="0.2">
      <c r="E759" s="268"/>
    </row>
    <row r="760" spans="5:5" ht="12.75" x14ac:dyDescent="0.2">
      <c r="E760" s="268"/>
    </row>
    <row r="761" spans="5:5" ht="12.75" x14ac:dyDescent="0.2">
      <c r="E761" s="268"/>
    </row>
    <row r="762" spans="5:5" ht="12.75" x14ac:dyDescent="0.2">
      <c r="E762" s="268"/>
    </row>
    <row r="763" spans="5:5" ht="12.75" x14ac:dyDescent="0.2">
      <c r="E763" s="268"/>
    </row>
    <row r="764" spans="5:5" ht="12.75" x14ac:dyDescent="0.2">
      <c r="E764" s="268"/>
    </row>
    <row r="765" spans="5:5" ht="12.75" x14ac:dyDescent="0.2">
      <c r="E765" s="268"/>
    </row>
    <row r="766" spans="5:5" ht="12.75" x14ac:dyDescent="0.2">
      <c r="E766" s="268"/>
    </row>
    <row r="767" spans="5:5" ht="12.75" x14ac:dyDescent="0.2">
      <c r="E767" s="268"/>
    </row>
    <row r="768" spans="5:5" ht="12.75" x14ac:dyDescent="0.2">
      <c r="E768" s="268"/>
    </row>
    <row r="769" spans="5:5" ht="12.75" x14ac:dyDescent="0.2">
      <c r="E769" s="268"/>
    </row>
    <row r="770" spans="5:5" ht="12.75" x14ac:dyDescent="0.2">
      <c r="E770" s="268"/>
    </row>
    <row r="771" spans="5:5" ht="12.75" x14ac:dyDescent="0.2">
      <c r="E771" s="268"/>
    </row>
    <row r="772" spans="5:5" ht="12.75" x14ac:dyDescent="0.2">
      <c r="E772" s="268"/>
    </row>
    <row r="773" spans="5:5" ht="12.75" x14ac:dyDescent="0.2">
      <c r="E773" s="268"/>
    </row>
    <row r="774" spans="5:5" ht="12.75" x14ac:dyDescent="0.2">
      <c r="E774" s="268"/>
    </row>
    <row r="775" spans="5:5" ht="12.75" x14ac:dyDescent="0.2">
      <c r="E775" s="268"/>
    </row>
    <row r="776" spans="5:5" ht="12.75" x14ac:dyDescent="0.2">
      <c r="E776" s="268"/>
    </row>
    <row r="777" spans="5:5" ht="12.75" x14ac:dyDescent="0.2">
      <c r="E777" s="268"/>
    </row>
    <row r="778" spans="5:5" ht="12.75" x14ac:dyDescent="0.2">
      <c r="E778" s="268"/>
    </row>
    <row r="779" spans="5:5" ht="12.75" x14ac:dyDescent="0.2">
      <c r="E779" s="268"/>
    </row>
    <row r="780" spans="5:5" ht="12.75" x14ac:dyDescent="0.2">
      <c r="E780" s="268"/>
    </row>
    <row r="781" spans="5:5" ht="12.75" x14ac:dyDescent="0.2">
      <c r="E781" s="268"/>
    </row>
    <row r="782" spans="5:5" ht="12.75" x14ac:dyDescent="0.2">
      <c r="E782" s="268"/>
    </row>
    <row r="783" spans="5:5" ht="12.75" x14ac:dyDescent="0.2">
      <c r="E783" s="268"/>
    </row>
    <row r="784" spans="5:5" ht="12.75" x14ac:dyDescent="0.2">
      <c r="E784" s="268"/>
    </row>
    <row r="785" spans="5:5" ht="12.75" x14ac:dyDescent="0.2">
      <c r="E785" s="268"/>
    </row>
    <row r="786" spans="5:5" ht="12.75" x14ac:dyDescent="0.2">
      <c r="E786" s="268"/>
    </row>
    <row r="787" spans="5:5" ht="12.75" x14ac:dyDescent="0.2">
      <c r="E787" s="268"/>
    </row>
    <row r="788" spans="5:5" ht="12.75" x14ac:dyDescent="0.2">
      <c r="E788" s="268"/>
    </row>
    <row r="789" spans="5:5" ht="12.75" x14ac:dyDescent="0.2">
      <c r="E789" s="268"/>
    </row>
    <row r="790" spans="5:5" ht="12.75" x14ac:dyDescent="0.2">
      <c r="E790" s="268"/>
    </row>
    <row r="791" spans="5:5" ht="12.75" x14ac:dyDescent="0.2">
      <c r="E791" s="268"/>
    </row>
    <row r="792" spans="5:5" ht="12.75" x14ac:dyDescent="0.2">
      <c r="E792" s="268"/>
    </row>
    <row r="793" spans="5:5" ht="12.75" x14ac:dyDescent="0.2">
      <c r="E793" s="268"/>
    </row>
    <row r="794" spans="5:5" ht="12.75" x14ac:dyDescent="0.2">
      <c r="E794" s="268"/>
    </row>
    <row r="795" spans="5:5" ht="12.75" x14ac:dyDescent="0.2">
      <c r="E795" s="268"/>
    </row>
    <row r="796" spans="5:5" ht="12.75" x14ac:dyDescent="0.2">
      <c r="E796" s="268"/>
    </row>
    <row r="797" spans="5:5" ht="12.75" x14ac:dyDescent="0.2">
      <c r="E797" s="268"/>
    </row>
    <row r="798" spans="5:5" ht="12.75" x14ac:dyDescent="0.2">
      <c r="E798" s="268"/>
    </row>
    <row r="799" spans="5:5" ht="12.75" x14ac:dyDescent="0.2">
      <c r="E799" s="268"/>
    </row>
    <row r="800" spans="5:5" ht="12.75" x14ac:dyDescent="0.2">
      <c r="E800" s="268"/>
    </row>
    <row r="801" spans="5:5" ht="12.75" x14ac:dyDescent="0.2">
      <c r="E801" s="268"/>
    </row>
    <row r="802" spans="5:5" ht="12.75" x14ac:dyDescent="0.2">
      <c r="E802" s="268"/>
    </row>
    <row r="803" spans="5:5" ht="12.75" x14ac:dyDescent="0.2">
      <c r="E803" s="268"/>
    </row>
    <row r="804" spans="5:5" ht="12.75" x14ac:dyDescent="0.2">
      <c r="E804" s="268"/>
    </row>
    <row r="805" spans="5:5" ht="12.75" x14ac:dyDescent="0.2">
      <c r="E805" s="268"/>
    </row>
    <row r="806" spans="5:5" ht="12.75" x14ac:dyDescent="0.2">
      <c r="E806" s="268"/>
    </row>
    <row r="807" spans="5:5" ht="12.75" x14ac:dyDescent="0.2">
      <c r="E807" s="268"/>
    </row>
    <row r="808" spans="5:5" ht="12.75" x14ac:dyDescent="0.2">
      <c r="E808" s="268"/>
    </row>
    <row r="809" spans="5:5" ht="12.75" x14ac:dyDescent="0.2">
      <c r="E809" s="268"/>
    </row>
    <row r="810" spans="5:5" ht="12.75" x14ac:dyDescent="0.2">
      <c r="E810" s="268"/>
    </row>
    <row r="811" spans="5:5" ht="12.75" x14ac:dyDescent="0.2">
      <c r="E811" s="268"/>
    </row>
    <row r="812" spans="5:5" ht="12.75" x14ac:dyDescent="0.2">
      <c r="E812" s="268"/>
    </row>
    <row r="813" spans="5:5" ht="12.75" x14ac:dyDescent="0.2">
      <c r="E813" s="268"/>
    </row>
    <row r="814" spans="5:5" ht="12.75" x14ac:dyDescent="0.2">
      <c r="E814" s="268"/>
    </row>
    <row r="815" spans="5:5" ht="12.75" x14ac:dyDescent="0.2">
      <c r="E815" s="268"/>
    </row>
    <row r="816" spans="5:5" ht="12.75" x14ac:dyDescent="0.2">
      <c r="E816" s="268"/>
    </row>
    <row r="817" spans="5:5" ht="12.75" x14ac:dyDescent="0.2">
      <c r="E817" s="268"/>
    </row>
    <row r="818" spans="5:5" ht="12.75" x14ac:dyDescent="0.2">
      <c r="E818" s="268"/>
    </row>
    <row r="819" spans="5:5" ht="12.75" x14ac:dyDescent="0.2">
      <c r="E819" s="268"/>
    </row>
    <row r="820" spans="5:5" ht="12.75" x14ac:dyDescent="0.2">
      <c r="E820" s="268"/>
    </row>
    <row r="821" spans="5:5" ht="12.75" x14ac:dyDescent="0.2">
      <c r="E821" s="268"/>
    </row>
    <row r="822" spans="5:5" ht="12.75" x14ac:dyDescent="0.2">
      <c r="E822" s="268"/>
    </row>
    <row r="823" spans="5:5" ht="12.75" x14ac:dyDescent="0.2">
      <c r="E823" s="268"/>
    </row>
    <row r="824" spans="5:5" ht="12.75" x14ac:dyDescent="0.2">
      <c r="E824" s="268"/>
    </row>
    <row r="825" spans="5:5" ht="12.75" x14ac:dyDescent="0.2">
      <c r="E825" s="268"/>
    </row>
    <row r="826" spans="5:5" ht="12.75" x14ac:dyDescent="0.2">
      <c r="E826" s="268"/>
    </row>
    <row r="827" spans="5:5" ht="12.75" x14ac:dyDescent="0.2">
      <c r="E827" s="268"/>
    </row>
    <row r="828" spans="5:5" ht="12.75" x14ac:dyDescent="0.2">
      <c r="E828" s="268"/>
    </row>
    <row r="829" spans="5:5" ht="12.75" x14ac:dyDescent="0.2">
      <c r="E829" s="268"/>
    </row>
    <row r="830" spans="5:5" ht="12.75" x14ac:dyDescent="0.2">
      <c r="E830" s="268"/>
    </row>
    <row r="831" spans="5:5" ht="12.75" x14ac:dyDescent="0.2">
      <c r="E831" s="268"/>
    </row>
    <row r="832" spans="5:5" ht="12.75" x14ac:dyDescent="0.2">
      <c r="E832" s="268"/>
    </row>
    <row r="833" spans="5:5" ht="12.75" x14ac:dyDescent="0.2">
      <c r="E833" s="268"/>
    </row>
    <row r="834" spans="5:5" ht="12.75" x14ac:dyDescent="0.2">
      <c r="E834" s="268"/>
    </row>
    <row r="835" spans="5:5" ht="12.75" x14ac:dyDescent="0.2">
      <c r="E835" s="268"/>
    </row>
    <row r="836" spans="5:5" ht="12.75" x14ac:dyDescent="0.2">
      <c r="E836" s="268"/>
    </row>
    <row r="837" spans="5:5" ht="12.75" x14ac:dyDescent="0.2">
      <c r="E837" s="268"/>
    </row>
    <row r="838" spans="5:5" ht="12.75" x14ac:dyDescent="0.2">
      <c r="E838" s="268"/>
    </row>
    <row r="839" spans="5:5" ht="12.75" x14ac:dyDescent="0.2">
      <c r="E839" s="268"/>
    </row>
    <row r="840" spans="5:5" ht="12.75" x14ac:dyDescent="0.2">
      <c r="E840" s="268"/>
    </row>
    <row r="841" spans="5:5" ht="12.75" x14ac:dyDescent="0.2">
      <c r="E841" s="268"/>
    </row>
    <row r="842" spans="5:5" ht="12.75" x14ac:dyDescent="0.2">
      <c r="E842" s="268"/>
    </row>
    <row r="843" spans="5:5" ht="12.75" x14ac:dyDescent="0.2">
      <c r="E843" s="268"/>
    </row>
    <row r="844" spans="5:5" ht="12.75" x14ac:dyDescent="0.2">
      <c r="E844" s="268"/>
    </row>
    <row r="845" spans="5:5" ht="12.75" x14ac:dyDescent="0.2">
      <c r="E845" s="268"/>
    </row>
    <row r="846" spans="5:5" ht="12.75" x14ac:dyDescent="0.2">
      <c r="E846" s="268"/>
    </row>
    <row r="847" spans="5:5" ht="12.75" x14ac:dyDescent="0.2">
      <c r="E847" s="268"/>
    </row>
    <row r="848" spans="5:5" ht="12.75" x14ac:dyDescent="0.2">
      <c r="E848" s="268"/>
    </row>
    <row r="849" spans="5:5" ht="12.75" x14ac:dyDescent="0.2">
      <c r="E849" s="268"/>
    </row>
    <row r="850" spans="5:5" ht="12.75" x14ac:dyDescent="0.2">
      <c r="E850" s="268"/>
    </row>
    <row r="851" spans="5:5" ht="12.75" x14ac:dyDescent="0.2">
      <c r="E851" s="268"/>
    </row>
    <row r="852" spans="5:5" ht="12.75" x14ac:dyDescent="0.2">
      <c r="E852" s="268"/>
    </row>
    <row r="853" spans="5:5" ht="12.75" x14ac:dyDescent="0.2">
      <c r="E853" s="268"/>
    </row>
    <row r="854" spans="5:5" ht="12.75" x14ac:dyDescent="0.2">
      <c r="E854" s="268"/>
    </row>
    <row r="855" spans="5:5" ht="12.75" x14ac:dyDescent="0.2">
      <c r="E855" s="268"/>
    </row>
    <row r="856" spans="5:5" ht="12.75" x14ac:dyDescent="0.2">
      <c r="E856" s="268"/>
    </row>
    <row r="857" spans="5:5" ht="12.75" x14ac:dyDescent="0.2">
      <c r="E857" s="268"/>
    </row>
    <row r="858" spans="5:5" ht="12.75" x14ac:dyDescent="0.2">
      <c r="E858" s="268"/>
    </row>
    <row r="859" spans="5:5" ht="12.75" x14ac:dyDescent="0.2">
      <c r="E859" s="268"/>
    </row>
    <row r="860" spans="5:5" ht="12.75" x14ac:dyDescent="0.2">
      <c r="E860" s="268"/>
    </row>
    <row r="861" spans="5:5" ht="12.75" x14ac:dyDescent="0.2">
      <c r="E861" s="268"/>
    </row>
    <row r="862" spans="5:5" ht="12.75" x14ac:dyDescent="0.2">
      <c r="E862" s="268"/>
    </row>
    <row r="863" spans="5:5" ht="12.75" x14ac:dyDescent="0.2">
      <c r="E863" s="268"/>
    </row>
    <row r="864" spans="5:5" ht="12.75" x14ac:dyDescent="0.2">
      <c r="E864" s="268"/>
    </row>
    <row r="865" spans="5:5" ht="12.75" x14ac:dyDescent="0.2">
      <c r="E865" s="268"/>
    </row>
    <row r="866" spans="5:5" ht="12.75" x14ac:dyDescent="0.2">
      <c r="E866" s="268"/>
    </row>
    <row r="867" spans="5:5" ht="12.75" x14ac:dyDescent="0.2">
      <c r="E867" s="268"/>
    </row>
    <row r="868" spans="5:5" ht="12.75" x14ac:dyDescent="0.2">
      <c r="E868" s="268"/>
    </row>
    <row r="869" spans="5:5" ht="12.75" x14ac:dyDescent="0.2">
      <c r="E869" s="268"/>
    </row>
    <row r="870" spans="5:5" ht="12.75" x14ac:dyDescent="0.2">
      <c r="E870" s="268"/>
    </row>
    <row r="871" spans="5:5" ht="12.75" x14ac:dyDescent="0.2">
      <c r="E871" s="268"/>
    </row>
    <row r="872" spans="5:5" ht="12.75" x14ac:dyDescent="0.2">
      <c r="E872" s="268"/>
    </row>
    <row r="873" spans="5:5" ht="12.75" x14ac:dyDescent="0.2">
      <c r="E873" s="268"/>
    </row>
    <row r="874" spans="5:5" ht="12.75" x14ac:dyDescent="0.2">
      <c r="E874" s="268"/>
    </row>
    <row r="875" spans="5:5" ht="12.75" x14ac:dyDescent="0.2">
      <c r="E875" s="268"/>
    </row>
    <row r="876" spans="5:5" ht="12.75" x14ac:dyDescent="0.2">
      <c r="E876" s="268"/>
    </row>
    <row r="877" spans="5:5" ht="12.75" x14ac:dyDescent="0.2">
      <c r="E877" s="268"/>
    </row>
    <row r="878" spans="5:5" ht="12.75" x14ac:dyDescent="0.2">
      <c r="E878" s="268"/>
    </row>
    <row r="879" spans="5:5" ht="12.75" x14ac:dyDescent="0.2">
      <c r="E879" s="268"/>
    </row>
    <row r="880" spans="5:5" ht="12.75" x14ac:dyDescent="0.2">
      <c r="E880" s="268"/>
    </row>
    <row r="881" spans="5:5" ht="12.75" x14ac:dyDescent="0.2">
      <c r="E881" s="268"/>
    </row>
    <row r="882" spans="5:5" ht="12.75" x14ac:dyDescent="0.2">
      <c r="E882" s="268"/>
    </row>
    <row r="883" spans="5:5" ht="12.75" x14ac:dyDescent="0.2">
      <c r="E883" s="268"/>
    </row>
    <row r="884" spans="5:5" ht="12.75" x14ac:dyDescent="0.2">
      <c r="E884" s="268"/>
    </row>
    <row r="885" spans="5:5" ht="12.75" x14ac:dyDescent="0.2">
      <c r="E885" s="268"/>
    </row>
    <row r="886" spans="5:5" ht="12.75" x14ac:dyDescent="0.2">
      <c r="E886" s="268"/>
    </row>
    <row r="887" spans="5:5" ht="12.75" x14ac:dyDescent="0.2">
      <c r="E887" s="268"/>
    </row>
    <row r="888" spans="5:5" ht="12.75" x14ac:dyDescent="0.2">
      <c r="E888" s="268"/>
    </row>
    <row r="889" spans="5:5" ht="12.75" x14ac:dyDescent="0.2">
      <c r="E889" s="268"/>
    </row>
    <row r="890" spans="5:5" ht="12.75" x14ac:dyDescent="0.2">
      <c r="E890" s="268"/>
    </row>
    <row r="891" spans="5:5" ht="12.75" x14ac:dyDescent="0.2">
      <c r="E891" s="268"/>
    </row>
    <row r="892" spans="5:5" ht="12.75" x14ac:dyDescent="0.2">
      <c r="E892" s="268"/>
    </row>
    <row r="893" spans="5:5" ht="12.75" x14ac:dyDescent="0.2">
      <c r="E893" s="268"/>
    </row>
    <row r="894" spans="5:5" ht="12.75" x14ac:dyDescent="0.2">
      <c r="E894" s="268"/>
    </row>
    <row r="895" spans="5:5" ht="12.75" x14ac:dyDescent="0.2">
      <c r="E895" s="268"/>
    </row>
    <row r="896" spans="5:5" ht="12.75" x14ac:dyDescent="0.2">
      <c r="E896" s="268"/>
    </row>
    <row r="897" spans="5:5" ht="12.75" x14ac:dyDescent="0.2">
      <c r="E897" s="268"/>
    </row>
    <row r="898" spans="5:5" ht="12.75" x14ac:dyDescent="0.2">
      <c r="E898" s="268"/>
    </row>
    <row r="899" spans="5:5" ht="12.75" x14ac:dyDescent="0.2">
      <c r="E899" s="268"/>
    </row>
    <row r="900" spans="5:5" ht="12.75" x14ac:dyDescent="0.2">
      <c r="E900" s="268"/>
    </row>
    <row r="901" spans="5:5" ht="12.75" x14ac:dyDescent="0.2">
      <c r="E901" s="268"/>
    </row>
    <row r="902" spans="5:5" ht="12.75" x14ac:dyDescent="0.2">
      <c r="E902" s="268"/>
    </row>
    <row r="903" spans="5:5" ht="12.75" x14ac:dyDescent="0.2">
      <c r="E903" s="268"/>
    </row>
    <row r="904" spans="5:5" ht="12.75" x14ac:dyDescent="0.2">
      <c r="E904" s="268"/>
    </row>
    <row r="905" spans="5:5" ht="12.75" x14ac:dyDescent="0.2">
      <c r="E905" s="268"/>
    </row>
    <row r="906" spans="5:5" ht="12.75" x14ac:dyDescent="0.2">
      <c r="E906" s="268"/>
    </row>
    <row r="907" spans="5:5" ht="12.75" x14ac:dyDescent="0.2">
      <c r="E907" s="268"/>
    </row>
    <row r="908" spans="5:5" ht="12.75" x14ac:dyDescent="0.2">
      <c r="E908" s="268"/>
    </row>
    <row r="909" spans="5:5" ht="12.75" x14ac:dyDescent="0.2">
      <c r="E909" s="268"/>
    </row>
    <row r="910" spans="5:5" ht="12.75" x14ac:dyDescent="0.2">
      <c r="E910" s="268"/>
    </row>
    <row r="911" spans="5:5" ht="12.75" x14ac:dyDescent="0.2">
      <c r="E911" s="268"/>
    </row>
    <row r="912" spans="5:5" ht="12.75" x14ac:dyDescent="0.2">
      <c r="E912" s="268"/>
    </row>
    <row r="913" spans="5:5" ht="12.75" x14ac:dyDescent="0.2">
      <c r="E913" s="268"/>
    </row>
    <row r="914" spans="5:5" ht="12.75" x14ac:dyDescent="0.2">
      <c r="E914" s="268"/>
    </row>
    <row r="915" spans="5:5" ht="12.75" x14ac:dyDescent="0.2">
      <c r="E915" s="268"/>
    </row>
    <row r="916" spans="5:5" ht="12.75" x14ac:dyDescent="0.2">
      <c r="E916" s="268"/>
    </row>
    <row r="917" spans="5:5" ht="12.75" x14ac:dyDescent="0.2">
      <c r="E917" s="268"/>
    </row>
    <row r="918" spans="5:5" ht="12.75" x14ac:dyDescent="0.2">
      <c r="E918" s="268"/>
    </row>
    <row r="919" spans="5:5" ht="12.75" x14ac:dyDescent="0.2">
      <c r="E919" s="268"/>
    </row>
    <row r="920" spans="5:5" ht="12.75" x14ac:dyDescent="0.2">
      <c r="E920" s="268"/>
    </row>
    <row r="921" spans="5:5" ht="12.75" x14ac:dyDescent="0.2">
      <c r="E921" s="268"/>
    </row>
    <row r="922" spans="5:5" ht="12.75" x14ac:dyDescent="0.2">
      <c r="E922" s="268"/>
    </row>
    <row r="923" spans="5:5" ht="12.75" x14ac:dyDescent="0.2">
      <c r="E923" s="268"/>
    </row>
    <row r="924" spans="5:5" ht="12.75" x14ac:dyDescent="0.2">
      <c r="E924" s="268"/>
    </row>
    <row r="925" spans="5:5" ht="12.75" x14ac:dyDescent="0.2">
      <c r="E925" s="268"/>
    </row>
    <row r="926" spans="5:5" ht="12.75" x14ac:dyDescent="0.2">
      <c r="E926" s="268"/>
    </row>
    <row r="927" spans="5:5" ht="12.75" x14ac:dyDescent="0.2">
      <c r="E927" s="268"/>
    </row>
    <row r="928" spans="5:5" ht="12.75" x14ac:dyDescent="0.2">
      <c r="E928" s="268"/>
    </row>
    <row r="929" spans="5:5" ht="12.75" x14ac:dyDescent="0.2">
      <c r="E929" s="268"/>
    </row>
    <row r="930" spans="5:5" ht="12.75" x14ac:dyDescent="0.2">
      <c r="E930" s="268"/>
    </row>
    <row r="931" spans="5:5" ht="12.75" x14ac:dyDescent="0.2">
      <c r="E931" s="268"/>
    </row>
    <row r="932" spans="5:5" ht="12.75" x14ac:dyDescent="0.2">
      <c r="E932" s="268"/>
    </row>
    <row r="933" spans="5:5" ht="12.75" x14ac:dyDescent="0.2">
      <c r="E933" s="268"/>
    </row>
    <row r="934" spans="5:5" ht="12.75" x14ac:dyDescent="0.2">
      <c r="E934" s="268"/>
    </row>
    <row r="935" spans="5:5" ht="12.75" x14ac:dyDescent="0.2">
      <c r="E935" s="268"/>
    </row>
    <row r="936" spans="5:5" ht="12.75" x14ac:dyDescent="0.2">
      <c r="E936" s="268"/>
    </row>
    <row r="937" spans="5:5" ht="12.75" x14ac:dyDescent="0.2">
      <c r="E937" s="268"/>
    </row>
    <row r="938" spans="5:5" ht="12.75" x14ac:dyDescent="0.2">
      <c r="E938" s="268"/>
    </row>
    <row r="939" spans="5:5" ht="12.75" x14ac:dyDescent="0.2">
      <c r="E939" s="268"/>
    </row>
    <row r="940" spans="5:5" ht="12.75" x14ac:dyDescent="0.2">
      <c r="E940" s="268"/>
    </row>
    <row r="941" spans="5:5" ht="12.75" x14ac:dyDescent="0.2">
      <c r="E941" s="268"/>
    </row>
    <row r="942" spans="5:5" ht="12.75" x14ac:dyDescent="0.2">
      <c r="E942" s="268"/>
    </row>
    <row r="943" spans="5:5" ht="12.75" x14ac:dyDescent="0.2">
      <c r="E943" s="268"/>
    </row>
    <row r="944" spans="5:5" ht="12.75" x14ac:dyDescent="0.2">
      <c r="E944" s="268"/>
    </row>
    <row r="945" spans="5:5" ht="12.75" x14ac:dyDescent="0.2">
      <c r="E945" s="268"/>
    </row>
    <row r="946" spans="5:5" ht="12.75" x14ac:dyDescent="0.2">
      <c r="E946" s="268"/>
    </row>
    <row r="947" spans="5:5" ht="12.75" x14ac:dyDescent="0.2">
      <c r="E947" s="268"/>
    </row>
    <row r="948" spans="5:5" ht="12.75" x14ac:dyDescent="0.2">
      <c r="E948" s="268"/>
    </row>
    <row r="949" spans="5:5" ht="12.75" x14ac:dyDescent="0.2">
      <c r="E949" s="268"/>
    </row>
    <row r="950" spans="5:5" ht="12.75" x14ac:dyDescent="0.2">
      <c r="E950" s="268"/>
    </row>
    <row r="951" spans="5:5" ht="12.75" x14ac:dyDescent="0.2">
      <c r="E951" s="268"/>
    </row>
    <row r="952" spans="5:5" ht="12.75" x14ac:dyDescent="0.2">
      <c r="E952" s="268"/>
    </row>
    <row r="953" spans="5:5" ht="12.75" x14ac:dyDescent="0.2">
      <c r="E953" s="268"/>
    </row>
    <row r="954" spans="5:5" ht="12.75" x14ac:dyDescent="0.2">
      <c r="E954" s="268"/>
    </row>
    <row r="955" spans="5:5" ht="12.75" x14ac:dyDescent="0.2">
      <c r="E955" s="268"/>
    </row>
    <row r="956" spans="5:5" ht="12.75" x14ac:dyDescent="0.2">
      <c r="E956" s="268"/>
    </row>
    <row r="957" spans="5:5" ht="12.75" x14ac:dyDescent="0.2">
      <c r="E957" s="268"/>
    </row>
    <row r="958" spans="5:5" ht="12.75" x14ac:dyDescent="0.2">
      <c r="E958" s="268"/>
    </row>
    <row r="959" spans="5:5" ht="12.75" x14ac:dyDescent="0.2">
      <c r="E959" s="268"/>
    </row>
    <row r="960" spans="5:5" ht="12.75" x14ac:dyDescent="0.2">
      <c r="E960" s="268"/>
    </row>
    <row r="961" spans="5:5" ht="12.75" x14ac:dyDescent="0.2">
      <c r="E961" s="268"/>
    </row>
    <row r="962" spans="5:5" ht="12.75" x14ac:dyDescent="0.2">
      <c r="E962" s="268"/>
    </row>
    <row r="963" spans="5:5" ht="12.75" x14ac:dyDescent="0.2">
      <c r="E963" s="268"/>
    </row>
    <row r="964" spans="5:5" ht="12.75" x14ac:dyDescent="0.2">
      <c r="E964" s="268"/>
    </row>
    <row r="965" spans="5:5" ht="12.75" x14ac:dyDescent="0.2">
      <c r="E965" s="268"/>
    </row>
    <row r="966" spans="5:5" ht="12.75" x14ac:dyDescent="0.2">
      <c r="E966" s="268"/>
    </row>
    <row r="967" spans="5:5" ht="12.75" x14ac:dyDescent="0.2">
      <c r="E967" s="268"/>
    </row>
    <row r="968" spans="5:5" ht="12.75" x14ac:dyDescent="0.2">
      <c r="E968" s="268"/>
    </row>
    <row r="969" spans="5:5" ht="12.75" x14ac:dyDescent="0.2">
      <c r="E969" s="268"/>
    </row>
    <row r="970" spans="5:5" ht="12.75" x14ac:dyDescent="0.2">
      <c r="E970" s="268"/>
    </row>
    <row r="971" spans="5:5" ht="12.75" x14ac:dyDescent="0.2">
      <c r="E971" s="268"/>
    </row>
    <row r="972" spans="5:5" ht="12.75" x14ac:dyDescent="0.2">
      <c r="E972" s="268"/>
    </row>
    <row r="973" spans="5:5" ht="12.75" x14ac:dyDescent="0.2">
      <c r="E973" s="268"/>
    </row>
    <row r="974" spans="5:5" ht="12.75" x14ac:dyDescent="0.2">
      <c r="E974" s="268"/>
    </row>
    <row r="975" spans="5:5" ht="12.75" x14ac:dyDescent="0.2">
      <c r="E975" s="268"/>
    </row>
    <row r="976" spans="5:5" ht="12.75" x14ac:dyDescent="0.2">
      <c r="E976" s="268"/>
    </row>
    <row r="977" spans="5:5" ht="12.75" x14ac:dyDescent="0.2">
      <c r="E977" s="268"/>
    </row>
    <row r="978" spans="5:5" ht="12.75" x14ac:dyDescent="0.2">
      <c r="E978" s="268"/>
    </row>
    <row r="979" spans="5:5" ht="12.75" x14ac:dyDescent="0.2">
      <c r="E979" s="268"/>
    </row>
    <row r="980" spans="5:5" ht="12.75" x14ac:dyDescent="0.2">
      <c r="E980" s="268"/>
    </row>
    <row r="981" spans="5:5" ht="12.75" x14ac:dyDescent="0.2">
      <c r="E981" s="268"/>
    </row>
    <row r="982" spans="5:5" ht="12.75" x14ac:dyDescent="0.2">
      <c r="E982" s="268"/>
    </row>
    <row r="983" spans="5:5" ht="12.75" x14ac:dyDescent="0.2">
      <c r="E983" s="268"/>
    </row>
    <row r="984" spans="5:5" ht="12.75" x14ac:dyDescent="0.2">
      <c r="E984" s="268"/>
    </row>
    <row r="985" spans="5:5" ht="12.75" x14ac:dyDescent="0.2">
      <c r="E985" s="268"/>
    </row>
    <row r="986" spans="5:5" ht="12.75" x14ac:dyDescent="0.2">
      <c r="E986" s="268"/>
    </row>
    <row r="987" spans="5:5" ht="12.75" x14ac:dyDescent="0.2">
      <c r="E987" s="268"/>
    </row>
    <row r="988" spans="5:5" ht="12.75" x14ac:dyDescent="0.2">
      <c r="E988" s="268"/>
    </row>
    <row r="989" spans="5:5" ht="12.75" x14ac:dyDescent="0.2">
      <c r="E989" s="268"/>
    </row>
    <row r="990" spans="5:5" ht="12.75" x14ac:dyDescent="0.2">
      <c r="E990" s="268"/>
    </row>
    <row r="991" spans="5:5" ht="12.75" x14ac:dyDescent="0.2">
      <c r="E991" s="268"/>
    </row>
    <row r="992" spans="5:5" ht="12.75" x14ac:dyDescent="0.2">
      <c r="E992" s="268"/>
    </row>
    <row r="993" spans="5:5" ht="12.75" x14ac:dyDescent="0.2">
      <c r="E993" s="268"/>
    </row>
    <row r="994" spans="5:5" ht="12.75" x14ac:dyDescent="0.2">
      <c r="E994" s="268"/>
    </row>
    <row r="995" spans="5:5" ht="12.75" x14ac:dyDescent="0.2">
      <c r="E995" s="268"/>
    </row>
    <row r="996" spans="5:5" ht="12.75" x14ac:dyDescent="0.2">
      <c r="E996" s="268"/>
    </row>
    <row r="997" spans="5:5" ht="12.75" x14ac:dyDescent="0.2">
      <c r="E997" s="268"/>
    </row>
    <row r="998" spans="5:5" ht="12.75" x14ac:dyDescent="0.2">
      <c r="E998" s="268"/>
    </row>
    <row r="999" spans="5:5" ht="12.75" x14ac:dyDescent="0.2">
      <c r="E999" s="268"/>
    </row>
    <row r="1000" spans="5:5" ht="12.75" x14ac:dyDescent="0.2">
      <c r="E1000" s="268"/>
    </row>
    <row r="1001" spans="5:5" ht="12.75" x14ac:dyDescent="0.2">
      <c r="E1001" s="268"/>
    </row>
    <row r="1002" spans="5:5" ht="12.75" x14ac:dyDescent="0.2">
      <c r="E1002" s="268"/>
    </row>
    <row r="1003" spans="5:5" ht="12.75" x14ac:dyDescent="0.2">
      <c r="E1003" s="268"/>
    </row>
    <row r="1004" spans="5:5" ht="12.75" x14ac:dyDescent="0.2">
      <c r="E1004" s="268"/>
    </row>
    <row r="1005" spans="5:5" ht="12.75" x14ac:dyDescent="0.2">
      <c r="E1005" s="268"/>
    </row>
    <row r="1006" spans="5:5" ht="12.75" x14ac:dyDescent="0.2">
      <c r="E1006" s="268"/>
    </row>
    <row r="1007" spans="5:5" ht="12.75" x14ac:dyDescent="0.2">
      <c r="E1007" s="268"/>
    </row>
    <row r="1008" spans="5:5" ht="12.75" x14ac:dyDescent="0.2">
      <c r="E1008" s="268"/>
    </row>
    <row r="1009" spans="5:5" ht="12.75" x14ac:dyDescent="0.2">
      <c r="E1009" s="268"/>
    </row>
    <row r="1010" spans="5:5" ht="12.75" x14ac:dyDescent="0.2">
      <c r="E1010" s="268"/>
    </row>
    <row r="1011" spans="5:5" ht="12.75" x14ac:dyDescent="0.2">
      <c r="E1011" s="268"/>
    </row>
    <row r="1012" spans="5:5" ht="12.75" x14ac:dyDescent="0.2">
      <c r="E1012" s="268"/>
    </row>
    <row r="1013" spans="5:5" ht="12.75" x14ac:dyDescent="0.2">
      <c r="E1013" s="268"/>
    </row>
    <row r="1014" spans="5:5" ht="12.75" x14ac:dyDescent="0.2">
      <c r="E1014" s="268"/>
    </row>
    <row r="1015" spans="5:5" ht="12.75" x14ac:dyDescent="0.2">
      <c r="E1015" s="268"/>
    </row>
    <row r="1016" spans="5:5" ht="12.75" x14ac:dyDescent="0.2">
      <c r="E1016" s="268"/>
    </row>
    <row r="1017" spans="5:5" ht="12.75" x14ac:dyDescent="0.2">
      <c r="E1017" s="268"/>
    </row>
    <row r="1018" spans="5:5" ht="12.75" x14ac:dyDescent="0.2">
      <c r="E1018" s="268"/>
    </row>
    <row r="1019" spans="5:5" ht="12.75" x14ac:dyDescent="0.2">
      <c r="E1019" s="268"/>
    </row>
    <row r="1020" spans="5:5" ht="12.75" x14ac:dyDescent="0.2">
      <c r="E1020" s="268"/>
    </row>
    <row r="1021" spans="5:5" ht="12.75" x14ac:dyDescent="0.2">
      <c r="E1021" s="268"/>
    </row>
    <row r="1022" spans="5:5" ht="12.75" x14ac:dyDescent="0.2">
      <c r="E1022" s="268"/>
    </row>
    <row r="1023" spans="5:5" ht="12.75" x14ac:dyDescent="0.2">
      <c r="E1023" s="268"/>
    </row>
    <row r="1024" spans="5:5" ht="12.75" x14ac:dyDescent="0.2">
      <c r="E1024" s="268"/>
    </row>
    <row r="1025" spans="5:5" ht="12.75" x14ac:dyDescent="0.2">
      <c r="E1025" s="268"/>
    </row>
    <row r="1026" spans="5:5" ht="12.75" x14ac:dyDescent="0.2">
      <c r="E1026" s="268"/>
    </row>
    <row r="1027" spans="5:5" ht="12.75" x14ac:dyDescent="0.2">
      <c r="E1027" s="268"/>
    </row>
    <row r="1028" spans="5:5" ht="12.75" x14ac:dyDescent="0.2">
      <c r="E1028" s="268"/>
    </row>
    <row r="1029" spans="5:5" ht="12.75" x14ac:dyDescent="0.2">
      <c r="E1029" s="268"/>
    </row>
    <row r="1030" spans="5:5" ht="12.75" x14ac:dyDescent="0.2">
      <c r="E1030" s="268"/>
    </row>
    <row r="1031" spans="5:5" ht="12.75" x14ac:dyDescent="0.2">
      <c r="E1031" s="268"/>
    </row>
    <row r="1032" spans="5:5" ht="12.75" x14ac:dyDescent="0.2">
      <c r="E1032" s="268"/>
    </row>
    <row r="1033" spans="5:5" ht="12.75" x14ac:dyDescent="0.2">
      <c r="E1033" s="268"/>
    </row>
    <row r="1034" spans="5:5" ht="12.75" x14ac:dyDescent="0.2">
      <c r="E1034" s="268"/>
    </row>
  </sheetData>
  <mergeCells count="72">
    <mergeCell ref="K60:K72"/>
    <mergeCell ref="L60:L72"/>
    <mergeCell ref="B93:B107"/>
    <mergeCell ref="B108:B122"/>
    <mergeCell ref="B7:B12"/>
    <mergeCell ref="B13:B19"/>
    <mergeCell ref="B20:B32"/>
    <mergeCell ref="B33:B59"/>
    <mergeCell ref="B60:B72"/>
    <mergeCell ref="B73:B85"/>
    <mergeCell ref="B86:B92"/>
    <mergeCell ref="F60:F72"/>
    <mergeCell ref="G60:G72"/>
    <mergeCell ref="H60:H72"/>
    <mergeCell ref="I60:I72"/>
    <mergeCell ref="J60:J72"/>
    <mergeCell ref="K20:K32"/>
    <mergeCell ref="L20:L32"/>
    <mergeCell ref="F33:F59"/>
    <mergeCell ref="G33:G59"/>
    <mergeCell ref="H33:H59"/>
    <mergeCell ref="I33:I59"/>
    <mergeCell ref="J33:J59"/>
    <mergeCell ref="K33:K59"/>
    <mergeCell ref="L33:L59"/>
    <mergeCell ref="F20:F32"/>
    <mergeCell ref="G20:G32"/>
    <mergeCell ref="H20:H32"/>
    <mergeCell ref="I20:I32"/>
    <mergeCell ref="J20:J32"/>
    <mergeCell ref="K7:K12"/>
    <mergeCell ref="L7:L12"/>
    <mergeCell ref="F13:F19"/>
    <mergeCell ref="G13:G19"/>
    <mergeCell ref="H13:H19"/>
    <mergeCell ref="I13:I19"/>
    <mergeCell ref="J13:J19"/>
    <mergeCell ref="K13:K19"/>
    <mergeCell ref="L13:L19"/>
    <mergeCell ref="F7:F12"/>
    <mergeCell ref="G7:G12"/>
    <mergeCell ref="H7:H12"/>
    <mergeCell ref="I7:I12"/>
    <mergeCell ref="J7:J12"/>
    <mergeCell ref="K108:K122"/>
    <mergeCell ref="L108:L122"/>
    <mergeCell ref="F93:F107"/>
    <mergeCell ref="G93:G107"/>
    <mergeCell ref="H93:H107"/>
    <mergeCell ref="I93:I107"/>
    <mergeCell ref="J93:J107"/>
    <mergeCell ref="K93:K107"/>
    <mergeCell ref="L93:L107"/>
    <mergeCell ref="F108:F122"/>
    <mergeCell ref="G108:G122"/>
    <mergeCell ref="H108:H122"/>
    <mergeCell ref="I108:I122"/>
    <mergeCell ref="J108:J122"/>
    <mergeCell ref="K73:K85"/>
    <mergeCell ref="L73:L85"/>
    <mergeCell ref="F86:F92"/>
    <mergeCell ref="G86:G92"/>
    <mergeCell ref="H86:H92"/>
    <mergeCell ref="I86:I92"/>
    <mergeCell ref="J86:J92"/>
    <mergeCell ref="K86:K92"/>
    <mergeCell ref="L86:L92"/>
    <mergeCell ref="F73:F85"/>
    <mergeCell ref="G73:G85"/>
    <mergeCell ref="H73:H85"/>
    <mergeCell ref="I73:I85"/>
    <mergeCell ref="J73:J85"/>
  </mergeCells>
  <dataValidations count="1">
    <dataValidation type="list" allowBlank="1" showErrorMessage="1" sqref="D7:D122" xr:uid="{00000000-0002-0000-0400-000000000000}">
      <formula1>"Pregrado,Maestrías,Especializaciones,Tecnologías,Doctorados,Esp. Médico Quirúrgicas"</formula1>
    </dataValidation>
  </dataValidations>
  <hyperlinks>
    <hyperlink ref="E20" r:id="rId1" xr:uid="{00000000-0004-0000-0400-000000000000}"/>
    <hyperlink ref="E39" r:id="rId2" xr:uid="{00000000-0004-0000-0400-000001000000}"/>
    <hyperlink ref="E67" r:id="rId3" xr:uid="{00000000-0004-0000-0400-000002000000}"/>
    <hyperlink ref="E76" r:id="rId4" xr:uid="{00000000-0004-0000-0400-000003000000}"/>
    <hyperlink ref="E82" r:id="rId5" xr:uid="{00000000-0004-0000-0400-000004000000}"/>
    <hyperlink ref="E87" r:id="rId6" xr:uid="{00000000-0004-0000-0400-000005000000}"/>
    <hyperlink ref="E92" r:id="rId7" xr:uid="{00000000-0004-0000-0400-000006000000}"/>
    <hyperlink ref="E99" r:id="rId8" xr:uid="{00000000-0004-0000-0400-000007000000}"/>
    <hyperlink ref="E106" r:id="rId9" xr:uid="{00000000-0004-0000-0400-000008000000}"/>
    <hyperlink ref="E107" r:id="rId10" xr:uid="{00000000-0004-0000-0400-000009000000}"/>
  </hyperlinks>
  <pageMargins left="0.7" right="0.7" top="0.75" bottom="0.75" header="0" footer="0"/>
  <pageSetup orientation="portrait"/>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2:K73"/>
  <sheetViews>
    <sheetView showGridLines="0" workbookViewId="0">
      <pane ySplit="6" topLeftCell="A7" activePane="bottomLeft" state="frozen"/>
      <selection pane="bottomLeft" activeCell="B8" sqref="B8"/>
    </sheetView>
  </sheetViews>
  <sheetFormatPr baseColWidth="10" defaultColWidth="12.5703125" defaultRowHeight="15" customHeight="1" x14ac:dyDescent="0.2"/>
  <cols>
    <col min="1" max="1" width="4.140625" customWidth="1"/>
    <col min="2" max="2" width="27.85546875" customWidth="1"/>
    <col min="3" max="3" width="10.85546875" customWidth="1"/>
    <col min="4" max="4" width="9.85546875" customWidth="1"/>
    <col min="5" max="5" width="14.7109375" customWidth="1"/>
    <col min="6" max="6" width="10.42578125" customWidth="1"/>
    <col min="7" max="7" width="8.42578125" customWidth="1"/>
    <col min="8" max="8" width="15.85546875" customWidth="1"/>
    <col min="9" max="10" width="8.7109375" customWidth="1"/>
    <col min="11" max="12" width="10.42578125" customWidth="1"/>
    <col min="13" max="13" width="10.7109375" customWidth="1"/>
    <col min="14" max="14" width="23.42578125" customWidth="1"/>
    <col min="15" max="15" width="22.85546875" customWidth="1"/>
    <col min="16" max="16" width="16.42578125" customWidth="1"/>
    <col min="17" max="31" width="11.42578125" customWidth="1"/>
  </cols>
  <sheetData>
    <row r="2" spans="1:11" ht="12.75" customHeight="1" x14ac:dyDescent="0.2">
      <c r="A2" s="296"/>
      <c r="B2" s="297"/>
      <c r="C2" s="297"/>
      <c r="D2" s="297"/>
      <c r="E2" s="298" t="s">
        <v>0</v>
      </c>
      <c r="F2" s="296"/>
      <c r="G2" s="297"/>
      <c r="H2" s="297"/>
      <c r="I2" s="297"/>
      <c r="J2" s="297"/>
      <c r="K2" s="297"/>
    </row>
    <row r="3" spans="1:11" ht="12.75" customHeight="1" x14ac:dyDescent="0.2">
      <c r="A3" s="296"/>
      <c r="B3" s="297"/>
      <c r="C3" s="297"/>
      <c r="D3" s="297"/>
      <c r="E3" s="298" t="s">
        <v>940</v>
      </c>
      <c r="F3" s="296"/>
      <c r="G3" s="297"/>
      <c r="H3" s="297"/>
      <c r="I3" s="297"/>
      <c r="J3" s="297"/>
      <c r="K3" s="297"/>
    </row>
    <row r="4" spans="1:11" ht="12.75" customHeight="1" x14ac:dyDescent="0.2">
      <c r="A4" s="299"/>
      <c r="B4" s="299"/>
      <c r="C4" s="299"/>
      <c r="D4" s="299"/>
      <c r="E4" s="300" t="s">
        <v>941</v>
      </c>
      <c r="F4" s="299"/>
      <c r="G4" s="299"/>
      <c r="H4" s="299"/>
      <c r="I4" s="299"/>
      <c r="J4" s="299"/>
      <c r="K4" s="299"/>
    </row>
    <row r="5" spans="1:11" ht="12.75" customHeight="1" x14ac:dyDescent="0.2">
      <c r="A5" s="301"/>
      <c r="B5" s="301"/>
      <c r="C5" s="301"/>
      <c r="D5" s="301"/>
      <c r="E5" s="301"/>
      <c r="F5" s="301"/>
      <c r="G5" s="301"/>
      <c r="H5" s="301"/>
      <c r="I5" s="301"/>
      <c r="J5" s="301"/>
      <c r="K5" s="301"/>
    </row>
    <row r="6" spans="1:11" ht="28.5" customHeight="1" x14ac:dyDescent="0.2">
      <c r="A6" s="302" t="s">
        <v>17</v>
      </c>
      <c r="B6" s="302" t="s">
        <v>942</v>
      </c>
      <c r="C6" s="302" t="s">
        <v>906</v>
      </c>
      <c r="D6" s="302" t="s">
        <v>943</v>
      </c>
      <c r="E6" s="302" t="s">
        <v>818</v>
      </c>
      <c r="F6" s="302" t="s">
        <v>887</v>
      </c>
      <c r="G6" s="302" t="s">
        <v>805</v>
      </c>
      <c r="H6" s="302" t="s">
        <v>822</v>
      </c>
      <c r="I6" s="302" t="s">
        <v>944</v>
      </c>
      <c r="J6" s="302" t="s">
        <v>945</v>
      </c>
      <c r="K6" s="303" t="s">
        <v>807</v>
      </c>
    </row>
    <row r="7" spans="1:11" ht="30" customHeight="1" x14ac:dyDescent="0.2">
      <c r="A7" s="304">
        <v>1</v>
      </c>
      <c r="B7" s="305" t="s">
        <v>74</v>
      </c>
      <c r="C7" s="306">
        <f>ProgramasRC!F7</f>
        <v>0</v>
      </c>
      <c r="D7" s="306">
        <f>ProgramasRC!G7</f>
        <v>5</v>
      </c>
      <c r="E7" s="306">
        <f>ProgramasRC!H7</f>
        <v>0</v>
      </c>
      <c r="F7" s="306">
        <f>ProgramasRC!I7</f>
        <v>0</v>
      </c>
      <c r="G7" s="306">
        <f>ProgramasRC!J7</f>
        <v>1</v>
      </c>
      <c r="H7" s="306">
        <f>ProgramasRC!K7</f>
        <v>0</v>
      </c>
      <c r="I7" s="307">
        <f t="shared" ref="I7:I15" si="0">SUM(C7:D7)</f>
        <v>5</v>
      </c>
      <c r="J7" s="307">
        <f>SUM(E7:H7)</f>
        <v>1</v>
      </c>
      <c r="K7" s="306">
        <f t="shared" ref="K7:K15" si="1">SUM(I7:J7)</f>
        <v>6</v>
      </c>
    </row>
    <row r="8" spans="1:11" ht="31.5" customHeight="1" x14ac:dyDescent="0.2">
      <c r="A8" s="308">
        <v>2</v>
      </c>
      <c r="B8" s="115" t="s">
        <v>130</v>
      </c>
      <c r="C8" s="131">
        <f>ProgramasRC!F13</f>
        <v>0</v>
      </c>
      <c r="D8" s="131">
        <f>ProgramasRC!G13</f>
        <v>3</v>
      </c>
      <c r="E8" s="131">
        <f>ProgramasRC!H13</f>
        <v>2</v>
      </c>
      <c r="F8" s="131">
        <f>ProgramasRC!I13</f>
        <v>0</v>
      </c>
      <c r="G8" s="131">
        <f>ProgramasRC!J13</f>
        <v>1</v>
      </c>
      <c r="H8" s="131">
        <f>ProgramasRC!K13</f>
        <v>1</v>
      </c>
      <c r="I8" s="309">
        <f t="shared" si="0"/>
        <v>3</v>
      </c>
      <c r="J8" s="309">
        <f>SUM(E8+G8+H8)</f>
        <v>4</v>
      </c>
      <c r="K8" s="131">
        <f t="shared" si="1"/>
        <v>7</v>
      </c>
    </row>
    <row r="9" spans="1:11" ht="30" customHeight="1" x14ac:dyDescent="0.2">
      <c r="A9" s="310">
        <v>3</v>
      </c>
      <c r="B9" s="305" t="s">
        <v>823</v>
      </c>
      <c r="C9" s="306">
        <f>ProgramasRC!F20</f>
        <v>0</v>
      </c>
      <c r="D9" s="306">
        <f>ProgramasRC!G20</f>
        <v>4</v>
      </c>
      <c r="E9" s="306">
        <f>ProgramasRC!H20</f>
        <v>5</v>
      </c>
      <c r="F9" s="306">
        <f>ProgramasRC!I20</f>
        <v>0</v>
      </c>
      <c r="G9" s="306">
        <f>ProgramasRC!J20</f>
        <v>4</v>
      </c>
      <c r="H9" s="306">
        <f>ProgramasRC!K20</f>
        <v>0</v>
      </c>
      <c r="I9" s="311">
        <f t="shared" si="0"/>
        <v>4</v>
      </c>
      <c r="J9" s="311">
        <f t="shared" ref="J9:J15" si="2">SUM(E9:H9)</f>
        <v>9</v>
      </c>
      <c r="K9" s="306">
        <f t="shared" si="1"/>
        <v>13</v>
      </c>
    </row>
    <row r="10" spans="1:11" ht="28.5" customHeight="1" x14ac:dyDescent="0.2">
      <c r="A10" s="312">
        <v>4</v>
      </c>
      <c r="B10" s="115" t="s">
        <v>946</v>
      </c>
      <c r="C10" s="131">
        <f>ProgramasRC!F33</f>
        <v>0</v>
      </c>
      <c r="D10" s="131">
        <f>ProgramasRC!G33</f>
        <v>9</v>
      </c>
      <c r="E10" s="131">
        <f>ProgramasRC!H33</f>
        <v>1</v>
      </c>
      <c r="F10" s="131">
        <f>ProgramasRC!I33</f>
        <v>0</v>
      </c>
      <c r="G10" s="131">
        <f>ProgramasRC!J33</f>
        <v>12</v>
      </c>
      <c r="H10" s="131">
        <f>ProgramasRC!K33</f>
        <v>5</v>
      </c>
      <c r="I10" s="313">
        <f t="shared" si="0"/>
        <v>9</v>
      </c>
      <c r="J10" s="313">
        <f t="shared" si="2"/>
        <v>18</v>
      </c>
      <c r="K10" s="131">
        <f t="shared" si="1"/>
        <v>27</v>
      </c>
    </row>
    <row r="11" spans="1:11" ht="30.75" customHeight="1" x14ac:dyDescent="0.2">
      <c r="A11" s="314">
        <v>5</v>
      </c>
      <c r="B11" s="305" t="s">
        <v>333</v>
      </c>
      <c r="C11" s="306">
        <f>ProgramasRC!F60</f>
        <v>0</v>
      </c>
      <c r="D11" s="306">
        <f>ProgramasRC!G60</f>
        <v>8</v>
      </c>
      <c r="E11" s="306">
        <f>ProgramasRC!H60</f>
        <v>0</v>
      </c>
      <c r="F11" s="306">
        <f>ProgramasRC!I60</f>
        <v>0</v>
      </c>
      <c r="G11" s="306">
        <f>ProgramasRC!J60</f>
        <v>3</v>
      </c>
      <c r="H11" s="306">
        <f>ProgramasRC!K60</f>
        <v>2</v>
      </c>
      <c r="I11" s="315">
        <f t="shared" si="0"/>
        <v>8</v>
      </c>
      <c r="J11" s="315">
        <f t="shared" si="2"/>
        <v>5</v>
      </c>
      <c r="K11" s="306">
        <f t="shared" si="1"/>
        <v>13</v>
      </c>
    </row>
    <row r="12" spans="1:11" ht="29.25" customHeight="1" x14ac:dyDescent="0.2">
      <c r="A12" s="316">
        <v>6</v>
      </c>
      <c r="B12" s="115" t="s">
        <v>255</v>
      </c>
      <c r="C12" s="131">
        <f>ProgramasRC!F73</f>
        <v>0</v>
      </c>
      <c r="D12" s="131">
        <f>ProgramasRC!G73</f>
        <v>4</v>
      </c>
      <c r="E12" s="131">
        <f>ProgramasRC!H73</f>
        <v>2</v>
      </c>
      <c r="F12" s="131">
        <f>ProgramasRC!I73</f>
        <v>6</v>
      </c>
      <c r="G12" s="131">
        <f>ProgramasRC!J73</f>
        <v>1</v>
      </c>
      <c r="H12" s="131">
        <f>ProgramasRC!K73</f>
        <v>0</v>
      </c>
      <c r="I12" s="317">
        <f t="shared" si="0"/>
        <v>4</v>
      </c>
      <c r="J12" s="317">
        <f t="shared" si="2"/>
        <v>9</v>
      </c>
      <c r="K12" s="318">
        <f t="shared" si="1"/>
        <v>13</v>
      </c>
    </row>
    <row r="13" spans="1:11" ht="29.25" customHeight="1" x14ac:dyDescent="0.2">
      <c r="A13" s="319">
        <v>7</v>
      </c>
      <c r="B13" s="305" t="s">
        <v>574</v>
      </c>
      <c r="C13" s="306">
        <f>ProgramasRC!F86</f>
        <v>0</v>
      </c>
      <c r="D13" s="306">
        <f>ProgramasRC!G86</f>
        <v>4</v>
      </c>
      <c r="E13" s="306">
        <f>ProgramasRC!H86</f>
        <v>3</v>
      </c>
      <c r="F13" s="306">
        <f>ProgramasRC!I86</f>
        <v>0</v>
      </c>
      <c r="G13" s="306">
        <f>ProgramasRC!J86</f>
        <v>0</v>
      </c>
      <c r="H13" s="306">
        <f>ProgramasRC!K86</f>
        <v>0</v>
      </c>
      <c r="I13" s="320">
        <f t="shared" si="0"/>
        <v>4</v>
      </c>
      <c r="J13" s="320">
        <f t="shared" si="2"/>
        <v>3</v>
      </c>
      <c r="K13" s="306">
        <f t="shared" si="1"/>
        <v>7</v>
      </c>
    </row>
    <row r="14" spans="1:11" ht="31.5" customHeight="1" x14ac:dyDescent="0.2">
      <c r="A14" s="321">
        <v>8</v>
      </c>
      <c r="B14" s="115" t="s">
        <v>947</v>
      </c>
      <c r="C14" s="131">
        <f>ProgramasRC!F93</f>
        <v>1</v>
      </c>
      <c r="D14" s="131">
        <f>ProgramasRC!G93</f>
        <v>4</v>
      </c>
      <c r="E14" s="131">
        <f>ProgramasRC!H93</f>
        <v>3</v>
      </c>
      <c r="F14" s="131">
        <f>ProgramasRC!I93</f>
        <v>0</v>
      </c>
      <c r="G14" s="131">
        <f>ProgramasRC!J93</f>
        <v>7</v>
      </c>
      <c r="H14" s="131">
        <f>ProgramasRC!K93</f>
        <v>0</v>
      </c>
      <c r="I14" s="322">
        <f t="shared" si="0"/>
        <v>5</v>
      </c>
      <c r="J14" s="322">
        <f t="shared" si="2"/>
        <v>10</v>
      </c>
      <c r="K14" s="131">
        <f t="shared" si="1"/>
        <v>15</v>
      </c>
    </row>
    <row r="15" spans="1:11" ht="27" customHeight="1" x14ac:dyDescent="0.2">
      <c r="A15" s="323">
        <v>9</v>
      </c>
      <c r="B15" s="305" t="s">
        <v>948</v>
      </c>
      <c r="C15" s="306">
        <f>ProgramasRC!F108</f>
        <v>1</v>
      </c>
      <c r="D15" s="306">
        <f>ProgramasRC!G108</f>
        <v>3</v>
      </c>
      <c r="E15" s="306">
        <f>ProgramasRC!H108</f>
        <v>3</v>
      </c>
      <c r="F15" s="306">
        <f>ProgramasRC!I108</f>
        <v>0</v>
      </c>
      <c r="G15" s="306">
        <f>ProgramasRC!J108</f>
        <v>5</v>
      </c>
      <c r="H15" s="306">
        <f>ProgramasRC!K108</f>
        <v>3</v>
      </c>
      <c r="I15" s="324">
        <f t="shared" si="0"/>
        <v>4</v>
      </c>
      <c r="J15" s="324">
        <f t="shared" si="2"/>
        <v>11</v>
      </c>
      <c r="K15" s="306">
        <f t="shared" si="1"/>
        <v>15</v>
      </c>
    </row>
    <row r="16" spans="1:11" ht="27" customHeight="1" x14ac:dyDescent="0.2">
      <c r="A16" s="787" t="s">
        <v>949</v>
      </c>
      <c r="B16" s="788"/>
      <c r="C16" s="325">
        <f t="shared" ref="C16:K16" si="3">SUM(C7:C15)</f>
        <v>2</v>
      </c>
      <c r="D16" s="325">
        <f t="shared" si="3"/>
        <v>44</v>
      </c>
      <c r="E16" s="325">
        <f t="shared" si="3"/>
        <v>19</v>
      </c>
      <c r="F16" s="325">
        <f t="shared" si="3"/>
        <v>6</v>
      </c>
      <c r="G16" s="325">
        <f t="shared" si="3"/>
        <v>34</v>
      </c>
      <c r="H16" s="325">
        <f t="shared" si="3"/>
        <v>11</v>
      </c>
      <c r="I16" s="326">
        <f t="shared" si="3"/>
        <v>46</v>
      </c>
      <c r="J16" s="326">
        <f t="shared" si="3"/>
        <v>70</v>
      </c>
      <c r="K16" s="325">
        <f t="shared" si="3"/>
        <v>116</v>
      </c>
    </row>
    <row r="17" spans="1:11" ht="12.75" customHeight="1" x14ac:dyDescent="0.2">
      <c r="A17" s="327"/>
      <c r="B17" s="328"/>
      <c r="C17" s="302" t="s">
        <v>906</v>
      </c>
      <c r="D17" s="302" t="s">
        <v>943</v>
      </c>
      <c r="E17" s="302" t="s">
        <v>818</v>
      </c>
      <c r="F17" s="302" t="s">
        <v>887</v>
      </c>
      <c r="G17" s="302" t="s">
        <v>805</v>
      </c>
      <c r="H17" s="302" t="s">
        <v>822</v>
      </c>
      <c r="I17" s="302" t="s">
        <v>84</v>
      </c>
      <c r="J17" s="302" t="s">
        <v>96</v>
      </c>
      <c r="K17" s="329"/>
    </row>
    <row r="18" spans="1:11" ht="12.75" customHeight="1" x14ac:dyDescent="0.2">
      <c r="A18" s="330"/>
      <c r="C18" s="331">
        <f t="shared" ref="C18:J18" si="4">C16/$K$16</f>
        <v>1.7241379310344827E-2</v>
      </c>
      <c r="D18" s="331">
        <f t="shared" si="4"/>
        <v>0.37931034482758619</v>
      </c>
      <c r="E18" s="331">
        <f t="shared" si="4"/>
        <v>0.16379310344827586</v>
      </c>
      <c r="F18" s="331">
        <f t="shared" si="4"/>
        <v>5.1724137931034482E-2</v>
      </c>
      <c r="G18" s="331">
        <f t="shared" si="4"/>
        <v>0.29310344827586204</v>
      </c>
      <c r="H18" s="331">
        <f t="shared" si="4"/>
        <v>9.4827586206896547E-2</v>
      </c>
      <c r="I18" s="332">
        <f t="shared" si="4"/>
        <v>0.39655172413793105</v>
      </c>
      <c r="J18" s="332">
        <f t="shared" si="4"/>
        <v>0.60344827586206895</v>
      </c>
      <c r="K18" s="329"/>
    </row>
    <row r="73" spans="8:11" ht="33" customHeight="1" x14ac:dyDescent="0.2">
      <c r="H73" s="789"/>
      <c r="I73" s="758"/>
      <c r="J73" s="758"/>
      <c r="K73" s="758"/>
    </row>
  </sheetData>
  <mergeCells count="2">
    <mergeCell ref="A16:B16"/>
    <mergeCell ref="H73:K73"/>
  </mergeCells>
  <printOptions horizontalCentered="1"/>
  <pageMargins left="0.70866141732283472" right="0.19685039370078741" top="0.59055118110236227" bottom="0.47244094488188981" header="0" footer="0"/>
  <pageSetup scale="60" orientation="landscape"/>
  <headerFooter>
    <oddHeader>&amp;CCentro de Gestión de la Calidad y la Acreditación Institucional</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R45"/>
  <sheetViews>
    <sheetView workbookViewId="0"/>
  </sheetViews>
  <sheetFormatPr baseColWidth="10" defaultColWidth="12.5703125" defaultRowHeight="15" customHeight="1" x14ac:dyDescent="0.2"/>
  <cols>
    <col min="1" max="1" width="4.42578125" customWidth="1"/>
    <col min="2" max="2" width="34.7109375" customWidth="1"/>
    <col min="3" max="3" width="27.140625" customWidth="1"/>
    <col min="4" max="4" width="9.42578125" customWidth="1"/>
    <col min="5" max="5" width="15.85546875" customWidth="1"/>
    <col min="6" max="6" width="13.7109375" customWidth="1"/>
    <col min="7" max="7" width="8.140625" customWidth="1"/>
    <col min="8" max="8" width="20" customWidth="1"/>
    <col min="9" max="9" width="14.85546875" customWidth="1"/>
    <col min="10" max="10" width="3.42578125" customWidth="1"/>
    <col min="11" max="11" width="5.28515625" customWidth="1"/>
    <col min="12" max="12" width="41.85546875" customWidth="1"/>
    <col min="13" max="13" width="11.42578125" customWidth="1"/>
    <col min="14" max="14" width="16.42578125" customWidth="1"/>
    <col min="15" max="38" width="11.42578125" customWidth="1"/>
  </cols>
  <sheetData>
    <row r="1" spans="1:18" ht="12" customHeight="1" x14ac:dyDescent="0.2">
      <c r="A1" s="333"/>
      <c r="B1" s="333"/>
      <c r="C1" s="333"/>
      <c r="D1" s="334"/>
      <c r="E1" s="334"/>
      <c r="F1" s="333"/>
      <c r="G1" s="333"/>
      <c r="H1" s="333"/>
      <c r="I1" s="333"/>
      <c r="J1" s="333"/>
      <c r="K1" s="335"/>
      <c r="L1" s="336"/>
      <c r="M1" s="337" t="s">
        <v>950</v>
      </c>
      <c r="N1" s="337" t="s">
        <v>951</v>
      </c>
      <c r="O1" s="338">
        <v>0.25</v>
      </c>
      <c r="P1" s="338">
        <v>0.4</v>
      </c>
      <c r="Q1" s="338">
        <v>0.6</v>
      </c>
      <c r="R1" s="337" t="s">
        <v>952</v>
      </c>
    </row>
    <row r="2" spans="1:18" ht="12" customHeight="1" x14ac:dyDescent="0.2">
      <c r="A2" s="339"/>
      <c r="B2" s="339"/>
      <c r="C2" s="340"/>
      <c r="D2" s="341" t="s">
        <v>0</v>
      </c>
      <c r="E2" s="341"/>
      <c r="F2" s="340"/>
      <c r="G2" s="340"/>
      <c r="H2" s="340"/>
      <c r="I2" s="340"/>
      <c r="J2" s="340"/>
      <c r="K2" s="342"/>
      <c r="L2" s="343" t="s">
        <v>953</v>
      </c>
      <c r="M2" s="344">
        <v>20</v>
      </c>
      <c r="N2" s="344">
        <v>42</v>
      </c>
      <c r="O2" s="345">
        <f t="shared" ref="O2:O6" si="0">$O$1*N2</f>
        <v>10.5</v>
      </c>
      <c r="P2" s="345">
        <f t="shared" ref="P2:P6" si="1">$P$1*N2</f>
        <v>16.8</v>
      </c>
      <c r="Q2" s="345">
        <f t="shared" ref="Q2:Q6" si="2">$Q$1*N2</f>
        <v>25.2</v>
      </c>
      <c r="R2" s="346">
        <f t="shared" ref="R2:R6" si="3">M2*1/N2</f>
        <v>0.47619047619047616</v>
      </c>
    </row>
    <row r="3" spans="1:18" ht="12" customHeight="1" x14ac:dyDescent="0.2">
      <c r="A3" s="339"/>
      <c r="B3" s="339"/>
      <c r="C3" s="340"/>
      <c r="D3" s="341" t="s">
        <v>954</v>
      </c>
      <c r="E3" s="341"/>
      <c r="F3" s="340"/>
      <c r="G3" s="340"/>
      <c r="H3" s="340"/>
      <c r="I3" s="340"/>
      <c r="J3" s="340"/>
      <c r="K3" s="342"/>
      <c r="L3" s="343" t="s">
        <v>955</v>
      </c>
      <c r="M3" s="347">
        <v>27</v>
      </c>
      <c r="N3" s="347">
        <f>'Acreditables a 2023'!$F$4</f>
        <v>68</v>
      </c>
      <c r="O3" s="345">
        <f t="shared" si="0"/>
        <v>17</v>
      </c>
      <c r="P3" s="345">
        <f t="shared" si="1"/>
        <v>27.200000000000003</v>
      </c>
      <c r="Q3" s="345">
        <f t="shared" si="2"/>
        <v>40.799999999999997</v>
      </c>
      <c r="R3" s="348">
        <f t="shared" si="3"/>
        <v>0.39705882352941174</v>
      </c>
    </row>
    <row r="4" spans="1:18" ht="12" customHeight="1" x14ac:dyDescent="0.2">
      <c r="A4" s="339"/>
      <c r="B4" s="339"/>
      <c r="C4" s="340"/>
      <c r="D4" s="349" t="s">
        <v>956</v>
      </c>
      <c r="E4" s="341"/>
      <c r="F4" s="340"/>
      <c r="G4" s="340"/>
      <c r="H4" s="340"/>
      <c r="I4" s="340"/>
      <c r="J4" s="350"/>
      <c r="K4" s="342"/>
      <c r="L4" s="343" t="s">
        <v>957</v>
      </c>
      <c r="M4" s="347">
        <v>36</v>
      </c>
      <c r="N4" s="344">
        <v>68</v>
      </c>
      <c r="O4" s="345">
        <f t="shared" si="0"/>
        <v>17</v>
      </c>
      <c r="P4" s="345">
        <f t="shared" si="1"/>
        <v>27.200000000000003</v>
      </c>
      <c r="Q4" s="345">
        <f t="shared" si="2"/>
        <v>40.799999999999997</v>
      </c>
      <c r="R4" s="348">
        <f t="shared" si="3"/>
        <v>0.52941176470588236</v>
      </c>
    </row>
    <row r="5" spans="1:18" ht="12" customHeight="1" x14ac:dyDescent="0.2">
      <c r="A5" s="351"/>
      <c r="B5" s="351"/>
      <c r="C5" s="350"/>
      <c r="D5" s="352"/>
      <c r="E5" s="353"/>
      <c r="F5" s="350"/>
      <c r="G5" s="350"/>
      <c r="H5" s="350"/>
      <c r="I5" s="350"/>
      <c r="J5" s="350"/>
      <c r="K5" s="354"/>
      <c r="L5" s="343" t="s">
        <v>958</v>
      </c>
      <c r="M5" s="347">
        <f>C45</f>
        <v>35</v>
      </c>
      <c r="N5" s="344">
        <v>68</v>
      </c>
      <c r="O5" s="345">
        <f t="shared" si="0"/>
        <v>17</v>
      </c>
      <c r="P5" s="345">
        <f t="shared" si="1"/>
        <v>27.200000000000003</v>
      </c>
      <c r="Q5" s="345">
        <f t="shared" si="2"/>
        <v>40.799999999999997</v>
      </c>
      <c r="R5" s="348">
        <f t="shared" si="3"/>
        <v>0.51470588235294112</v>
      </c>
    </row>
    <row r="6" spans="1:18" ht="12" customHeight="1" x14ac:dyDescent="0.2">
      <c r="A6" s="351"/>
      <c r="B6" s="351"/>
      <c r="C6" s="350"/>
      <c r="D6" s="352"/>
      <c r="E6" s="353"/>
      <c r="F6" s="350"/>
      <c r="G6" s="350"/>
      <c r="H6" s="350"/>
      <c r="I6" s="350"/>
      <c r="J6" s="350"/>
      <c r="K6" s="354"/>
      <c r="L6" s="355" t="s">
        <v>959</v>
      </c>
      <c r="M6" s="356">
        <v>35</v>
      </c>
      <c r="N6" s="357">
        <v>82</v>
      </c>
      <c r="O6" s="358">
        <f t="shared" si="0"/>
        <v>20.5</v>
      </c>
      <c r="P6" s="358">
        <f t="shared" si="1"/>
        <v>32.800000000000004</v>
      </c>
      <c r="Q6" s="358">
        <f t="shared" si="2"/>
        <v>49.199999999999996</v>
      </c>
      <c r="R6" s="359">
        <f t="shared" si="3"/>
        <v>0.42682926829268292</v>
      </c>
    </row>
    <row r="7" spans="1:18" ht="12" customHeight="1" x14ac:dyDescent="0.2">
      <c r="A7" s="351"/>
      <c r="B7" s="351"/>
      <c r="C7" s="350"/>
      <c r="D7" s="352"/>
      <c r="E7" s="353"/>
      <c r="F7" s="350"/>
      <c r="G7" s="350"/>
      <c r="H7" s="350"/>
      <c r="I7" s="350"/>
      <c r="J7" s="350"/>
      <c r="K7" s="354"/>
      <c r="L7" s="343" t="s">
        <v>960</v>
      </c>
      <c r="M7" s="790">
        <v>34</v>
      </c>
      <c r="N7" s="791"/>
      <c r="O7" s="791"/>
      <c r="P7" s="791"/>
      <c r="Q7" s="792"/>
      <c r="R7" s="360">
        <f>M7/Q6</f>
        <v>0.69105691056910579</v>
      </c>
    </row>
    <row r="8" spans="1:18" ht="12" customHeight="1" x14ac:dyDescent="0.2">
      <c r="A8" s="361"/>
      <c r="B8" s="361"/>
      <c r="C8" s="361"/>
      <c r="D8" s="362"/>
      <c r="E8" s="362"/>
      <c r="F8" s="361"/>
      <c r="G8" s="361"/>
      <c r="H8" s="361"/>
      <c r="I8" s="361"/>
      <c r="J8" s="363"/>
      <c r="K8" s="361"/>
    </row>
    <row r="9" spans="1:18" ht="12" customHeight="1" x14ac:dyDescent="0.2">
      <c r="A9" s="364" t="s">
        <v>961</v>
      </c>
      <c r="B9" s="364" t="s">
        <v>19</v>
      </c>
      <c r="C9" s="364" t="s">
        <v>962</v>
      </c>
      <c r="D9" s="364" t="s">
        <v>23</v>
      </c>
      <c r="E9" s="364" t="s">
        <v>62</v>
      </c>
      <c r="F9" s="364" t="s">
        <v>963</v>
      </c>
      <c r="G9" s="364" t="s">
        <v>48</v>
      </c>
      <c r="H9" s="365" t="s">
        <v>964</v>
      </c>
      <c r="I9" s="364" t="s">
        <v>965</v>
      </c>
      <c r="J9" s="366"/>
      <c r="K9" s="364" t="s">
        <v>17</v>
      </c>
      <c r="L9" s="364" t="s">
        <v>942</v>
      </c>
      <c r="M9" s="364" t="s">
        <v>906</v>
      </c>
      <c r="N9" s="364" t="s">
        <v>943</v>
      </c>
      <c r="O9" s="364" t="s">
        <v>818</v>
      </c>
      <c r="P9" s="364" t="s">
        <v>887</v>
      </c>
      <c r="Q9" s="364" t="s">
        <v>805</v>
      </c>
      <c r="R9" s="364" t="s">
        <v>822</v>
      </c>
    </row>
    <row r="10" spans="1:18" ht="25.5" customHeight="1" x14ac:dyDescent="0.2">
      <c r="A10" s="367">
        <v>1</v>
      </c>
      <c r="B10" s="106" t="s">
        <v>74</v>
      </c>
      <c r="C10" s="106" t="s">
        <v>126</v>
      </c>
      <c r="D10" s="368">
        <v>11067</v>
      </c>
      <c r="E10" s="369">
        <v>6402</v>
      </c>
      <c r="F10" s="370">
        <v>45036</v>
      </c>
      <c r="G10" s="64">
        <v>4</v>
      </c>
      <c r="H10" s="370">
        <f t="shared" ref="H10:H44" si="4">EDATE(F10,(G10*12)-14)</f>
        <v>46073</v>
      </c>
      <c r="I10" s="371">
        <f t="shared" ref="I10:I44" si="5">EDATE(F10,(G10*12))</f>
        <v>46497</v>
      </c>
      <c r="J10" s="366"/>
      <c r="K10" s="372">
        <v>1</v>
      </c>
      <c r="L10" s="106" t="s">
        <v>74</v>
      </c>
      <c r="M10" s="64"/>
      <c r="N10" s="64">
        <v>4</v>
      </c>
      <c r="O10" s="64"/>
      <c r="P10" s="64"/>
      <c r="Q10" s="64"/>
      <c r="R10" s="64"/>
    </row>
    <row r="11" spans="1:18" ht="25.5" customHeight="1" x14ac:dyDescent="0.2">
      <c r="A11" s="367">
        <v>2</v>
      </c>
      <c r="B11" s="106" t="s">
        <v>74</v>
      </c>
      <c r="C11" s="106" t="s">
        <v>101</v>
      </c>
      <c r="D11" s="368">
        <v>225</v>
      </c>
      <c r="E11" s="369">
        <v>1042</v>
      </c>
      <c r="F11" s="370">
        <v>44960</v>
      </c>
      <c r="G11" s="64">
        <v>6</v>
      </c>
      <c r="H11" s="370">
        <f t="shared" si="4"/>
        <v>46724</v>
      </c>
      <c r="I11" s="371">
        <f t="shared" si="5"/>
        <v>47152</v>
      </c>
      <c r="J11" s="366"/>
      <c r="K11" s="373">
        <v>2</v>
      </c>
      <c r="L11" s="51" t="s">
        <v>130</v>
      </c>
      <c r="M11" s="50"/>
      <c r="N11" s="50">
        <v>3</v>
      </c>
      <c r="O11" s="50"/>
      <c r="P11" s="50"/>
      <c r="Q11" s="50"/>
      <c r="R11" s="50"/>
    </row>
    <row r="12" spans="1:18" ht="25.5" customHeight="1" x14ac:dyDescent="0.2">
      <c r="A12" s="367">
        <v>3</v>
      </c>
      <c r="B12" s="106" t="s">
        <v>74</v>
      </c>
      <c r="C12" s="106" t="s">
        <v>109</v>
      </c>
      <c r="D12" s="368">
        <v>54801</v>
      </c>
      <c r="E12" s="374">
        <v>1037</v>
      </c>
      <c r="F12" s="370">
        <v>44960</v>
      </c>
      <c r="G12" s="64">
        <v>6</v>
      </c>
      <c r="H12" s="370">
        <f t="shared" si="4"/>
        <v>46724</v>
      </c>
      <c r="I12" s="371">
        <f t="shared" si="5"/>
        <v>47152</v>
      </c>
      <c r="J12" s="366"/>
      <c r="K12" s="375">
        <v>3</v>
      </c>
      <c r="L12" s="106" t="s">
        <v>823</v>
      </c>
      <c r="M12" s="64"/>
      <c r="N12" s="64">
        <v>1</v>
      </c>
      <c r="O12" s="64"/>
      <c r="P12" s="64"/>
      <c r="Q12" s="64"/>
      <c r="R12" s="64"/>
    </row>
    <row r="13" spans="1:18" ht="25.5" customHeight="1" x14ac:dyDescent="0.2">
      <c r="A13" s="367">
        <v>4</v>
      </c>
      <c r="B13" s="106" t="s">
        <v>74</v>
      </c>
      <c r="C13" s="106" t="s">
        <v>117</v>
      </c>
      <c r="D13" s="368">
        <v>4963</v>
      </c>
      <c r="E13" s="369">
        <v>6400</v>
      </c>
      <c r="F13" s="370">
        <v>45036</v>
      </c>
      <c r="G13" s="64">
        <v>6</v>
      </c>
      <c r="H13" s="370">
        <f t="shared" si="4"/>
        <v>46803</v>
      </c>
      <c r="I13" s="371">
        <f t="shared" si="5"/>
        <v>47228</v>
      </c>
      <c r="J13" s="366"/>
      <c r="K13" s="376">
        <v>4</v>
      </c>
      <c r="L13" s="51" t="s">
        <v>255</v>
      </c>
      <c r="M13" s="50"/>
      <c r="N13" s="50">
        <v>3</v>
      </c>
      <c r="O13" s="50"/>
      <c r="P13" s="50"/>
      <c r="Q13" s="50"/>
      <c r="R13" s="50"/>
    </row>
    <row r="14" spans="1:18" ht="25.5" customHeight="1" x14ac:dyDescent="0.2">
      <c r="A14" s="377">
        <v>5</v>
      </c>
      <c r="B14" s="106" t="s">
        <v>130</v>
      </c>
      <c r="C14" s="106" t="s">
        <v>131</v>
      </c>
      <c r="D14" s="368">
        <v>3833</v>
      </c>
      <c r="E14" s="369">
        <v>13200</v>
      </c>
      <c r="F14" s="370">
        <v>44029</v>
      </c>
      <c r="G14" s="64">
        <v>6</v>
      </c>
      <c r="H14" s="370">
        <f t="shared" si="4"/>
        <v>45794</v>
      </c>
      <c r="I14" s="371">
        <f t="shared" si="5"/>
        <v>46220</v>
      </c>
      <c r="J14" s="366"/>
      <c r="K14" s="378">
        <v>5</v>
      </c>
      <c r="L14" s="106" t="s">
        <v>333</v>
      </c>
      <c r="M14" s="64"/>
      <c r="N14" s="64">
        <v>4</v>
      </c>
      <c r="O14" s="64"/>
      <c r="P14" s="64"/>
      <c r="Q14" s="64"/>
      <c r="R14" s="64"/>
    </row>
    <row r="15" spans="1:18" ht="25.5" customHeight="1" x14ac:dyDescent="0.2">
      <c r="A15" s="377">
        <v>6</v>
      </c>
      <c r="B15" s="106" t="s">
        <v>130</v>
      </c>
      <c r="C15" s="106" t="s">
        <v>966</v>
      </c>
      <c r="D15" s="368">
        <v>7171</v>
      </c>
      <c r="E15" s="369">
        <v>2305</v>
      </c>
      <c r="F15" s="370">
        <v>44621</v>
      </c>
      <c r="G15" s="64">
        <v>6</v>
      </c>
      <c r="H15" s="370">
        <f t="shared" si="4"/>
        <v>46388</v>
      </c>
      <c r="I15" s="371">
        <f t="shared" si="5"/>
        <v>46813</v>
      </c>
      <c r="J15" s="366"/>
      <c r="K15" s="379">
        <v>6</v>
      </c>
      <c r="L15" s="51" t="s">
        <v>946</v>
      </c>
      <c r="M15" s="50"/>
      <c r="N15" s="50">
        <v>8</v>
      </c>
      <c r="O15" s="380"/>
      <c r="P15" s="380"/>
      <c r="Q15" s="380">
        <v>1</v>
      </c>
      <c r="R15" s="380">
        <v>2</v>
      </c>
    </row>
    <row r="16" spans="1:18" ht="25.5" customHeight="1" x14ac:dyDescent="0.2">
      <c r="A16" s="377">
        <v>7</v>
      </c>
      <c r="B16" s="106" t="s">
        <v>130</v>
      </c>
      <c r="C16" s="106" t="s">
        <v>172</v>
      </c>
      <c r="D16" s="381">
        <v>9833</v>
      </c>
      <c r="E16" s="382">
        <v>8482</v>
      </c>
      <c r="F16" s="370">
        <v>45771</v>
      </c>
      <c r="G16" s="383">
        <v>6</v>
      </c>
      <c r="H16" s="384">
        <f t="shared" si="4"/>
        <v>47538</v>
      </c>
      <c r="I16" s="371">
        <f t="shared" si="5"/>
        <v>47962</v>
      </c>
      <c r="J16" s="366"/>
      <c r="K16" s="385">
        <v>7</v>
      </c>
      <c r="L16" s="106" t="s">
        <v>574</v>
      </c>
      <c r="M16" s="64"/>
      <c r="N16" s="64"/>
      <c r="O16" s="64"/>
      <c r="P16" s="64"/>
      <c r="Q16" s="64"/>
      <c r="R16" s="64"/>
    </row>
    <row r="17" spans="1:18" ht="25.5" customHeight="1" x14ac:dyDescent="0.2">
      <c r="A17" s="386">
        <v>8</v>
      </c>
      <c r="B17" s="106" t="s">
        <v>823</v>
      </c>
      <c r="C17" s="106" t="s">
        <v>237</v>
      </c>
      <c r="D17" s="368">
        <v>8441</v>
      </c>
      <c r="E17" s="369">
        <v>8576</v>
      </c>
      <c r="F17" s="370">
        <v>45071</v>
      </c>
      <c r="G17" s="64">
        <v>4</v>
      </c>
      <c r="H17" s="370">
        <f t="shared" si="4"/>
        <v>46106</v>
      </c>
      <c r="I17" s="371">
        <f t="shared" si="5"/>
        <v>46532</v>
      </c>
      <c r="J17" s="366"/>
      <c r="K17" s="387">
        <v>8</v>
      </c>
      <c r="L17" s="106" t="s">
        <v>967</v>
      </c>
      <c r="M17" s="64"/>
      <c r="N17" s="64">
        <v>1</v>
      </c>
      <c r="O17" s="64"/>
      <c r="P17" s="64"/>
      <c r="Q17" s="64"/>
      <c r="R17" s="64"/>
    </row>
    <row r="18" spans="1:18" ht="36" customHeight="1" x14ac:dyDescent="0.2">
      <c r="A18" s="388">
        <v>9</v>
      </c>
      <c r="B18" s="106" t="s">
        <v>255</v>
      </c>
      <c r="C18" s="106" t="s">
        <v>968</v>
      </c>
      <c r="D18" s="368">
        <v>55202</v>
      </c>
      <c r="E18" s="369">
        <v>23018</v>
      </c>
      <c r="F18" s="370">
        <v>44530</v>
      </c>
      <c r="G18" s="64">
        <v>6</v>
      </c>
      <c r="H18" s="370">
        <f t="shared" si="4"/>
        <v>46295</v>
      </c>
      <c r="I18" s="371">
        <f t="shared" si="5"/>
        <v>46721</v>
      </c>
      <c r="J18" s="366"/>
      <c r="K18" s="389">
        <v>9</v>
      </c>
      <c r="L18" s="106" t="s">
        <v>948</v>
      </c>
      <c r="M18" s="64">
        <v>1</v>
      </c>
      <c r="N18" s="64">
        <v>2</v>
      </c>
      <c r="O18" s="64"/>
      <c r="P18" s="64"/>
      <c r="Q18" s="64">
        <v>3</v>
      </c>
      <c r="R18" s="64">
        <v>2</v>
      </c>
    </row>
    <row r="19" spans="1:18" ht="21.75" customHeight="1" x14ac:dyDescent="0.2">
      <c r="A19" s="388">
        <v>10</v>
      </c>
      <c r="B19" s="106" t="s">
        <v>255</v>
      </c>
      <c r="C19" s="106" t="s">
        <v>310</v>
      </c>
      <c r="D19" s="368">
        <v>5269</v>
      </c>
      <c r="E19" s="369">
        <v>10687</v>
      </c>
      <c r="F19" s="370">
        <v>45112</v>
      </c>
      <c r="G19" s="64">
        <v>6</v>
      </c>
      <c r="H19" s="370">
        <f t="shared" si="4"/>
        <v>46878</v>
      </c>
      <c r="I19" s="371">
        <f t="shared" si="5"/>
        <v>47304</v>
      </c>
      <c r="J19" s="390"/>
      <c r="K19" s="391"/>
      <c r="L19" s="392" t="s">
        <v>969</v>
      </c>
      <c r="M19" s="393">
        <f>SUM(M11:M18)</f>
        <v>1</v>
      </c>
      <c r="N19" s="393">
        <f>SUM(N10:N18)</f>
        <v>26</v>
      </c>
      <c r="O19" s="393">
        <f t="shared" ref="O19:R19" si="6">SUM(O11:O18)</f>
        <v>0</v>
      </c>
      <c r="P19" s="393">
        <f t="shared" si="6"/>
        <v>0</v>
      </c>
      <c r="Q19" s="393">
        <f t="shared" si="6"/>
        <v>4</v>
      </c>
      <c r="R19" s="393">
        <f t="shared" si="6"/>
        <v>4</v>
      </c>
    </row>
    <row r="20" spans="1:18" ht="24.75" customHeight="1" x14ac:dyDescent="0.2">
      <c r="A20" s="388">
        <v>11</v>
      </c>
      <c r="B20" s="106" t="s">
        <v>255</v>
      </c>
      <c r="C20" s="106" t="s">
        <v>285</v>
      </c>
      <c r="D20" s="368">
        <v>230</v>
      </c>
      <c r="E20" s="394">
        <v>14238</v>
      </c>
      <c r="F20" s="370">
        <v>45161</v>
      </c>
      <c r="G20" s="64">
        <v>6</v>
      </c>
      <c r="H20" s="370">
        <f t="shared" si="4"/>
        <v>46927</v>
      </c>
      <c r="I20" s="371">
        <f t="shared" si="5"/>
        <v>47353</v>
      </c>
      <c r="J20" s="366"/>
      <c r="K20" s="395"/>
      <c r="L20" s="392" t="s">
        <v>970</v>
      </c>
      <c r="M20" s="793">
        <f>SUM(M19:R19)</f>
        <v>35</v>
      </c>
      <c r="N20" s="794"/>
      <c r="O20" s="794"/>
      <c r="P20" s="794"/>
      <c r="Q20" s="794"/>
      <c r="R20" s="795"/>
    </row>
    <row r="21" spans="1:18" ht="25.5" customHeight="1" x14ac:dyDescent="0.2">
      <c r="A21" s="378">
        <v>12</v>
      </c>
      <c r="B21" s="106" t="s">
        <v>333</v>
      </c>
      <c r="C21" s="106" t="s">
        <v>971</v>
      </c>
      <c r="D21" s="368">
        <v>106575</v>
      </c>
      <c r="E21" s="369">
        <v>6405</v>
      </c>
      <c r="F21" s="370">
        <v>45036</v>
      </c>
      <c r="G21" s="64">
        <v>4</v>
      </c>
      <c r="H21" s="370">
        <f t="shared" si="4"/>
        <v>46073</v>
      </c>
      <c r="I21" s="371">
        <f t="shared" si="5"/>
        <v>46497</v>
      </c>
      <c r="J21" s="366"/>
      <c r="K21" s="363"/>
      <c r="L21" s="363"/>
      <c r="M21" s="396"/>
      <c r="N21" s="396"/>
      <c r="O21" s="363"/>
      <c r="P21" s="363"/>
      <c r="Q21" s="363"/>
      <c r="R21" s="397"/>
    </row>
    <row r="22" spans="1:18" ht="25.5" customHeight="1" x14ac:dyDescent="0.2">
      <c r="A22" s="378">
        <v>13</v>
      </c>
      <c r="B22" s="106" t="s">
        <v>333</v>
      </c>
      <c r="C22" s="106" t="s">
        <v>381</v>
      </c>
      <c r="D22" s="368">
        <v>13062</v>
      </c>
      <c r="E22" s="369">
        <v>6404</v>
      </c>
      <c r="F22" s="370">
        <v>45036</v>
      </c>
      <c r="G22" s="64">
        <v>4</v>
      </c>
      <c r="H22" s="370">
        <f t="shared" si="4"/>
        <v>46073</v>
      </c>
      <c r="I22" s="371">
        <f t="shared" si="5"/>
        <v>46497</v>
      </c>
      <c r="J22" s="366"/>
      <c r="K22" s="363"/>
      <c r="L22" s="363"/>
      <c r="M22" s="396"/>
      <c r="N22" s="396"/>
      <c r="O22" s="363"/>
      <c r="P22" s="363"/>
      <c r="Q22" s="363"/>
      <c r="R22" s="397"/>
    </row>
    <row r="23" spans="1:18" ht="25.5" customHeight="1" x14ac:dyDescent="0.2">
      <c r="A23" s="378">
        <v>14</v>
      </c>
      <c r="B23" s="106" t="s">
        <v>333</v>
      </c>
      <c r="C23" s="106" t="s">
        <v>392</v>
      </c>
      <c r="D23" s="368">
        <v>106604</v>
      </c>
      <c r="E23" s="394">
        <v>14237</v>
      </c>
      <c r="F23" s="370">
        <v>45161</v>
      </c>
      <c r="G23" s="64">
        <v>4</v>
      </c>
      <c r="H23" s="370">
        <f t="shared" si="4"/>
        <v>46196</v>
      </c>
      <c r="I23" s="371">
        <f t="shared" si="5"/>
        <v>46622</v>
      </c>
      <c r="J23" s="366"/>
      <c r="K23" s="363"/>
      <c r="L23" s="363"/>
      <c r="M23" s="396"/>
      <c r="N23" s="396"/>
      <c r="O23" s="363"/>
      <c r="P23" s="363"/>
      <c r="Q23" s="363"/>
      <c r="R23" s="397"/>
    </row>
    <row r="24" spans="1:18" ht="25.5" customHeight="1" x14ac:dyDescent="0.2">
      <c r="A24" s="378">
        <v>15</v>
      </c>
      <c r="B24" s="106" t="s">
        <v>333</v>
      </c>
      <c r="C24" s="106" t="s">
        <v>408</v>
      </c>
      <c r="D24" s="368">
        <v>232</v>
      </c>
      <c r="E24" s="94">
        <v>10048</v>
      </c>
      <c r="F24" s="370">
        <v>45100</v>
      </c>
      <c r="G24" s="64">
        <v>8</v>
      </c>
      <c r="H24" s="370">
        <f t="shared" si="4"/>
        <v>47596</v>
      </c>
      <c r="I24" s="371">
        <f t="shared" si="5"/>
        <v>48022</v>
      </c>
      <c r="J24" s="366"/>
      <c r="K24" s="363"/>
      <c r="L24" s="363"/>
      <c r="M24" s="396"/>
      <c r="N24" s="396"/>
      <c r="O24" s="363"/>
      <c r="P24" s="363"/>
      <c r="Q24" s="363"/>
      <c r="R24" s="397"/>
    </row>
    <row r="25" spans="1:18" ht="25.5" customHeight="1" x14ac:dyDescent="0.2">
      <c r="A25" s="379">
        <v>16</v>
      </c>
      <c r="B25" s="106" t="s">
        <v>413</v>
      </c>
      <c r="C25" s="106" t="s">
        <v>465</v>
      </c>
      <c r="D25" s="368">
        <v>106545</v>
      </c>
      <c r="E25" s="369">
        <v>2311</v>
      </c>
      <c r="F25" s="370">
        <v>44621</v>
      </c>
      <c r="G25" s="64">
        <v>4</v>
      </c>
      <c r="H25" s="370">
        <f t="shared" si="4"/>
        <v>45658</v>
      </c>
      <c r="I25" s="371">
        <f t="shared" si="5"/>
        <v>46082</v>
      </c>
      <c r="J25" s="366"/>
      <c r="K25" s="363"/>
      <c r="L25" s="398"/>
      <c r="M25" s="396"/>
      <c r="N25" s="396"/>
      <c r="O25" s="363"/>
      <c r="P25" s="363"/>
      <c r="Q25" s="363"/>
      <c r="R25" s="397"/>
    </row>
    <row r="26" spans="1:18" ht="25.5" customHeight="1" x14ac:dyDescent="0.2">
      <c r="A26" s="379">
        <v>17</v>
      </c>
      <c r="B26" s="106" t="s">
        <v>413</v>
      </c>
      <c r="C26" s="106" t="s">
        <v>474</v>
      </c>
      <c r="D26" s="368">
        <v>106651</v>
      </c>
      <c r="E26" s="369">
        <v>2312</v>
      </c>
      <c r="F26" s="370">
        <v>44621</v>
      </c>
      <c r="G26" s="64">
        <v>4</v>
      </c>
      <c r="H26" s="370">
        <f t="shared" si="4"/>
        <v>45658</v>
      </c>
      <c r="I26" s="371">
        <f t="shared" si="5"/>
        <v>46082</v>
      </c>
      <c r="J26" s="399"/>
      <c r="K26" s="363"/>
      <c r="L26" s="398"/>
      <c r="M26" s="396"/>
      <c r="N26" s="396"/>
      <c r="O26" s="363"/>
      <c r="P26" s="363"/>
      <c r="Q26" s="363"/>
      <c r="R26" s="397"/>
    </row>
    <row r="27" spans="1:18" ht="25.5" customHeight="1" x14ac:dyDescent="0.2">
      <c r="A27" s="379">
        <v>18</v>
      </c>
      <c r="B27" s="106" t="s">
        <v>413</v>
      </c>
      <c r="C27" s="106" t="s">
        <v>438</v>
      </c>
      <c r="D27" s="368">
        <v>3048</v>
      </c>
      <c r="E27" s="369">
        <v>7456</v>
      </c>
      <c r="F27" s="370">
        <v>44316</v>
      </c>
      <c r="G27" s="64">
        <v>6</v>
      </c>
      <c r="H27" s="370">
        <f t="shared" si="4"/>
        <v>46081</v>
      </c>
      <c r="I27" s="371">
        <f t="shared" si="5"/>
        <v>46507</v>
      </c>
      <c r="J27" s="399"/>
      <c r="K27" s="363"/>
      <c r="L27" s="398"/>
      <c r="M27" s="396"/>
      <c r="N27" s="396"/>
      <c r="O27" s="363"/>
      <c r="P27" s="363"/>
      <c r="Q27" s="363"/>
      <c r="R27" s="397"/>
    </row>
    <row r="28" spans="1:18" ht="25.5" customHeight="1" x14ac:dyDescent="0.2">
      <c r="A28" s="379">
        <v>19</v>
      </c>
      <c r="B28" s="106" t="s">
        <v>413</v>
      </c>
      <c r="C28" s="106" t="s">
        <v>508</v>
      </c>
      <c r="D28" s="368">
        <v>4010</v>
      </c>
      <c r="E28" s="369">
        <v>7568</v>
      </c>
      <c r="F28" s="370">
        <v>45054</v>
      </c>
      <c r="G28" s="64">
        <v>4</v>
      </c>
      <c r="H28" s="370">
        <f t="shared" si="4"/>
        <v>46089</v>
      </c>
      <c r="I28" s="371">
        <f t="shared" si="5"/>
        <v>46515</v>
      </c>
      <c r="J28" s="399"/>
      <c r="K28" s="363"/>
      <c r="L28" s="398"/>
      <c r="M28" s="396"/>
      <c r="N28" s="396"/>
      <c r="O28" s="363"/>
      <c r="P28" s="363"/>
      <c r="Q28" s="363"/>
      <c r="R28" s="397"/>
    </row>
    <row r="29" spans="1:18" ht="25.5" customHeight="1" x14ac:dyDescent="0.2">
      <c r="A29" s="379">
        <v>20</v>
      </c>
      <c r="B29" s="106" t="s">
        <v>413</v>
      </c>
      <c r="C29" s="106" t="s">
        <v>482</v>
      </c>
      <c r="D29" s="368">
        <v>106574</v>
      </c>
      <c r="E29" s="369">
        <v>1109</v>
      </c>
      <c r="F29" s="370">
        <v>44960</v>
      </c>
      <c r="G29" s="64">
        <v>6</v>
      </c>
      <c r="H29" s="370">
        <f t="shared" si="4"/>
        <v>46724</v>
      </c>
      <c r="I29" s="371">
        <f t="shared" si="5"/>
        <v>47152</v>
      </c>
      <c r="J29" s="399"/>
      <c r="K29" s="363"/>
      <c r="L29" s="398"/>
      <c r="M29" s="396"/>
      <c r="N29" s="396"/>
      <c r="O29" s="363"/>
      <c r="P29" s="363"/>
      <c r="Q29" s="363"/>
      <c r="R29" s="397"/>
    </row>
    <row r="30" spans="1:18" ht="25.5" customHeight="1" x14ac:dyDescent="0.2">
      <c r="A30" s="379">
        <v>21</v>
      </c>
      <c r="B30" s="106" t="s">
        <v>413</v>
      </c>
      <c r="C30" s="106" t="s">
        <v>490</v>
      </c>
      <c r="D30" s="368">
        <v>106794</v>
      </c>
      <c r="E30" s="369">
        <v>1110</v>
      </c>
      <c r="F30" s="370">
        <v>44960</v>
      </c>
      <c r="G30" s="64">
        <v>6</v>
      </c>
      <c r="H30" s="370">
        <f t="shared" si="4"/>
        <v>46724</v>
      </c>
      <c r="I30" s="371">
        <f t="shared" si="5"/>
        <v>47152</v>
      </c>
      <c r="J30" s="399"/>
      <c r="K30" s="363"/>
      <c r="L30" s="398"/>
      <c r="M30" s="396"/>
      <c r="N30" s="396"/>
      <c r="O30" s="363"/>
      <c r="P30" s="363"/>
      <c r="Q30" s="363"/>
      <c r="R30" s="397"/>
    </row>
    <row r="31" spans="1:18" ht="25.5" customHeight="1" x14ac:dyDescent="0.2">
      <c r="A31" s="379">
        <v>22</v>
      </c>
      <c r="B31" s="106" t="s">
        <v>413</v>
      </c>
      <c r="C31" s="106" t="s">
        <v>515</v>
      </c>
      <c r="D31" s="368">
        <v>2130</v>
      </c>
      <c r="E31" s="369">
        <v>8922</v>
      </c>
      <c r="F31" s="370">
        <v>45075</v>
      </c>
      <c r="G31" s="64">
        <v>6</v>
      </c>
      <c r="H31" s="370">
        <f t="shared" si="4"/>
        <v>46841</v>
      </c>
      <c r="I31" s="371">
        <f t="shared" si="5"/>
        <v>47267</v>
      </c>
      <c r="J31" s="399"/>
      <c r="K31" s="363"/>
      <c r="L31" s="398"/>
      <c r="M31" s="396"/>
      <c r="N31" s="396"/>
      <c r="O31" s="363"/>
      <c r="P31" s="363"/>
      <c r="Q31" s="363"/>
      <c r="R31" s="397"/>
    </row>
    <row r="32" spans="1:18" ht="25.5" customHeight="1" x14ac:dyDescent="0.2">
      <c r="A32" s="379">
        <v>23</v>
      </c>
      <c r="B32" s="106" t="s">
        <v>413</v>
      </c>
      <c r="C32" s="106" t="s">
        <v>546</v>
      </c>
      <c r="D32" s="368">
        <v>256</v>
      </c>
      <c r="E32" s="94">
        <v>22249</v>
      </c>
      <c r="F32" s="370">
        <v>45253</v>
      </c>
      <c r="G32" s="64">
        <v>6</v>
      </c>
      <c r="H32" s="370">
        <f t="shared" si="4"/>
        <v>47019</v>
      </c>
      <c r="I32" s="371">
        <f t="shared" si="5"/>
        <v>47445</v>
      </c>
      <c r="J32" s="399"/>
      <c r="K32" s="363"/>
      <c r="L32" s="398"/>
      <c r="M32" s="396"/>
      <c r="N32" s="396"/>
      <c r="O32" s="363"/>
      <c r="P32" s="363"/>
      <c r="Q32" s="363"/>
      <c r="R32" s="397"/>
    </row>
    <row r="33" spans="1:9" ht="25.5" customHeight="1" x14ac:dyDescent="0.2">
      <c r="A33" s="379">
        <v>24</v>
      </c>
      <c r="B33" s="106" t="s">
        <v>413</v>
      </c>
      <c r="C33" s="106" t="s">
        <v>530</v>
      </c>
      <c r="D33" s="368">
        <v>7170</v>
      </c>
      <c r="E33" s="394">
        <v>16903</v>
      </c>
      <c r="F33" s="370">
        <v>45189</v>
      </c>
      <c r="G33" s="64">
        <v>6</v>
      </c>
      <c r="H33" s="370">
        <f t="shared" si="4"/>
        <v>46954</v>
      </c>
      <c r="I33" s="371">
        <f t="shared" si="5"/>
        <v>47381</v>
      </c>
    </row>
    <row r="34" spans="1:9" ht="25.5" customHeight="1" x14ac:dyDescent="0.2">
      <c r="A34" s="379">
        <v>25</v>
      </c>
      <c r="B34" s="106" t="s">
        <v>413</v>
      </c>
      <c r="C34" s="106" t="s">
        <v>972</v>
      </c>
      <c r="D34" s="368">
        <v>229</v>
      </c>
      <c r="E34" s="400">
        <v>2015</v>
      </c>
      <c r="F34" s="370">
        <v>45350</v>
      </c>
      <c r="G34" s="64">
        <v>6</v>
      </c>
      <c r="H34" s="370">
        <f t="shared" si="4"/>
        <v>47115</v>
      </c>
      <c r="I34" s="371">
        <f t="shared" si="5"/>
        <v>47542</v>
      </c>
    </row>
    <row r="35" spans="1:9" ht="25.5" customHeight="1" x14ac:dyDescent="0.2">
      <c r="A35" s="379">
        <v>26</v>
      </c>
      <c r="B35" s="106" t="s">
        <v>413</v>
      </c>
      <c r="C35" s="106" t="s">
        <v>557</v>
      </c>
      <c r="D35" s="368">
        <v>1125</v>
      </c>
      <c r="E35" s="400">
        <v>1125</v>
      </c>
      <c r="F35" s="370">
        <v>45335</v>
      </c>
      <c r="G35" s="64">
        <v>6</v>
      </c>
      <c r="H35" s="370">
        <f t="shared" si="4"/>
        <v>47100</v>
      </c>
      <c r="I35" s="371">
        <f t="shared" si="5"/>
        <v>47527</v>
      </c>
    </row>
    <row r="36" spans="1:9" ht="25.5" customHeight="1" x14ac:dyDescent="0.2">
      <c r="A36" s="401">
        <v>27</v>
      </c>
      <c r="B36" s="106" t="s">
        <v>609</v>
      </c>
      <c r="C36" s="106" t="s">
        <v>644</v>
      </c>
      <c r="D36" s="368">
        <v>236</v>
      </c>
      <c r="E36" s="369">
        <v>8598</v>
      </c>
      <c r="F36" s="370">
        <v>45071</v>
      </c>
      <c r="G36" s="64">
        <v>6</v>
      </c>
      <c r="H36" s="370">
        <f t="shared" si="4"/>
        <v>46837</v>
      </c>
      <c r="I36" s="371">
        <f t="shared" si="5"/>
        <v>47263</v>
      </c>
    </row>
    <row r="37" spans="1:9" ht="25.5" customHeight="1" x14ac:dyDescent="0.2">
      <c r="A37" s="402">
        <v>28</v>
      </c>
      <c r="B37" s="106" t="s">
        <v>691</v>
      </c>
      <c r="C37" s="106" t="s">
        <v>720</v>
      </c>
      <c r="D37" s="368">
        <v>223</v>
      </c>
      <c r="E37" s="369">
        <v>13233</v>
      </c>
      <c r="F37" s="370">
        <v>44029</v>
      </c>
      <c r="G37" s="64">
        <v>6</v>
      </c>
      <c r="H37" s="370">
        <f t="shared" si="4"/>
        <v>45794</v>
      </c>
      <c r="I37" s="371">
        <f t="shared" si="5"/>
        <v>46220</v>
      </c>
    </row>
    <row r="38" spans="1:9" ht="25.5" customHeight="1" x14ac:dyDescent="0.2">
      <c r="A38" s="402">
        <v>29</v>
      </c>
      <c r="B38" s="106" t="s">
        <v>691</v>
      </c>
      <c r="C38" s="106" t="s">
        <v>702</v>
      </c>
      <c r="D38" s="368">
        <v>238</v>
      </c>
      <c r="E38" s="403">
        <v>4006</v>
      </c>
      <c r="F38" s="370">
        <v>43567</v>
      </c>
      <c r="G38" s="64">
        <v>8</v>
      </c>
      <c r="H38" s="370">
        <f t="shared" si="4"/>
        <v>46065</v>
      </c>
      <c r="I38" s="371">
        <f t="shared" si="5"/>
        <v>46489</v>
      </c>
    </row>
    <row r="39" spans="1:9" ht="25.5" customHeight="1" x14ac:dyDescent="0.2">
      <c r="A39" s="402">
        <v>30</v>
      </c>
      <c r="B39" s="106" t="s">
        <v>691</v>
      </c>
      <c r="C39" s="106" t="s">
        <v>710</v>
      </c>
      <c r="D39" s="404">
        <v>90930</v>
      </c>
      <c r="E39" s="369">
        <v>7576</v>
      </c>
      <c r="F39" s="405">
        <v>43670</v>
      </c>
      <c r="G39" s="64">
        <v>8</v>
      </c>
      <c r="H39" s="370">
        <f t="shared" si="4"/>
        <v>46166</v>
      </c>
      <c r="I39" s="371">
        <f t="shared" si="5"/>
        <v>46592</v>
      </c>
    </row>
    <row r="40" spans="1:9" ht="23.25" customHeight="1" x14ac:dyDescent="0.2">
      <c r="A40" s="402">
        <v>31</v>
      </c>
      <c r="B40" s="106" t="s">
        <v>691</v>
      </c>
      <c r="C40" s="106" t="s">
        <v>758</v>
      </c>
      <c r="D40" s="404">
        <v>54103</v>
      </c>
      <c r="E40" s="94">
        <v>20075</v>
      </c>
      <c r="F40" s="405">
        <v>45230</v>
      </c>
      <c r="G40" s="64">
        <v>6</v>
      </c>
      <c r="H40" s="370">
        <f t="shared" si="4"/>
        <v>46996</v>
      </c>
      <c r="I40" s="371">
        <f t="shared" si="5"/>
        <v>47422</v>
      </c>
    </row>
    <row r="41" spans="1:9" ht="23.25" customHeight="1" x14ac:dyDescent="0.2">
      <c r="A41" s="402">
        <v>32</v>
      </c>
      <c r="B41" s="106" t="s">
        <v>691</v>
      </c>
      <c r="C41" s="106" t="s">
        <v>738</v>
      </c>
      <c r="D41" s="404">
        <v>53918</v>
      </c>
      <c r="E41" s="369">
        <v>16771</v>
      </c>
      <c r="F41" s="405">
        <v>44447</v>
      </c>
      <c r="G41" s="64">
        <v>6</v>
      </c>
      <c r="H41" s="370">
        <f t="shared" si="4"/>
        <v>46211</v>
      </c>
      <c r="I41" s="371">
        <f t="shared" si="5"/>
        <v>46638</v>
      </c>
    </row>
    <row r="42" spans="1:9" ht="23.25" customHeight="1" x14ac:dyDescent="0.2">
      <c r="A42" s="402">
        <v>33</v>
      </c>
      <c r="B42" s="106" t="s">
        <v>691</v>
      </c>
      <c r="C42" s="106" t="s">
        <v>727</v>
      </c>
      <c r="D42" s="368">
        <v>7520</v>
      </c>
      <c r="E42" s="406">
        <v>3248</v>
      </c>
      <c r="F42" s="370">
        <v>43895</v>
      </c>
      <c r="G42" s="64">
        <v>8</v>
      </c>
      <c r="H42" s="370">
        <f t="shared" si="4"/>
        <v>46392</v>
      </c>
      <c r="I42" s="371">
        <f t="shared" si="5"/>
        <v>46817</v>
      </c>
    </row>
    <row r="43" spans="1:9" ht="25.5" customHeight="1" x14ac:dyDescent="0.2">
      <c r="A43" s="402">
        <v>34</v>
      </c>
      <c r="B43" s="106" t="s">
        <v>691</v>
      </c>
      <c r="C43" s="106" t="s">
        <v>764</v>
      </c>
      <c r="D43" s="368">
        <v>53505</v>
      </c>
      <c r="E43" s="400">
        <v>20747</v>
      </c>
      <c r="F43" s="407">
        <v>45232</v>
      </c>
      <c r="G43" s="383">
        <v>6</v>
      </c>
      <c r="H43" s="384">
        <f t="shared" si="4"/>
        <v>46998</v>
      </c>
      <c r="I43" s="371">
        <f t="shared" si="5"/>
        <v>47424</v>
      </c>
    </row>
    <row r="44" spans="1:9" ht="12" customHeight="1" x14ac:dyDescent="0.2">
      <c r="A44" s="402">
        <v>35</v>
      </c>
      <c r="B44" s="106" t="s">
        <v>691</v>
      </c>
      <c r="C44" s="106" t="s">
        <v>751</v>
      </c>
      <c r="D44" s="368">
        <v>55175</v>
      </c>
      <c r="E44" s="400">
        <v>20074</v>
      </c>
      <c r="F44" s="408">
        <v>45230</v>
      </c>
      <c r="G44" s="383">
        <v>4</v>
      </c>
      <c r="H44" s="384">
        <f t="shared" si="4"/>
        <v>46265</v>
      </c>
      <c r="I44" s="371">
        <f t="shared" si="5"/>
        <v>46691</v>
      </c>
    </row>
    <row r="45" spans="1:9" ht="27" customHeight="1" x14ac:dyDescent="0.2">
      <c r="A45" s="796" t="s">
        <v>969</v>
      </c>
      <c r="B45" s="797"/>
      <c r="C45" s="409">
        <f>COUNT(A10:A45)</f>
        <v>35</v>
      </c>
      <c r="D45" s="364"/>
      <c r="E45" s="364"/>
      <c r="F45" s="364"/>
      <c r="G45" s="410"/>
      <c r="H45" s="364"/>
      <c r="I45" s="364"/>
    </row>
  </sheetData>
  <autoFilter ref="A9:I45" xr:uid="{00000000-0009-0000-0000-000006000000}">
    <sortState xmlns:xlrd2="http://schemas.microsoft.com/office/spreadsheetml/2017/richdata2" ref="A9:I45">
      <sortCondition ref="A9:A45"/>
    </sortState>
  </autoFilter>
  <mergeCells count="3">
    <mergeCell ref="M7:Q7"/>
    <mergeCell ref="M20:R20"/>
    <mergeCell ref="A45:B45"/>
  </mergeCells>
  <hyperlinks>
    <hyperlink ref="E10" r:id="rId1" display="https://drive.google.com/file/d/1SC2uCVy7fF1PKcjtSUbKwWyjX95eAPPB/view?usp=sharing" xr:uid="{00000000-0004-0000-0600-000000000000}"/>
    <hyperlink ref="E11" r:id="rId2" display="https://drive.google.com/file/d/1HGqETTNvErwubQXSMgmZ4T1gkDkKyvae/view?usp=sharing" xr:uid="{00000000-0004-0000-0600-000001000000}"/>
    <hyperlink ref="E12" r:id="rId3" display="https://drive.google.com/file/d/1lYxyVEb34NuH_rJJy9O_qnvaoK1hP0-s/view?usp=sharing" xr:uid="{00000000-0004-0000-0600-000002000000}"/>
    <hyperlink ref="E13" r:id="rId4" display="https://drive.google.com/file/d/1nknSA9n3HdjaS1UC6zvQNO37zh_3p4Rk/view?usp=sharing" xr:uid="{00000000-0004-0000-0600-000003000000}"/>
    <hyperlink ref="E14" r:id="rId5" display="https://drive.google.com/file/d/1xcQCbpsUOSgdbPEhVL9IA-Zl193moNgW/view?usp=sharing" xr:uid="{00000000-0004-0000-0600-000004000000}"/>
    <hyperlink ref="E15" r:id="rId6" display="https://drive.google.com/file/d/1LF9bbuBujRrqyPtlOLUN4vACZZmn_zy_/view?usp=sharing" xr:uid="{00000000-0004-0000-0600-000005000000}"/>
    <hyperlink ref="E17" r:id="rId7" display="https://drive.google.com/file/d/10X8-RgH2VjMk6-n-jqpAy0JK7a9TjxSA/view?usp=sharing" xr:uid="{00000000-0004-0000-0600-000006000000}"/>
    <hyperlink ref="E18" r:id="rId8" display="https://drive.google.com/file/d/19bZ9A6HCxIYoZ3m-nS5607hmWuqrXOfP/view?usp=sharing" xr:uid="{00000000-0004-0000-0600-000007000000}"/>
    <hyperlink ref="E19" r:id="rId9" display="https://drive.google.com/file/d/1L93Cyy1h1HzAOHYAy1UXOk_WQG8G0wIk/view?usp=sharing" xr:uid="{00000000-0004-0000-0600-000008000000}"/>
    <hyperlink ref="E20" r:id="rId10" display="https://drive.google.com/file/d/1jqfo9I4pJ51X-l-gueer0UWcI82jE5Pn/view?usp=drive_link" xr:uid="{00000000-0004-0000-0600-000009000000}"/>
    <hyperlink ref="E21" r:id="rId11" display="https://drive.google.com/file/d/1waQ-eBp5piFNZv0KLybwXZ2MSlweqOdq/view?usp=sharing" xr:uid="{00000000-0004-0000-0600-00000A000000}"/>
    <hyperlink ref="E22" r:id="rId12" display="https://drive.google.com/file/d/1hjCDDa0-C4R3CNkm9cFFcAyNwJ9Geftu/view?usp=sharing" xr:uid="{00000000-0004-0000-0600-00000B000000}"/>
    <hyperlink ref="E23" r:id="rId13" display="https://drive.google.com/file/d/1mKgqy6O0UDf9BaG6-MMjGHa_jAsu2X3g/view?usp=drive_link" xr:uid="{00000000-0004-0000-0600-00000C000000}"/>
    <hyperlink ref="E24" r:id="rId14" display="https://drive.google.com/file/d/1mjE0K8WELFPu2eVioyasr4wOU1oDH0Gr/view?usp=sharing" xr:uid="{00000000-0004-0000-0600-00000D000000}"/>
    <hyperlink ref="E25" r:id="rId15" display="https://drive.google.com/file/d/18DITHOpJweXc6aYIx9Hw9sMSViCP3Tzb/view?usp=sharing" xr:uid="{00000000-0004-0000-0600-00000E000000}"/>
    <hyperlink ref="E26" r:id="rId16" display="https://drive.google.com/file/d/1Jml8eI81GXDeZxghbwEQcU3ZZrxUt_Jt/view?usp=sharing" xr:uid="{00000000-0004-0000-0600-00000F000000}"/>
    <hyperlink ref="E27" r:id="rId17" display="https://drive.google.com/file/d/1nAY9NSDLD9gvfOKe0trAs4vqjtUiTFtD/view?usp=sharing" xr:uid="{00000000-0004-0000-0600-000010000000}"/>
    <hyperlink ref="E28" r:id="rId18" display="https://drive.google.com/file/d/1oO1xdbPxRx5v3ceauPtBomtC8HhUXsfQ/view?usp=sharing" xr:uid="{00000000-0004-0000-0600-000011000000}"/>
    <hyperlink ref="E29" r:id="rId19" display="https://drive.google.com/file/d/1Lb1yNAFIZufWegAFiX2Mreq1sawJEbZr/view?usp=sharing" xr:uid="{00000000-0004-0000-0600-000012000000}"/>
    <hyperlink ref="E30" r:id="rId20" display="https://drive.google.com/file/d/1z1Ua7naD473_TmRhsGEFH6waFKKpjpbC/view?usp=sharing" xr:uid="{00000000-0004-0000-0600-000013000000}"/>
    <hyperlink ref="E31" r:id="rId21" display="https://drive.google.com/file/d/1CzgmLIRUspzidjOIYO3MWDLV4Hkty8Z7/view?usp=sharing" xr:uid="{00000000-0004-0000-0600-000014000000}"/>
    <hyperlink ref="E32" r:id="rId22" display="https://drive.google.com/file/d/16DmQloklE9C4TU6II-u9FzsxZuO3TON5/view?usp=drive_link" xr:uid="{00000000-0004-0000-0600-000015000000}"/>
    <hyperlink ref="E33" r:id="rId23" display="https://drive.google.com/file/d/1uOdy1BQs6e1hfnMy-7ntEuEjvG6IgCU6/view?usp=drive_link" xr:uid="{00000000-0004-0000-0600-000016000000}"/>
    <hyperlink ref="E34" r:id="rId24" display="https://drive.google.com/file/d/1dnN0m2oPYjsH_GoMh6Hu3PZxtYL-76tN/view?usp=drive_link" xr:uid="{00000000-0004-0000-0600-000017000000}"/>
    <hyperlink ref="E35" r:id="rId25" display="https://drive.google.com/file/d/1BvJSuctBFASwo_jBi5OfvEJZWRpaDfxN/view?usp=sharing" xr:uid="{00000000-0004-0000-0600-000018000000}"/>
    <hyperlink ref="E36" r:id="rId26" display="https://drive.google.com/file/d/1rHUhnF6p74C5ufkRZ_CYUw_PHrqJy_P_/view?usp=sharing" xr:uid="{00000000-0004-0000-0600-000019000000}"/>
    <hyperlink ref="E37" r:id="rId27" display="https://drive.google.com/file/d/1m0MK_VQruZvYsITjMd8vTamqMHKI6Ajs/view?usp=sharing" xr:uid="{00000000-0004-0000-0600-00001A000000}"/>
    <hyperlink ref="E38" r:id="rId28" display="https://drive.google.com/file/d/1-0E9laVeqLifL2WZ-gYZ1sul4Mq69rXm/view?usp=sharing" xr:uid="{00000000-0004-0000-0600-00001B000000}"/>
    <hyperlink ref="E39" r:id="rId29" display="https://drive.google.com/file/d/1TyixIuTLk1FmaT3pY2vrsaDw08ms1Eva/view?usp=sharing" xr:uid="{00000000-0004-0000-0600-00001C000000}"/>
    <hyperlink ref="E40" r:id="rId30" display="https://drive.google.com/file/d/1ccJBsJmM8uAXhSvUWbEo_VPOzeXJBGRU/view?usp=drive_link" xr:uid="{00000000-0004-0000-0600-00001D000000}"/>
    <hyperlink ref="E41" r:id="rId31" display="https://drive.google.com/file/d/1o8y6Ix-LyGsAmuz2Dup-TDfpKFyScewb/view?usp=sharing" xr:uid="{00000000-0004-0000-0600-00001E000000}"/>
    <hyperlink ref="E42" r:id="rId32" display="https://drive.google.com/file/d/1xwWPmCFtzGIN3JSZnjOgv04ciW6l586l/view?usp=sharing" xr:uid="{00000000-0004-0000-0600-00001F000000}"/>
    <hyperlink ref="E43" r:id="rId33" display="https://drive.google.com/file/d/1QXhf4jol7i5tPgFAjxQ69NQiTYN2UTyV/view?usp=drive_link" xr:uid="{00000000-0004-0000-0600-000020000000}"/>
    <hyperlink ref="E44" r:id="rId34" display="https://drive.google.com/file/d/1O-Wlj618hY0e_sW-i24tYlbTEa4DBxws/view?usp=sharing" xr:uid="{00000000-0004-0000-0600-000021000000}"/>
  </hyperlinks>
  <pageMargins left="0.7" right="0.7" top="0.75" bottom="0.75" header="0" footer="0"/>
  <pageSetup orientation="landscape"/>
  <drawing r:id="rId35"/>
  <legacyDrawing r:id="rId3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365D"/>
  </sheetPr>
  <dimension ref="A1:Z1000"/>
  <sheetViews>
    <sheetView workbookViewId="0"/>
  </sheetViews>
  <sheetFormatPr baseColWidth="10" defaultColWidth="12.5703125" defaultRowHeight="15" customHeight="1" x14ac:dyDescent="0.2"/>
  <cols>
    <col min="1" max="1" width="66" customWidth="1"/>
    <col min="2" max="3" width="11.42578125" customWidth="1"/>
    <col min="4" max="4" width="47.42578125" customWidth="1"/>
    <col min="5" max="5" width="13" customWidth="1"/>
    <col min="6" max="25" width="10.5703125" customWidth="1"/>
  </cols>
  <sheetData>
    <row r="1" spans="1:26" ht="12" customHeight="1" x14ac:dyDescent="0.2">
      <c r="A1" s="798" t="s">
        <v>973</v>
      </c>
      <c r="B1" s="799"/>
      <c r="C1" s="799"/>
      <c r="D1" s="800"/>
      <c r="E1" s="411"/>
      <c r="F1" s="412"/>
      <c r="G1" s="412"/>
      <c r="H1" s="412"/>
      <c r="I1" s="412"/>
      <c r="J1" s="412"/>
      <c r="K1" s="412"/>
      <c r="L1" s="412"/>
      <c r="M1" s="412"/>
      <c r="N1" s="412"/>
      <c r="O1" s="412"/>
      <c r="P1" s="412"/>
      <c r="Q1" s="412"/>
      <c r="R1" s="412"/>
      <c r="S1" s="412"/>
      <c r="T1" s="412"/>
      <c r="U1" s="412"/>
      <c r="V1" s="412"/>
      <c r="W1" s="412"/>
      <c r="X1" s="412"/>
      <c r="Y1" s="412"/>
      <c r="Z1" s="412"/>
    </row>
    <row r="2" spans="1:26" ht="12" customHeight="1" x14ac:dyDescent="0.2">
      <c r="A2" s="801" t="s">
        <v>974</v>
      </c>
      <c r="B2" s="799"/>
      <c r="C2" s="799"/>
      <c r="D2" s="802"/>
      <c r="E2" s="411"/>
      <c r="F2" s="412"/>
      <c r="G2" s="412"/>
      <c r="H2" s="412"/>
      <c r="I2" s="412"/>
      <c r="J2" s="412"/>
      <c r="K2" s="412"/>
      <c r="L2" s="412"/>
      <c r="M2" s="412"/>
      <c r="N2" s="412"/>
      <c r="O2" s="412"/>
      <c r="P2" s="412"/>
      <c r="Q2" s="412"/>
      <c r="R2" s="412"/>
      <c r="S2" s="412"/>
      <c r="T2" s="412"/>
      <c r="U2" s="412"/>
      <c r="V2" s="412"/>
      <c r="W2" s="412"/>
      <c r="X2" s="412"/>
      <c r="Y2" s="412"/>
      <c r="Z2" s="412"/>
    </row>
    <row r="3" spans="1:26" ht="12" customHeight="1" x14ac:dyDescent="0.2">
      <c r="A3" s="413" t="s">
        <v>20</v>
      </c>
      <c r="B3" s="414" t="s">
        <v>975</v>
      </c>
      <c r="C3" s="411" t="s">
        <v>976</v>
      </c>
      <c r="D3" s="415" t="s">
        <v>977</v>
      </c>
      <c r="E3" s="411" t="s">
        <v>35</v>
      </c>
      <c r="F3" s="412"/>
      <c r="G3" s="412"/>
      <c r="H3" s="412"/>
      <c r="I3" s="412"/>
      <c r="J3" s="412"/>
      <c r="K3" s="412"/>
      <c r="L3" s="412"/>
      <c r="M3" s="412"/>
      <c r="N3" s="412"/>
      <c r="O3" s="412"/>
      <c r="P3" s="412"/>
      <c r="Q3" s="412"/>
      <c r="R3" s="412"/>
      <c r="S3" s="412"/>
      <c r="T3" s="412"/>
      <c r="U3" s="412"/>
      <c r="V3" s="412"/>
      <c r="W3" s="412"/>
      <c r="X3" s="412"/>
      <c r="Y3" s="412"/>
      <c r="Z3" s="412"/>
    </row>
    <row r="4" spans="1:26" ht="12" customHeight="1" x14ac:dyDescent="0.2">
      <c r="A4" s="115" t="s">
        <v>515</v>
      </c>
      <c r="B4" s="416">
        <v>42661</v>
      </c>
      <c r="C4" s="416">
        <v>42663</v>
      </c>
      <c r="D4" s="417" t="s">
        <v>978</v>
      </c>
      <c r="E4" s="417" t="s">
        <v>85</v>
      </c>
      <c r="F4" s="412"/>
      <c r="G4" s="412"/>
      <c r="H4" s="412"/>
      <c r="I4" s="412"/>
      <c r="J4" s="412"/>
      <c r="K4" s="412"/>
      <c r="L4" s="412"/>
      <c r="M4" s="412"/>
      <c r="N4" s="412"/>
      <c r="O4" s="412"/>
      <c r="P4" s="412"/>
      <c r="Q4" s="412"/>
      <c r="R4" s="412"/>
      <c r="S4" s="412"/>
      <c r="T4" s="412"/>
      <c r="U4" s="412"/>
      <c r="V4" s="412"/>
      <c r="W4" s="412"/>
      <c r="X4" s="412"/>
      <c r="Y4" s="412"/>
      <c r="Z4" s="412"/>
    </row>
    <row r="5" spans="1:26" ht="12" customHeight="1" x14ac:dyDescent="0.2">
      <c r="A5" s="115" t="s">
        <v>101</v>
      </c>
      <c r="B5" s="416">
        <v>42667</v>
      </c>
      <c r="C5" s="416">
        <v>42669</v>
      </c>
      <c r="D5" s="417" t="s">
        <v>978</v>
      </c>
      <c r="E5" s="417" t="s">
        <v>85</v>
      </c>
      <c r="F5" s="412"/>
      <c r="G5" s="412"/>
      <c r="H5" s="412"/>
      <c r="I5" s="412"/>
      <c r="J5" s="412"/>
      <c r="K5" s="412"/>
      <c r="L5" s="412"/>
      <c r="M5" s="412"/>
      <c r="N5" s="412"/>
      <c r="O5" s="412"/>
      <c r="P5" s="412"/>
      <c r="Q5" s="412"/>
      <c r="R5" s="412"/>
      <c r="S5" s="412"/>
      <c r="T5" s="412"/>
      <c r="U5" s="412"/>
      <c r="V5" s="412"/>
      <c r="W5" s="412"/>
      <c r="X5" s="412"/>
      <c r="Y5" s="412"/>
      <c r="Z5" s="412"/>
    </row>
    <row r="6" spans="1:26" ht="12" customHeight="1" x14ac:dyDescent="0.2">
      <c r="A6" s="115" t="s">
        <v>979</v>
      </c>
      <c r="B6" s="416">
        <v>42670</v>
      </c>
      <c r="C6" s="416">
        <v>42671</v>
      </c>
      <c r="D6" s="417" t="s">
        <v>978</v>
      </c>
      <c r="E6" s="417" t="s">
        <v>85</v>
      </c>
      <c r="F6" s="412"/>
      <c r="G6" s="412"/>
      <c r="H6" s="412"/>
      <c r="I6" s="412"/>
      <c r="J6" s="412"/>
      <c r="K6" s="412"/>
      <c r="L6" s="412"/>
      <c r="M6" s="412"/>
      <c r="N6" s="412"/>
      <c r="O6" s="412"/>
      <c r="P6" s="412"/>
      <c r="Q6" s="412"/>
      <c r="R6" s="412"/>
      <c r="S6" s="412"/>
      <c r="T6" s="412"/>
      <c r="U6" s="412"/>
      <c r="V6" s="412"/>
      <c r="W6" s="412"/>
      <c r="X6" s="412"/>
      <c r="Y6" s="412"/>
      <c r="Z6" s="412"/>
    </row>
    <row r="7" spans="1:26" ht="12" customHeight="1" x14ac:dyDescent="0.2">
      <c r="A7" s="115" t="s">
        <v>980</v>
      </c>
      <c r="B7" s="416">
        <v>42675</v>
      </c>
      <c r="C7" s="416">
        <v>42676</v>
      </c>
      <c r="D7" s="417" t="s">
        <v>978</v>
      </c>
      <c r="E7" s="417" t="s">
        <v>85</v>
      </c>
      <c r="F7" s="412"/>
      <c r="G7" s="412"/>
      <c r="H7" s="412"/>
      <c r="I7" s="412"/>
      <c r="J7" s="412"/>
      <c r="K7" s="412"/>
      <c r="L7" s="412"/>
      <c r="M7" s="412"/>
      <c r="N7" s="412"/>
      <c r="O7" s="412"/>
      <c r="P7" s="412"/>
      <c r="Q7" s="412"/>
      <c r="R7" s="412"/>
      <c r="S7" s="412"/>
      <c r="T7" s="412"/>
      <c r="U7" s="412"/>
      <c r="V7" s="412"/>
      <c r="W7" s="412"/>
      <c r="X7" s="412"/>
      <c r="Y7" s="412"/>
      <c r="Z7" s="412"/>
    </row>
    <row r="8" spans="1:26" ht="12" customHeight="1" x14ac:dyDescent="0.2">
      <c r="A8" s="115" t="s">
        <v>562</v>
      </c>
      <c r="B8" s="416">
        <v>42677</v>
      </c>
      <c r="C8" s="416">
        <v>42678</v>
      </c>
      <c r="D8" s="417" t="s">
        <v>978</v>
      </c>
      <c r="E8" s="417" t="s">
        <v>85</v>
      </c>
      <c r="F8" s="412"/>
      <c r="G8" s="412"/>
      <c r="H8" s="412"/>
      <c r="I8" s="412"/>
      <c r="J8" s="412"/>
      <c r="K8" s="412"/>
      <c r="L8" s="412"/>
      <c r="M8" s="412"/>
      <c r="N8" s="412"/>
      <c r="O8" s="412"/>
      <c r="P8" s="412"/>
      <c r="Q8" s="412"/>
      <c r="R8" s="412"/>
      <c r="S8" s="412"/>
      <c r="T8" s="412"/>
      <c r="U8" s="412"/>
      <c r="V8" s="412"/>
      <c r="W8" s="412"/>
      <c r="X8" s="412"/>
      <c r="Y8" s="412"/>
      <c r="Z8" s="412"/>
    </row>
    <row r="9" spans="1:26" ht="12" customHeight="1" x14ac:dyDescent="0.2">
      <c r="A9" s="115" t="s">
        <v>981</v>
      </c>
      <c r="B9" s="416">
        <v>42682</v>
      </c>
      <c r="C9" s="416">
        <v>42683</v>
      </c>
      <c r="D9" s="417" t="s">
        <v>978</v>
      </c>
      <c r="E9" s="417" t="s">
        <v>85</v>
      </c>
      <c r="F9" s="412"/>
      <c r="G9" s="412"/>
      <c r="H9" s="412"/>
      <c r="I9" s="412"/>
      <c r="J9" s="412"/>
      <c r="K9" s="412"/>
      <c r="L9" s="412"/>
      <c r="M9" s="412"/>
      <c r="N9" s="412"/>
      <c r="O9" s="412"/>
      <c r="P9" s="412"/>
      <c r="Q9" s="412"/>
      <c r="R9" s="412"/>
      <c r="S9" s="412"/>
      <c r="T9" s="412"/>
      <c r="U9" s="412"/>
      <c r="V9" s="412"/>
      <c r="W9" s="412"/>
      <c r="X9" s="412"/>
      <c r="Y9" s="412"/>
      <c r="Z9" s="412"/>
    </row>
    <row r="10" spans="1:26" ht="12" customHeight="1" x14ac:dyDescent="0.2">
      <c r="A10" s="115" t="s">
        <v>982</v>
      </c>
      <c r="B10" s="416">
        <v>42684</v>
      </c>
      <c r="C10" s="416">
        <v>42685</v>
      </c>
      <c r="D10" s="417" t="s">
        <v>978</v>
      </c>
      <c r="E10" s="417" t="s">
        <v>85</v>
      </c>
      <c r="F10" s="412"/>
      <c r="G10" s="412"/>
      <c r="H10" s="412"/>
      <c r="I10" s="412"/>
      <c r="J10" s="412"/>
      <c r="K10" s="412"/>
      <c r="L10" s="412"/>
      <c r="M10" s="412"/>
      <c r="N10" s="412"/>
      <c r="O10" s="412"/>
      <c r="P10" s="412"/>
      <c r="Q10" s="412"/>
      <c r="R10" s="412"/>
      <c r="S10" s="412"/>
      <c r="T10" s="412"/>
      <c r="U10" s="412"/>
      <c r="V10" s="412"/>
      <c r="W10" s="412"/>
      <c r="X10" s="412"/>
      <c r="Y10" s="412"/>
      <c r="Z10" s="412"/>
    </row>
    <row r="11" spans="1:26" ht="12" customHeight="1" x14ac:dyDescent="0.2">
      <c r="A11" s="418" t="s">
        <v>983</v>
      </c>
      <c r="B11" s="419">
        <v>42691</v>
      </c>
      <c r="C11" s="419">
        <v>42693</v>
      </c>
      <c r="D11" s="420" t="s">
        <v>984</v>
      </c>
      <c r="E11" s="417" t="s">
        <v>85</v>
      </c>
      <c r="F11" s="412"/>
      <c r="G11" s="412"/>
      <c r="H11" s="412"/>
      <c r="I11" s="412"/>
      <c r="J11" s="412"/>
      <c r="K11" s="412"/>
      <c r="L11" s="412"/>
      <c r="M11" s="412"/>
      <c r="N11" s="412"/>
      <c r="O11" s="412"/>
      <c r="P11" s="412"/>
      <c r="Q11" s="412"/>
      <c r="R11" s="412"/>
      <c r="S11" s="412"/>
      <c r="T11" s="412"/>
      <c r="U11" s="412"/>
      <c r="V11" s="412"/>
      <c r="W11" s="412"/>
      <c r="X11" s="412"/>
      <c r="Y11" s="412"/>
      <c r="Z11" s="412"/>
    </row>
    <row r="12" spans="1:26" ht="12" customHeight="1" x14ac:dyDescent="0.2">
      <c r="A12" s="421" t="s">
        <v>508</v>
      </c>
      <c r="B12" s="422">
        <v>42698</v>
      </c>
      <c r="C12" s="422">
        <v>42700</v>
      </c>
      <c r="D12" s="423" t="s">
        <v>978</v>
      </c>
      <c r="E12" s="423" t="s">
        <v>85</v>
      </c>
      <c r="F12" s="412"/>
      <c r="G12" s="412"/>
      <c r="H12" s="412"/>
      <c r="I12" s="412"/>
      <c r="J12" s="412"/>
      <c r="K12" s="412"/>
      <c r="L12" s="412"/>
      <c r="M12" s="412"/>
      <c r="N12" s="412"/>
      <c r="O12" s="412"/>
      <c r="P12" s="412"/>
      <c r="Q12" s="412"/>
      <c r="R12" s="412"/>
      <c r="S12" s="412"/>
      <c r="T12" s="412"/>
      <c r="U12" s="412"/>
      <c r="V12" s="412"/>
      <c r="W12" s="412"/>
      <c r="X12" s="412"/>
      <c r="Y12" s="412"/>
      <c r="Z12" s="412"/>
    </row>
    <row r="13" spans="1:26" ht="12" customHeight="1" x14ac:dyDescent="0.2">
      <c r="A13" s="424" t="s">
        <v>985</v>
      </c>
      <c r="B13" s="425">
        <v>42887</v>
      </c>
      <c r="C13" s="425">
        <v>42888</v>
      </c>
      <c r="D13" s="426" t="s">
        <v>986</v>
      </c>
      <c r="E13" s="427" t="s">
        <v>85</v>
      </c>
      <c r="F13" s="412"/>
      <c r="G13" s="412"/>
      <c r="H13" s="412"/>
      <c r="I13" s="412"/>
      <c r="J13" s="412"/>
      <c r="K13" s="412"/>
      <c r="L13" s="412"/>
      <c r="M13" s="412"/>
      <c r="N13" s="412"/>
      <c r="O13" s="412"/>
      <c r="P13" s="412"/>
      <c r="Q13" s="412"/>
      <c r="R13" s="412"/>
      <c r="S13" s="412"/>
      <c r="T13" s="412"/>
      <c r="U13" s="412"/>
      <c r="V13" s="412"/>
      <c r="W13" s="412"/>
      <c r="X13" s="412"/>
      <c r="Y13" s="412"/>
      <c r="Z13" s="412"/>
    </row>
    <row r="14" spans="1:26" ht="12" customHeight="1" x14ac:dyDescent="0.2">
      <c r="A14" s="428" t="s">
        <v>530</v>
      </c>
      <c r="B14" s="419">
        <v>42978</v>
      </c>
      <c r="C14" s="419">
        <v>42978</v>
      </c>
      <c r="D14" s="420" t="s">
        <v>984</v>
      </c>
      <c r="E14" s="417" t="s">
        <v>85</v>
      </c>
      <c r="F14" s="412"/>
      <c r="G14" s="412"/>
      <c r="H14" s="412"/>
      <c r="I14" s="412"/>
      <c r="J14" s="412"/>
      <c r="K14" s="412"/>
      <c r="L14" s="412"/>
      <c r="M14" s="412"/>
      <c r="N14" s="412"/>
      <c r="O14" s="412"/>
      <c r="P14" s="412"/>
      <c r="Q14" s="412"/>
      <c r="R14" s="412"/>
      <c r="S14" s="412"/>
      <c r="T14" s="412"/>
      <c r="U14" s="412"/>
      <c r="V14" s="412"/>
      <c r="W14" s="412"/>
      <c r="X14" s="412"/>
      <c r="Y14" s="412"/>
      <c r="Z14" s="412"/>
    </row>
    <row r="15" spans="1:26" ht="12" customHeight="1" x14ac:dyDescent="0.2">
      <c r="A15" s="429" t="s">
        <v>310</v>
      </c>
      <c r="B15" s="416">
        <v>42992</v>
      </c>
      <c r="C15" s="416">
        <v>42993</v>
      </c>
      <c r="D15" s="417" t="s">
        <v>986</v>
      </c>
      <c r="E15" s="417" t="s">
        <v>85</v>
      </c>
      <c r="F15" s="412"/>
      <c r="G15" s="412"/>
      <c r="H15" s="412"/>
      <c r="I15" s="412"/>
      <c r="J15" s="412"/>
      <c r="K15" s="412"/>
      <c r="L15" s="412"/>
      <c r="M15" s="412"/>
      <c r="N15" s="412"/>
      <c r="O15" s="412"/>
      <c r="P15" s="412"/>
      <c r="Q15" s="412"/>
      <c r="R15" s="412"/>
      <c r="S15" s="412"/>
      <c r="T15" s="412"/>
      <c r="U15" s="412"/>
      <c r="V15" s="412"/>
      <c r="W15" s="412"/>
      <c r="X15" s="412"/>
      <c r="Y15" s="412"/>
      <c r="Z15" s="412"/>
    </row>
    <row r="16" spans="1:26" ht="12" customHeight="1" x14ac:dyDescent="0.2">
      <c r="A16" s="429" t="s">
        <v>770</v>
      </c>
      <c r="B16" s="416">
        <v>43031</v>
      </c>
      <c r="C16" s="416">
        <v>43032</v>
      </c>
      <c r="D16" s="417" t="s">
        <v>986</v>
      </c>
      <c r="E16" s="417" t="s">
        <v>85</v>
      </c>
      <c r="F16" s="412"/>
      <c r="G16" s="412"/>
      <c r="H16" s="412"/>
      <c r="I16" s="412"/>
      <c r="J16" s="412"/>
      <c r="K16" s="412"/>
      <c r="L16" s="412"/>
      <c r="M16" s="412"/>
      <c r="N16" s="412"/>
      <c r="O16" s="412"/>
      <c r="P16" s="412"/>
      <c r="Q16" s="412"/>
      <c r="R16" s="412"/>
      <c r="S16" s="412"/>
      <c r="T16" s="412"/>
      <c r="U16" s="412"/>
      <c r="V16" s="412"/>
      <c r="W16" s="412"/>
      <c r="X16" s="412"/>
      <c r="Y16" s="412"/>
      <c r="Z16" s="412"/>
    </row>
    <row r="17" spans="1:26" ht="12" customHeight="1" x14ac:dyDescent="0.2">
      <c r="A17" s="430" t="s">
        <v>237</v>
      </c>
      <c r="B17" s="422">
        <v>43041</v>
      </c>
      <c r="C17" s="422">
        <v>43042</v>
      </c>
      <c r="D17" s="423" t="s">
        <v>978</v>
      </c>
      <c r="E17" s="423" t="s">
        <v>85</v>
      </c>
      <c r="F17" s="412"/>
      <c r="G17" s="412"/>
      <c r="H17" s="412"/>
      <c r="I17" s="412"/>
      <c r="J17" s="412"/>
      <c r="K17" s="412"/>
      <c r="L17" s="412"/>
      <c r="M17" s="412"/>
      <c r="N17" s="412"/>
      <c r="O17" s="412"/>
      <c r="P17" s="412"/>
      <c r="Q17" s="412"/>
      <c r="R17" s="412"/>
      <c r="S17" s="412"/>
      <c r="T17" s="412"/>
      <c r="U17" s="412"/>
      <c r="V17" s="412"/>
      <c r="W17" s="412"/>
      <c r="X17" s="412"/>
      <c r="Y17" s="412"/>
      <c r="Z17" s="412"/>
    </row>
    <row r="18" spans="1:26" ht="12" customHeight="1" x14ac:dyDescent="0.2">
      <c r="A18" s="431" t="s">
        <v>117</v>
      </c>
      <c r="B18" s="425">
        <v>43171</v>
      </c>
      <c r="C18" s="425">
        <v>43173</v>
      </c>
      <c r="D18" s="426" t="s">
        <v>978</v>
      </c>
      <c r="E18" s="427" t="s">
        <v>85</v>
      </c>
      <c r="F18" s="412"/>
      <c r="G18" s="412"/>
      <c r="H18" s="412"/>
      <c r="I18" s="412"/>
      <c r="J18" s="412"/>
      <c r="K18" s="412"/>
      <c r="L18" s="412"/>
      <c r="M18" s="412"/>
      <c r="N18" s="412"/>
      <c r="O18" s="412"/>
      <c r="P18" s="412"/>
      <c r="Q18" s="412"/>
      <c r="R18" s="412"/>
      <c r="S18" s="412"/>
      <c r="T18" s="412"/>
      <c r="U18" s="412"/>
      <c r="V18" s="412"/>
      <c r="W18" s="412"/>
      <c r="X18" s="412"/>
      <c r="Y18" s="412"/>
      <c r="Z18" s="412"/>
    </row>
    <row r="19" spans="1:26" ht="12" customHeight="1" x14ac:dyDescent="0.2">
      <c r="A19" s="115" t="s">
        <v>702</v>
      </c>
      <c r="B19" s="416">
        <v>43223</v>
      </c>
      <c r="C19" s="416">
        <v>43224</v>
      </c>
      <c r="D19" s="417" t="s">
        <v>986</v>
      </c>
      <c r="E19" s="417" t="s">
        <v>85</v>
      </c>
      <c r="F19" s="412"/>
      <c r="G19" s="412"/>
      <c r="H19" s="412"/>
      <c r="I19" s="412"/>
      <c r="J19" s="412"/>
      <c r="K19" s="412"/>
      <c r="L19" s="412"/>
      <c r="M19" s="412"/>
      <c r="N19" s="412"/>
      <c r="O19" s="412"/>
      <c r="P19" s="412"/>
      <c r="Q19" s="412"/>
      <c r="R19" s="412"/>
      <c r="S19" s="412"/>
      <c r="T19" s="412"/>
      <c r="U19" s="412"/>
      <c r="V19" s="412"/>
      <c r="W19" s="412"/>
      <c r="X19" s="412"/>
      <c r="Y19" s="412"/>
      <c r="Z19" s="412"/>
    </row>
    <row r="20" spans="1:26" ht="12" customHeight="1" x14ac:dyDescent="0.2">
      <c r="A20" s="115" t="s">
        <v>420</v>
      </c>
      <c r="B20" s="416">
        <v>43227</v>
      </c>
      <c r="C20" s="416">
        <v>43228</v>
      </c>
      <c r="D20" s="417" t="s">
        <v>978</v>
      </c>
      <c r="E20" s="417" t="s">
        <v>85</v>
      </c>
      <c r="F20" s="412"/>
      <c r="G20" s="412"/>
      <c r="H20" s="412"/>
      <c r="I20" s="412"/>
      <c r="J20" s="412"/>
      <c r="K20" s="412"/>
      <c r="L20" s="412"/>
      <c r="M20" s="412"/>
      <c r="N20" s="412"/>
      <c r="O20" s="412"/>
      <c r="P20" s="412"/>
      <c r="Q20" s="412"/>
      <c r="R20" s="412"/>
      <c r="S20" s="412"/>
      <c r="T20" s="412"/>
      <c r="U20" s="412"/>
      <c r="V20" s="412"/>
      <c r="W20" s="412"/>
      <c r="X20" s="412"/>
      <c r="Y20" s="412"/>
      <c r="Z20" s="412"/>
    </row>
    <row r="21" spans="1:26" ht="12" customHeight="1" x14ac:dyDescent="0.2">
      <c r="A21" s="115" t="s">
        <v>710</v>
      </c>
      <c r="B21" s="416">
        <v>43271</v>
      </c>
      <c r="C21" s="416">
        <v>43273</v>
      </c>
      <c r="D21" s="417" t="s">
        <v>978</v>
      </c>
      <c r="E21" s="417" t="s">
        <v>85</v>
      </c>
      <c r="F21" s="412"/>
      <c r="G21" s="412"/>
      <c r="H21" s="412"/>
      <c r="I21" s="412"/>
      <c r="J21" s="412"/>
      <c r="K21" s="412"/>
      <c r="L21" s="412"/>
      <c r="M21" s="412"/>
      <c r="N21" s="412"/>
      <c r="O21" s="412"/>
      <c r="P21" s="412"/>
      <c r="Q21" s="412"/>
      <c r="R21" s="412"/>
      <c r="S21" s="412"/>
      <c r="T21" s="412"/>
      <c r="U21" s="412"/>
      <c r="V21" s="412"/>
      <c r="W21" s="412"/>
      <c r="X21" s="412"/>
      <c r="Y21" s="412"/>
      <c r="Z21" s="412"/>
    </row>
    <row r="22" spans="1:26" ht="12" customHeight="1" x14ac:dyDescent="0.2">
      <c r="A22" s="115" t="s">
        <v>583</v>
      </c>
      <c r="B22" s="416">
        <v>43370</v>
      </c>
      <c r="C22" s="416">
        <v>43371</v>
      </c>
      <c r="D22" s="417" t="s">
        <v>978</v>
      </c>
      <c r="E22" s="417" t="s">
        <v>85</v>
      </c>
      <c r="F22" s="412"/>
      <c r="G22" s="412"/>
      <c r="H22" s="412"/>
      <c r="I22" s="412"/>
      <c r="J22" s="412"/>
      <c r="K22" s="412"/>
      <c r="L22" s="412"/>
      <c r="M22" s="412"/>
      <c r="N22" s="412"/>
      <c r="O22" s="412"/>
      <c r="P22" s="412"/>
      <c r="Q22" s="412"/>
      <c r="R22" s="412"/>
      <c r="S22" s="412"/>
      <c r="T22" s="412"/>
      <c r="U22" s="412"/>
      <c r="V22" s="412"/>
      <c r="W22" s="412"/>
      <c r="X22" s="412"/>
      <c r="Y22" s="412"/>
      <c r="Z22" s="412"/>
    </row>
    <row r="23" spans="1:26" ht="12" customHeight="1" x14ac:dyDescent="0.2">
      <c r="A23" s="418" t="s">
        <v>758</v>
      </c>
      <c r="B23" s="419">
        <v>43416</v>
      </c>
      <c r="C23" s="419">
        <v>43418</v>
      </c>
      <c r="D23" s="420" t="s">
        <v>987</v>
      </c>
      <c r="E23" s="417" t="s">
        <v>85</v>
      </c>
      <c r="F23" s="412"/>
      <c r="G23" s="412"/>
      <c r="H23" s="412"/>
      <c r="I23" s="412"/>
      <c r="J23" s="412"/>
      <c r="K23" s="412"/>
      <c r="L23" s="412"/>
      <c r="M23" s="412"/>
      <c r="N23" s="412"/>
      <c r="O23" s="412"/>
      <c r="P23" s="412"/>
      <c r="Q23" s="412"/>
      <c r="R23" s="412"/>
      <c r="S23" s="412"/>
      <c r="T23" s="412"/>
      <c r="U23" s="412"/>
      <c r="V23" s="412"/>
      <c r="W23" s="412"/>
      <c r="X23" s="412"/>
      <c r="Y23" s="412"/>
      <c r="Z23" s="412"/>
    </row>
    <row r="24" spans="1:26" ht="12" customHeight="1" x14ac:dyDescent="0.2">
      <c r="A24" s="432" t="s">
        <v>988</v>
      </c>
      <c r="B24" s="433">
        <v>43418</v>
      </c>
      <c r="C24" s="433">
        <v>43420</v>
      </c>
      <c r="D24" s="434" t="s">
        <v>989</v>
      </c>
      <c r="E24" s="423" t="s">
        <v>85</v>
      </c>
      <c r="F24" s="412"/>
      <c r="G24" s="412"/>
      <c r="H24" s="412"/>
      <c r="I24" s="412"/>
      <c r="J24" s="412"/>
      <c r="K24" s="412"/>
      <c r="L24" s="412"/>
      <c r="M24" s="412"/>
      <c r="N24" s="412"/>
      <c r="O24" s="412"/>
      <c r="P24" s="412"/>
      <c r="Q24" s="412"/>
      <c r="R24" s="412"/>
      <c r="S24" s="412"/>
      <c r="T24" s="412"/>
      <c r="U24" s="412"/>
      <c r="V24" s="412"/>
      <c r="W24" s="412"/>
      <c r="X24" s="412"/>
      <c r="Y24" s="412"/>
      <c r="Z24" s="412"/>
    </row>
    <row r="25" spans="1:26" ht="12" customHeight="1" x14ac:dyDescent="0.2">
      <c r="A25" s="435" t="s">
        <v>131</v>
      </c>
      <c r="B25" s="436">
        <v>43537</v>
      </c>
      <c r="C25" s="436">
        <v>43539</v>
      </c>
      <c r="D25" s="427" t="s">
        <v>986</v>
      </c>
      <c r="E25" s="427" t="s">
        <v>85</v>
      </c>
      <c r="F25" s="412"/>
      <c r="G25" s="412"/>
      <c r="H25" s="412"/>
      <c r="I25" s="412"/>
      <c r="J25" s="412"/>
      <c r="K25" s="412"/>
      <c r="L25" s="412"/>
      <c r="M25" s="412"/>
      <c r="N25" s="412"/>
      <c r="O25" s="412"/>
      <c r="P25" s="412"/>
      <c r="Q25" s="412"/>
      <c r="R25" s="412"/>
      <c r="S25" s="412"/>
      <c r="T25" s="412"/>
      <c r="U25" s="412"/>
      <c r="V25" s="412"/>
      <c r="W25" s="412"/>
      <c r="X25" s="412"/>
      <c r="Y25" s="412"/>
      <c r="Z25" s="412"/>
    </row>
    <row r="26" spans="1:26" ht="12" customHeight="1" x14ac:dyDescent="0.2">
      <c r="A26" s="115" t="s">
        <v>727</v>
      </c>
      <c r="B26" s="416">
        <v>43544</v>
      </c>
      <c r="C26" s="416">
        <v>43546</v>
      </c>
      <c r="D26" s="417" t="s">
        <v>986</v>
      </c>
      <c r="E26" s="417" t="s">
        <v>85</v>
      </c>
      <c r="F26" s="412"/>
      <c r="G26" s="412"/>
      <c r="H26" s="412"/>
      <c r="I26" s="412"/>
      <c r="J26" s="412"/>
      <c r="K26" s="412"/>
      <c r="L26" s="412"/>
      <c r="M26" s="412"/>
      <c r="N26" s="412"/>
      <c r="O26" s="412"/>
      <c r="P26" s="412"/>
      <c r="Q26" s="412"/>
      <c r="R26" s="412"/>
      <c r="S26" s="412"/>
      <c r="T26" s="412"/>
      <c r="U26" s="412"/>
      <c r="V26" s="412"/>
      <c r="W26" s="412"/>
      <c r="X26" s="412"/>
      <c r="Y26" s="412"/>
      <c r="Z26" s="412"/>
    </row>
    <row r="27" spans="1:26" ht="12" customHeight="1" x14ac:dyDescent="0.2">
      <c r="A27" s="115" t="s">
        <v>720</v>
      </c>
      <c r="B27" s="416">
        <v>43608</v>
      </c>
      <c r="C27" s="416">
        <v>43610</v>
      </c>
      <c r="D27" s="417" t="s">
        <v>978</v>
      </c>
      <c r="E27" s="417" t="s">
        <v>85</v>
      </c>
      <c r="F27" s="412"/>
      <c r="G27" s="412"/>
      <c r="H27" s="412"/>
      <c r="I27" s="412"/>
      <c r="J27" s="412"/>
      <c r="K27" s="412"/>
      <c r="L27" s="412"/>
      <c r="M27" s="412"/>
      <c r="N27" s="412"/>
      <c r="O27" s="412"/>
      <c r="P27" s="412"/>
      <c r="Q27" s="412"/>
      <c r="R27" s="412"/>
      <c r="S27" s="412"/>
      <c r="T27" s="412"/>
      <c r="U27" s="412"/>
      <c r="V27" s="412"/>
      <c r="W27" s="412"/>
      <c r="X27" s="412"/>
      <c r="Y27" s="412"/>
      <c r="Z27" s="412"/>
    </row>
    <row r="28" spans="1:26" ht="12" customHeight="1" x14ac:dyDescent="0.2">
      <c r="A28" s="115" t="s">
        <v>217</v>
      </c>
      <c r="B28" s="416">
        <v>43726</v>
      </c>
      <c r="C28" s="416">
        <v>43728</v>
      </c>
      <c r="D28" s="417" t="s">
        <v>986</v>
      </c>
      <c r="E28" s="417" t="s">
        <v>85</v>
      </c>
      <c r="F28" s="412"/>
      <c r="G28" s="412"/>
      <c r="H28" s="412"/>
      <c r="I28" s="412"/>
      <c r="J28" s="412"/>
      <c r="K28" s="412"/>
      <c r="L28" s="412"/>
      <c r="M28" s="412"/>
      <c r="N28" s="412"/>
      <c r="O28" s="412"/>
      <c r="P28" s="412"/>
      <c r="Q28" s="412"/>
      <c r="R28" s="412"/>
      <c r="S28" s="412"/>
      <c r="T28" s="412"/>
      <c r="U28" s="412"/>
      <c r="V28" s="412"/>
      <c r="W28" s="412"/>
      <c r="X28" s="412"/>
      <c r="Y28" s="412"/>
      <c r="Z28" s="412"/>
    </row>
    <row r="29" spans="1:26" ht="12" customHeight="1" x14ac:dyDescent="0.2">
      <c r="A29" s="418" t="s">
        <v>351</v>
      </c>
      <c r="B29" s="419">
        <v>43782</v>
      </c>
      <c r="C29" s="419">
        <v>43784</v>
      </c>
      <c r="D29" s="420" t="s">
        <v>990</v>
      </c>
      <c r="E29" s="417" t="s">
        <v>85</v>
      </c>
      <c r="F29" s="412"/>
      <c r="G29" s="412"/>
      <c r="H29" s="412"/>
      <c r="I29" s="412"/>
      <c r="J29" s="412"/>
      <c r="K29" s="412"/>
      <c r="L29" s="412"/>
      <c r="M29" s="412"/>
      <c r="N29" s="412"/>
      <c r="O29" s="412"/>
      <c r="P29" s="412"/>
      <c r="Q29" s="412"/>
      <c r="R29" s="412"/>
      <c r="S29" s="412"/>
      <c r="T29" s="412"/>
      <c r="U29" s="412"/>
      <c r="V29" s="412"/>
      <c r="W29" s="412"/>
      <c r="X29" s="412"/>
      <c r="Y29" s="412"/>
      <c r="Z29" s="412"/>
    </row>
    <row r="30" spans="1:26" ht="12" customHeight="1" x14ac:dyDescent="0.2">
      <c r="A30" s="115" t="s">
        <v>438</v>
      </c>
      <c r="B30" s="416">
        <v>43783</v>
      </c>
      <c r="C30" s="416">
        <v>43785</v>
      </c>
      <c r="D30" s="417" t="s">
        <v>986</v>
      </c>
      <c r="E30" s="417" t="s">
        <v>85</v>
      </c>
      <c r="F30" s="412"/>
      <c r="G30" s="412"/>
      <c r="H30" s="412"/>
      <c r="I30" s="412"/>
      <c r="J30" s="412"/>
      <c r="K30" s="412"/>
      <c r="L30" s="412"/>
      <c r="M30" s="412"/>
      <c r="N30" s="412"/>
      <c r="O30" s="412"/>
      <c r="P30" s="412"/>
      <c r="Q30" s="412"/>
      <c r="R30" s="412"/>
      <c r="S30" s="412"/>
      <c r="T30" s="412"/>
      <c r="U30" s="412"/>
      <c r="V30" s="412"/>
      <c r="W30" s="412"/>
      <c r="X30" s="412"/>
      <c r="Y30" s="412"/>
      <c r="Z30" s="412"/>
    </row>
    <row r="31" spans="1:26" ht="12" customHeight="1" x14ac:dyDescent="0.2">
      <c r="A31" s="421" t="s">
        <v>260</v>
      </c>
      <c r="B31" s="422">
        <v>43795</v>
      </c>
      <c r="C31" s="422">
        <v>43796</v>
      </c>
      <c r="D31" s="423" t="s">
        <v>978</v>
      </c>
      <c r="E31" s="423" t="s">
        <v>85</v>
      </c>
      <c r="F31" s="412"/>
      <c r="G31" s="412"/>
      <c r="H31" s="412"/>
      <c r="I31" s="412"/>
      <c r="J31" s="412"/>
      <c r="K31" s="412"/>
      <c r="L31" s="412"/>
      <c r="M31" s="412"/>
      <c r="N31" s="412"/>
      <c r="O31" s="412"/>
      <c r="P31" s="412"/>
      <c r="Q31" s="412"/>
      <c r="R31" s="412"/>
      <c r="S31" s="412"/>
      <c r="T31" s="412"/>
      <c r="U31" s="412"/>
      <c r="V31" s="412"/>
      <c r="W31" s="412"/>
      <c r="X31" s="412"/>
      <c r="Y31" s="412"/>
      <c r="Z31" s="412"/>
    </row>
    <row r="32" spans="1:26" ht="12" customHeight="1" x14ac:dyDescent="0.2">
      <c r="A32" s="437" t="s">
        <v>968</v>
      </c>
      <c r="B32" s="438">
        <v>44091</v>
      </c>
      <c r="C32" s="438">
        <v>44093</v>
      </c>
      <c r="D32" s="417" t="s">
        <v>978</v>
      </c>
      <c r="E32" s="427" t="s">
        <v>636</v>
      </c>
      <c r="F32" s="412"/>
      <c r="G32" s="412"/>
      <c r="H32" s="412"/>
      <c r="I32" s="412"/>
      <c r="J32" s="412"/>
      <c r="K32" s="412"/>
      <c r="L32" s="412"/>
      <c r="M32" s="412"/>
      <c r="N32" s="412"/>
      <c r="O32" s="412"/>
      <c r="P32" s="412"/>
      <c r="Q32" s="412"/>
      <c r="R32" s="412"/>
      <c r="S32" s="412"/>
      <c r="T32" s="412"/>
      <c r="U32" s="412"/>
      <c r="V32" s="412"/>
      <c r="W32" s="412"/>
      <c r="X32" s="412"/>
      <c r="Y32" s="412"/>
      <c r="Z32" s="412"/>
    </row>
    <row r="33" spans="1:26" ht="12" customHeight="1" x14ac:dyDescent="0.2">
      <c r="A33" s="437" t="s">
        <v>738</v>
      </c>
      <c r="B33" s="438">
        <v>44098</v>
      </c>
      <c r="C33" s="438">
        <v>44099</v>
      </c>
      <c r="D33" s="417" t="s">
        <v>978</v>
      </c>
      <c r="E33" s="417" t="s">
        <v>636</v>
      </c>
      <c r="F33" s="412"/>
      <c r="G33" s="412"/>
      <c r="H33" s="412"/>
      <c r="I33" s="412"/>
      <c r="J33" s="412"/>
      <c r="K33" s="412"/>
      <c r="L33" s="412"/>
      <c r="M33" s="412"/>
      <c r="N33" s="412"/>
      <c r="O33" s="412"/>
      <c r="P33" s="412"/>
      <c r="Q33" s="412"/>
      <c r="R33" s="412"/>
      <c r="S33" s="412"/>
      <c r="T33" s="412"/>
      <c r="U33" s="412"/>
      <c r="V33" s="412"/>
      <c r="W33" s="412"/>
      <c r="X33" s="412"/>
      <c r="Y33" s="412"/>
      <c r="Z33" s="412"/>
    </row>
    <row r="34" spans="1:26" ht="12" customHeight="1" x14ac:dyDescent="0.2">
      <c r="A34" s="437" t="s">
        <v>991</v>
      </c>
      <c r="B34" s="438">
        <v>44111</v>
      </c>
      <c r="C34" s="438">
        <v>44113</v>
      </c>
      <c r="D34" s="417" t="s">
        <v>978</v>
      </c>
      <c r="E34" s="417" t="s">
        <v>636</v>
      </c>
      <c r="F34" s="412"/>
      <c r="G34" s="412"/>
      <c r="H34" s="412"/>
      <c r="I34" s="412"/>
      <c r="J34" s="412"/>
      <c r="K34" s="412"/>
      <c r="L34" s="412"/>
      <c r="M34" s="412"/>
      <c r="N34" s="412"/>
      <c r="O34" s="412"/>
      <c r="P34" s="412"/>
      <c r="Q34" s="412"/>
      <c r="R34" s="412"/>
      <c r="S34" s="412"/>
      <c r="T34" s="412"/>
      <c r="U34" s="412"/>
      <c r="V34" s="412"/>
      <c r="W34" s="412"/>
      <c r="X34" s="412"/>
      <c r="Y34" s="412"/>
      <c r="Z34" s="412"/>
    </row>
    <row r="35" spans="1:26" ht="12" customHeight="1" x14ac:dyDescent="0.2">
      <c r="A35" s="437" t="s">
        <v>474</v>
      </c>
      <c r="B35" s="438">
        <v>44126</v>
      </c>
      <c r="C35" s="438">
        <v>44127</v>
      </c>
      <c r="D35" s="417" t="s">
        <v>978</v>
      </c>
      <c r="E35" s="417" t="s">
        <v>636</v>
      </c>
      <c r="F35" s="412"/>
      <c r="G35" s="412"/>
      <c r="H35" s="412"/>
      <c r="I35" s="412"/>
      <c r="J35" s="412"/>
      <c r="K35" s="412"/>
      <c r="L35" s="412"/>
      <c r="M35" s="412"/>
      <c r="N35" s="412"/>
      <c r="O35" s="412"/>
      <c r="P35" s="412"/>
      <c r="Q35" s="412"/>
      <c r="R35" s="412"/>
      <c r="S35" s="412"/>
      <c r="T35" s="412"/>
      <c r="U35" s="412"/>
      <c r="V35" s="412"/>
      <c r="W35" s="412"/>
      <c r="X35" s="412"/>
      <c r="Y35" s="412"/>
      <c r="Z35" s="412"/>
    </row>
    <row r="36" spans="1:26" ht="12" customHeight="1" x14ac:dyDescent="0.2">
      <c r="A36" s="439" t="s">
        <v>530</v>
      </c>
      <c r="B36" s="440">
        <v>44131</v>
      </c>
      <c r="C36" s="440">
        <v>44131</v>
      </c>
      <c r="D36" s="434" t="s">
        <v>992</v>
      </c>
      <c r="E36" s="423" t="s">
        <v>636</v>
      </c>
      <c r="F36" s="412"/>
      <c r="G36" s="412"/>
      <c r="H36" s="412"/>
      <c r="I36" s="412"/>
      <c r="J36" s="412"/>
      <c r="K36" s="412"/>
      <c r="L36" s="412"/>
      <c r="M36" s="412"/>
      <c r="N36" s="412"/>
      <c r="O36" s="412"/>
      <c r="P36" s="412"/>
      <c r="Q36" s="412"/>
      <c r="R36" s="412"/>
      <c r="S36" s="412"/>
      <c r="T36" s="412"/>
      <c r="U36" s="412"/>
      <c r="V36" s="412"/>
      <c r="W36" s="412"/>
      <c r="X36" s="412"/>
      <c r="Y36" s="412"/>
      <c r="Z36" s="412"/>
    </row>
    <row r="37" spans="1:26" ht="12" customHeight="1" x14ac:dyDescent="0.2">
      <c r="A37" s="437" t="s">
        <v>465</v>
      </c>
      <c r="B37" s="438">
        <v>44301</v>
      </c>
      <c r="C37" s="438">
        <v>44302</v>
      </c>
      <c r="D37" s="417" t="s">
        <v>986</v>
      </c>
      <c r="E37" s="427" t="s">
        <v>636</v>
      </c>
      <c r="F37" s="412"/>
      <c r="G37" s="412"/>
      <c r="H37" s="412"/>
      <c r="I37" s="412"/>
      <c r="J37" s="412"/>
      <c r="K37" s="412"/>
      <c r="L37" s="412"/>
      <c r="M37" s="412"/>
      <c r="N37" s="412"/>
      <c r="O37" s="412"/>
      <c r="P37" s="412"/>
      <c r="Q37" s="412"/>
      <c r="R37" s="412"/>
      <c r="S37" s="412"/>
      <c r="T37" s="412"/>
      <c r="U37" s="412"/>
      <c r="V37" s="412"/>
      <c r="W37" s="412"/>
      <c r="X37" s="412"/>
      <c r="Y37" s="412"/>
      <c r="Z37" s="412"/>
    </row>
    <row r="38" spans="1:26" ht="12" customHeight="1" x14ac:dyDescent="0.2">
      <c r="A38" s="437" t="s">
        <v>644</v>
      </c>
      <c r="B38" s="438">
        <v>44357</v>
      </c>
      <c r="C38" s="438">
        <v>44358</v>
      </c>
      <c r="D38" s="417" t="s">
        <v>978</v>
      </c>
      <c r="E38" s="417" t="s">
        <v>636</v>
      </c>
      <c r="F38" s="412"/>
      <c r="G38" s="412"/>
      <c r="H38" s="412"/>
      <c r="I38" s="412"/>
      <c r="J38" s="412"/>
      <c r="K38" s="412"/>
      <c r="L38" s="412"/>
      <c r="M38" s="412"/>
      <c r="N38" s="412"/>
      <c r="O38" s="412"/>
      <c r="P38" s="412"/>
      <c r="Q38" s="412"/>
      <c r="R38" s="412"/>
      <c r="S38" s="412"/>
      <c r="T38" s="412"/>
      <c r="U38" s="412"/>
      <c r="V38" s="412"/>
      <c r="W38" s="412"/>
      <c r="X38" s="412"/>
      <c r="Y38" s="412"/>
      <c r="Z38" s="412"/>
    </row>
    <row r="39" spans="1:26" ht="12" customHeight="1" x14ac:dyDescent="0.2">
      <c r="A39" s="437" t="s">
        <v>482</v>
      </c>
      <c r="B39" s="438">
        <v>44362</v>
      </c>
      <c r="C39" s="438">
        <v>44363</v>
      </c>
      <c r="D39" s="417" t="s">
        <v>986</v>
      </c>
      <c r="E39" s="417" t="s">
        <v>636</v>
      </c>
      <c r="F39" s="412"/>
      <c r="G39" s="412"/>
      <c r="H39" s="412"/>
      <c r="I39" s="412"/>
      <c r="J39" s="412"/>
      <c r="K39" s="412"/>
      <c r="L39" s="412"/>
      <c r="M39" s="412"/>
      <c r="N39" s="412"/>
      <c r="O39" s="412"/>
      <c r="P39" s="412"/>
      <c r="Q39" s="412"/>
      <c r="R39" s="412"/>
      <c r="S39" s="412"/>
      <c r="T39" s="412"/>
      <c r="U39" s="412"/>
      <c r="V39" s="412"/>
      <c r="W39" s="412"/>
      <c r="X39" s="412"/>
      <c r="Y39" s="412"/>
      <c r="Z39" s="412"/>
    </row>
    <row r="40" spans="1:26" ht="12" customHeight="1" x14ac:dyDescent="0.2">
      <c r="A40" s="437" t="s">
        <v>508</v>
      </c>
      <c r="B40" s="438">
        <v>44368</v>
      </c>
      <c r="C40" s="438">
        <v>44369</v>
      </c>
      <c r="D40" s="417" t="s">
        <v>986</v>
      </c>
      <c r="E40" s="417" t="s">
        <v>636</v>
      </c>
      <c r="F40" s="412"/>
      <c r="G40" s="412"/>
      <c r="H40" s="412"/>
      <c r="I40" s="412"/>
      <c r="J40" s="412"/>
      <c r="K40" s="412"/>
      <c r="L40" s="412"/>
      <c r="M40" s="412"/>
      <c r="N40" s="412"/>
      <c r="O40" s="412"/>
      <c r="P40" s="412"/>
      <c r="Q40" s="412"/>
      <c r="R40" s="412"/>
      <c r="S40" s="412"/>
      <c r="T40" s="412"/>
      <c r="U40" s="412"/>
      <c r="V40" s="412"/>
      <c r="W40" s="412"/>
      <c r="X40" s="412"/>
      <c r="Y40" s="412"/>
      <c r="Z40" s="412"/>
    </row>
    <row r="41" spans="1:26" ht="12" customHeight="1" x14ac:dyDescent="0.2">
      <c r="A41" s="437" t="s">
        <v>490</v>
      </c>
      <c r="B41" s="438">
        <v>44371</v>
      </c>
      <c r="C41" s="438">
        <v>44372</v>
      </c>
      <c r="D41" s="417" t="s">
        <v>986</v>
      </c>
      <c r="E41" s="417" t="s">
        <v>636</v>
      </c>
      <c r="F41" s="412"/>
      <c r="G41" s="412"/>
      <c r="H41" s="412"/>
      <c r="I41" s="412"/>
      <c r="J41" s="412"/>
      <c r="K41" s="412"/>
      <c r="L41" s="412"/>
      <c r="M41" s="412"/>
      <c r="N41" s="412"/>
      <c r="O41" s="412"/>
      <c r="P41" s="412"/>
      <c r="Q41" s="412"/>
      <c r="R41" s="412"/>
      <c r="S41" s="412"/>
      <c r="T41" s="412"/>
      <c r="U41" s="412"/>
      <c r="V41" s="412"/>
      <c r="W41" s="412"/>
      <c r="X41" s="412"/>
      <c r="Y41" s="412"/>
      <c r="Z41" s="412"/>
    </row>
    <row r="42" spans="1:26" ht="12" customHeight="1" x14ac:dyDescent="0.2">
      <c r="A42" s="437" t="s">
        <v>101</v>
      </c>
      <c r="B42" s="438">
        <v>44462</v>
      </c>
      <c r="C42" s="438">
        <v>44463</v>
      </c>
      <c r="D42" s="417" t="s">
        <v>986</v>
      </c>
      <c r="E42" s="417" t="s">
        <v>636</v>
      </c>
      <c r="F42" s="412"/>
      <c r="G42" s="412"/>
      <c r="H42" s="412"/>
      <c r="I42" s="412"/>
      <c r="J42" s="412"/>
      <c r="K42" s="412"/>
      <c r="L42" s="412"/>
      <c r="M42" s="412"/>
      <c r="N42" s="412"/>
      <c r="O42" s="412"/>
      <c r="P42" s="412"/>
      <c r="Q42" s="412"/>
      <c r="R42" s="412"/>
      <c r="S42" s="412"/>
      <c r="T42" s="412"/>
      <c r="U42" s="412"/>
      <c r="V42" s="412"/>
      <c r="W42" s="412"/>
      <c r="X42" s="412"/>
      <c r="Y42" s="412"/>
      <c r="Z42" s="412"/>
    </row>
    <row r="43" spans="1:26" ht="12" customHeight="1" x14ac:dyDescent="0.2">
      <c r="A43" s="437" t="s">
        <v>515</v>
      </c>
      <c r="B43" s="438">
        <v>44504</v>
      </c>
      <c r="C43" s="438">
        <v>44506</v>
      </c>
      <c r="D43" s="417" t="s">
        <v>986</v>
      </c>
      <c r="E43" s="417" t="s">
        <v>636</v>
      </c>
      <c r="F43" s="412"/>
      <c r="G43" s="412"/>
      <c r="H43" s="412"/>
      <c r="I43" s="412"/>
      <c r="J43" s="412"/>
      <c r="K43" s="412"/>
      <c r="L43" s="412"/>
      <c r="M43" s="412"/>
      <c r="N43" s="412"/>
      <c r="O43" s="412"/>
      <c r="P43" s="412"/>
      <c r="Q43" s="412"/>
      <c r="R43" s="412"/>
      <c r="S43" s="412"/>
      <c r="T43" s="412"/>
      <c r="U43" s="412"/>
      <c r="V43" s="412"/>
      <c r="W43" s="412"/>
      <c r="X43" s="412"/>
      <c r="Y43" s="412"/>
      <c r="Z43" s="412"/>
    </row>
    <row r="44" spans="1:26" ht="12" customHeight="1" x14ac:dyDescent="0.2">
      <c r="A44" s="437" t="s">
        <v>109</v>
      </c>
      <c r="B44" s="438">
        <v>44508</v>
      </c>
      <c r="C44" s="438">
        <v>44510</v>
      </c>
      <c r="D44" s="417" t="s">
        <v>978</v>
      </c>
      <c r="E44" s="417" t="s">
        <v>636</v>
      </c>
      <c r="F44" s="412"/>
      <c r="G44" s="412"/>
      <c r="H44" s="412"/>
      <c r="I44" s="412"/>
      <c r="J44" s="412"/>
      <c r="K44" s="412"/>
      <c r="L44" s="412"/>
      <c r="M44" s="412"/>
      <c r="N44" s="412"/>
      <c r="O44" s="412"/>
      <c r="P44" s="412"/>
      <c r="Q44" s="412"/>
      <c r="R44" s="412"/>
      <c r="S44" s="412"/>
      <c r="T44" s="412"/>
      <c r="U44" s="412"/>
      <c r="V44" s="412"/>
      <c r="W44" s="412"/>
      <c r="X44" s="412"/>
      <c r="Y44" s="412"/>
      <c r="Z44" s="412"/>
    </row>
    <row r="45" spans="1:26" ht="12" customHeight="1" x14ac:dyDescent="0.2">
      <c r="A45" s="441" t="s">
        <v>993</v>
      </c>
      <c r="B45" s="442">
        <v>44516</v>
      </c>
      <c r="C45" s="442">
        <v>44517</v>
      </c>
      <c r="D45" s="420" t="s">
        <v>990</v>
      </c>
      <c r="E45" s="417" t="s">
        <v>636</v>
      </c>
      <c r="F45" s="412"/>
      <c r="G45" s="412"/>
      <c r="H45" s="412"/>
      <c r="I45" s="412"/>
      <c r="J45" s="412"/>
      <c r="K45" s="412"/>
      <c r="L45" s="412"/>
      <c r="M45" s="412"/>
      <c r="N45" s="412"/>
      <c r="O45" s="412"/>
      <c r="P45" s="412"/>
      <c r="Q45" s="412"/>
      <c r="R45" s="412"/>
      <c r="S45" s="412"/>
      <c r="T45" s="412"/>
      <c r="U45" s="412"/>
      <c r="V45" s="412"/>
      <c r="W45" s="412"/>
      <c r="X45" s="412"/>
      <c r="Y45" s="412"/>
      <c r="Z45" s="412"/>
    </row>
    <row r="46" spans="1:26" ht="12" customHeight="1" x14ac:dyDescent="0.2">
      <c r="A46" s="437" t="s">
        <v>310</v>
      </c>
      <c r="B46" s="438">
        <v>44518</v>
      </c>
      <c r="C46" s="438">
        <v>44519</v>
      </c>
      <c r="D46" s="417" t="s">
        <v>986</v>
      </c>
      <c r="E46" s="417" t="s">
        <v>636</v>
      </c>
      <c r="F46" s="412"/>
      <c r="G46" s="412"/>
      <c r="H46" s="412"/>
      <c r="I46" s="412"/>
      <c r="J46" s="412"/>
      <c r="K46" s="412"/>
      <c r="L46" s="412"/>
      <c r="M46" s="412"/>
      <c r="N46" s="412"/>
      <c r="O46" s="412"/>
      <c r="P46" s="412"/>
      <c r="Q46" s="412"/>
      <c r="R46" s="412"/>
      <c r="S46" s="412"/>
      <c r="T46" s="412"/>
      <c r="U46" s="412"/>
      <c r="V46" s="412"/>
      <c r="W46" s="412"/>
      <c r="X46" s="412"/>
      <c r="Y46" s="412"/>
      <c r="Z46" s="412"/>
    </row>
    <row r="47" spans="1:26" ht="12" customHeight="1" x14ac:dyDescent="0.2">
      <c r="A47" s="443" t="s">
        <v>994</v>
      </c>
      <c r="B47" s="444">
        <v>44522</v>
      </c>
      <c r="C47" s="444">
        <v>44523</v>
      </c>
      <c r="D47" s="434" t="s">
        <v>995</v>
      </c>
      <c r="E47" s="423" t="s">
        <v>85</v>
      </c>
      <c r="F47" s="412"/>
      <c r="G47" s="412"/>
      <c r="H47" s="412"/>
      <c r="I47" s="412"/>
      <c r="J47" s="412"/>
      <c r="K47" s="412"/>
      <c r="L47" s="412"/>
      <c r="M47" s="412"/>
      <c r="N47" s="412"/>
      <c r="O47" s="412"/>
      <c r="P47" s="412"/>
      <c r="Q47" s="412"/>
      <c r="R47" s="412"/>
      <c r="S47" s="412"/>
      <c r="T47" s="412"/>
      <c r="U47" s="412"/>
      <c r="V47" s="412"/>
      <c r="W47" s="412"/>
      <c r="X47" s="412"/>
      <c r="Y47" s="412"/>
      <c r="Z47" s="412"/>
    </row>
    <row r="48" spans="1:26" ht="12" customHeight="1" x14ac:dyDescent="0.2">
      <c r="A48" s="437" t="s">
        <v>971</v>
      </c>
      <c r="B48" s="438">
        <v>44655</v>
      </c>
      <c r="C48" s="445">
        <v>44656</v>
      </c>
      <c r="D48" s="417" t="s">
        <v>986</v>
      </c>
      <c r="E48" s="417" t="s">
        <v>636</v>
      </c>
      <c r="F48" s="412"/>
      <c r="G48" s="412"/>
      <c r="H48" s="412"/>
      <c r="I48" s="412"/>
      <c r="J48" s="412"/>
      <c r="K48" s="412"/>
      <c r="L48" s="412"/>
      <c r="M48" s="412"/>
      <c r="N48" s="412"/>
      <c r="O48" s="412"/>
      <c r="P48" s="412"/>
      <c r="Q48" s="412"/>
      <c r="R48" s="412"/>
      <c r="S48" s="412"/>
      <c r="T48" s="412"/>
      <c r="U48" s="412"/>
      <c r="V48" s="412"/>
      <c r="W48" s="412"/>
      <c r="X48" s="412"/>
      <c r="Y48" s="412"/>
      <c r="Z48" s="412"/>
    </row>
    <row r="49" spans="1:26" ht="12" customHeight="1" x14ac:dyDescent="0.2">
      <c r="A49" s="437" t="s">
        <v>237</v>
      </c>
      <c r="B49" s="438">
        <v>44658</v>
      </c>
      <c r="C49" s="445">
        <v>44659</v>
      </c>
      <c r="D49" s="417" t="s">
        <v>986</v>
      </c>
      <c r="E49" s="417" t="s">
        <v>636</v>
      </c>
      <c r="F49" s="412"/>
      <c r="G49" s="412"/>
      <c r="H49" s="412"/>
      <c r="I49" s="412"/>
      <c r="J49" s="412"/>
      <c r="K49" s="412"/>
      <c r="L49" s="412"/>
      <c r="M49" s="412"/>
      <c r="N49" s="412"/>
      <c r="O49" s="412"/>
      <c r="P49" s="412"/>
      <c r="Q49" s="412"/>
      <c r="R49" s="412"/>
      <c r="S49" s="412"/>
      <c r="T49" s="412"/>
      <c r="U49" s="412"/>
      <c r="V49" s="412"/>
      <c r="W49" s="412"/>
      <c r="X49" s="412"/>
      <c r="Y49" s="412"/>
      <c r="Z49" s="412"/>
    </row>
    <row r="50" spans="1:26" ht="12" customHeight="1" x14ac:dyDescent="0.2">
      <c r="A50" s="437" t="s">
        <v>381</v>
      </c>
      <c r="B50" s="438">
        <v>44669</v>
      </c>
      <c r="C50" s="445">
        <v>44670</v>
      </c>
      <c r="D50" s="417" t="s">
        <v>978</v>
      </c>
      <c r="E50" s="417" t="s">
        <v>636</v>
      </c>
      <c r="F50" s="412"/>
      <c r="G50" s="412"/>
      <c r="H50" s="412"/>
      <c r="I50" s="412"/>
      <c r="J50" s="412"/>
      <c r="K50" s="412"/>
      <c r="L50" s="412"/>
      <c r="M50" s="412"/>
      <c r="N50" s="412"/>
      <c r="O50" s="412"/>
      <c r="P50" s="412"/>
      <c r="Q50" s="412"/>
      <c r="R50" s="412"/>
      <c r="S50" s="412"/>
      <c r="T50" s="412"/>
      <c r="U50" s="412"/>
      <c r="V50" s="412"/>
      <c r="W50" s="412"/>
      <c r="X50" s="412"/>
      <c r="Y50" s="412"/>
      <c r="Z50" s="412"/>
    </row>
    <row r="51" spans="1:26" ht="12" customHeight="1" x14ac:dyDescent="0.2">
      <c r="A51" s="437" t="s">
        <v>285</v>
      </c>
      <c r="B51" s="438">
        <v>44679</v>
      </c>
      <c r="C51" s="445">
        <v>44680</v>
      </c>
      <c r="D51" s="417" t="s">
        <v>978</v>
      </c>
      <c r="E51" s="417" t="s">
        <v>85</v>
      </c>
      <c r="F51" s="412"/>
      <c r="G51" s="412"/>
      <c r="H51" s="412"/>
      <c r="I51" s="412"/>
      <c r="J51" s="412"/>
      <c r="K51" s="412"/>
      <c r="L51" s="412"/>
      <c r="M51" s="412"/>
      <c r="N51" s="412"/>
      <c r="O51" s="412"/>
      <c r="P51" s="412"/>
      <c r="Q51" s="412"/>
      <c r="R51" s="412"/>
      <c r="S51" s="412"/>
      <c r="T51" s="412"/>
      <c r="U51" s="412"/>
      <c r="V51" s="412"/>
      <c r="W51" s="412"/>
      <c r="X51" s="412"/>
      <c r="Y51" s="412"/>
      <c r="Z51" s="412"/>
    </row>
    <row r="52" spans="1:26" ht="12" customHeight="1" x14ac:dyDescent="0.2">
      <c r="A52" s="437" t="s">
        <v>392</v>
      </c>
      <c r="B52" s="438">
        <v>44683</v>
      </c>
      <c r="C52" s="445">
        <v>44684</v>
      </c>
      <c r="D52" s="417" t="s">
        <v>986</v>
      </c>
      <c r="E52" s="417" t="s">
        <v>636</v>
      </c>
      <c r="F52" s="412"/>
      <c r="G52" s="412"/>
      <c r="H52" s="412"/>
      <c r="I52" s="412"/>
      <c r="J52" s="412"/>
      <c r="K52" s="412"/>
      <c r="L52" s="412"/>
      <c r="M52" s="412"/>
      <c r="N52" s="412"/>
      <c r="O52" s="412"/>
      <c r="P52" s="412"/>
      <c r="Q52" s="412"/>
      <c r="R52" s="412"/>
      <c r="S52" s="412"/>
      <c r="T52" s="412"/>
      <c r="U52" s="412"/>
      <c r="V52" s="412"/>
      <c r="W52" s="412"/>
      <c r="X52" s="412"/>
      <c r="Y52" s="412"/>
      <c r="Z52" s="412"/>
    </row>
    <row r="53" spans="1:26" ht="12" customHeight="1" x14ac:dyDescent="0.2">
      <c r="A53" s="437" t="s">
        <v>117</v>
      </c>
      <c r="B53" s="438">
        <v>44686</v>
      </c>
      <c r="C53" s="445">
        <v>44687</v>
      </c>
      <c r="D53" s="417" t="s">
        <v>978</v>
      </c>
      <c r="E53" s="417" t="s">
        <v>636</v>
      </c>
      <c r="F53" s="412"/>
      <c r="G53" s="412"/>
      <c r="H53" s="412"/>
      <c r="I53" s="412"/>
      <c r="J53" s="412"/>
      <c r="K53" s="412"/>
      <c r="L53" s="412"/>
      <c r="M53" s="412"/>
      <c r="N53" s="412"/>
      <c r="O53" s="412"/>
      <c r="P53" s="412"/>
      <c r="Q53" s="412"/>
      <c r="R53" s="412"/>
      <c r="S53" s="412"/>
      <c r="T53" s="412"/>
      <c r="U53" s="412"/>
      <c r="V53" s="412"/>
      <c r="W53" s="412"/>
      <c r="X53" s="412"/>
      <c r="Y53" s="412"/>
      <c r="Z53" s="412"/>
    </row>
    <row r="54" spans="1:26" ht="12" customHeight="1" x14ac:dyDescent="0.2">
      <c r="A54" s="437" t="s">
        <v>996</v>
      </c>
      <c r="B54" s="438">
        <v>44693</v>
      </c>
      <c r="C54" s="445">
        <v>44694</v>
      </c>
      <c r="D54" s="417" t="s">
        <v>978</v>
      </c>
      <c r="E54" s="417" t="s">
        <v>85</v>
      </c>
      <c r="F54" s="412"/>
      <c r="G54" s="412"/>
      <c r="H54" s="412"/>
      <c r="I54" s="412"/>
      <c r="J54" s="412"/>
      <c r="K54" s="412"/>
      <c r="L54" s="412"/>
      <c r="M54" s="412"/>
      <c r="N54" s="412"/>
      <c r="O54" s="412"/>
      <c r="P54" s="412"/>
      <c r="Q54" s="412"/>
      <c r="R54" s="412"/>
      <c r="S54" s="412"/>
      <c r="T54" s="412"/>
      <c r="U54" s="412"/>
      <c r="V54" s="412"/>
      <c r="W54" s="412"/>
      <c r="X54" s="412"/>
      <c r="Y54" s="412"/>
      <c r="Z54" s="412"/>
    </row>
    <row r="55" spans="1:26" ht="12" customHeight="1" x14ac:dyDescent="0.2">
      <c r="A55" s="437" t="s">
        <v>751</v>
      </c>
      <c r="B55" s="438">
        <v>44712</v>
      </c>
      <c r="C55" s="445">
        <v>44713</v>
      </c>
      <c r="D55" s="417" t="s">
        <v>978</v>
      </c>
      <c r="E55" s="417" t="s">
        <v>636</v>
      </c>
      <c r="F55" s="412"/>
      <c r="G55" s="412"/>
      <c r="H55" s="412"/>
      <c r="I55" s="412"/>
      <c r="J55" s="412"/>
      <c r="K55" s="412"/>
      <c r="L55" s="412"/>
      <c r="M55" s="412"/>
      <c r="N55" s="412"/>
      <c r="O55" s="412"/>
      <c r="P55" s="412"/>
      <c r="Q55" s="412"/>
      <c r="R55" s="412"/>
      <c r="S55" s="412"/>
      <c r="T55" s="412"/>
      <c r="U55" s="412"/>
      <c r="V55" s="412"/>
      <c r="W55" s="412"/>
      <c r="X55" s="412"/>
      <c r="Y55" s="412"/>
      <c r="Z55" s="412"/>
    </row>
    <row r="56" spans="1:26" ht="12" customHeight="1" x14ac:dyDescent="0.2">
      <c r="A56" s="437" t="s">
        <v>997</v>
      </c>
      <c r="B56" s="438">
        <v>44718</v>
      </c>
      <c r="C56" s="445">
        <v>44719</v>
      </c>
      <c r="D56" s="417" t="s">
        <v>986</v>
      </c>
      <c r="E56" s="417" t="s">
        <v>636</v>
      </c>
      <c r="F56" s="412"/>
      <c r="G56" s="412"/>
      <c r="H56" s="412"/>
      <c r="I56" s="412"/>
      <c r="J56" s="412"/>
      <c r="K56" s="412"/>
      <c r="L56" s="412"/>
      <c r="M56" s="412"/>
      <c r="N56" s="412"/>
      <c r="O56" s="412"/>
      <c r="P56" s="412"/>
      <c r="Q56" s="412"/>
      <c r="R56" s="412"/>
      <c r="S56" s="412"/>
      <c r="T56" s="412"/>
      <c r="U56" s="412"/>
      <c r="V56" s="412"/>
      <c r="W56" s="412"/>
      <c r="X56" s="412"/>
      <c r="Y56" s="412"/>
      <c r="Z56" s="412"/>
    </row>
    <row r="57" spans="1:26" ht="12" customHeight="1" x14ac:dyDescent="0.2">
      <c r="A57" s="437" t="s">
        <v>764</v>
      </c>
      <c r="B57" s="438">
        <v>44753</v>
      </c>
      <c r="C57" s="445">
        <v>44754</v>
      </c>
      <c r="D57" s="417" t="s">
        <v>978</v>
      </c>
      <c r="E57" s="417" t="s">
        <v>636</v>
      </c>
      <c r="F57" s="412"/>
      <c r="G57" s="412"/>
      <c r="H57" s="412"/>
      <c r="I57" s="412"/>
      <c r="J57" s="412"/>
      <c r="K57" s="412"/>
      <c r="L57" s="412"/>
      <c r="M57" s="412"/>
      <c r="N57" s="412"/>
      <c r="O57" s="412"/>
      <c r="P57" s="412"/>
      <c r="Q57" s="412"/>
      <c r="R57" s="412"/>
      <c r="S57" s="412"/>
      <c r="T57" s="412"/>
      <c r="U57" s="412"/>
      <c r="V57" s="412"/>
      <c r="W57" s="412"/>
      <c r="X57" s="412"/>
      <c r="Y57" s="412"/>
      <c r="Z57" s="412"/>
    </row>
    <row r="58" spans="1:26" ht="12" customHeight="1" x14ac:dyDescent="0.2">
      <c r="A58" s="437" t="s">
        <v>758</v>
      </c>
      <c r="B58" s="438">
        <v>44756</v>
      </c>
      <c r="C58" s="445">
        <v>44757</v>
      </c>
      <c r="D58" s="417" t="s">
        <v>978</v>
      </c>
      <c r="E58" s="417" t="s">
        <v>636</v>
      </c>
      <c r="F58" s="412"/>
      <c r="G58" s="412"/>
      <c r="H58" s="412"/>
      <c r="I58" s="412"/>
      <c r="J58" s="412"/>
      <c r="K58" s="412"/>
      <c r="L58" s="412"/>
      <c r="M58" s="412"/>
      <c r="N58" s="412"/>
      <c r="O58" s="412"/>
      <c r="P58" s="412"/>
      <c r="Q58" s="412"/>
      <c r="R58" s="412"/>
      <c r="S58" s="412"/>
      <c r="T58" s="412"/>
      <c r="U58" s="412"/>
      <c r="V58" s="412"/>
      <c r="W58" s="412"/>
      <c r="X58" s="412"/>
      <c r="Y58" s="412"/>
      <c r="Z58" s="412"/>
    </row>
    <row r="59" spans="1:26" ht="12" customHeight="1" x14ac:dyDescent="0.2">
      <c r="A59" s="439" t="s">
        <v>530</v>
      </c>
      <c r="B59" s="440">
        <v>44900</v>
      </c>
      <c r="C59" s="446">
        <v>44902</v>
      </c>
      <c r="D59" s="423" t="s">
        <v>978</v>
      </c>
      <c r="E59" s="423" t="s">
        <v>85</v>
      </c>
      <c r="F59" s="412"/>
      <c r="G59" s="412"/>
      <c r="H59" s="412"/>
      <c r="I59" s="412"/>
      <c r="J59" s="412"/>
      <c r="K59" s="412"/>
      <c r="L59" s="412"/>
      <c r="M59" s="412"/>
      <c r="N59" s="412"/>
      <c r="O59" s="412"/>
      <c r="P59" s="412"/>
      <c r="Q59" s="412"/>
      <c r="R59" s="412"/>
      <c r="S59" s="412"/>
      <c r="T59" s="412"/>
      <c r="U59" s="412"/>
      <c r="V59" s="412"/>
      <c r="W59" s="412"/>
      <c r="X59" s="412"/>
      <c r="Y59" s="412"/>
      <c r="Z59" s="412"/>
    </row>
    <row r="60" spans="1:26" ht="12" customHeight="1" x14ac:dyDescent="0.2">
      <c r="A60" s="437" t="s">
        <v>546</v>
      </c>
      <c r="B60" s="438">
        <v>45112</v>
      </c>
      <c r="C60" s="445">
        <v>45114</v>
      </c>
      <c r="D60" s="427" t="s">
        <v>978</v>
      </c>
      <c r="E60" s="417" t="s">
        <v>85</v>
      </c>
      <c r="F60" s="412"/>
      <c r="G60" s="412"/>
      <c r="H60" s="412"/>
      <c r="I60" s="412"/>
      <c r="J60" s="412"/>
      <c r="K60" s="412"/>
      <c r="L60" s="412"/>
      <c r="M60" s="412"/>
      <c r="N60" s="412"/>
      <c r="O60" s="412"/>
      <c r="P60" s="412"/>
      <c r="Q60" s="412"/>
      <c r="R60" s="412"/>
      <c r="S60" s="412"/>
      <c r="T60" s="412"/>
      <c r="U60" s="412"/>
      <c r="V60" s="412"/>
      <c r="W60" s="412"/>
      <c r="X60" s="412"/>
      <c r="Y60" s="412"/>
      <c r="Z60" s="412"/>
    </row>
    <row r="61" spans="1:26" ht="12" customHeight="1" x14ac:dyDescent="0.2">
      <c r="A61" s="437" t="s">
        <v>557</v>
      </c>
      <c r="B61" s="438">
        <v>45139</v>
      </c>
      <c r="C61" s="445">
        <v>45141</v>
      </c>
      <c r="D61" s="417" t="s">
        <v>978</v>
      </c>
      <c r="E61" s="417" t="s">
        <v>85</v>
      </c>
      <c r="F61" s="412"/>
      <c r="G61" s="412"/>
      <c r="H61" s="412"/>
      <c r="I61" s="412"/>
      <c r="J61" s="412"/>
      <c r="K61" s="412"/>
      <c r="L61" s="412"/>
      <c r="M61" s="412"/>
      <c r="N61" s="412"/>
      <c r="O61" s="412"/>
      <c r="P61" s="412"/>
      <c r="Q61" s="412"/>
      <c r="R61" s="412"/>
      <c r="S61" s="412"/>
      <c r="T61" s="412"/>
      <c r="U61" s="412"/>
      <c r="V61" s="412"/>
      <c r="W61" s="412"/>
      <c r="X61" s="412"/>
      <c r="Y61" s="412"/>
      <c r="Z61" s="412"/>
    </row>
    <row r="62" spans="1:26" ht="12" customHeight="1" x14ac:dyDescent="0.2">
      <c r="A62" s="437" t="s">
        <v>562</v>
      </c>
      <c r="B62" s="438">
        <v>45161</v>
      </c>
      <c r="C62" s="445">
        <v>45162</v>
      </c>
      <c r="D62" s="417" t="s">
        <v>986</v>
      </c>
      <c r="E62" s="417" t="s">
        <v>85</v>
      </c>
      <c r="F62" s="412"/>
      <c r="G62" s="412"/>
      <c r="H62" s="412"/>
      <c r="I62" s="412"/>
      <c r="J62" s="412"/>
      <c r="K62" s="412"/>
      <c r="L62" s="412"/>
      <c r="M62" s="412"/>
      <c r="N62" s="412"/>
      <c r="O62" s="412"/>
      <c r="P62" s="412"/>
      <c r="Q62" s="412"/>
      <c r="R62" s="412"/>
      <c r="S62" s="412"/>
      <c r="T62" s="412"/>
      <c r="U62" s="412"/>
      <c r="V62" s="412"/>
      <c r="W62" s="412"/>
      <c r="X62" s="412"/>
      <c r="Y62" s="412"/>
      <c r="Z62" s="412"/>
    </row>
    <row r="63" spans="1:26" ht="12" customHeight="1" x14ac:dyDescent="0.2">
      <c r="A63" s="439" t="s">
        <v>985</v>
      </c>
      <c r="B63" s="440">
        <v>45246</v>
      </c>
      <c r="C63" s="440">
        <v>45247</v>
      </c>
      <c r="D63" s="423" t="s">
        <v>986</v>
      </c>
      <c r="E63" s="447" t="s">
        <v>85</v>
      </c>
      <c r="F63" s="412"/>
      <c r="G63" s="412"/>
      <c r="H63" s="412"/>
      <c r="I63" s="412"/>
      <c r="J63" s="412"/>
      <c r="K63" s="412"/>
      <c r="L63" s="412"/>
      <c r="M63" s="412"/>
      <c r="N63" s="412"/>
      <c r="O63" s="412"/>
      <c r="P63" s="412"/>
      <c r="Q63" s="412"/>
      <c r="R63" s="412"/>
      <c r="S63" s="412"/>
      <c r="T63" s="412"/>
      <c r="U63" s="412"/>
      <c r="V63" s="412"/>
      <c r="W63" s="412"/>
      <c r="X63" s="412"/>
      <c r="Y63" s="412"/>
      <c r="Z63" s="412"/>
    </row>
    <row r="64" spans="1:26" ht="15" customHeight="1" x14ac:dyDescent="0.2">
      <c r="A64" s="437" t="s">
        <v>998</v>
      </c>
      <c r="B64" s="445">
        <v>45547</v>
      </c>
      <c r="C64" s="445">
        <v>45548</v>
      </c>
      <c r="D64" s="427" t="s">
        <v>986</v>
      </c>
      <c r="E64" s="417" t="s">
        <v>85</v>
      </c>
      <c r="F64" s="412"/>
      <c r="G64" s="412"/>
      <c r="H64" s="412"/>
      <c r="I64" s="412"/>
      <c r="J64" s="412"/>
      <c r="K64" s="412"/>
      <c r="L64" s="412"/>
      <c r="M64" s="412"/>
      <c r="N64" s="412"/>
      <c r="O64" s="412"/>
      <c r="P64" s="412"/>
      <c r="Q64" s="412"/>
      <c r="R64" s="412"/>
      <c r="S64" s="412"/>
      <c r="T64" s="412"/>
      <c r="U64" s="412"/>
      <c r="V64" s="412"/>
      <c r="W64" s="412"/>
      <c r="X64" s="412"/>
      <c r="Y64" s="412"/>
      <c r="Z64" s="412"/>
    </row>
    <row r="65" spans="1:26" ht="15" customHeight="1" x14ac:dyDescent="0.2">
      <c r="A65" s="439" t="s">
        <v>172</v>
      </c>
      <c r="B65" s="446">
        <v>45608</v>
      </c>
      <c r="C65" s="446">
        <v>45610</v>
      </c>
      <c r="D65" s="447" t="s">
        <v>978</v>
      </c>
      <c r="E65" s="423" t="s">
        <v>85</v>
      </c>
      <c r="F65" s="412"/>
      <c r="G65" s="412"/>
      <c r="H65" s="412"/>
      <c r="I65" s="412"/>
      <c r="J65" s="412"/>
      <c r="K65" s="412"/>
      <c r="L65" s="412"/>
      <c r="M65" s="412"/>
      <c r="N65" s="412"/>
      <c r="O65" s="412"/>
      <c r="P65" s="412"/>
      <c r="Q65" s="412"/>
      <c r="R65" s="412"/>
      <c r="S65" s="412"/>
      <c r="T65" s="412"/>
      <c r="U65" s="412"/>
      <c r="V65" s="412"/>
      <c r="W65" s="412"/>
      <c r="X65" s="412"/>
      <c r="Y65" s="412"/>
      <c r="Z65" s="412"/>
    </row>
    <row r="66" spans="1:26" ht="15" customHeight="1" x14ac:dyDescent="0.2">
      <c r="A66" s="448" t="s">
        <v>217</v>
      </c>
      <c r="B66" s="449">
        <v>45806</v>
      </c>
      <c r="C66" s="449">
        <v>45808</v>
      </c>
      <c r="D66" s="450" t="s">
        <v>986</v>
      </c>
      <c r="E66" s="417" t="s">
        <v>85</v>
      </c>
      <c r="F66" s="412"/>
      <c r="G66" s="412"/>
      <c r="H66" s="412"/>
      <c r="I66" s="412"/>
      <c r="J66" s="412"/>
      <c r="K66" s="412"/>
      <c r="L66" s="412"/>
      <c r="M66" s="412"/>
      <c r="N66" s="412"/>
      <c r="O66" s="412"/>
      <c r="P66" s="412"/>
      <c r="Q66" s="412"/>
      <c r="R66" s="412"/>
      <c r="S66" s="412"/>
      <c r="T66" s="412"/>
      <c r="U66" s="412"/>
      <c r="V66" s="412"/>
      <c r="W66" s="412"/>
      <c r="X66" s="412"/>
      <c r="Y66" s="412"/>
      <c r="Z66" s="412"/>
    </row>
    <row r="67" spans="1:26" ht="15" customHeight="1" x14ac:dyDescent="0.2">
      <c r="A67" s="451" t="s">
        <v>260</v>
      </c>
      <c r="B67" s="452">
        <v>45931</v>
      </c>
      <c r="C67" s="452">
        <v>45933</v>
      </c>
      <c r="D67" s="450" t="s">
        <v>986</v>
      </c>
      <c r="E67" s="417" t="s">
        <v>85</v>
      </c>
      <c r="F67" s="412"/>
      <c r="G67" s="412"/>
      <c r="H67" s="412"/>
      <c r="I67" s="412"/>
      <c r="J67" s="412"/>
      <c r="K67" s="412"/>
      <c r="L67" s="412"/>
      <c r="M67" s="412"/>
      <c r="N67" s="412"/>
      <c r="O67" s="412"/>
      <c r="P67" s="412"/>
      <c r="Q67" s="412"/>
      <c r="R67" s="412"/>
      <c r="S67" s="412"/>
      <c r="T67" s="412"/>
      <c r="U67" s="412"/>
      <c r="V67" s="412"/>
      <c r="W67" s="412"/>
      <c r="X67" s="412"/>
      <c r="Y67" s="412"/>
      <c r="Z67" s="412"/>
    </row>
    <row r="68" spans="1:26" ht="15" customHeight="1" x14ac:dyDescent="0.2">
      <c r="A68" s="451" t="s">
        <v>271</v>
      </c>
      <c r="B68" s="452">
        <v>45938</v>
      </c>
      <c r="C68" s="452">
        <v>45940</v>
      </c>
      <c r="D68" s="450" t="s">
        <v>978</v>
      </c>
      <c r="E68" s="417" t="s">
        <v>85</v>
      </c>
      <c r="F68" s="412"/>
      <c r="G68" s="412"/>
      <c r="H68" s="412"/>
      <c r="I68" s="412"/>
      <c r="J68" s="412"/>
      <c r="K68" s="412"/>
      <c r="L68" s="412"/>
      <c r="M68" s="412"/>
      <c r="N68" s="412"/>
      <c r="O68" s="412"/>
      <c r="P68" s="412"/>
      <c r="Q68" s="412"/>
      <c r="R68" s="412"/>
      <c r="S68" s="412"/>
      <c r="T68" s="412"/>
      <c r="U68" s="412"/>
      <c r="V68" s="412"/>
      <c r="W68" s="412"/>
      <c r="X68" s="412"/>
      <c r="Y68" s="412"/>
      <c r="Z68" s="412"/>
    </row>
    <row r="69" spans="1:26" ht="15" customHeight="1" x14ac:dyDescent="0.2">
      <c r="A69" s="451" t="s">
        <v>583</v>
      </c>
      <c r="B69" s="452">
        <v>45944</v>
      </c>
      <c r="C69" s="452">
        <v>45946</v>
      </c>
      <c r="D69" s="450" t="s">
        <v>978</v>
      </c>
      <c r="E69" s="417" t="s">
        <v>85</v>
      </c>
      <c r="F69" s="412"/>
      <c r="G69" s="412"/>
      <c r="H69" s="412"/>
      <c r="I69" s="412"/>
      <c r="J69" s="412"/>
      <c r="K69" s="412"/>
      <c r="L69" s="412"/>
      <c r="M69" s="412"/>
      <c r="N69" s="412"/>
      <c r="O69" s="412"/>
      <c r="P69" s="412"/>
      <c r="Q69" s="412"/>
      <c r="R69" s="412"/>
      <c r="S69" s="412"/>
      <c r="T69" s="412"/>
      <c r="U69" s="412"/>
      <c r="V69" s="412"/>
      <c r="W69" s="412"/>
      <c r="X69" s="412"/>
      <c r="Y69" s="412"/>
      <c r="Z69" s="412"/>
    </row>
    <row r="70" spans="1:26" ht="15" customHeight="1" x14ac:dyDescent="0.2">
      <c r="A70" s="451" t="s">
        <v>591</v>
      </c>
      <c r="B70" s="452">
        <v>45959</v>
      </c>
      <c r="C70" s="452">
        <v>45961</v>
      </c>
      <c r="D70" s="450" t="s">
        <v>978</v>
      </c>
      <c r="E70" s="417" t="s">
        <v>85</v>
      </c>
      <c r="F70" s="412"/>
      <c r="G70" s="412"/>
      <c r="H70" s="412"/>
      <c r="I70" s="412"/>
      <c r="J70" s="412"/>
      <c r="K70" s="412"/>
      <c r="L70" s="412"/>
      <c r="M70" s="412"/>
      <c r="N70" s="412"/>
      <c r="O70" s="412"/>
      <c r="P70" s="412"/>
      <c r="Q70" s="412"/>
      <c r="R70" s="412"/>
      <c r="S70" s="412"/>
      <c r="T70" s="412"/>
      <c r="U70" s="412"/>
      <c r="V70" s="412"/>
      <c r="W70" s="412"/>
      <c r="X70" s="412"/>
      <c r="Y70" s="412"/>
      <c r="Z70" s="412"/>
    </row>
    <row r="71" spans="1:26" ht="15" customHeight="1" x14ac:dyDescent="0.2">
      <c r="A71" s="451" t="s">
        <v>465</v>
      </c>
      <c r="B71" s="452">
        <v>45979</v>
      </c>
      <c r="C71" s="452">
        <v>45981</v>
      </c>
      <c r="D71" s="450" t="s">
        <v>986</v>
      </c>
      <c r="E71" s="453" t="s">
        <v>85</v>
      </c>
      <c r="F71" s="412"/>
      <c r="G71" s="412"/>
      <c r="H71" s="412"/>
      <c r="I71" s="412"/>
      <c r="J71" s="412"/>
      <c r="K71" s="412"/>
      <c r="L71" s="412"/>
      <c r="M71" s="412"/>
      <c r="N71" s="412"/>
      <c r="O71" s="412"/>
      <c r="P71" s="412"/>
      <c r="Q71" s="412"/>
      <c r="R71" s="412"/>
      <c r="S71" s="412"/>
      <c r="T71" s="412"/>
      <c r="U71" s="412"/>
      <c r="V71" s="412"/>
      <c r="W71" s="412"/>
      <c r="X71" s="412"/>
      <c r="Y71" s="412"/>
      <c r="Z71" s="412"/>
    </row>
    <row r="72" spans="1:26" ht="12.75" x14ac:dyDescent="0.2">
      <c r="A72" s="451" t="s">
        <v>552</v>
      </c>
      <c r="B72" s="452">
        <v>45985</v>
      </c>
      <c r="C72" s="452">
        <v>45987</v>
      </c>
      <c r="D72" s="454" t="s">
        <v>978</v>
      </c>
      <c r="E72" s="451" t="s">
        <v>999</v>
      </c>
      <c r="F72" s="412"/>
      <c r="G72" s="412"/>
      <c r="H72" s="412"/>
      <c r="I72" s="412"/>
      <c r="J72" s="412"/>
      <c r="K72" s="412"/>
      <c r="L72" s="412"/>
      <c r="M72" s="412"/>
      <c r="N72" s="412"/>
      <c r="O72" s="412"/>
      <c r="P72" s="412"/>
      <c r="Q72" s="412"/>
      <c r="R72" s="412"/>
      <c r="S72" s="412"/>
      <c r="T72" s="412"/>
      <c r="U72" s="412"/>
      <c r="V72" s="412"/>
      <c r="W72" s="412"/>
      <c r="X72" s="412"/>
      <c r="Y72" s="412"/>
      <c r="Z72" s="412"/>
    </row>
    <row r="73" spans="1:26" ht="12.75" x14ac:dyDescent="0.2">
      <c r="A73" s="451" t="s">
        <v>474</v>
      </c>
      <c r="B73" s="452">
        <v>45985</v>
      </c>
      <c r="C73" s="452">
        <v>45987</v>
      </c>
      <c r="D73" s="454" t="s">
        <v>986</v>
      </c>
      <c r="E73" s="451" t="s">
        <v>85</v>
      </c>
      <c r="F73" s="412"/>
      <c r="G73" s="412"/>
      <c r="H73" s="412"/>
      <c r="I73" s="412"/>
      <c r="J73" s="412"/>
      <c r="K73" s="412"/>
      <c r="L73" s="412"/>
      <c r="M73" s="412"/>
      <c r="N73" s="412"/>
      <c r="O73" s="412"/>
      <c r="P73" s="412"/>
      <c r="Q73" s="412"/>
      <c r="R73" s="412"/>
      <c r="S73" s="412"/>
      <c r="T73" s="412"/>
      <c r="U73" s="412"/>
      <c r="V73" s="412"/>
      <c r="W73" s="412"/>
      <c r="X73" s="412"/>
      <c r="Y73" s="412"/>
      <c r="Z73" s="412"/>
    </row>
    <row r="74" spans="1:26" ht="12.75" x14ac:dyDescent="0.2">
      <c r="A74" s="451" t="s">
        <v>1000</v>
      </c>
      <c r="B74" s="452">
        <v>45986</v>
      </c>
      <c r="C74" s="452">
        <v>45988</v>
      </c>
      <c r="D74" s="454" t="s">
        <v>978</v>
      </c>
      <c r="E74" s="451" t="s">
        <v>85</v>
      </c>
      <c r="F74" s="412"/>
      <c r="G74" s="412"/>
      <c r="H74" s="412"/>
      <c r="I74" s="412"/>
      <c r="J74" s="412"/>
      <c r="K74" s="412"/>
      <c r="L74" s="412"/>
      <c r="M74" s="412"/>
      <c r="N74" s="412"/>
      <c r="O74" s="412"/>
      <c r="P74" s="412"/>
      <c r="Q74" s="412"/>
      <c r="R74" s="412"/>
      <c r="S74" s="412"/>
      <c r="T74" s="412"/>
      <c r="U74" s="412"/>
      <c r="V74" s="412"/>
      <c r="W74" s="412"/>
      <c r="X74" s="412"/>
      <c r="Y74" s="412"/>
      <c r="Z74" s="412"/>
    </row>
    <row r="75" spans="1:26" ht="12.75" x14ac:dyDescent="0.2">
      <c r="A75" s="455" t="s">
        <v>686</v>
      </c>
      <c r="B75" s="456">
        <v>45988</v>
      </c>
      <c r="C75" s="456">
        <v>45990</v>
      </c>
      <c r="D75" s="457" t="s">
        <v>978</v>
      </c>
      <c r="E75" s="455" t="s">
        <v>85</v>
      </c>
      <c r="F75" s="412"/>
      <c r="G75" s="412"/>
      <c r="H75" s="412"/>
      <c r="I75" s="412"/>
      <c r="J75" s="412"/>
      <c r="K75" s="412"/>
      <c r="L75" s="412"/>
      <c r="M75" s="412"/>
      <c r="N75" s="412"/>
      <c r="O75" s="412"/>
      <c r="P75" s="412"/>
      <c r="Q75" s="412"/>
      <c r="R75" s="412"/>
      <c r="S75" s="412"/>
      <c r="T75" s="412"/>
      <c r="U75" s="412"/>
      <c r="V75" s="412"/>
      <c r="W75" s="412"/>
      <c r="X75" s="412"/>
      <c r="Y75" s="412"/>
      <c r="Z75" s="412"/>
    </row>
    <row r="76" spans="1:26" ht="12.75" x14ac:dyDescent="0.2">
      <c r="A76" s="458" t="s">
        <v>1001</v>
      </c>
      <c r="B76" s="459">
        <v>46099</v>
      </c>
      <c r="C76" s="459">
        <v>46101</v>
      </c>
      <c r="D76" s="458" t="s">
        <v>986</v>
      </c>
      <c r="E76" s="458" t="s">
        <v>85</v>
      </c>
      <c r="F76" s="412"/>
      <c r="G76" s="412"/>
      <c r="H76" s="412"/>
      <c r="I76" s="412"/>
      <c r="J76" s="412"/>
      <c r="K76" s="412"/>
      <c r="L76" s="412"/>
      <c r="M76" s="412"/>
      <c r="N76" s="412"/>
      <c r="O76" s="412"/>
      <c r="P76" s="412"/>
      <c r="Q76" s="412"/>
      <c r="R76" s="412"/>
      <c r="S76" s="412"/>
      <c r="T76" s="412"/>
      <c r="U76" s="412"/>
      <c r="V76" s="412"/>
      <c r="W76" s="412"/>
      <c r="X76" s="412"/>
      <c r="Y76" s="412"/>
      <c r="Z76" s="412"/>
    </row>
    <row r="77" spans="1:26" ht="12.75" x14ac:dyDescent="0.2">
      <c r="A77" s="460"/>
      <c r="B77" s="460"/>
      <c r="C77" s="460"/>
      <c r="D77" s="460"/>
      <c r="E77" s="458" t="s">
        <v>85</v>
      </c>
      <c r="F77" s="412"/>
      <c r="G77" s="412"/>
      <c r="H77" s="412"/>
      <c r="I77" s="412"/>
      <c r="J77" s="412"/>
      <c r="K77" s="412"/>
      <c r="L77" s="412"/>
      <c r="M77" s="412"/>
      <c r="N77" s="412"/>
      <c r="O77" s="412"/>
      <c r="P77" s="412"/>
      <c r="Q77" s="412"/>
      <c r="R77" s="412"/>
      <c r="S77" s="412"/>
      <c r="T77" s="412"/>
      <c r="U77" s="412"/>
      <c r="V77" s="412"/>
      <c r="W77" s="412"/>
      <c r="X77" s="412"/>
      <c r="Y77" s="412"/>
      <c r="Z77" s="412"/>
    </row>
    <row r="78" spans="1:26" ht="12.75" x14ac:dyDescent="0.2">
      <c r="A78" s="460"/>
      <c r="B78" s="460"/>
      <c r="C78" s="460"/>
      <c r="D78" s="460"/>
      <c r="E78" s="458" t="s">
        <v>85</v>
      </c>
      <c r="F78" s="412"/>
      <c r="G78" s="412"/>
      <c r="H78" s="412"/>
      <c r="I78" s="412"/>
      <c r="J78" s="412"/>
      <c r="K78" s="412"/>
      <c r="L78" s="412"/>
      <c r="M78" s="412"/>
      <c r="N78" s="412"/>
      <c r="O78" s="412"/>
      <c r="P78" s="412"/>
      <c r="Q78" s="412"/>
      <c r="R78" s="412"/>
      <c r="S78" s="412"/>
      <c r="T78" s="412"/>
      <c r="U78" s="412"/>
      <c r="V78" s="412"/>
      <c r="W78" s="412"/>
      <c r="X78" s="412"/>
      <c r="Y78" s="412"/>
      <c r="Z78" s="412"/>
    </row>
    <row r="79" spans="1:26" ht="12.75" x14ac:dyDescent="0.2">
      <c r="A79" s="460"/>
      <c r="B79" s="460"/>
      <c r="C79" s="460"/>
      <c r="D79" s="460"/>
      <c r="E79" s="458" t="s">
        <v>85</v>
      </c>
      <c r="F79" s="412"/>
      <c r="G79" s="412"/>
      <c r="H79" s="412"/>
      <c r="I79" s="412"/>
      <c r="J79" s="412"/>
      <c r="K79" s="412"/>
      <c r="L79" s="412"/>
      <c r="M79" s="412"/>
      <c r="N79" s="412"/>
      <c r="O79" s="412"/>
      <c r="P79" s="412"/>
      <c r="Q79" s="412"/>
      <c r="R79" s="412"/>
      <c r="S79" s="412"/>
      <c r="T79" s="412"/>
      <c r="U79" s="412"/>
      <c r="V79" s="412"/>
      <c r="W79" s="412"/>
      <c r="X79" s="412"/>
      <c r="Y79" s="412"/>
      <c r="Z79" s="412"/>
    </row>
    <row r="80" spans="1:26" ht="12.75" x14ac:dyDescent="0.2">
      <c r="A80" s="460"/>
      <c r="B80" s="460"/>
      <c r="C80" s="460"/>
      <c r="D80" s="460"/>
      <c r="E80" s="458" t="s">
        <v>85</v>
      </c>
      <c r="F80" s="412"/>
      <c r="G80" s="412"/>
      <c r="H80" s="412"/>
      <c r="I80" s="412"/>
      <c r="J80" s="412"/>
      <c r="K80" s="412"/>
      <c r="L80" s="412"/>
      <c r="M80" s="412"/>
      <c r="N80" s="412"/>
      <c r="O80" s="412"/>
      <c r="P80" s="412"/>
      <c r="Q80" s="412"/>
      <c r="R80" s="412"/>
      <c r="S80" s="412"/>
      <c r="T80" s="412"/>
      <c r="U80" s="412"/>
      <c r="V80" s="412"/>
      <c r="W80" s="412"/>
      <c r="X80" s="412"/>
      <c r="Y80" s="412"/>
      <c r="Z80" s="412"/>
    </row>
    <row r="81" spans="1:26" ht="12.75" x14ac:dyDescent="0.2">
      <c r="A81" s="460"/>
      <c r="B81" s="460"/>
      <c r="C81" s="460"/>
      <c r="D81" s="460"/>
      <c r="E81" s="458" t="s">
        <v>85</v>
      </c>
      <c r="F81" s="412"/>
      <c r="G81" s="412"/>
      <c r="H81" s="412"/>
      <c r="I81" s="412"/>
      <c r="J81" s="412"/>
      <c r="K81" s="412"/>
      <c r="L81" s="412"/>
      <c r="M81" s="412"/>
      <c r="N81" s="412"/>
      <c r="O81" s="412"/>
      <c r="P81" s="412"/>
      <c r="Q81" s="412"/>
      <c r="R81" s="412"/>
      <c r="S81" s="412"/>
      <c r="T81" s="412"/>
      <c r="U81" s="412"/>
      <c r="V81" s="412"/>
      <c r="W81" s="412"/>
      <c r="X81" s="412"/>
      <c r="Y81" s="412"/>
      <c r="Z81" s="412"/>
    </row>
    <row r="82" spans="1:26" ht="12.75" x14ac:dyDescent="0.2">
      <c r="A82" s="412"/>
      <c r="B82" s="412"/>
      <c r="C82" s="412"/>
      <c r="D82" s="412"/>
      <c r="E82" s="412"/>
      <c r="F82" s="412"/>
      <c r="G82" s="412"/>
      <c r="H82" s="412"/>
      <c r="I82" s="412"/>
      <c r="J82" s="412"/>
      <c r="K82" s="412"/>
      <c r="L82" s="412"/>
      <c r="M82" s="412"/>
      <c r="N82" s="412"/>
      <c r="O82" s="412"/>
      <c r="P82" s="412"/>
      <c r="Q82" s="412"/>
      <c r="R82" s="412"/>
      <c r="S82" s="412"/>
      <c r="T82" s="412"/>
      <c r="U82" s="412"/>
      <c r="V82" s="412"/>
      <c r="W82" s="412"/>
      <c r="X82" s="412"/>
      <c r="Y82" s="412"/>
      <c r="Z82" s="412"/>
    </row>
    <row r="83" spans="1:26" ht="12.75" x14ac:dyDescent="0.2">
      <c r="A83" s="412"/>
      <c r="B83" s="412"/>
      <c r="C83" s="412"/>
      <c r="D83" s="412"/>
      <c r="E83" s="412"/>
      <c r="F83" s="412"/>
      <c r="G83" s="412"/>
      <c r="H83" s="412"/>
      <c r="I83" s="412"/>
      <c r="J83" s="412"/>
      <c r="K83" s="412"/>
      <c r="L83" s="412"/>
      <c r="M83" s="412"/>
      <c r="N83" s="412"/>
      <c r="O83" s="412"/>
      <c r="P83" s="412"/>
      <c r="Q83" s="412"/>
      <c r="R83" s="412"/>
      <c r="S83" s="412"/>
      <c r="T83" s="412"/>
      <c r="U83" s="412"/>
      <c r="V83" s="412"/>
      <c r="W83" s="412"/>
      <c r="X83" s="412"/>
      <c r="Y83" s="412"/>
      <c r="Z83" s="412"/>
    </row>
    <row r="84" spans="1:26" ht="12.75" x14ac:dyDescent="0.2">
      <c r="A84" s="412"/>
      <c r="B84" s="412"/>
      <c r="C84" s="412"/>
      <c r="D84" s="412"/>
      <c r="E84" s="412"/>
      <c r="F84" s="412"/>
      <c r="G84" s="412"/>
      <c r="H84" s="412"/>
      <c r="I84" s="412"/>
      <c r="J84" s="412"/>
      <c r="K84" s="412"/>
      <c r="L84" s="412"/>
      <c r="M84" s="412"/>
      <c r="N84" s="412"/>
      <c r="O84" s="412"/>
      <c r="P84" s="412"/>
      <c r="Q84" s="412"/>
      <c r="R84" s="412"/>
      <c r="S84" s="412"/>
      <c r="T84" s="412"/>
      <c r="U84" s="412"/>
      <c r="V84" s="412"/>
      <c r="W84" s="412"/>
      <c r="X84" s="412"/>
      <c r="Y84" s="412"/>
      <c r="Z84" s="412"/>
    </row>
    <row r="85" spans="1:26" ht="12.75" x14ac:dyDescent="0.2">
      <c r="A85" s="412"/>
      <c r="B85" s="412"/>
      <c r="C85" s="412"/>
      <c r="D85" s="412"/>
      <c r="E85" s="412"/>
      <c r="F85" s="412"/>
      <c r="G85" s="412"/>
      <c r="H85" s="412"/>
      <c r="I85" s="412"/>
      <c r="J85" s="412"/>
      <c r="K85" s="412"/>
      <c r="L85" s="412"/>
      <c r="M85" s="412"/>
      <c r="N85" s="412"/>
      <c r="O85" s="412"/>
      <c r="P85" s="412"/>
      <c r="Q85" s="412"/>
      <c r="R85" s="412"/>
      <c r="S85" s="412"/>
      <c r="T85" s="412"/>
      <c r="U85" s="412"/>
      <c r="V85" s="412"/>
      <c r="W85" s="412"/>
      <c r="X85" s="412"/>
      <c r="Y85" s="412"/>
      <c r="Z85" s="412"/>
    </row>
    <row r="86" spans="1:26" ht="12.75" x14ac:dyDescent="0.2">
      <c r="A86" s="412"/>
      <c r="B86" s="412"/>
      <c r="C86" s="412"/>
      <c r="D86" s="412"/>
      <c r="E86" s="412"/>
      <c r="F86" s="412"/>
      <c r="G86" s="412"/>
      <c r="H86" s="412"/>
      <c r="I86" s="412"/>
      <c r="J86" s="412"/>
      <c r="K86" s="412"/>
      <c r="L86" s="412"/>
      <c r="M86" s="412"/>
      <c r="N86" s="412"/>
      <c r="O86" s="412"/>
      <c r="P86" s="412"/>
      <c r="Q86" s="412"/>
      <c r="R86" s="412"/>
      <c r="S86" s="412"/>
      <c r="T86" s="412"/>
      <c r="U86" s="412"/>
      <c r="V86" s="412"/>
      <c r="W86" s="412"/>
      <c r="X86" s="412"/>
      <c r="Y86" s="412"/>
      <c r="Z86" s="412"/>
    </row>
    <row r="87" spans="1:26" ht="12.75" x14ac:dyDescent="0.2">
      <c r="A87" s="412"/>
      <c r="B87" s="412"/>
      <c r="C87" s="412"/>
      <c r="D87" s="412"/>
      <c r="E87" s="412"/>
      <c r="F87" s="412"/>
      <c r="G87" s="412"/>
      <c r="H87" s="412"/>
      <c r="I87" s="412"/>
      <c r="J87" s="412"/>
      <c r="K87" s="412"/>
      <c r="L87" s="412"/>
      <c r="M87" s="412"/>
      <c r="N87" s="412"/>
      <c r="O87" s="412"/>
      <c r="P87" s="412"/>
      <c r="Q87" s="412"/>
      <c r="R87" s="412"/>
      <c r="S87" s="412"/>
      <c r="T87" s="412"/>
      <c r="U87" s="412"/>
      <c r="V87" s="412"/>
      <c r="W87" s="412"/>
      <c r="X87" s="412"/>
      <c r="Y87" s="412"/>
      <c r="Z87" s="412"/>
    </row>
    <row r="88" spans="1:26" ht="12.75" x14ac:dyDescent="0.2">
      <c r="A88" s="412"/>
      <c r="B88" s="412"/>
      <c r="C88" s="412"/>
      <c r="D88" s="412"/>
      <c r="E88" s="412"/>
      <c r="F88" s="412"/>
      <c r="G88" s="412"/>
      <c r="H88" s="412"/>
      <c r="I88" s="412"/>
      <c r="J88" s="412"/>
      <c r="K88" s="412"/>
      <c r="L88" s="412"/>
      <c r="M88" s="412"/>
      <c r="N88" s="412"/>
      <c r="O88" s="412"/>
      <c r="P88" s="412"/>
      <c r="Q88" s="412"/>
      <c r="R88" s="412"/>
      <c r="S88" s="412"/>
      <c r="T88" s="412"/>
      <c r="U88" s="412"/>
      <c r="V88" s="412"/>
      <c r="W88" s="412"/>
      <c r="X88" s="412"/>
      <c r="Y88" s="412"/>
      <c r="Z88" s="412"/>
    </row>
    <row r="89" spans="1:26" ht="12.75" x14ac:dyDescent="0.2">
      <c r="A89" s="412"/>
      <c r="B89" s="412"/>
      <c r="C89" s="412"/>
      <c r="D89" s="412"/>
      <c r="E89" s="412"/>
      <c r="F89" s="412"/>
      <c r="G89" s="412"/>
      <c r="H89" s="412"/>
      <c r="I89" s="412"/>
      <c r="J89" s="412"/>
      <c r="K89" s="412"/>
      <c r="L89" s="412"/>
      <c r="M89" s="412"/>
      <c r="N89" s="412"/>
      <c r="O89" s="412"/>
      <c r="P89" s="412"/>
      <c r="Q89" s="412"/>
      <c r="R89" s="412"/>
      <c r="S89" s="412"/>
      <c r="T89" s="412"/>
      <c r="U89" s="412"/>
      <c r="V89" s="412"/>
      <c r="W89" s="412"/>
      <c r="X89" s="412"/>
      <c r="Y89" s="412"/>
      <c r="Z89" s="412"/>
    </row>
    <row r="90" spans="1:26" ht="12.75" x14ac:dyDescent="0.2">
      <c r="A90" s="412"/>
      <c r="B90" s="412"/>
      <c r="C90" s="412"/>
      <c r="D90" s="412"/>
      <c r="E90" s="412"/>
      <c r="F90" s="412"/>
      <c r="G90" s="412"/>
      <c r="H90" s="412"/>
      <c r="I90" s="412"/>
      <c r="J90" s="412"/>
      <c r="K90" s="412"/>
      <c r="L90" s="412"/>
      <c r="M90" s="412"/>
      <c r="N90" s="412"/>
      <c r="O90" s="412"/>
      <c r="P90" s="412"/>
      <c r="Q90" s="412"/>
      <c r="R90" s="412"/>
      <c r="S90" s="412"/>
      <c r="T90" s="412"/>
      <c r="U90" s="412"/>
      <c r="V90" s="412"/>
      <c r="W90" s="412"/>
      <c r="X90" s="412"/>
      <c r="Y90" s="412"/>
      <c r="Z90" s="412"/>
    </row>
    <row r="91" spans="1:26" ht="12.75" x14ac:dyDescent="0.2">
      <c r="A91" s="412"/>
      <c r="B91" s="412"/>
      <c r="C91" s="412"/>
      <c r="D91" s="412"/>
      <c r="E91" s="412"/>
      <c r="F91" s="412"/>
      <c r="G91" s="412"/>
      <c r="H91" s="412"/>
      <c r="I91" s="412"/>
      <c r="J91" s="412"/>
      <c r="K91" s="412"/>
      <c r="L91" s="412"/>
      <c r="M91" s="412"/>
      <c r="N91" s="412"/>
      <c r="O91" s="412"/>
      <c r="P91" s="412"/>
      <c r="Q91" s="412"/>
      <c r="R91" s="412"/>
      <c r="S91" s="412"/>
      <c r="T91" s="412"/>
      <c r="U91" s="412"/>
      <c r="V91" s="412"/>
      <c r="W91" s="412"/>
      <c r="X91" s="412"/>
      <c r="Y91" s="412"/>
      <c r="Z91" s="412"/>
    </row>
    <row r="92" spans="1:26" ht="12.75" x14ac:dyDescent="0.2">
      <c r="A92" s="412"/>
      <c r="B92" s="412"/>
      <c r="C92" s="412"/>
      <c r="D92" s="412"/>
      <c r="E92" s="412"/>
      <c r="F92" s="412"/>
      <c r="G92" s="412"/>
      <c r="H92" s="412"/>
      <c r="I92" s="412"/>
      <c r="J92" s="412"/>
      <c r="K92" s="412"/>
      <c r="L92" s="412"/>
      <c r="M92" s="412"/>
      <c r="N92" s="412"/>
      <c r="O92" s="412"/>
      <c r="P92" s="412"/>
      <c r="Q92" s="412"/>
      <c r="R92" s="412"/>
      <c r="S92" s="412"/>
      <c r="T92" s="412"/>
      <c r="U92" s="412"/>
      <c r="V92" s="412"/>
      <c r="W92" s="412"/>
      <c r="X92" s="412"/>
      <c r="Y92" s="412"/>
      <c r="Z92" s="412"/>
    </row>
    <row r="93" spans="1:26" ht="12.75" x14ac:dyDescent="0.2">
      <c r="A93" s="412"/>
      <c r="B93" s="412"/>
      <c r="C93" s="412"/>
      <c r="D93" s="412"/>
      <c r="E93" s="412"/>
      <c r="F93" s="412"/>
      <c r="G93" s="412"/>
      <c r="H93" s="412"/>
      <c r="I93" s="412"/>
      <c r="J93" s="412"/>
      <c r="K93" s="412"/>
      <c r="L93" s="412"/>
      <c r="M93" s="412"/>
      <c r="N93" s="412"/>
      <c r="O93" s="412"/>
      <c r="P93" s="412"/>
      <c r="Q93" s="412"/>
      <c r="R93" s="412"/>
      <c r="S93" s="412"/>
      <c r="T93" s="412"/>
      <c r="U93" s="412"/>
      <c r="V93" s="412"/>
      <c r="W93" s="412"/>
      <c r="X93" s="412"/>
      <c r="Y93" s="412"/>
      <c r="Z93" s="412"/>
    </row>
    <row r="94" spans="1:26" ht="12.75" x14ac:dyDescent="0.2">
      <c r="A94" s="412"/>
      <c r="B94" s="412"/>
      <c r="C94" s="412"/>
      <c r="D94" s="412"/>
      <c r="E94" s="412"/>
      <c r="F94" s="412"/>
      <c r="G94" s="412"/>
      <c r="H94" s="412"/>
      <c r="I94" s="412"/>
      <c r="J94" s="412"/>
      <c r="K94" s="412"/>
      <c r="L94" s="412"/>
      <c r="M94" s="412"/>
      <c r="N94" s="412"/>
      <c r="O94" s="412"/>
      <c r="P94" s="412"/>
      <c r="Q94" s="412"/>
      <c r="R94" s="412"/>
      <c r="S94" s="412"/>
      <c r="T94" s="412"/>
      <c r="U94" s="412"/>
      <c r="V94" s="412"/>
      <c r="W94" s="412"/>
      <c r="X94" s="412"/>
      <c r="Y94" s="412"/>
      <c r="Z94" s="412"/>
    </row>
    <row r="95" spans="1:26" ht="12.75" x14ac:dyDescent="0.2">
      <c r="A95" s="412"/>
      <c r="B95" s="412"/>
      <c r="C95" s="412"/>
      <c r="D95" s="412"/>
      <c r="E95" s="412"/>
      <c r="F95" s="412"/>
      <c r="G95" s="412"/>
      <c r="H95" s="412"/>
      <c r="I95" s="412"/>
      <c r="J95" s="412"/>
      <c r="K95" s="412"/>
      <c r="L95" s="412"/>
      <c r="M95" s="412"/>
      <c r="N95" s="412"/>
      <c r="O95" s="412"/>
      <c r="P95" s="412"/>
      <c r="Q95" s="412"/>
      <c r="R95" s="412"/>
      <c r="S95" s="412"/>
      <c r="T95" s="412"/>
      <c r="U95" s="412"/>
      <c r="V95" s="412"/>
      <c r="W95" s="412"/>
      <c r="X95" s="412"/>
      <c r="Y95" s="412"/>
      <c r="Z95" s="412"/>
    </row>
    <row r="96" spans="1:26" ht="12.75" x14ac:dyDescent="0.2">
      <c r="A96" s="412"/>
      <c r="B96" s="412"/>
      <c r="C96" s="412"/>
      <c r="D96" s="412"/>
      <c r="E96" s="412"/>
      <c r="F96" s="412"/>
      <c r="G96" s="412"/>
      <c r="H96" s="412"/>
      <c r="I96" s="412"/>
      <c r="J96" s="412"/>
      <c r="K96" s="412"/>
      <c r="L96" s="412"/>
      <c r="M96" s="412"/>
      <c r="N96" s="412"/>
      <c r="O96" s="412"/>
      <c r="P96" s="412"/>
      <c r="Q96" s="412"/>
      <c r="R96" s="412"/>
      <c r="S96" s="412"/>
      <c r="T96" s="412"/>
      <c r="U96" s="412"/>
      <c r="V96" s="412"/>
      <c r="W96" s="412"/>
      <c r="X96" s="412"/>
      <c r="Y96" s="412"/>
      <c r="Z96" s="412"/>
    </row>
    <row r="97" spans="1:26" ht="12.75" x14ac:dyDescent="0.2">
      <c r="A97" s="412"/>
      <c r="B97" s="412"/>
      <c r="C97" s="412"/>
      <c r="D97" s="412"/>
      <c r="E97" s="412"/>
      <c r="F97" s="412"/>
      <c r="G97" s="412"/>
      <c r="H97" s="412"/>
      <c r="I97" s="412"/>
      <c r="J97" s="412"/>
      <c r="K97" s="412"/>
      <c r="L97" s="412"/>
      <c r="M97" s="412"/>
      <c r="N97" s="412"/>
      <c r="O97" s="412"/>
      <c r="P97" s="412"/>
      <c r="Q97" s="412"/>
      <c r="R97" s="412"/>
      <c r="S97" s="412"/>
      <c r="T97" s="412"/>
      <c r="U97" s="412"/>
      <c r="V97" s="412"/>
      <c r="W97" s="412"/>
      <c r="X97" s="412"/>
      <c r="Y97" s="412"/>
      <c r="Z97" s="412"/>
    </row>
    <row r="98" spans="1:26" ht="12.75" x14ac:dyDescent="0.2">
      <c r="A98" s="412"/>
      <c r="B98" s="412"/>
      <c r="C98" s="412"/>
      <c r="D98" s="412"/>
      <c r="E98" s="412"/>
      <c r="F98" s="412"/>
      <c r="G98" s="412"/>
      <c r="H98" s="412"/>
      <c r="I98" s="412"/>
      <c r="J98" s="412"/>
      <c r="K98" s="412"/>
      <c r="L98" s="412"/>
      <c r="M98" s="412"/>
      <c r="N98" s="412"/>
      <c r="O98" s="412"/>
      <c r="P98" s="412"/>
      <c r="Q98" s="412"/>
      <c r="R98" s="412"/>
      <c r="S98" s="412"/>
      <c r="T98" s="412"/>
      <c r="U98" s="412"/>
      <c r="V98" s="412"/>
      <c r="W98" s="412"/>
      <c r="X98" s="412"/>
      <c r="Y98" s="412"/>
      <c r="Z98" s="412"/>
    </row>
    <row r="99" spans="1:26" ht="12.75" x14ac:dyDescent="0.2">
      <c r="A99" s="412"/>
      <c r="B99" s="412"/>
      <c r="C99" s="412"/>
      <c r="D99" s="412"/>
      <c r="E99" s="412"/>
      <c r="F99" s="412"/>
      <c r="G99" s="412"/>
      <c r="H99" s="412"/>
      <c r="I99" s="412"/>
      <c r="J99" s="412"/>
      <c r="K99" s="412"/>
      <c r="L99" s="412"/>
      <c r="M99" s="412"/>
      <c r="N99" s="412"/>
      <c r="O99" s="412"/>
      <c r="P99" s="412"/>
      <c r="Q99" s="412"/>
      <c r="R99" s="412"/>
      <c r="S99" s="412"/>
      <c r="T99" s="412"/>
      <c r="U99" s="412"/>
      <c r="V99" s="412"/>
      <c r="W99" s="412"/>
      <c r="X99" s="412"/>
      <c r="Y99" s="412"/>
      <c r="Z99" s="412"/>
    </row>
    <row r="100" spans="1:26" ht="12.75" x14ac:dyDescent="0.2">
      <c r="A100" s="412"/>
      <c r="B100" s="412"/>
      <c r="C100" s="412"/>
      <c r="D100" s="412"/>
      <c r="E100" s="412"/>
      <c r="F100" s="412"/>
      <c r="G100" s="412"/>
      <c r="H100" s="412"/>
      <c r="I100" s="412"/>
      <c r="J100" s="412"/>
      <c r="K100" s="412"/>
      <c r="L100" s="412"/>
      <c r="M100" s="412"/>
      <c r="N100" s="412"/>
      <c r="O100" s="412"/>
      <c r="P100" s="412"/>
      <c r="Q100" s="412"/>
      <c r="R100" s="412"/>
      <c r="S100" s="412"/>
      <c r="T100" s="412"/>
      <c r="U100" s="412"/>
      <c r="V100" s="412"/>
      <c r="W100" s="412"/>
      <c r="X100" s="412"/>
      <c r="Y100" s="412"/>
      <c r="Z100" s="412"/>
    </row>
    <row r="101" spans="1:26" ht="12.75" x14ac:dyDescent="0.2">
      <c r="A101" s="412"/>
      <c r="B101" s="412"/>
      <c r="C101" s="412"/>
      <c r="D101" s="412"/>
      <c r="E101" s="412"/>
      <c r="F101" s="412"/>
      <c r="G101" s="412"/>
      <c r="H101" s="412"/>
      <c r="I101" s="412"/>
      <c r="J101" s="412"/>
      <c r="K101" s="412"/>
      <c r="L101" s="412"/>
      <c r="M101" s="412"/>
      <c r="N101" s="412"/>
      <c r="O101" s="412"/>
      <c r="P101" s="412"/>
      <c r="Q101" s="412"/>
      <c r="R101" s="412"/>
      <c r="S101" s="412"/>
      <c r="T101" s="412"/>
      <c r="U101" s="412"/>
      <c r="V101" s="412"/>
      <c r="W101" s="412"/>
      <c r="X101" s="412"/>
      <c r="Y101" s="412"/>
      <c r="Z101" s="412"/>
    </row>
    <row r="102" spans="1:26" ht="12.75" x14ac:dyDescent="0.2">
      <c r="A102" s="412"/>
      <c r="B102" s="412"/>
      <c r="C102" s="412"/>
      <c r="D102" s="412"/>
      <c r="E102" s="412"/>
      <c r="F102" s="412"/>
      <c r="G102" s="412"/>
      <c r="H102" s="412"/>
      <c r="I102" s="412"/>
      <c r="J102" s="412"/>
      <c r="K102" s="412"/>
      <c r="L102" s="412"/>
      <c r="M102" s="412"/>
      <c r="N102" s="412"/>
      <c r="O102" s="412"/>
      <c r="P102" s="412"/>
      <c r="Q102" s="412"/>
      <c r="R102" s="412"/>
      <c r="S102" s="412"/>
      <c r="T102" s="412"/>
      <c r="U102" s="412"/>
      <c r="V102" s="412"/>
      <c r="W102" s="412"/>
      <c r="X102" s="412"/>
      <c r="Y102" s="412"/>
      <c r="Z102" s="412"/>
    </row>
    <row r="103" spans="1:26" ht="12.75" x14ac:dyDescent="0.2">
      <c r="A103" s="412"/>
      <c r="B103" s="412"/>
      <c r="C103" s="412"/>
      <c r="D103" s="412"/>
      <c r="E103" s="412"/>
      <c r="F103" s="412"/>
      <c r="G103" s="412"/>
      <c r="H103" s="412"/>
      <c r="I103" s="412"/>
      <c r="J103" s="412"/>
      <c r="K103" s="412"/>
      <c r="L103" s="412"/>
      <c r="M103" s="412"/>
      <c r="N103" s="412"/>
      <c r="O103" s="412"/>
      <c r="P103" s="412"/>
      <c r="Q103" s="412"/>
      <c r="R103" s="412"/>
      <c r="S103" s="412"/>
      <c r="T103" s="412"/>
      <c r="U103" s="412"/>
      <c r="V103" s="412"/>
      <c r="W103" s="412"/>
      <c r="X103" s="412"/>
      <c r="Y103" s="412"/>
      <c r="Z103" s="412"/>
    </row>
    <row r="104" spans="1:26" ht="12.75" x14ac:dyDescent="0.2">
      <c r="A104" s="412"/>
      <c r="B104" s="412"/>
      <c r="C104" s="412"/>
      <c r="D104" s="412"/>
      <c r="E104" s="412"/>
      <c r="F104" s="412"/>
      <c r="G104" s="412"/>
      <c r="H104" s="412"/>
      <c r="I104" s="412"/>
      <c r="J104" s="412"/>
      <c r="K104" s="412"/>
      <c r="L104" s="412"/>
      <c r="M104" s="412"/>
      <c r="N104" s="412"/>
      <c r="O104" s="412"/>
      <c r="P104" s="412"/>
      <c r="Q104" s="412"/>
      <c r="R104" s="412"/>
      <c r="S104" s="412"/>
      <c r="T104" s="412"/>
      <c r="U104" s="412"/>
      <c r="V104" s="412"/>
      <c r="W104" s="412"/>
      <c r="X104" s="412"/>
      <c r="Y104" s="412"/>
      <c r="Z104" s="412"/>
    </row>
    <row r="105" spans="1:26" ht="12.75" x14ac:dyDescent="0.2">
      <c r="A105" s="412"/>
      <c r="B105" s="412"/>
      <c r="C105" s="412"/>
      <c r="D105" s="412"/>
      <c r="E105" s="412"/>
      <c r="F105" s="412"/>
      <c r="G105" s="412"/>
      <c r="H105" s="412"/>
      <c r="I105" s="412"/>
      <c r="J105" s="412"/>
      <c r="K105" s="412"/>
      <c r="L105" s="412"/>
      <c r="M105" s="412"/>
      <c r="N105" s="412"/>
      <c r="O105" s="412"/>
      <c r="P105" s="412"/>
      <c r="Q105" s="412"/>
      <c r="R105" s="412"/>
      <c r="S105" s="412"/>
      <c r="T105" s="412"/>
      <c r="U105" s="412"/>
      <c r="V105" s="412"/>
      <c r="W105" s="412"/>
      <c r="X105" s="412"/>
      <c r="Y105" s="412"/>
      <c r="Z105" s="412"/>
    </row>
    <row r="106" spans="1:26" ht="12.75" x14ac:dyDescent="0.2">
      <c r="A106" s="412"/>
      <c r="B106" s="412"/>
      <c r="C106" s="412"/>
      <c r="D106" s="412"/>
      <c r="E106" s="412"/>
      <c r="F106" s="412"/>
      <c r="G106" s="412"/>
      <c r="H106" s="412"/>
      <c r="I106" s="412"/>
      <c r="J106" s="412"/>
      <c r="K106" s="412"/>
      <c r="L106" s="412"/>
      <c r="M106" s="412"/>
      <c r="N106" s="412"/>
      <c r="O106" s="412"/>
      <c r="P106" s="412"/>
      <c r="Q106" s="412"/>
      <c r="R106" s="412"/>
      <c r="S106" s="412"/>
      <c r="T106" s="412"/>
      <c r="U106" s="412"/>
      <c r="V106" s="412"/>
      <c r="W106" s="412"/>
      <c r="X106" s="412"/>
      <c r="Y106" s="412"/>
      <c r="Z106" s="412"/>
    </row>
    <row r="107" spans="1:26" ht="12.75" x14ac:dyDescent="0.2">
      <c r="A107" s="412"/>
      <c r="B107" s="412"/>
      <c r="C107" s="412"/>
      <c r="D107" s="412"/>
      <c r="E107" s="412"/>
      <c r="F107" s="412"/>
      <c r="G107" s="412"/>
      <c r="H107" s="412"/>
      <c r="I107" s="412"/>
      <c r="J107" s="412"/>
      <c r="K107" s="412"/>
      <c r="L107" s="412"/>
      <c r="M107" s="412"/>
      <c r="N107" s="412"/>
      <c r="O107" s="412"/>
      <c r="P107" s="412"/>
      <c r="Q107" s="412"/>
      <c r="R107" s="412"/>
      <c r="S107" s="412"/>
      <c r="T107" s="412"/>
      <c r="U107" s="412"/>
      <c r="V107" s="412"/>
      <c r="W107" s="412"/>
      <c r="X107" s="412"/>
      <c r="Y107" s="412"/>
      <c r="Z107" s="412"/>
    </row>
    <row r="108" spans="1:26" ht="12.75" x14ac:dyDescent="0.2">
      <c r="A108" s="412"/>
      <c r="B108" s="412"/>
      <c r="C108" s="412"/>
      <c r="D108" s="412"/>
      <c r="E108" s="412"/>
      <c r="F108" s="412"/>
      <c r="G108" s="412"/>
      <c r="H108" s="412"/>
      <c r="I108" s="412"/>
      <c r="J108" s="412"/>
      <c r="K108" s="412"/>
      <c r="L108" s="412"/>
      <c r="M108" s="412"/>
      <c r="N108" s="412"/>
      <c r="O108" s="412"/>
      <c r="P108" s="412"/>
      <c r="Q108" s="412"/>
      <c r="R108" s="412"/>
      <c r="S108" s="412"/>
      <c r="T108" s="412"/>
      <c r="U108" s="412"/>
      <c r="V108" s="412"/>
      <c r="W108" s="412"/>
      <c r="X108" s="412"/>
      <c r="Y108" s="412"/>
      <c r="Z108" s="412"/>
    </row>
    <row r="109" spans="1:26" ht="12.75" x14ac:dyDescent="0.2">
      <c r="A109" s="412"/>
      <c r="B109" s="412"/>
      <c r="C109" s="412"/>
      <c r="D109" s="412"/>
      <c r="E109" s="412"/>
      <c r="F109" s="412"/>
      <c r="G109" s="412"/>
      <c r="H109" s="412"/>
      <c r="I109" s="412"/>
      <c r="J109" s="412"/>
      <c r="K109" s="412"/>
      <c r="L109" s="412"/>
      <c r="M109" s="412"/>
      <c r="N109" s="412"/>
      <c r="O109" s="412"/>
      <c r="P109" s="412"/>
      <c r="Q109" s="412"/>
      <c r="R109" s="412"/>
      <c r="S109" s="412"/>
      <c r="T109" s="412"/>
      <c r="U109" s="412"/>
      <c r="V109" s="412"/>
      <c r="W109" s="412"/>
      <c r="X109" s="412"/>
      <c r="Y109" s="412"/>
      <c r="Z109" s="412"/>
    </row>
    <row r="110" spans="1:26" ht="12.75" x14ac:dyDescent="0.2">
      <c r="A110" s="412"/>
      <c r="B110" s="412"/>
      <c r="C110" s="412"/>
      <c r="D110" s="412"/>
      <c r="E110" s="412"/>
      <c r="F110" s="412"/>
      <c r="G110" s="412"/>
      <c r="H110" s="412"/>
      <c r="I110" s="412"/>
      <c r="J110" s="412"/>
      <c r="K110" s="412"/>
      <c r="L110" s="412"/>
      <c r="M110" s="412"/>
      <c r="N110" s="412"/>
      <c r="O110" s="412"/>
      <c r="P110" s="412"/>
      <c r="Q110" s="412"/>
      <c r="R110" s="412"/>
      <c r="S110" s="412"/>
      <c r="T110" s="412"/>
      <c r="U110" s="412"/>
      <c r="V110" s="412"/>
      <c r="W110" s="412"/>
      <c r="X110" s="412"/>
      <c r="Y110" s="412"/>
      <c r="Z110" s="412"/>
    </row>
    <row r="111" spans="1:26" ht="12.75" x14ac:dyDescent="0.2">
      <c r="A111" s="412"/>
      <c r="B111" s="412"/>
      <c r="C111" s="412"/>
      <c r="D111" s="412"/>
      <c r="E111" s="412"/>
      <c r="F111" s="412"/>
      <c r="G111" s="412"/>
      <c r="H111" s="412"/>
      <c r="I111" s="412"/>
      <c r="J111" s="412"/>
      <c r="K111" s="412"/>
      <c r="L111" s="412"/>
      <c r="M111" s="412"/>
      <c r="N111" s="412"/>
      <c r="O111" s="412"/>
      <c r="P111" s="412"/>
      <c r="Q111" s="412"/>
      <c r="R111" s="412"/>
      <c r="S111" s="412"/>
      <c r="T111" s="412"/>
      <c r="U111" s="412"/>
      <c r="V111" s="412"/>
      <c r="W111" s="412"/>
      <c r="X111" s="412"/>
      <c r="Y111" s="412"/>
      <c r="Z111" s="412"/>
    </row>
    <row r="112" spans="1:26" ht="12.75" x14ac:dyDescent="0.2">
      <c r="A112" s="412"/>
      <c r="B112" s="412"/>
      <c r="C112" s="412"/>
      <c r="D112" s="412"/>
      <c r="E112" s="412"/>
      <c r="F112" s="412"/>
      <c r="G112" s="412"/>
      <c r="H112" s="412"/>
      <c r="I112" s="412"/>
      <c r="J112" s="412"/>
      <c r="K112" s="412"/>
      <c r="L112" s="412"/>
      <c r="M112" s="412"/>
      <c r="N112" s="412"/>
      <c r="O112" s="412"/>
      <c r="P112" s="412"/>
      <c r="Q112" s="412"/>
      <c r="R112" s="412"/>
      <c r="S112" s="412"/>
      <c r="T112" s="412"/>
      <c r="U112" s="412"/>
      <c r="V112" s="412"/>
      <c r="W112" s="412"/>
      <c r="X112" s="412"/>
      <c r="Y112" s="412"/>
      <c r="Z112" s="412"/>
    </row>
    <row r="113" spans="1:26" ht="12.75" x14ac:dyDescent="0.2">
      <c r="A113" s="412"/>
      <c r="B113" s="412"/>
      <c r="C113" s="412"/>
      <c r="D113" s="412"/>
      <c r="E113" s="412"/>
      <c r="F113" s="412"/>
      <c r="G113" s="412"/>
      <c r="H113" s="412"/>
      <c r="I113" s="412"/>
      <c r="J113" s="412"/>
      <c r="K113" s="412"/>
      <c r="L113" s="412"/>
      <c r="M113" s="412"/>
      <c r="N113" s="412"/>
      <c r="O113" s="412"/>
      <c r="P113" s="412"/>
      <c r="Q113" s="412"/>
      <c r="R113" s="412"/>
      <c r="S113" s="412"/>
      <c r="T113" s="412"/>
      <c r="U113" s="412"/>
      <c r="V113" s="412"/>
      <c r="W113" s="412"/>
      <c r="X113" s="412"/>
      <c r="Y113" s="412"/>
      <c r="Z113" s="412"/>
    </row>
    <row r="114" spans="1:26" ht="12.75" x14ac:dyDescent="0.2">
      <c r="A114" s="412"/>
      <c r="B114" s="412"/>
      <c r="C114" s="412"/>
      <c r="D114" s="412"/>
      <c r="E114" s="412"/>
      <c r="F114" s="412"/>
      <c r="G114" s="412"/>
      <c r="H114" s="412"/>
      <c r="I114" s="412"/>
      <c r="J114" s="412"/>
      <c r="K114" s="412"/>
      <c r="L114" s="412"/>
      <c r="M114" s="412"/>
      <c r="N114" s="412"/>
      <c r="O114" s="412"/>
      <c r="P114" s="412"/>
      <c r="Q114" s="412"/>
      <c r="R114" s="412"/>
      <c r="S114" s="412"/>
      <c r="T114" s="412"/>
      <c r="U114" s="412"/>
      <c r="V114" s="412"/>
      <c r="W114" s="412"/>
      <c r="X114" s="412"/>
      <c r="Y114" s="412"/>
      <c r="Z114" s="412"/>
    </row>
    <row r="115" spans="1:26" ht="12.75" x14ac:dyDescent="0.2">
      <c r="A115" s="412"/>
      <c r="B115" s="412"/>
      <c r="C115" s="412"/>
      <c r="D115" s="412"/>
      <c r="E115" s="412"/>
      <c r="F115" s="412"/>
      <c r="G115" s="412"/>
      <c r="H115" s="412"/>
      <c r="I115" s="412"/>
      <c r="J115" s="412"/>
      <c r="K115" s="412"/>
      <c r="L115" s="412"/>
      <c r="M115" s="412"/>
      <c r="N115" s="412"/>
      <c r="O115" s="412"/>
      <c r="P115" s="412"/>
      <c r="Q115" s="412"/>
      <c r="R115" s="412"/>
      <c r="S115" s="412"/>
      <c r="T115" s="412"/>
      <c r="U115" s="412"/>
      <c r="V115" s="412"/>
      <c r="W115" s="412"/>
      <c r="X115" s="412"/>
      <c r="Y115" s="412"/>
      <c r="Z115" s="412"/>
    </row>
    <row r="116" spans="1:26" ht="12.75" x14ac:dyDescent="0.2">
      <c r="A116" s="412"/>
      <c r="B116" s="412"/>
      <c r="C116" s="412"/>
      <c r="D116" s="412"/>
      <c r="E116" s="412"/>
      <c r="F116" s="412"/>
      <c r="G116" s="412"/>
      <c r="H116" s="412"/>
      <c r="I116" s="412"/>
      <c r="J116" s="412"/>
      <c r="K116" s="412"/>
      <c r="L116" s="412"/>
      <c r="M116" s="412"/>
      <c r="N116" s="412"/>
      <c r="O116" s="412"/>
      <c r="P116" s="412"/>
      <c r="Q116" s="412"/>
      <c r="R116" s="412"/>
      <c r="S116" s="412"/>
      <c r="T116" s="412"/>
      <c r="U116" s="412"/>
      <c r="V116" s="412"/>
      <c r="W116" s="412"/>
      <c r="X116" s="412"/>
      <c r="Y116" s="412"/>
      <c r="Z116" s="412"/>
    </row>
    <row r="117" spans="1:26" ht="12.75" x14ac:dyDescent="0.2">
      <c r="A117" s="412"/>
      <c r="B117" s="412"/>
      <c r="C117" s="412"/>
      <c r="D117" s="412"/>
      <c r="E117" s="412"/>
      <c r="F117" s="412"/>
      <c r="G117" s="412"/>
      <c r="H117" s="412"/>
      <c r="I117" s="412"/>
      <c r="J117" s="412"/>
      <c r="K117" s="412"/>
      <c r="L117" s="412"/>
      <c r="M117" s="412"/>
      <c r="N117" s="412"/>
      <c r="O117" s="412"/>
      <c r="P117" s="412"/>
      <c r="Q117" s="412"/>
      <c r="R117" s="412"/>
      <c r="S117" s="412"/>
      <c r="T117" s="412"/>
      <c r="U117" s="412"/>
      <c r="V117" s="412"/>
      <c r="W117" s="412"/>
      <c r="X117" s="412"/>
      <c r="Y117" s="412"/>
      <c r="Z117" s="412"/>
    </row>
    <row r="118" spans="1:26" ht="12.75" x14ac:dyDescent="0.2">
      <c r="A118" s="412"/>
      <c r="B118" s="412"/>
      <c r="C118" s="412"/>
      <c r="D118" s="412"/>
      <c r="E118" s="412"/>
      <c r="F118" s="412"/>
      <c r="G118" s="412"/>
      <c r="H118" s="412"/>
      <c r="I118" s="412"/>
      <c r="J118" s="412"/>
      <c r="K118" s="412"/>
      <c r="L118" s="412"/>
      <c r="M118" s="412"/>
      <c r="N118" s="412"/>
      <c r="O118" s="412"/>
      <c r="P118" s="412"/>
      <c r="Q118" s="412"/>
      <c r="R118" s="412"/>
      <c r="S118" s="412"/>
      <c r="T118" s="412"/>
      <c r="U118" s="412"/>
      <c r="V118" s="412"/>
      <c r="W118" s="412"/>
      <c r="X118" s="412"/>
      <c r="Y118" s="412"/>
      <c r="Z118" s="412"/>
    </row>
    <row r="119" spans="1:26" ht="12.75" x14ac:dyDescent="0.2">
      <c r="A119" s="412"/>
      <c r="B119" s="412"/>
      <c r="C119" s="412"/>
      <c r="D119" s="412"/>
      <c r="E119" s="412"/>
      <c r="F119" s="412"/>
      <c r="G119" s="412"/>
      <c r="H119" s="412"/>
      <c r="I119" s="412"/>
      <c r="J119" s="412"/>
      <c r="K119" s="412"/>
      <c r="L119" s="412"/>
      <c r="M119" s="412"/>
      <c r="N119" s="412"/>
      <c r="O119" s="412"/>
      <c r="P119" s="412"/>
      <c r="Q119" s="412"/>
      <c r="R119" s="412"/>
      <c r="S119" s="412"/>
      <c r="T119" s="412"/>
      <c r="U119" s="412"/>
      <c r="V119" s="412"/>
      <c r="W119" s="412"/>
      <c r="X119" s="412"/>
      <c r="Y119" s="412"/>
      <c r="Z119" s="412"/>
    </row>
    <row r="120" spans="1:26" ht="12.75" x14ac:dyDescent="0.2">
      <c r="A120" s="412"/>
      <c r="B120" s="412"/>
      <c r="C120" s="412"/>
      <c r="D120" s="412"/>
      <c r="E120" s="412"/>
      <c r="F120" s="412"/>
      <c r="G120" s="412"/>
      <c r="H120" s="412"/>
      <c r="I120" s="412"/>
      <c r="J120" s="412"/>
      <c r="K120" s="412"/>
      <c r="L120" s="412"/>
      <c r="M120" s="412"/>
      <c r="N120" s="412"/>
      <c r="O120" s="412"/>
      <c r="P120" s="412"/>
      <c r="Q120" s="412"/>
      <c r="R120" s="412"/>
      <c r="S120" s="412"/>
      <c r="T120" s="412"/>
      <c r="U120" s="412"/>
      <c r="V120" s="412"/>
      <c r="W120" s="412"/>
      <c r="X120" s="412"/>
      <c r="Y120" s="412"/>
      <c r="Z120" s="412"/>
    </row>
    <row r="121" spans="1:26" ht="12.75" x14ac:dyDescent="0.2">
      <c r="A121" s="412"/>
      <c r="B121" s="412"/>
      <c r="C121" s="412"/>
      <c r="D121" s="412"/>
      <c r="E121" s="412"/>
      <c r="F121" s="412"/>
      <c r="G121" s="412"/>
      <c r="H121" s="412"/>
      <c r="I121" s="412"/>
      <c r="J121" s="412"/>
      <c r="K121" s="412"/>
      <c r="L121" s="412"/>
      <c r="M121" s="412"/>
      <c r="N121" s="412"/>
      <c r="O121" s="412"/>
      <c r="P121" s="412"/>
      <c r="Q121" s="412"/>
      <c r="R121" s="412"/>
      <c r="S121" s="412"/>
      <c r="T121" s="412"/>
      <c r="U121" s="412"/>
      <c r="V121" s="412"/>
      <c r="W121" s="412"/>
      <c r="X121" s="412"/>
      <c r="Y121" s="412"/>
      <c r="Z121" s="412"/>
    </row>
    <row r="122" spans="1:26" ht="12.75" x14ac:dyDescent="0.2">
      <c r="A122" s="412"/>
      <c r="B122" s="412"/>
      <c r="C122" s="412"/>
      <c r="D122" s="412"/>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row>
    <row r="123" spans="1:26" ht="12.75" x14ac:dyDescent="0.2">
      <c r="A123" s="412"/>
      <c r="B123" s="412"/>
      <c r="C123" s="412"/>
      <c r="D123" s="412"/>
      <c r="E123" s="412"/>
      <c r="F123" s="412"/>
      <c r="G123" s="412"/>
      <c r="H123" s="412"/>
      <c r="I123" s="412"/>
      <c r="J123" s="412"/>
      <c r="K123" s="412"/>
      <c r="L123" s="412"/>
      <c r="M123" s="412"/>
      <c r="N123" s="412"/>
      <c r="O123" s="412"/>
      <c r="P123" s="412"/>
      <c r="Q123" s="412"/>
      <c r="R123" s="412"/>
      <c r="S123" s="412"/>
      <c r="T123" s="412"/>
      <c r="U123" s="412"/>
      <c r="V123" s="412"/>
      <c r="W123" s="412"/>
      <c r="X123" s="412"/>
      <c r="Y123" s="412"/>
      <c r="Z123" s="412"/>
    </row>
    <row r="124" spans="1:26" ht="12.75" x14ac:dyDescent="0.2">
      <c r="A124" s="412"/>
      <c r="B124" s="412"/>
      <c r="C124" s="412"/>
      <c r="D124" s="412"/>
      <c r="E124" s="412"/>
      <c r="F124" s="412"/>
      <c r="G124" s="412"/>
      <c r="H124" s="412"/>
      <c r="I124" s="412"/>
      <c r="J124" s="412"/>
      <c r="K124" s="412"/>
      <c r="L124" s="412"/>
      <c r="M124" s="412"/>
      <c r="N124" s="412"/>
      <c r="O124" s="412"/>
      <c r="P124" s="412"/>
      <c r="Q124" s="412"/>
      <c r="R124" s="412"/>
      <c r="S124" s="412"/>
      <c r="T124" s="412"/>
      <c r="U124" s="412"/>
      <c r="V124" s="412"/>
      <c r="W124" s="412"/>
      <c r="X124" s="412"/>
      <c r="Y124" s="412"/>
      <c r="Z124" s="412"/>
    </row>
    <row r="125" spans="1:26" ht="12.75" x14ac:dyDescent="0.2">
      <c r="A125" s="412"/>
      <c r="B125" s="412"/>
      <c r="C125" s="412"/>
      <c r="D125" s="412"/>
      <c r="E125" s="412"/>
      <c r="F125" s="412"/>
      <c r="G125" s="412"/>
      <c r="H125" s="412"/>
      <c r="I125" s="412"/>
      <c r="J125" s="412"/>
      <c r="K125" s="412"/>
      <c r="L125" s="412"/>
      <c r="M125" s="412"/>
      <c r="N125" s="412"/>
      <c r="O125" s="412"/>
      <c r="P125" s="412"/>
      <c r="Q125" s="412"/>
      <c r="R125" s="412"/>
      <c r="S125" s="412"/>
      <c r="T125" s="412"/>
      <c r="U125" s="412"/>
      <c r="V125" s="412"/>
      <c r="W125" s="412"/>
      <c r="X125" s="412"/>
      <c r="Y125" s="412"/>
      <c r="Z125" s="412"/>
    </row>
    <row r="126" spans="1:26" ht="12.75" x14ac:dyDescent="0.2">
      <c r="A126" s="412"/>
      <c r="B126" s="412"/>
      <c r="C126" s="412"/>
      <c r="D126" s="412"/>
      <c r="E126" s="412"/>
      <c r="F126" s="412"/>
      <c r="G126" s="412"/>
      <c r="H126" s="412"/>
      <c r="I126" s="412"/>
      <c r="J126" s="412"/>
      <c r="K126" s="412"/>
      <c r="L126" s="412"/>
      <c r="M126" s="412"/>
      <c r="N126" s="412"/>
      <c r="O126" s="412"/>
      <c r="P126" s="412"/>
      <c r="Q126" s="412"/>
      <c r="R126" s="412"/>
      <c r="S126" s="412"/>
      <c r="T126" s="412"/>
      <c r="U126" s="412"/>
      <c r="V126" s="412"/>
      <c r="W126" s="412"/>
      <c r="X126" s="412"/>
      <c r="Y126" s="412"/>
      <c r="Z126" s="412"/>
    </row>
    <row r="127" spans="1:26" ht="12.75" x14ac:dyDescent="0.2">
      <c r="A127" s="412"/>
      <c r="B127" s="412"/>
      <c r="C127" s="412"/>
      <c r="D127" s="412"/>
      <c r="E127" s="412"/>
      <c r="F127" s="412"/>
      <c r="G127" s="412"/>
      <c r="H127" s="412"/>
      <c r="I127" s="412"/>
      <c r="J127" s="412"/>
      <c r="K127" s="412"/>
      <c r="L127" s="412"/>
      <c r="M127" s="412"/>
      <c r="N127" s="412"/>
      <c r="O127" s="412"/>
      <c r="P127" s="412"/>
      <c r="Q127" s="412"/>
      <c r="R127" s="412"/>
      <c r="S127" s="412"/>
      <c r="T127" s="412"/>
      <c r="U127" s="412"/>
      <c r="V127" s="412"/>
      <c r="W127" s="412"/>
      <c r="X127" s="412"/>
      <c r="Y127" s="412"/>
      <c r="Z127" s="412"/>
    </row>
    <row r="128" spans="1:26" ht="12.75" x14ac:dyDescent="0.2">
      <c r="A128" s="412"/>
      <c r="B128" s="412"/>
      <c r="C128" s="412"/>
      <c r="D128" s="412"/>
      <c r="E128" s="412"/>
      <c r="F128" s="412"/>
      <c r="G128" s="412"/>
      <c r="H128" s="412"/>
      <c r="I128" s="412"/>
      <c r="J128" s="412"/>
      <c r="K128" s="412"/>
      <c r="L128" s="412"/>
      <c r="M128" s="412"/>
      <c r="N128" s="412"/>
      <c r="O128" s="412"/>
      <c r="P128" s="412"/>
      <c r="Q128" s="412"/>
      <c r="R128" s="412"/>
      <c r="S128" s="412"/>
      <c r="T128" s="412"/>
      <c r="U128" s="412"/>
      <c r="V128" s="412"/>
      <c r="W128" s="412"/>
      <c r="X128" s="412"/>
      <c r="Y128" s="412"/>
      <c r="Z128" s="412"/>
    </row>
    <row r="129" spans="1:26" ht="12.75" x14ac:dyDescent="0.2">
      <c r="A129" s="412"/>
      <c r="B129" s="412"/>
      <c r="C129" s="412"/>
      <c r="D129" s="412"/>
      <c r="E129" s="412"/>
      <c r="F129" s="412"/>
      <c r="G129" s="412"/>
      <c r="H129" s="412"/>
      <c r="I129" s="412"/>
      <c r="J129" s="412"/>
      <c r="K129" s="412"/>
      <c r="L129" s="412"/>
      <c r="M129" s="412"/>
      <c r="N129" s="412"/>
      <c r="O129" s="412"/>
      <c r="P129" s="412"/>
      <c r="Q129" s="412"/>
      <c r="R129" s="412"/>
      <c r="S129" s="412"/>
      <c r="T129" s="412"/>
      <c r="U129" s="412"/>
      <c r="V129" s="412"/>
      <c r="W129" s="412"/>
      <c r="X129" s="412"/>
      <c r="Y129" s="412"/>
      <c r="Z129" s="412"/>
    </row>
    <row r="130" spans="1:26" ht="12.75" x14ac:dyDescent="0.2">
      <c r="A130" s="412"/>
      <c r="B130" s="412"/>
      <c r="C130" s="412"/>
      <c r="D130" s="412"/>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row>
    <row r="131" spans="1:26" ht="12.75" x14ac:dyDescent="0.2">
      <c r="A131" s="412"/>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row>
    <row r="132" spans="1:26" ht="12.75" x14ac:dyDescent="0.2">
      <c r="A132" s="412"/>
      <c r="B132" s="412"/>
      <c r="C132" s="412"/>
      <c r="D132" s="412"/>
      <c r="E132" s="412"/>
      <c r="F132" s="412"/>
      <c r="G132" s="412"/>
      <c r="H132" s="412"/>
      <c r="I132" s="412"/>
      <c r="J132" s="412"/>
      <c r="K132" s="412"/>
      <c r="L132" s="412"/>
      <c r="M132" s="412"/>
      <c r="N132" s="412"/>
      <c r="O132" s="412"/>
      <c r="P132" s="412"/>
      <c r="Q132" s="412"/>
      <c r="R132" s="412"/>
      <c r="S132" s="412"/>
      <c r="T132" s="412"/>
      <c r="U132" s="412"/>
      <c r="V132" s="412"/>
      <c r="W132" s="412"/>
      <c r="X132" s="412"/>
      <c r="Y132" s="412"/>
      <c r="Z132" s="412"/>
    </row>
    <row r="133" spans="1:26" ht="12.75" x14ac:dyDescent="0.2">
      <c r="A133" s="412"/>
      <c r="B133" s="412"/>
      <c r="C133" s="412"/>
      <c r="D133" s="412"/>
      <c r="E133" s="412"/>
      <c r="F133" s="412"/>
      <c r="G133" s="412"/>
      <c r="H133" s="412"/>
      <c r="I133" s="412"/>
      <c r="J133" s="412"/>
      <c r="K133" s="412"/>
      <c r="L133" s="412"/>
      <c r="M133" s="412"/>
      <c r="N133" s="412"/>
      <c r="O133" s="412"/>
      <c r="P133" s="412"/>
      <c r="Q133" s="412"/>
      <c r="R133" s="412"/>
      <c r="S133" s="412"/>
      <c r="T133" s="412"/>
      <c r="U133" s="412"/>
      <c r="V133" s="412"/>
      <c r="W133" s="412"/>
      <c r="X133" s="412"/>
      <c r="Y133" s="412"/>
      <c r="Z133" s="412"/>
    </row>
    <row r="134" spans="1:26" ht="12.75" x14ac:dyDescent="0.2">
      <c r="A134" s="412"/>
      <c r="B134" s="412"/>
      <c r="C134" s="412"/>
      <c r="D134" s="412"/>
      <c r="E134" s="412"/>
      <c r="F134" s="412"/>
      <c r="G134" s="412"/>
      <c r="H134" s="412"/>
      <c r="I134" s="412"/>
      <c r="J134" s="412"/>
      <c r="K134" s="412"/>
      <c r="L134" s="412"/>
      <c r="M134" s="412"/>
      <c r="N134" s="412"/>
      <c r="O134" s="412"/>
      <c r="P134" s="412"/>
      <c r="Q134" s="412"/>
      <c r="R134" s="412"/>
      <c r="S134" s="412"/>
      <c r="T134" s="412"/>
      <c r="U134" s="412"/>
      <c r="V134" s="412"/>
      <c r="W134" s="412"/>
      <c r="X134" s="412"/>
      <c r="Y134" s="412"/>
      <c r="Z134" s="412"/>
    </row>
    <row r="135" spans="1:26" ht="12.75" x14ac:dyDescent="0.2">
      <c r="A135" s="412"/>
      <c r="B135" s="412"/>
      <c r="C135" s="412"/>
      <c r="D135" s="412"/>
      <c r="E135" s="412"/>
      <c r="F135" s="412"/>
      <c r="G135" s="412"/>
      <c r="H135" s="412"/>
      <c r="I135" s="412"/>
      <c r="J135" s="412"/>
      <c r="K135" s="412"/>
      <c r="L135" s="412"/>
      <c r="M135" s="412"/>
      <c r="N135" s="412"/>
      <c r="O135" s="412"/>
      <c r="P135" s="412"/>
      <c r="Q135" s="412"/>
      <c r="R135" s="412"/>
      <c r="S135" s="412"/>
      <c r="T135" s="412"/>
      <c r="U135" s="412"/>
      <c r="V135" s="412"/>
      <c r="W135" s="412"/>
      <c r="X135" s="412"/>
      <c r="Y135" s="412"/>
      <c r="Z135" s="412"/>
    </row>
    <row r="136" spans="1:26" ht="12.75" x14ac:dyDescent="0.2">
      <c r="A136" s="412"/>
      <c r="B136" s="412"/>
      <c r="C136" s="412"/>
      <c r="D136" s="412"/>
      <c r="E136" s="412"/>
      <c r="F136" s="412"/>
      <c r="G136" s="412"/>
      <c r="H136" s="412"/>
      <c r="I136" s="412"/>
      <c r="J136" s="412"/>
      <c r="K136" s="412"/>
      <c r="L136" s="412"/>
      <c r="M136" s="412"/>
      <c r="N136" s="412"/>
      <c r="O136" s="412"/>
      <c r="P136" s="412"/>
      <c r="Q136" s="412"/>
      <c r="R136" s="412"/>
      <c r="S136" s="412"/>
      <c r="T136" s="412"/>
      <c r="U136" s="412"/>
      <c r="V136" s="412"/>
      <c r="W136" s="412"/>
      <c r="X136" s="412"/>
      <c r="Y136" s="412"/>
      <c r="Z136" s="412"/>
    </row>
    <row r="137" spans="1:26" ht="12.75" x14ac:dyDescent="0.2">
      <c r="A137" s="412"/>
      <c r="B137" s="412"/>
      <c r="C137" s="412"/>
      <c r="D137" s="412"/>
      <c r="E137" s="412"/>
      <c r="F137" s="412"/>
      <c r="G137" s="412"/>
      <c r="H137" s="412"/>
      <c r="I137" s="412"/>
      <c r="J137" s="412"/>
      <c r="K137" s="412"/>
      <c r="L137" s="412"/>
      <c r="M137" s="412"/>
      <c r="N137" s="412"/>
      <c r="O137" s="412"/>
      <c r="P137" s="412"/>
      <c r="Q137" s="412"/>
      <c r="R137" s="412"/>
      <c r="S137" s="412"/>
      <c r="T137" s="412"/>
      <c r="U137" s="412"/>
      <c r="V137" s="412"/>
      <c r="W137" s="412"/>
      <c r="X137" s="412"/>
      <c r="Y137" s="412"/>
      <c r="Z137" s="412"/>
    </row>
    <row r="138" spans="1:26" ht="12.75" x14ac:dyDescent="0.2">
      <c r="A138" s="412"/>
      <c r="B138" s="412"/>
      <c r="C138" s="412"/>
      <c r="D138" s="412"/>
      <c r="E138" s="412"/>
      <c r="F138" s="412"/>
      <c r="G138" s="412"/>
      <c r="H138" s="412"/>
      <c r="I138" s="412"/>
      <c r="J138" s="412"/>
      <c r="K138" s="412"/>
      <c r="L138" s="412"/>
      <c r="M138" s="412"/>
      <c r="N138" s="412"/>
      <c r="O138" s="412"/>
      <c r="P138" s="412"/>
      <c r="Q138" s="412"/>
      <c r="R138" s="412"/>
      <c r="S138" s="412"/>
      <c r="T138" s="412"/>
      <c r="U138" s="412"/>
      <c r="V138" s="412"/>
      <c r="W138" s="412"/>
      <c r="X138" s="412"/>
      <c r="Y138" s="412"/>
      <c r="Z138" s="412"/>
    </row>
    <row r="139" spans="1:26" ht="12.75" x14ac:dyDescent="0.2">
      <c r="A139" s="412"/>
      <c r="B139" s="412"/>
      <c r="C139" s="412"/>
      <c r="D139" s="412"/>
      <c r="E139" s="412"/>
      <c r="F139" s="412"/>
      <c r="G139" s="412"/>
      <c r="H139" s="412"/>
      <c r="I139" s="412"/>
      <c r="J139" s="412"/>
      <c r="K139" s="412"/>
      <c r="L139" s="412"/>
      <c r="M139" s="412"/>
      <c r="N139" s="412"/>
      <c r="O139" s="412"/>
      <c r="P139" s="412"/>
      <c r="Q139" s="412"/>
      <c r="R139" s="412"/>
      <c r="S139" s="412"/>
      <c r="T139" s="412"/>
      <c r="U139" s="412"/>
      <c r="V139" s="412"/>
      <c r="W139" s="412"/>
      <c r="X139" s="412"/>
      <c r="Y139" s="412"/>
      <c r="Z139" s="412"/>
    </row>
    <row r="140" spans="1:26" ht="12.75" x14ac:dyDescent="0.2">
      <c r="A140" s="412"/>
      <c r="B140" s="412"/>
      <c r="C140" s="412"/>
      <c r="D140" s="412"/>
      <c r="E140" s="412"/>
      <c r="F140" s="412"/>
      <c r="G140" s="412"/>
      <c r="H140" s="412"/>
      <c r="I140" s="412"/>
      <c r="J140" s="412"/>
      <c r="K140" s="412"/>
      <c r="L140" s="412"/>
      <c r="M140" s="412"/>
      <c r="N140" s="412"/>
      <c r="O140" s="412"/>
      <c r="P140" s="412"/>
      <c r="Q140" s="412"/>
      <c r="R140" s="412"/>
      <c r="S140" s="412"/>
      <c r="T140" s="412"/>
      <c r="U140" s="412"/>
      <c r="V140" s="412"/>
      <c r="W140" s="412"/>
      <c r="X140" s="412"/>
      <c r="Y140" s="412"/>
      <c r="Z140" s="412"/>
    </row>
    <row r="141" spans="1:26" ht="12.75" x14ac:dyDescent="0.2">
      <c r="A141" s="412"/>
      <c r="B141" s="412"/>
      <c r="C141" s="412"/>
      <c r="D141" s="412"/>
      <c r="E141" s="412"/>
      <c r="F141" s="412"/>
      <c r="G141" s="412"/>
      <c r="H141" s="412"/>
      <c r="I141" s="412"/>
      <c r="J141" s="412"/>
      <c r="K141" s="412"/>
      <c r="L141" s="412"/>
      <c r="M141" s="412"/>
      <c r="N141" s="412"/>
      <c r="O141" s="412"/>
      <c r="P141" s="412"/>
      <c r="Q141" s="412"/>
      <c r="R141" s="412"/>
      <c r="S141" s="412"/>
      <c r="T141" s="412"/>
      <c r="U141" s="412"/>
      <c r="V141" s="412"/>
      <c r="W141" s="412"/>
      <c r="X141" s="412"/>
      <c r="Y141" s="412"/>
      <c r="Z141" s="412"/>
    </row>
    <row r="142" spans="1:26" ht="12.75" x14ac:dyDescent="0.2">
      <c r="A142" s="412"/>
      <c r="B142" s="412"/>
      <c r="C142" s="412"/>
      <c r="D142" s="412"/>
      <c r="E142" s="412"/>
      <c r="F142" s="412"/>
      <c r="G142" s="412"/>
      <c r="H142" s="412"/>
      <c r="I142" s="412"/>
      <c r="J142" s="412"/>
      <c r="K142" s="412"/>
      <c r="L142" s="412"/>
      <c r="M142" s="412"/>
      <c r="N142" s="412"/>
      <c r="O142" s="412"/>
      <c r="P142" s="412"/>
      <c r="Q142" s="412"/>
      <c r="R142" s="412"/>
      <c r="S142" s="412"/>
      <c r="T142" s="412"/>
      <c r="U142" s="412"/>
      <c r="V142" s="412"/>
      <c r="W142" s="412"/>
      <c r="X142" s="412"/>
      <c r="Y142" s="412"/>
      <c r="Z142" s="412"/>
    </row>
    <row r="143" spans="1:26" ht="12.75" x14ac:dyDescent="0.2">
      <c r="A143" s="412"/>
      <c r="B143" s="412"/>
      <c r="C143" s="412"/>
      <c r="D143" s="412"/>
      <c r="E143" s="412"/>
      <c r="F143" s="412"/>
      <c r="G143" s="412"/>
      <c r="H143" s="412"/>
      <c r="I143" s="412"/>
      <c r="J143" s="412"/>
      <c r="K143" s="412"/>
      <c r="L143" s="412"/>
      <c r="M143" s="412"/>
      <c r="N143" s="412"/>
      <c r="O143" s="412"/>
      <c r="P143" s="412"/>
      <c r="Q143" s="412"/>
      <c r="R143" s="412"/>
      <c r="S143" s="412"/>
      <c r="T143" s="412"/>
      <c r="U143" s="412"/>
      <c r="V143" s="412"/>
      <c r="W143" s="412"/>
      <c r="X143" s="412"/>
      <c r="Y143" s="412"/>
      <c r="Z143" s="412"/>
    </row>
    <row r="144" spans="1:26" ht="12.75" x14ac:dyDescent="0.2">
      <c r="A144" s="412"/>
      <c r="B144" s="412"/>
      <c r="C144" s="412"/>
      <c r="D144" s="412"/>
      <c r="E144" s="412"/>
      <c r="F144" s="412"/>
      <c r="G144" s="412"/>
      <c r="H144" s="412"/>
      <c r="I144" s="412"/>
      <c r="J144" s="412"/>
      <c r="K144" s="412"/>
      <c r="L144" s="412"/>
      <c r="M144" s="412"/>
      <c r="N144" s="412"/>
      <c r="O144" s="412"/>
      <c r="P144" s="412"/>
      <c r="Q144" s="412"/>
      <c r="R144" s="412"/>
      <c r="S144" s="412"/>
      <c r="T144" s="412"/>
      <c r="U144" s="412"/>
      <c r="V144" s="412"/>
      <c r="W144" s="412"/>
      <c r="X144" s="412"/>
      <c r="Y144" s="412"/>
      <c r="Z144" s="412"/>
    </row>
    <row r="145" spans="1:26" ht="12.75" x14ac:dyDescent="0.2">
      <c r="A145" s="412"/>
      <c r="B145" s="412"/>
      <c r="C145" s="412"/>
      <c r="D145" s="412"/>
      <c r="E145" s="412"/>
      <c r="F145" s="412"/>
      <c r="G145" s="412"/>
      <c r="H145" s="412"/>
      <c r="I145" s="412"/>
      <c r="J145" s="412"/>
      <c r="K145" s="412"/>
      <c r="L145" s="412"/>
      <c r="M145" s="412"/>
      <c r="N145" s="412"/>
      <c r="O145" s="412"/>
      <c r="P145" s="412"/>
      <c r="Q145" s="412"/>
      <c r="R145" s="412"/>
      <c r="S145" s="412"/>
      <c r="T145" s="412"/>
      <c r="U145" s="412"/>
      <c r="V145" s="412"/>
      <c r="W145" s="412"/>
      <c r="X145" s="412"/>
      <c r="Y145" s="412"/>
      <c r="Z145" s="412"/>
    </row>
    <row r="146" spans="1:26" ht="12.75" x14ac:dyDescent="0.2">
      <c r="A146" s="412"/>
      <c r="B146" s="412"/>
      <c r="C146" s="412"/>
      <c r="D146" s="412"/>
      <c r="E146" s="412"/>
      <c r="F146" s="412"/>
      <c r="G146" s="412"/>
      <c r="H146" s="412"/>
      <c r="I146" s="412"/>
      <c r="J146" s="412"/>
      <c r="K146" s="412"/>
      <c r="L146" s="412"/>
      <c r="M146" s="412"/>
      <c r="N146" s="412"/>
      <c r="O146" s="412"/>
      <c r="P146" s="412"/>
      <c r="Q146" s="412"/>
      <c r="R146" s="412"/>
      <c r="S146" s="412"/>
      <c r="T146" s="412"/>
      <c r="U146" s="412"/>
      <c r="V146" s="412"/>
      <c r="W146" s="412"/>
      <c r="X146" s="412"/>
      <c r="Y146" s="412"/>
      <c r="Z146" s="412"/>
    </row>
    <row r="147" spans="1:26" ht="12.75" x14ac:dyDescent="0.2">
      <c r="A147" s="412"/>
      <c r="B147" s="412"/>
      <c r="C147" s="412"/>
      <c r="D147" s="412"/>
      <c r="E147" s="412"/>
      <c r="F147" s="412"/>
      <c r="G147" s="412"/>
      <c r="H147" s="412"/>
      <c r="I147" s="412"/>
      <c r="J147" s="412"/>
      <c r="K147" s="412"/>
      <c r="L147" s="412"/>
      <c r="M147" s="412"/>
      <c r="N147" s="412"/>
      <c r="O147" s="412"/>
      <c r="P147" s="412"/>
      <c r="Q147" s="412"/>
      <c r="R147" s="412"/>
      <c r="S147" s="412"/>
      <c r="T147" s="412"/>
      <c r="U147" s="412"/>
      <c r="V147" s="412"/>
      <c r="W147" s="412"/>
      <c r="X147" s="412"/>
      <c r="Y147" s="412"/>
      <c r="Z147" s="412"/>
    </row>
    <row r="148" spans="1:26" ht="12.75" x14ac:dyDescent="0.2">
      <c r="A148" s="412"/>
      <c r="B148" s="412"/>
      <c r="C148" s="412"/>
      <c r="D148" s="412"/>
      <c r="E148" s="412"/>
      <c r="F148" s="412"/>
      <c r="G148" s="412"/>
      <c r="H148" s="412"/>
      <c r="I148" s="412"/>
      <c r="J148" s="412"/>
      <c r="K148" s="412"/>
      <c r="L148" s="412"/>
      <c r="M148" s="412"/>
      <c r="N148" s="412"/>
      <c r="O148" s="412"/>
      <c r="P148" s="412"/>
      <c r="Q148" s="412"/>
      <c r="R148" s="412"/>
      <c r="S148" s="412"/>
      <c r="T148" s="412"/>
      <c r="U148" s="412"/>
      <c r="V148" s="412"/>
      <c r="W148" s="412"/>
      <c r="X148" s="412"/>
      <c r="Y148" s="412"/>
      <c r="Z148" s="412"/>
    </row>
    <row r="149" spans="1:26" ht="12.75" x14ac:dyDescent="0.2">
      <c r="A149" s="412"/>
      <c r="B149" s="412"/>
      <c r="C149" s="412"/>
      <c r="D149" s="412"/>
      <c r="E149" s="412"/>
      <c r="F149" s="412"/>
      <c r="G149" s="412"/>
      <c r="H149" s="412"/>
      <c r="I149" s="412"/>
      <c r="J149" s="412"/>
      <c r="K149" s="412"/>
      <c r="L149" s="412"/>
      <c r="M149" s="412"/>
      <c r="N149" s="412"/>
      <c r="O149" s="412"/>
      <c r="P149" s="412"/>
      <c r="Q149" s="412"/>
      <c r="R149" s="412"/>
      <c r="S149" s="412"/>
      <c r="T149" s="412"/>
      <c r="U149" s="412"/>
      <c r="V149" s="412"/>
      <c r="W149" s="412"/>
      <c r="X149" s="412"/>
      <c r="Y149" s="412"/>
      <c r="Z149" s="412"/>
    </row>
    <row r="150" spans="1:26" ht="12.75" x14ac:dyDescent="0.2">
      <c r="A150" s="412"/>
      <c r="B150" s="412"/>
      <c r="C150" s="412"/>
      <c r="D150" s="412"/>
      <c r="E150" s="412"/>
      <c r="F150" s="412"/>
      <c r="G150" s="412"/>
      <c r="H150" s="412"/>
      <c r="I150" s="412"/>
      <c r="J150" s="412"/>
      <c r="K150" s="412"/>
      <c r="L150" s="412"/>
      <c r="M150" s="412"/>
      <c r="N150" s="412"/>
      <c r="O150" s="412"/>
      <c r="P150" s="412"/>
      <c r="Q150" s="412"/>
      <c r="R150" s="412"/>
      <c r="S150" s="412"/>
      <c r="T150" s="412"/>
      <c r="U150" s="412"/>
      <c r="V150" s="412"/>
      <c r="W150" s="412"/>
      <c r="X150" s="412"/>
      <c r="Y150" s="412"/>
      <c r="Z150" s="412"/>
    </row>
    <row r="151" spans="1:26" ht="12.75" x14ac:dyDescent="0.2">
      <c r="A151" s="412"/>
      <c r="B151" s="412"/>
      <c r="C151" s="412"/>
      <c r="D151" s="412"/>
      <c r="E151" s="412"/>
      <c r="F151" s="412"/>
      <c r="G151" s="412"/>
      <c r="H151" s="412"/>
      <c r="I151" s="412"/>
      <c r="J151" s="412"/>
      <c r="K151" s="412"/>
      <c r="L151" s="412"/>
      <c r="M151" s="412"/>
      <c r="N151" s="412"/>
      <c r="O151" s="412"/>
      <c r="P151" s="412"/>
      <c r="Q151" s="412"/>
      <c r="R151" s="412"/>
      <c r="S151" s="412"/>
      <c r="T151" s="412"/>
      <c r="U151" s="412"/>
      <c r="V151" s="412"/>
      <c r="W151" s="412"/>
      <c r="X151" s="412"/>
      <c r="Y151" s="412"/>
      <c r="Z151" s="412"/>
    </row>
    <row r="152" spans="1:26" ht="12.75" x14ac:dyDescent="0.2">
      <c r="A152" s="412"/>
      <c r="B152" s="412"/>
      <c r="C152" s="412"/>
      <c r="D152" s="412"/>
      <c r="E152" s="412"/>
      <c r="F152" s="412"/>
      <c r="G152" s="412"/>
      <c r="H152" s="412"/>
      <c r="I152" s="412"/>
      <c r="J152" s="412"/>
      <c r="K152" s="412"/>
      <c r="L152" s="412"/>
      <c r="M152" s="412"/>
      <c r="N152" s="412"/>
      <c r="O152" s="412"/>
      <c r="P152" s="412"/>
      <c r="Q152" s="412"/>
      <c r="R152" s="412"/>
      <c r="S152" s="412"/>
      <c r="T152" s="412"/>
      <c r="U152" s="412"/>
      <c r="V152" s="412"/>
      <c r="W152" s="412"/>
      <c r="X152" s="412"/>
      <c r="Y152" s="412"/>
      <c r="Z152" s="412"/>
    </row>
    <row r="153" spans="1:26" ht="12.75" x14ac:dyDescent="0.2">
      <c r="A153" s="412"/>
      <c r="B153" s="412"/>
      <c r="C153" s="412"/>
      <c r="D153" s="412"/>
      <c r="E153" s="412"/>
      <c r="F153" s="412"/>
      <c r="G153" s="412"/>
      <c r="H153" s="412"/>
      <c r="I153" s="412"/>
      <c r="J153" s="412"/>
      <c r="K153" s="412"/>
      <c r="L153" s="412"/>
      <c r="M153" s="412"/>
      <c r="N153" s="412"/>
      <c r="O153" s="412"/>
      <c r="P153" s="412"/>
      <c r="Q153" s="412"/>
      <c r="R153" s="412"/>
      <c r="S153" s="412"/>
      <c r="T153" s="412"/>
      <c r="U153" s="412"/>
      <c r="V153" s="412"/>
      <c r="W153" s="412"/>
      <c r="X153" s="412"/>
      <c r="Y153" s="412"/>
      <c r="Z153" s="412"/>
    </row>
    <row r="154" spans="1:26" ht="12.75" x14ac:dyDescent="0.2">
      <c r="A154" s="412"/>
      <c r="B154" s="412"/>
      <c r="C154" s="412"/>
      <c r="D154" s="412"/>
      <c r="E154" s="412"/>
      <c r="F154" s="412"/>
      <c r="G154" s="412"/>
      <c r="H154" s="412"/>
      <c r="I154" s="412"/>
      <c r="J154" s="412"/>
      <c r="K154" s="412"/>
      <c r="L154" s="412"/>
      <c r="M154" s="412"/>
      <c r="N154" s="412"/>
      <c r="O154" s="412"/>
      <c r="P154" s="412"/>
      <c r="Q154" s="412"/>
      <c r="R154" s="412"/>
      <c r="S154" s="412"/>
      <c r="T154" s="412"/>
      <c r="U154" s="412"/>
      <c r="V154" s="412"/>
      <c r="W154" s="412"/>
      <c r="X154" s="412"/>
      <c r="Y154" s="412"/>
      <c r="Z154" s="412"/>
    </row>
    <row r="155" spans="1:26" ht="12.75" x14ac:dyDescent="0.2">
      <c r="A155" s="412"/>
      <c r="B155" s="412"/>
      <c r="C155" s="412"/>
      <c r="D155" s="412"/>
      <c r="E155" s="412"/>
      <c r="F155" s="412"/>
      <c r="G155" s="412"/>
      <c r="H155" s="412"/>
      <c r="I155" s="412"/>
      <c r="J155" s="412"/>
      <c r="K155" s="412"/>
      <c r="L155" s="412"/>
      <c r="M155" s="412"/>
      <c r="N155" s="412"/>
      <c r="O155" s="412"/>
      <c r="P155" s="412"/>
      <c r="Q155" s="412"/>
      <c r="R155" s="412"/>
      <c r="S155" s="412"/>
      <c r="T155" s="412"/>
      <c r="U155" s="412"/>
      <c r="V155" s="412"/>
      <c r="W155" s="412"/>
      <c r="X155" s="412"/>
      <c r="Y155" s="412"/>
      <c r="Z155" s="412"/>
    </row>
    <row r="156" spans="1:26" ht="12.75" x14ac:dyDescent="0.2">
      <c r="A156" s="412"/>
      <c r="B156" s="412"/>
      <c r="C156" s="412"/>
      <c r="D156" s="412"/>
      <c r="E156" s="412"/>
      <c r="F156" s="412"/>
      <c r="G156" s="412"/>
      <c r="H156" s="412"/>
      <c r="I156" s="412"/>
      <c r="J156" s="412"/>
      <c r="K156" s="412"/>
      <c r="L156" s="412"/>
      <c r="M156" s="412"/>
      <c r="N156" s="412"/>
      <c r="O156" s="412"/>
      <c r="P156" s="412"/>
      <c r="Q156" s="412"/>
      <c r="R156" s="412"/>
      <c r="S156" s="412"/>
      <c r="T156" s="412"/>
      <c r="U156" s="412"/>
      <c r="V156" s="412"/>
      <c r="W156" s="412"/>
      <c r="X156" s="412"/>
      <c r="Y156" s="412"/>
      <c r="Z156" s="412"/>
    </row>
    <row r="157" spans="1:26" ht="12.75" x14ac:dyDescent="0.2">
      <c r="A157" s="412"/>
      <c r="B157" s="412"/>
      <c r="C157" s="412"/>
      <c r="D157" s="412"/>
      <c r="E157" s="412"/>
      <c r="F157" s="412"/>
      <c r="G157" s="412"/>
      <c r="H157" s="412"/>
      <c r="I157" s="412"/>
      <c r="J157" s="412"/>
      <c r="K157" s="412"/>
      <c r="L157" s="412"/>
      <c r="M157" s="412"/>
      <c r="N157" s="412"/>
      <c r="O157" s="412"/>
      <c r="P157" s="412"/>
      <c r="Q157" s="412"/>
      <c r="R157" s="412"/>
      <c r="S157" s="412"/>
      <c r="T157" s="412"/>
      <c r="U157" s="412"/>
      <c r="V157" s="412"/>
      <c r="W157" s="412"/>
      <c r="X157" s="412"/>
      <c r="Y157" s="412"/>
      <c r="Z157" s="412"/>
    </row>
    <row r="158" spans="1:26" ht="12.75" x14ac:dyDescent="0.2">
      <c r="A158" s="412"/>
      <c r="B158" s="412"/>
      <c r="C158" s="412"/>
      <c r="D158" s="412"/>
      <c r="E158" s="412"/>
      <c r="F158" s="412"/>
      <c r="G158" s="412"/>
      <c r="H158" s="412"/>
      <c r="I158" s="412"/>
      <c r="J158" s="412"/>
      <c r="K158" s="412"/>
      <c r="L158" s="412"/>
      <c r="M158" s="412"/>
      <c r="N158" s="412"/>
      <c r="O158" s="412"/>
      <c r="P158" s="412"/>
      <c r="Q158" s="412"/>
      <c r="R158" s="412"/>
      <c r="S158" s="412"/>
      <c r="T158" s="412"/>
      <c r="U158" s="412"/>
      <c r="V158" s="412"/>
      <c r="W158" s="412"/>
      <c r="X158" s="412"/>
      <c r="Y158" s="412"/>
      <c r="Z158" s="412"/>
    </row>
    <row r="159" spans="1:26" ht="12.75" x14ac:dyDescent="0.2">
      <c r="A159" s="412"/>
      <c r="B159" s="412"/>
      <c r="C159" s="412"/>
      <c r="D159" s="412"/>
      <c r="E159" s="412"/>
      <c r="F159" s="412"/>
      <c r="G159" s="412"/>
      <c r="H159" s="412"/>
      <c r="I159" s="412"/>
      <c r="J159" s="412"/>
      <c r="K159" s="412"/>
      <c r="L159" s="412"/>
      <c r="M159" s="412"/>
      <c r="N159" s="412"/>
      <c r="O159" s="412"/>
      <c r="P159" s="412"/>
      <c r="Q159" s="412"/>
      <c r="R159" s="412"/>
      <c r="S159" s="412"/>
      <c r="T159" s="412"/>
      <c r="U159" s="412"/>
      <c r="V159" s="412"/>
      <c r="W159" s="412"/>
      <c r="X159" s="412"/>
      <c r="Y159" s="412"/>
      <c r="Z159" s="412"/>
    </row>
    <row r="160" spans="1:26" ht="12.75" x14ac:dyDescent="0.2">
      <c r="A160" s="412"/>
      <c r="B160" s="412"/>
      <c r="C160" s="412"/>
      <c r="D160" s="412"/>
      <c r="E160" s="412"/>
      <c r="F160" s="412"/>
      <c r="G160" s="412"/>
      <c r="H160" s="412"/>
      <c r="I160" s="412"/>
      <c r="J160" s="412"/>
      <c r="K160" s="412"/>
      <c r="L160" s="412"/>
      <c r="M160" s="412"/>
      <c r="N160" s="412"/>
      <c r="O160" s="412"/>
      <c r="P160" s="412"/>
      <c r="Q160" s="412"/>
      <c r="R160" s="412"/>
      <c r="S160" s="412"/>
      <c r="T160" s="412"/>
      <c r="U160" s="412"/>
      <c r="V160" s="412"/>
      <c r="W160" s="412"/>
      <c r="X160" s="412"/>
      <c r="Y160" s="412"/>
      <c r="Z160" s="412"/>
    </row>
    <row r="161" spans="1:26" ht="12.75" x14ac:dyDescent="0.2">
      <c r="A161" s="412"/>
      <c r="B161" s="412"/>
      <c r="C161" s="412"/>
      <c r="D161" s="412"/>
      <c r="E161" s="412"/>
      <c r="F161" s="412"/>
      <c r="G161" s="412"/>
      <c r="H161" s="412"/>
      <c r="I161" s="412"/>
      <c r="J161" s="412"/>
      <c r="K161" s="412"/>
      <c r="L161" s="412"/>
      <c r="M161" s="412"/>
      <c r="N161" s="412"/>
      <c r="O161" s="412"/>
      <c r="P161" s="412"/>
      <c r="Q161" s="412"/>
      <c r="R161" s="412"/>
      <c r="S161" s="412"/>
      <c r="T161" s="412"/>
      <c r="U161" s="412"/>
      <c r="V161" s="412"/>
      <c r="W161" s="412"/>
      <c r="X161" s="412"/>
      <c r="Y161" s="412"/>
      <c r="Z161" s="412"/>
    </row>
    <row r="162" spans="1:26" ht="12.75" x14ac:dyDescent="0.2">
      <c r="A162" s="412"/>
      <c r="B162" s="412"/>
      <c r="C162" s="412"/>
      <c r="D162" s="412"/>
      <c r="E162" s="412"/>
      <c r="F162" s="412"/>
      <c r="G162" s="412"/>
      <c r="H162" s="412"/>
      <c r="I162" s="412"/>
      <c r="J162" s="412"/>
      <c r="K162" s="412"/>
      <c r="L162" s="412"/>
      <c r="M162" s="412"/>
      <c r="N162" s="412"/>
      <c r="O162" s="412"/>
      <c r="P162" s="412"/>
      <c r="Q162" s="412"/>
      <c r="R162" s="412"/>
      <c r="S162" s="412"/>
      <c r="T162" s="412"/>
      <c r="U162" s="412"/>
      <c r="V162" s="412"/>
      <c r="W162" s="412"/>
      <c r="X162" s="412"/>
      <c r="Y162" s="412"/>
      <c r="Z162" s="412"/>
    </row>
    <row r="163" spans="1:26" ht="12.75" x14ac:dyDescent="0.2">
      <c r="A163" s="412"/>
      <c r="B163" s="412"/>
      <c r="C163" s="412"/>
      <c r="D163" s="412"/>
      <c r="E163" s="412"/>
      <c r="F163" s="412"/>
      <c r="G163" s="412"/>
      <c r="H163" s="412"/>
      <c r="I163" s="412"/>
      <c r="J163" s="412"/>
      <c r="K163" s="412"/>
      <c r="L163" s="412"/>
      <c r="M163" s="412"/>
      <c r="N163" s="412"/>
      <c r="O163" s="412"/>
      <c r="P163" s="412"/>
      <c r="Q163" s="412"/>
      <c r="R163" s="412"/>
      <c r="S163" s="412"/>
      <c r="T163" s="412"/>
      <c r="U163" s="412"/>
      <c r="V163" s="412"/>
      <c r="W163" s="412"/>
      <c r="X163" s="412"/>
      <c r="Y163" s="412"/>
      <c r="Z163" s="412"/>
    </row>
    <row r="164" spans="1:26" ht="12.75" x14ac:dyDescent="0.2">
      <c r="A164" s="412"/>
      <c r="B164" s="412"/>
      <c r="C164" s="412"/>
      <c r="D164" s="412"/>
      <c r="E164" s="412"/>
      <c r="F164" s="412"/>
      <c r="G164" s="412"/>
      <c r="H164" s="412"/>
      <c r="I164" s="412"/>
      <c r="J164" s="412"/>
      <c r="K164" s="412"/>
      <c r="L164" s="412"/>
      <c r="M164" s="412"/>
      <c r="N164" s="412"/>
      <c r="O164" s="412"/>
      <c r="P164" s="412"/>
      <c r="Q164" s="412"/>
      <c r="R164" s="412"/>
      <c r="S164" s="412"/>
      <c r="T164" s="412"/>
      <c r="U164" s="412"/>
      <c r="V164" s="412"/>
      <c r="W164" s="412"/>
      <c r="X164" s="412"/>
      <c r="Y164" s="412"/>
      <c r="Z164" s="412"/>
    </row>
    <row r="165" spans="1:26" ht="12.75" x14ac:dyDescent="0.2">
      <c r="A165" s="412"/>
      <c r="B165" s="412"/>
      <c r="C165" s="412"/>
      <c r="D165" s="412"/>
      <c r="E165" s="412"/>
      <c r="F165" s="412"/>
      <c r="G165" s="412"/>
      <c r="H165" s="412"/>
      <c r="I165" s="412"/>
      <c r="J165" s="412"/>
      <c r="K165" s="412"/>
      <c r="L165" s="412"/>
      <c r="M165" s="412"/>
      <c r="N165" s="412"/>
      <c r="O165" s="412"/>
      <c r="P165" s="412"/>
      <c r="Q165" s="412"/>
      <c r="R165" s="412"/>
      <c r="S165" s="412"/>
      <c r="T165" s="412"/>
      <c r="U165" s="412"/>
      <c r="V165" s="412"/>
      <c r="W165" s="412"/>
      <c r="X165" s="412"/>
      <c r="Y165" s="412"/>
      <c r="Z165" s="412"/>
    </row>
    <row r="166" spans="1:26" ht="12.75" x14ac:dyDescent="0.2">
      <c r="A166" s="412"/>
      <c r="B166" s="412"/>
      <c r="C166" s="412"/>
      <c r="D166" s="412"/>
      <c r="E166" s="412"/>
      <c r="F166" s="412"/>
      <c r="G166" s="412"/>
      <c r="H166" s="412"/>
      <c r="I166" s="412"/>
      <c r="J166" s="412"/>
      <c r="K166" s="412"/>
      <c r="L166" s="412"/>
      <c r="M166" s="412"/>
      <c r="N166" s="412"/>
      <c r="O166" s="412"/>
      <c r="P166" s="412"/>
      <c r="Q166" s="412"/>
      <c r="R166" s="412"/>
      <c r="S166" s="412"/>
      <c r="T166" s="412"/>
      <c r="U166" s="412"/>
      <c r="V166" s="412"/>
      <c r="W166" s="412"/>
      <c r="X166" s="412"/>
      <c r="Y166" s="412"/>
      <c r="Z166" s="412"/>
    </row>
    <row r="167" spans="1:26" ht="12.75" x14ac:dyDescent="0.2">
      <c r="A167" s="412"/>
      <c r="B167" s="412"/>
      <c r="C167" s="412"/>
      <c r="D167" s="412"/>
      <c r="E167" s="412"/>
      <c r="F167" s="412"/>
      <c r="G167" s="412"/>
      <c r="H167" s="412"/>
      <c r="I167" s="412"/>
      <c r="J167" s="412"/>
      <c r="K167" s="412"/>
      <c r="L167" s="412"/>
      <c r="M167" s="412"/>
      <c r="N167" s="412"/>
      <c r="O167" s="412"/>
      <c r="P167" s="412"/>
      <c r="Q167" s="412"/>
      <c r="R167" s="412"/>
      <c r="S167" s="412"/>
      <c r="T167" s="412"/>
      <c r="U167" s="412"/>
      <c r="V167" s="412"/>
      <c r="W167" s="412"/>
      <c r="X167" s="412"/>
      <c r="Y167" s="412"/>
      <c r="Z167" s="412"/>
    </row>
    <row r="168" spans="1:26" ht="12.75" x14ac:dyDescent="0.2">
      <c r="A168" s="412"/>
      <c r="B168" s="412"/>
      <c r="C168" s="412"/>
      <c r="D168" s="412"/>
      <c r="E168" s="412"/>
      <c r="F168" s="412"/>
      <c r="G168" s="412"/>
      <c r="H168" s="412"/>
      <c r="I168" s="412"/>
      <c r="J168" s="412"/>
      <c r="K168" s="412"/>
      <c r="L168" s="412"/>
      <c r="M168" s="412"/>
      <c r="N168" s="412"/>
      <c r="O168" s="412"/>
      <c r="P168" s="412"/>
      <c r="Q168" s="412"/>
      <c r="R168" s="412"/>
      <c r="S168" s="412"/>
      <c r="T168" s="412"/>
      <c r="U168" s="412"/>
      <c r="V168" s="412"/>
      <c r="W168" s="412"/>
      <c r="X168" s="412"/>
      <c r="Y168" s="412"/>
      <c r="Z168" s="412"/>
    </row>
    <row r="169" spans="1:26" ht="12.75" x14ac:dyDescent="0.2">
      <c r="A169" s="412"/>
      <c r="B169" s="412"/>
      <c r="C169" s="412"/>
      <c r="D169" s="412"/>
      <c r="E169" s="412"/>
      <c r="F169" s="412"/>
      <c r="G169" s="412"/>
      <c r="H169" s="412"/>
      <c r="I169" s="412"/>
      <c r="J169" s="412"/>
      <c r="K169" s="412"/>
      <c r="L169" s="412"/>
      <c r="M169" s="412"/>
      <c r="N169" s="412"/>
      <c r="O169" s="412"/>
      <c r="P169" s="412"/>
      <c r="Q169" s="412"/>
      <c r="R169" s="412"/>
      <c r="S169" s="412"/>
      <c r="T169" s="412"/>
      <c r="U169" s="412"/>
      <c r="V169" s="412"/>
      <c r="W169" s="412"/>
      <c r="X169" s="412"/>
      <c r="Y169" s="412"/>
      <c r="Z169" s="412"/>
    </row>
    <row r="170" spans="1:26" ht="12.75" x14ac:dyDescent="0.2">
      <c r="A170" s="412"/>
      <c r="B170" s="412"/>
      <c r="C170" s="412"/>
      <c r="D170" s="412"/>
      <c r="E170" s="412"/>
      <c r="F170" s="412"/>
      <c r="G170" s="412"/>
      <c r="H170" s="412"/>
      <c r="I170" s="412"/>
      <c r="J170" s="412"/>
      <c r="K170" s="412"/>
      <c r="L170" s="412"/>
      <c r="M170" s="412"/>
      <c r="N170" s="412"/>
      <c r="O170" s="412"/>
      <c r="P170" s="412"/>
      <c r="Q170" s="412"/>
      <c r="R170" s="412"/>
      <c r="S170" s="412"/>
      <c r="T170" s="412"/>
      <c r="U170" s="412"/>
      <c r="V170" s="412"/>
      <c r="W170" s="412"/>
      <c r="X170" s="412"/>
      <c r="Y170" s="412"/>
      <c r="Z170" s="412"/>
    </row>
    <row r="171" spans="1:26" ht="12.75" x14ac:dyDescent="0.2">
      <c r="A171" s="412"/>
      <c r="B171" s="412"/>
      <c r="C171" s="412"/>
      <c r="D171" s="412"/>
      <c r="E171" s="412"/>
      <c r="F171" s="412"/>
      <c r="G171" s="412"/>
      <c r="H171" s="412"/>
      <c r="I171" s="412"/>
      <c r="J171" s="412"/>
      <c r="K171" s="412"/>
      <c r="L171" s="412"/>
      <c r="M171" s="412"/>
      <c r="N171" s="412"/>
      <c r="O171" s="412"/>
      <c r="P171" s="412"/>
      <c r="Q171" s="412"/>
      <c r="R171" s="412"/>
      <c r="S171" s="412"/>
      <c r="T171" s="412"/>
      <c r="U171" s="412"/>
      <c r="V171" s="412"/>
      <c r="W171" s="412"/>
      <c r="X171" s="412"/>
      <c r="Y171" s="412"/>
      <c r="Z171" s="412"/>
    </row>
    <row r="172" spans="1:26" ht="12.75" x14ac:dyDescent="0.2">
      <c r="A172" s="412"/>
      <c r="B172" s="412"/>
      <c r="C172" s="412"/>
      <c r="D172" s="412"/>
      <c r="E172" s="412"/>
      <c r="F172" s="412"/>
      <c r="G172" s="412"/>
      <c r="H172" s="412"/>
      <c r="I172" s="412"/>
      <c r="J172" s="412"/>
      <c r="K172" s="412"/>
      <c r="L172" s="412"/>
      <c r="M172" s="412"/>
      <c r="N172" s="412"/>
      <c r="O172" s="412"/>
      <c r="P172" s="412"/>
      <c r="Q172" s="412"/>
      <c r="R172" s="412"/>
      <c r="S172" s="412"/>
      <c r="T172" s="412"/>
      <c r="U172" s="412"/>
      <c r="V172" s="412"/>
      <c r="W172" s="412"/>
      <c r="X172" s="412"/>
      <c r="Y172" s="412"/>
      <c r="Z172" s="412"/>
    </row>
    <row r="173" spans="1:26" ht="12.75" x14ac:dyDescent="0.2">
      <c r="A173" s="412"/>
      <c r="B173" s="412"/>
      <c r="C173" s="412"/>
      <c r="D173" s="412"/>
      <c r="E173" s="412"/>
      <c r="F173" s="412"/>
      <c r="G173" s="412"/>
      <c r="H173" s="412"/>
      <c r="I173" s="412"/>
      <c r="J173" s="412"/>
      <c r="K173" s="412"/>
      <c r="L173" s="412"/>
      <c r="M173" s="412"/>
      <c r="N173" s="412"/>
      <c r="O173" s="412"/>
      <c r="P173" s="412"/>
      <c r="Q173" s="412"/>
      <c r="R173" s="412"/>
      <c r="S173" s="412"/>
      <c r="T173" s="412"/>
      <c r="U173" s="412"/>
      <c r="V173" s="412"/>
      <c r="W173" s="412"/>
      <c r="X173" s="412"/>
      <c r="Y173" s="412"/>
      <c r="Z173" s="412"/>
    </row>
    <row r="174" spans="1:26" ht="12.75" x14ac:dyDescent="0.2">
      <c r="A174" s="412"/>
      <c r="B174" s="412"/>
      <c r="C174" s="412"/>
      <c r="D174" s="412"/>
      <c r="E174" s="412"/>
      <c r="F174" s="412"/>
      <c r="G174" s="412"/>
      <c r="H174" s="412"/>
      <c r="I174" s="412"/>
      <c r="J174" s="412"/>
      <c r="K174" s="412"/>
      <c r="L174" s="412"/>
      <c r="M174" s="412"/>
      <c r="N174" s="412"/>
      <c r="O174" s="412"/>
      <c r="P174" s="412"/>
      <c r="Q174" s="412"/>
      <c r="R174" s="412"/>
      <c r="S174" s="412"/>
      <c r="T174" s="412"/>
      <c r="U174" s="412"/>
      <c r="V174" s="412"/>
      <c r="W174" s="412"/>
      <c r="X174" s="412"/>
      <c r="Y174" s="412"/>
      <c r="Z174" s="412"/>
    </row>
    <row r="175" spans="1:26" ht="12.75" x14ac:dyDescent="0.2">
      <c r="A175" s="412"/>
      <c r="B175" s="412"/>
      <c r="C175" s="412"/>
      <c r="D175" s="412"/>
      <c r="E175" s="412"/>
      <c r="F175" s="412"/>
      <c r="G175" s="412"/>
      <c r="H175" s="412"/>
      <c r="I175" s="412"/>
      <c r="J175" s="412"/>
      <c r="K175" s="412"/>
      <c r="L175" s="412"/>
      <c r="M175" s="412"/>
      <c r="N175" s="412"/>
      <c r="O175" s="412"/>
      <c r="P175" s="412"/>
      <c r="Q175" s="412"/>
      <c r="R175" s="412"/>
      <c r="S175" s="412"/>
      <c r="T175" s="412"/>
      <c r="U175" s="412"/>
      <c r="V175" s="412"/>
      <c r="W175" s="412"/>
      <c r="X175" s="412"/>
      <c r="Y175" s="412"/>
      <c r="Z175" s="412"/>
    </row>
    <row r="176" spans="1:26" ht="12.75" x14ac:dyDescent="0.2">
      <c r="A176" s="412"/>
      <c r="B176" s="412"/>
      <c r="C176" s="412"/>
      <c r="D176" s="412"/>
      <c r="E176" s="412"/>
      <c r="F176" s="412"/>
      <c r="G176" s="412"/>
      <c r="H176" s="412"/>
      <c r="I176" s="412"/>
      <c r="J176" s="412"/>
      <c r="K176" s="412"/>
      <c r="L176" s="412"/>
      <c r="M176" s="412"/>
      <c r="N176" s="412"/>
      <c r="O176" s="412"/>
      <c r="P176" s="412"/>
      <c r="Q176" s="412"/>
      <c r="R176" s="412"/>
      <c r="S176" s="412"/>
      <c r="T176" s="412"/>
      <c r="U176" s="412"/>
      <c r="V176" s="412"/>
      <c r="W176" s="412"/>
      <c r="X176" s="412"/>
      <c r="Y176" s="412"/>
      <c r="Z176" s="412"/>
    </row>
    <row r="177" spans="1:26" ht="12.75" x14ac:dyDescent="0.2">
      <c r="A177" s="412"/>
      <c r="B177" s="412"/>
      <c r="C177" s="412"/>
      <c r="D177" s="412"/>
      <c r="E177" s="412"/>
      <c r="F177" s="412"/>
      <c r="G177" s="412"/>
      <c r="H177" s="412"/>
      <c r="I177" s="412"/>
      <c r="J177" s="412"/>
      <c r="K177" s="412"/>
      <c r="L177" s="412"/>
      <c r="M177" s="412"/>
      <c r="N177" s="412"/>
      <c r="O177" s="412"/>
      <c r="P177" s="412"/>
      <c r="Q177" s="412"/>
      <c r="R177" s="412"/>
      <c r="S177" s="412"/>
      <c r="T177" s="412"/>
      <c r="U177" s="412"/>
      <c r="V177" s="412"/>
      <c r="W177" s="412"/>
      <c r="X177" s="412"/>
      <c r="Y177" s="412"/>
      <c r="Z177" s="412"/>
    </row>
    <row r="178" spans="1:26" ht="12.75" x14ac:dyDescent="0.2">
      <c r="A178" s="412"/>
      <c r="B178" s="412"/>
      <c r="C178" s="412"/>
      <c r="D178" s="412"/>
      <c r="E178" s="412"/>
      <c r="F178" s="412"/>
      <c r="G178" s="412"/>
      <c r="H178" s="412"/>
      <c r="I178" s="412"/>
      <c r="J178" s="412"/>
      <c r="K178" s="412"/>
      <c r="L178" s="412"/>
      <c r="M178" s="412"/>
      <c r="N178" s="412"/>
      <c r="O178" s="412"/>
      <c r="P178" s="412"/>
      <c r="Q178" s="412"/>
      <c r="R178" s="412"/>
      <c r="S178" s="412"/>
      <c r="T178" s="412"/>
      <c r="U178" s="412"/>
      <c r="V178" s="412"/>
      <c r="W178" s="412"/>
      <c r="X178" s="412"/>
      <c r="Y178" s="412"/>
      <c r="Z178" s="412"/>
    </row>
    <row r="179" spans="1:26" ht="12.75" x14ac:dyDescent="0.2">
      <c r="A179" s="412"/>
      <c r="B179" s="412"/>
      <c r="C179" s="412"/>
      <c r="D179" s="412"/>
      <c r="E179" s="412"/>
      <c r="F179" s="412"/>
      <c r="G179" s="412"/>
      <c r="H179" s="412"/>
      <c r="I179" s="412"/>
      <c r="J179" s="412"/>
      <c r="K179" s="412"/>
      <c r="L179" s="412"/>
      <c r="M179" s="412"/>
      <c r="N179" s="412"/>
      <c r="O179" s="412"/>
      <c r="P179" s="412"/>
      <c r="Q179" s="412"/>
      <c r="R179" s="412"/>
      <c r="S179" s="412"/>
      <c r="T179" s="412"/>
      <c r="U179" s="412"/>
      <c r="V179" s="412"/>
      <c r="W179" s="412"/>
      <c r="X179" s="412"/>
      <c r="Y179" s="412"/>
      <c r="Z179" s="412"/>
    </row>
    <row r="180" spans="1:26" ht="12.75" x14ac:dyDescent="0.2">
      <c r="A180" s="412"/>
      <c r="B180" s="412"/>
      <c r="C180" s="412"/>
      <c r="D180" s="412"/>
      <c r="E180" s="412"/>
      <c r="F180" s="412"/>
      <c r="G180" s="412"/>
      <c r="H180" s="412"/>
      <c r="I180" s="412"/>
      <c r="J180" s="412"/>
      <c r="K180" s="412"/>
      <c r="L180" s="412"/>
      <c r="M180" s="412"/>
      <c r="N180" s="412"/>
      <c r="O180" s="412"/>
      <c r="P180" s="412"/>
      <c r="Q180" s="412"/>
      <c r="R180" s="412"/>
      <c r="S180" s="412"/>
      <c r="T180" s="412"/>
      <c r="U180" s="412"/>
      <c r="V180" s="412"/>
      <c r="W180" s="412"/>
      <c r="X180" s="412"/>
      <c r="Y180" s="412"/>
      <c r="Z180" s="412"/>
    </row>
    <row r="181" spans="1:26" ht="12.75" x14ac:dyDescent="0.2">
      <c r="A181" s="412"/>
      <c r="B181" s="412"/>
      <c r="C181" s="412"/>
      <c r="D181" s="412"/>
      <c r="E181" s="412"/>
      <c r="F181" s="412"/>
      <c r="G181" s="412"/>
      <c r="H181" s="412"/>
      <c r="I181" s="412"/>
      <c r="J181" s="412"/>
      <c r="K181" s="412"/>
      <c r="L181" s="412"/>
      <c r="M181" s="412"/>
      <c r="N181" s="412"/>
      <c r="O181" s="412"/>
      <c r="P181" s="412"/>
      <c r="Q181" s="412"/>
      <c r="R181" s="412"/>
      <c r="S181" s="412"/>
      <c r="T181" s="412"/>
      <c r="U181" s="412"/>
      <c r="V181" s="412"/>
      <c r="W181" s="412"/>
      <c r="X181" s="412"/>
      <c r="Y181" s="412"/>
      <c r="Z181" s="412"/>
    </row>
    <row r="182" spans="1:26" ht="12.75" x14ac:dyDescent="0.2">
      <c r="A182" s="412"/>
      <c r="B182" s="412"/>
      <c r="C182" s="412"/>
      <c r="D182" s="412"/>
      <c r="E182" s="412"/>
      <c r="F182" s="412"/>
      <c r="G182" s="412"/>
      <c r="H182" s="412"/>
      <c r="I182" s="412"/>
      <c r="J182" s="412"/>
      <c r="K182" s="412"/>
      <c r="L182" s="412"/>
      <c r="M182" s="412"/>
      <c r="N182" s="412"/>
      <c r="O182" s="412"/>
      <c r="P182" s="412"/>
      <c r="Q182" s="412"/>
      <c r="R182" s="412"/>
      <c r="S182" s="412"/>
      <c r="T182" s="412"/>
      <c r="U182" s="412"/>
      <c r="V182" s="412"/>
      <c r="W182" s="412"/>
      <c r="X182" s="412"/>
      <c r="Y182" s="412"/>
      <c r="Z182" s="412"/>
    </row>
    <row r="183" spans="1:26" ht="12.75" x14ac:dyDescent="0.2">
      <c r="A183" s="412"/>
      <c r="B183" s="412"/>
      <c r="C183" s="412"/>
      <c r="D183" s="412"/>
      <c r="E183" s="412"/>
      <c r="F183" s="412"/>
      <c r="G183" s="412"/>
      <c r="H183" s="412"/>
      <c r="I183" s="412"/>
      <c r="J183" s="412"/>
      <c r="K183" s="412"/>
      <c r="L183" s="412"/>
      <c r="M183" s="412"/>
      <c r="N183" s="412"/>
      <c r="O183" s="412"/>
      <c r="P183" s="412"/>
      <c r="Q183" s="412"/>
      <c r="R183" s="412"/>
      <c r="S183" s="412"/>
      <c r="T183" s="412"/>
      <c r="U183" s="412"/>
      <c r="V183" s="412"/>
      <c r="W183" s="412"/>
      <c r="X183" s="412"/>
      <c r="Y183" s="412"/>
      <c r="Z183" s="412"/>
    </row>
    <row r="184" spans="1:26" ht="12.75" x14ac:dyDescent="0.2">
      <c r="A184" s="412"/>
      <c r="B184" s="412"/>
      <c r="C184" s="412"/>
      <c r="D184" s="412"/>
      <c r="E184" s="412"/>
      <c r="F184" s="412"/>
      <c r="G184" s="412"/>
      <c r="H184" s="412"/>
      <c r="I184" s="412"/>
      <c r="J184" s="412"/>
      <c r="K184" s="412"/>
      <c r="L184" s="412"/>
      <c r="M184" s="412"/>
      <c r="N184" s="412"/>
      <c r="O184" s="412"/>
      <c r="P184" s="412"/>
      <c r="Q184" s="412"/>
      <c r="R184" s="412"/>
      <c r="S184" s="412"/>
      <c r="T184" s="412"/>
      <c r="U184" s="412"/>
      <c r="V184" s="412"/>
      <c r="W184" s="412"/>
      <c r="X184" s="412"/>
      <c r="Y184" s="412"/>
      <c r="Z184" s="412"/>
    </row>
    <row r="185" spans="1:26" ht="12.75" x14ac:dyDescent="0.2">
      <c r="A185" s="412"/>
      <c r="B185" s="412"/>
      <c r="C185" s="412"/>
      <c r="D185" s="412"/>
      <c r="E185" s="412"/>
      <c r="F185" s="412"/>
      <c r="G185" s="412"/>
      <c r="H185" s="412"/>
      <c r="I185" s="412"/>
      <c r="J185" s="412"/>
      <c r="K185" s="412"/>
      <c r="L185" s="412"/>
      <c r="M185" s="412"/>
      <c r="N185" s="412"/>
      <c r="O185" s="412"/>
      <c r="P185" s="412"/>
      <c r="Q185" s="412"/>
      <c r="R185" s="412"/>
      <c r="S185" s="412"/>
      <c r="T185" s="412"/>
      <c r="U185" s="412"/>
      <c r="V185" s="412"/>
      <c r="W185" s="412"/>
      <c r="X185" s="412"/>
      <c r="Y185" s="412"/>
      <c r="Z185" s="412"/>
    </row>
    <row r="186" spans="1:26" ht="12.75" x14ac:dyDescent="0.2">
      <c r="A186" s="412"/>
      <c r="B186" s="412"/>
      <c r="C186" s="412"/>
      <c r="D186" s="412"/>
      <c r="E186" s="412"/>
      <c r="F186" s="412"/>
      <c r="G186" s="412"/>
      <c r="H186" s="412"/>
      <c r="I186" s="412"/>
      <c r="J186" s="412"/>
      <c r="K186" s="412"/>
      <c r="L186" s="412"/>
      <c r="M186" s="412"/>
      <c r="N186" s="412"/>
      <c r="O186" s="412"/>
      <c r="P186" s="412"/>
      <c r="Q186" s="412"/>
      <c r="R186" s="412"/>
      <c r="S186" s="412"/>
      <c r="T186" s="412"/>
      <c r="U186" s="412"/>
      <c r="V186" s="412"/>
      <c r="W186" s="412"/>
      <c r="X186" s="412"/>
      <c r="Y186" s="412"/>
      <c r="Z186" s="412"/>
    </row>
    <row r="187" spans="1:26" ht="12.75" x14ac:dyDescent="0.2">
      <c r="A187" s="412"/>
      <c r="B187" s="412"/>
      <c r="C187" s="412"/>
      <c r="D187" s="412"/>
      <c r="E187" s="412"/>
      <c r="F187" s="412"/>
      <c r="G187" s="412"/>
      <c r="H187" s="412"/>
      <c r="I187" s="412"/>
      <c r="J187" s="412"/>
      <c r="K187" s="412"/>
      <c r="L187" s="412"/>
      <c r="M187" s="412"/>
      <c r="N187" s="412"/>
      <c r="O187" s="412"/>
      <c r="P187" s="412"/>
      <c r="Q187" s="412"/>
      <c r="R187" s="412"/>
      <c r="S187" s="412"/>
      <c r="T187" s="412"/>
      <c r="U187" s="412"/>
      <c r="V187" s="412"/>
      <c r="W187" s="412"/>
      <c r="X187" s="412"/>
      <c r="Y187" s="412"/>
      <c r="Z187" s="412"/>
    </row>
    <row r="188" spans="1:26" ht="12.75" x14ac:dyDescent="0.2">
      <c r="A188" s="412"/>
      <c r="B188" s="412"/>
      <c r="C188" s="412"/>
      <c r="D188" s="412"/>
      <c r="E188" s="412"/>
      <c r="F188" s="412"/>
      <c r="G188" s="412"/>
      <c r="H188" s="412"/>
      <c r="I188" s="412"/>
      <c r="J188" s="412"/>
      <c r="K188" s="412"/>
      <c r="L188" s="412"/>
      <c r="M188" s="412"/>
      <c r="N188" s="412"/>
      <c r="O188" s="412"/>
      <c r="P188" s="412"/>
      <c r="Q188" s="412"/>
      <c r="R188" s="412"/>
      <c r="S188" s="412"/>
      <c r="T188" s="412"/>
      <c r="U188" s="412"/>
      <c r="V188" s="412"/>
      <c r="W188" s="412"/>
      <c r="X188" s="412"/>
      <c r="Y188" s="412"/>
      <c r="Z188" s="412"/>
    </row>
    <row r="189" spans="1:26" ht="12.75" x14ac:dyDescent="0.2">
      <c r="A189" s="412"/>
      <c r="B189" s="412"/>
      <c r="C189" s="412"/>
      <c r="D189" s="412"/>
      <c r="E189" s="412"/>
      <c r="F189" s="412"/>
      <c r="G189" s="412"/>
      <c r="H189" s="412"/>
      <c r="I189" s="412"/>
      <c r="J189" s="412"/>
      <c r="K189" s="412"/>
      <c r="L189" s="412"/>
      <c r="M189" s="412"/>
      <c r="N189" s="412"/>
      <c r="O189" s="412"/>
      <c r="P189" s="412"/>
      <c r="Q189" s="412"/>
      <c r="R189" s="412"/>
      <c r="S189" s="412"/>
      <c r="T189" s="412"/>
      <c r="U189" s="412"/>
      <c r="V189" s="412"/>
      <c r="W189" s="412"/>
      <c r="X189" s="412"/>
      <c r="Y189" s="412"/>
      <c r="Z189" s="412"/>
    </row>
    <row r="190" spans="1:26" ht="12.75" x14ac:dyDescent="0.2">
      <c r="A190" s="412"/>
      <c r="B190" s="412"/>
      <c r="C190" s="412"/>
      <c r="D190" s="412"/>
      <c r="E190" s="412"/>
      <c r="F190" s="412"/>
      <c r="G190" s="412"/>
      <c r="H190" s="412"/>
      <c r="I190" s="412"/>
      <c r="J190" s="412"/>
      <c r="K190" s="412"/>
      <c r="L190" s="412"/>
      <c r="M190" s="412"/>
      <c r="N190" s="412"/>
      <c r="O190" s="412"/>
      <c r="P190" s="412"/>
      <c r="Q190" s="412"/>
      <c r="R190" s="412"/>
      <c r="S190" s="412"/>
      <c r="T190" s="412"/>
      <c r="U190" s="412"/>
      <c r="V190" s="412"/>
      <c r="W190" s="412"/>
      <c r="X190" s="412"/>
      <c r="Y190" s="412"/>
      <c r="Z190" s="412"/>
    </row>
    <row r="191" spans="1:26" ht="12.75" x14ac:dyDescent="0.2">
      <c r="A191" s="412"/>
      <c r="B191" s="412"/>
      <c r="C191" s="412"/>
      <c r="D191" s="412"/>
      <c r="E191" s="412"/>
      <c r="F191" s="412"/>
      <c r="G191" s="412"/>
      <c r="H191" s="412"/>
      <c r="I191" s="412"/>
      <c r="J191" s="412"/>
      <c r="K191" s="412"/>
      <c r="L191" s="412"/>
      <c r="M191" s="412"/>
      <c r="N191" s="412"/>
      <c r="O191" s="412"/>
      <c r="P191" s="412"/>
      <c r="Q191" s="412"/>
      <c r="R191" s="412"/>
      <c r="S191" s="412"/>
      <c r="T191" s="412"/>
      <c r="U191" s="412"/>
      <c r="V191" s="412"/>
      <c r="W191" s="412"/>
      <c r="X191" s="412"/>
      <c r="Y191" s="412"/>
      <c r="Z191" s="412"/>
    </row>
    <row r="192" spans="1:26" ht="12.75" x14ac:dyDescent="0.2">
      <c r="A192" s="412"/>
      <c r="B192" s="412"/>
      <c r="C192" s="412"/>
      <c r="D192" s="412"/>
      <c r="E192" s="412"/>
      <c r="F192" s="412"/>
      <c r="G192" s="412"/>
      <c r="H192" s="412"/>
      <c r="I192" s="412"/>
      <c r="J192" s="412"/>
      <c r="K192" s="412"/>
      <c r="L192" s="412"/>
      <c r="M192" s="412"/>
      <c r="N192" s="412"/>
      <c r="O192" s="412"/>
      <c r="P192" s="412"/>
      <c r="Q192" s="412"/>
      <c r="R192" s="412"/>
      <c r="S192" s="412"/>
      <c r="T192" s="412"/>
      <c r="U192" s="412"/>
      <c r="V192" s="412"/>
      <c r="W192" s="412"/>
      <c r="X192" s="412"/>
      <c r="Y192" s="412"/>
      <c r="Z192" s="412"/>
    </row>
    <row r="193" spans="1:26" ht="12.75" x14ac:dyDescent="0.2">
      <c r="A193" s="412"/>
      <c r="B193" s="412"/>
      <c r="C193" s="412"/>
      <c r="D193" s="412"/>
      <c r="E193" s="412"/>
      <c r="F193" s="412"/>
      <c r="G193" s="412"/>
      <c r="H193" s="412"/>
      <c r="I193" s="412"/>
      <c r="J193" s="412"/>
      <c r="K193" s="412"/>
      <c r="L193" s="412"/>
      <c r="M193" s="412"/>
      <c r="N193" s="412"/>
      <c r="O193" s="412"/>
      <c r="P193" s="412"/>
      <c r="Q193" s="412"/>
      <c r="R193" s="412"/>
      <c r="S193" s="412"/>
      <c r="T193" s="412"/>
      <c r="U193" s="412"/>
      <c r="V193" s="412"/>
      <c r="W193" s="412"/>
      <c r="X193" s="412"/>
      <c r="Y193" s="412"/>
      <c r="Z193" s="412"/>
    </row>
    <row r="194" spans="1:26" ht="12.75" x14ac:dyDescent="0.2">
      <c r="A194" s="412"/>
      <c r="B194" s="412"/>
      <c r="C194" s="412"/>
      <c r="D194" s="412"/>
      <c r="E194" s="412"/>
      <c r="F194" s="412"/>
      <c r="G194" s="412"/>
      <c r="H194" s="412"/>
      <c r="I194" s="412"/>
      <c r="J194" s="412"/>
      <c r="K194" s="412"/>
      <c r="L194" s="412"/>
      <c r="M194" s="412"/>
      <c r="N194" s="412"/>
      <c r="O194" s="412"/>
      <c r="P194" s="412"/>
      <c r="Q194" s="412"/>
      <c r="R194" s="412"/>
      <c r="S194" s="412"/>
      <c r="T194" s="412"/>
      <c r="U194" s="412"/>
      <c r="V194" s="412"/>
      <c r="W194" s="412"/>
      <c r="X194" s="412"/>
      <c r="Y194" s="412"/>
      <c r="Z194" s="412"/>
    </row>
    <row r="195" spans="1:26" ht="12.75" x14ac:dyDescent="0.2">
      <c r="A195" s="412"/>
      <c r="B195" s="412"/>
      <c r="C195" s="412"/>
      <c r="D195" s="412"/>
      <c r="E195" s="412"/>
      <c r="F195" s="412"/>
      <c r="G195" s="412"/>
      <c r="H195" s="412"/>
      <c r="I195" s="412"/>
      <c r="J195" s="412"/>
      <c r="K195" s="412"/>
      <c r="L195" s="412"/>
      <c r="M195" s="412"/>
      <c r="N195" s="412"/>
      <c r="O195" s="412"/>
      <c r="P195" s="412"/>
      <c r="Q195" s="412"/>
      <c r="R195" s="412"/>
      <c r="S195" s="412"/>
      <c r="T195" s="412"/>
      <c r="U195" s="412"/>
      <c r="V195" s="412"/>
      <c r="W195" s="412"/>
      <c r="X195" s="412"/>
      <c r="Y195" s="412"/>
      <c r="Z195" s="412"/>
    </row>
    <row r="196" spans="1:26" ht="12.75" x14ac:dyDescent="0.2">
      <c r="A196" s="412"/>
      <c r="B196" s="412"/>
      <c r="C196" s="412"/>
      <c r="D196" s="412"/>
      <c r="E196" s="412"/>
      <c r="F196" s="412"/>
      <c r="G196" s="412"/>
      <c r="H196" s="412"/>
      <c r="I196" s="412"/>
      <c r="J196" s="412"/>
      <c r="K196" s="412"/>
      <c r="L196" s="412"/>
      <c r="M196" s="412"/>
      <c r="N196" s="412"/>
      <c r="O196" s="412"/>
      <c r="P196" s="412"/>
      <c r="Q196" s="412"/>
      <c r="R196" s="412"/>
      <c r="S196" s="412"/>
      <c r="T196" s="412"/>
      <c r="U196" s="412"/>
      <c r="V196" s="412"/>
      <c r="W196" s="412"/>
      <c r="X196" s="412"/>
      <c r="Y196" s="412"/>
      <c r="Z196" s="412"/>
    </row>
    <row r="197" spans="1:26" ht="12.75" x14ac:dyDescent="0.2">
      <c r="A197" s="412"/>
      <c r="B197" s="412"/>
      <c r="C197" s="412"/>
      <c r="D197" s="412"/>
      <c r="E197" s="412"/>
      <c r="F197" s="412"/>
      <c r="G197" s="412"/>
      <c r="H197" s="412"/>
      <c r="I197" s="412"/>
      <c r="J197" s="412"/>
      <c r="K197" s="412"/>
      <c r="L197" s="412"/>
      <c r="M197" s="412"/>
      <c r="N197" s="412"/>
      <c r="O197" s="412"/>
      <c r="P197" s="412"/>
      <c r="Q197" s="412"/>
      <c r="R197" s="412"/>
      <c r="S197" s="412"/>
      <c r="T197" s="412"/>
      <c r="U197" s="412"/>
      <c r="V197" s="412"/>
      <c r="W197" s="412"/>
      <c r="X197" s="412"/>
      <c r="Y197" s="412"/>
      <c r="Z197" s="412"/>
    </row>
    <row r="198" spans="1:26" ht="12.75" x14ac:dyDescent="0.2">
      <c r="A198" s="412"/>
      <c r="B198" s="412"/>
      <c r="C198" s="412"/>
      <c r="D198" s="412"/>
      <c r="E198" s="412"/>
      <c r="F198" s="412"/>
      <c r="G198" s="412"/>
      <c r="H198" s="412"/>
      <c r="I198" s="412"/>
      <c r="J198" s="412"/>
      <c r="K198" s="412"/>
      <c r="L198" s="412"/>
      <c r="M198" s="412"/>
      <c r="N198" s="412"/>
      <c r="O198" s="412"/>
      <c r="P198" s="412"/>
      <c r="Q198" s="412"/>
      <c r="R198" s="412"/>
      <c r="S198" s="412"/>
      <c r="T198" s="412"/>
      <c r="U198" s="412"/>
      <c r="V198" s="412"/>
      <c r="W198" s="412"/>
      <c r="X198" s="412"/>
      <c r="Y198" s="412"/>
      <c r="Z198" s="412"/>
    </row>
    <row r="199" spans="1:26" ht="12.75" x14ac:dyDescent="0.2">
      <c r="A199" s="412"/>
      <c r="B199" s="412"/>
      <c r="C199" s="412"/>
      <c r="D199" s="412"/>
      <c r="E199" s="412"/>
      <c r="F199" s="412"/>
      <c r="G199" s="412"/>
      <c r="H199" s="412"/>
      <c r="I199" s="412"/>
      <c r="J199" s="412"/>
      <c r="K199" s="412"/>
      <c r="L199" s="412"/>
      <c r="M199" s="412"/>
      <c r="N199" s="412"/>
      <c r="O199" s="412"/>
      <c r="P199" s="412"/>
      <c r="Q199" s="412"/>
      <c r="R199" s="412"/>
      <c r="S199" s="412"/>
      <c r="T199" s="412"/>
      <c r="U199" s="412"/>
      <c r="V199" s="412"/>
      <c r="W199" s="412"/>
      <c r="X199" s="412"/>
      <c r="Y199" s="412"/>
      <c r="Z199" s="412"/>
    </row>
    <row r="200" spans="1:26" ht="12.75" x14ac:dyDescent="0.2">
      <c r="A200" s="412"/>
      <c r="B200" s="412"/>
      <c r="C200" s="412"/>
      <c r="D200" s="412"/>
      <c r="E200" s="412"/>
      <c r="F200" s="412"/>
      <c r="G200" s="412"/>
      <c r="H200" s="412"/>
      <c r="I200" s="412"/>
      <c r="J200" s="412"/>
      <c r="K200" s="412"/>
      <c r="L200" s="412"/>
      <c r="M200" s="412"/>
      <c r="N200" s="412"/>
      <c r="O200" s="412"/>
      <c r="P200" s="412"/>
      <c r="Q200" s="412"/>
      <c r="R200" s="412"/>
      <c r="S200" s="412"/>
      <c r="T200" s="412"/>
      <c r="U200" s="412"/>
      <c r="V200" s="412"/>
      <c r="W200" s="412"/>
      <c r="X200" s="412"/>
      <c r="Y200" s="412"/>
      <c r="Z200" s="412"/>
    </row>
    <row r="201" spans="1:26" ht="12.75" x14ac:dyDescent="0.2">
      <c r="A201" s="412"/>
      <c r="B201" s="412"/>
      <c r="C201" s="412"/>
      <c r="D201" s="412"/>
      <c r="E201" s="412"/>
      <c r="F201" s="412"/>
      <c r="G201" s="412"/>
      <c r="H201" s="412"/>
      <c r="I201" s="412"/>
      <c r="J201" s="412"/>
      <c r="K201" s="412"/>
      <c r="L201" s="412"/>
      <c r="M201" s="412"/>
      <c r="N201" s="412"/>
      <c r="O201" s="412"/>
      <c r="P201" s="412"/>
      <c r="Q201" s="412"/>
      <c r="R201" s="412"/>
      <c r="S201" s="412"/>
      <c r="T201" s="412"/>
      <c r="U201" s="412"/>
      <c r="V201" s="412"/>
      <c r="W201" s="412"/>
      <c r="X201" s="412"/>
      <c r="Y201" s="412"/>
      <c r="Z201" s="412"/>
    </row>
    <row r="202" spans="1:26" ht="12.75" x14ac:dyDescent="0.2">
      <c r="A202" s="412"/>
      <c r="B202" s="412"/>
      <c r="C202" s="412"/>
      <c r="D202" s="412"/>
      <c r="E202" s="412"/>
      <c r="F202" s="412"/>
      <c r="G202" s="412"/>
      <c r="H202" s="412"/>
      <c r="I202" s="412"/>
      <c r="J202" s="412"/>
      <c r="K202" s="412"/>
      <c r="L202" s="412"/>
      <c r="M202" s="412"/>
      <c r="N202" s="412"/>
      <c r="O202" s="412"/>
      <c r="P202" s="412"/>
      <c r="Q202" s="412"/>
      <c r="R202" s="412"/>
      <c r="S202" s="412"/>
      <c r="T202" s="412"/>
      <c r="U202" s="412"/>
      <c r="V202" s="412"/>
      <c r="W202" s="412"/>
      <c r="X202" s="412"/>
      <c r="Y202" s="412"/>
      <c r="Z202" s="412"/>
    </row>
    <row r="203" spans="1:26" ht="12.75" x14ac:dyDescent="0.2">
      <c r="A203" s="412"/>
      <c r="B203" s="412"/>
      <c r="C203" s="412"/>
      <c r="D203" s="412"/>
      <c r="E203" s="412"/>
      <c r="F203" s="412"/>
      <c r="G203" s="412"/>
      <c r="H203" s="412"/>
      <c r="I203" s="412"/>
      <c r="J203" s="412"/>
      <c r="K203" s="412"/>
      <c r="L203" s="412"/>
      <c r="M203" s="412"/>
      <c r="N203" s="412"/>
      <c r="O203" s="412"/>
      <c r="P203" s="412"/>
      <c r="Q203" s="412"/>
      <c r="R203" s="412"/>
      <c r="S203" s="412"/>
      <c r="T203" s="412"/>
      <c r="U203" s="412"/>
      <c r="V203" s="412"/>
      <c r="W203" s="412"/>
      <c r="X203" s="412"/>
      <c r="Y203" s="412"/>
      <c r="Z203" s="412"/>
    </row>
    <row r="204" spans="1:26" ht="12.75" x14ac:dyDescent="0.2">
      <c r="A204" s="412"/>
      <c r="B204" s="412"/>
      <c r="C204" s="412"/>
      <c r="D204" s="412"/>
      <c r="E204" s="412"/>
      <c r="F204" s="412"/>
      <c r="G204" s="412"/>
      <c r="H204" s="412"/>
      <c r="I204" s="412"/>
      <c r="J204" s="412"/>
      <c r="K204" s="412"/>
      <c r="L204" s="412"/>
      <c r="M204" s="412"/>
      <c r="N204" s="412"/>
      <c r="O204" s="412"/>
      <c r="P204" s="412"/>
      <c r="Q204" s="412"/>
      <c r="R204" s="412"/>
      <c r="S204" s="412"/>
      <c r="T204" s="412"/>
      <c r="U204" s="412"/>
      <c r="V204" s="412"/>
      <c r="W204" s="412"/>
      <c r="X204" s="412"/>
      <c r="Y204" s="412"/>
      <c r="Z204" s="412"/>
    </row>
    <row r="205" spans="1:26" ht="12.75" x14ac:dyDescent="0.2">
      <c r="A205" s="412"/>
      <c r="B205" s="412"/>
      <c r="C205" s="412"/>
      <c r="D205" s="412"/>
      <c r="E205" s="412"/>
      <c r="F205" s="412"/>
      <c r="G205" s="412"/>
      <c r="H205" s="412"/>
      <c r="I205" s="412"/>
      <c r="J205" s="412"/>
      <c r="K205" s="412"/>
      <c r="L205" s="412"/>
      <c r="M205" s="412"/>
      <c r="N205" s="412"/>
      <c r="O205" s="412"/>
      <c r="P205" s="412"/>
      <c r="Q205" s="412"/>
      <c r="R205" s="412"/>
      <c r="S205" s="412"/>
      <c r="T205" s="412"/>
      <c r="U205" s="412"/>
      <c r="V205" s="412"/>
      <c r="W205" s="412"/>
      <c r="X205" s="412"/>
      <c r="Y205" s="412"/>
      <c r="Z205" s="412"/>
    </row>
    <row r="206" spans="1:26" ht="12.75" x14ac:dyDescent="0.2">
      <c r="A206" s="412"/>
      <c r="B206" s="412"/>
      <c r="C206" s="412"/>
      <c r="D206" s="412"/>
      <c r="E206" s="412"/>
      <c r="F206" s="412"/>
      <c r="G206" s="412"/>
      <c r="H206" s="412"/>
      <c r="I206" s="412"/>
      <c r="J206" s="412"/>
      <c r="K206" s="412"/>
      <c r="L206" s="412"/>
      <c r="M206" s="412"/>
      <c r="N206" s="412"/>
      <c r="O206" s="412"/>
      <c r="P206" s="412"/>
      <c r="Q206" s="412"/>
      <c r="R206" s="412"/>
      <c r="S206" s="412"/>
      <c r="T206" s="412"/>
      <c r="U206" s="412"/>
      <c r="V206" s="412"/>
      <c r="W206" s="412"/>
      <c r="X206" s="412"/>
      <c r="Y206" s="412"/>
      <c r="Z206" s="412"/>
    </row>
    <row r="207" spans="1:26" ht="12.75" x14ac:dyDescent="0.2">
      <c r="A207" s="412"/>
      <c r="B207" s="412"/>
      <c r="C207" s="412"/>
      <c r="D207" s="412"/>
      <c r="E207" s="412"/>
      <c r="F207" s="412"/>
      <c r="G207" s="412"/>
      <c r="H207" s="412"/>
      <c r="I207" s="412"/>
      <c r="J207" s="412"/>
      <c r="K207" s="412"/>
      <c r="L207" s="412"/>
      <c r="M207" s="412"/>
      <c r="N207" s="412"/>
      <c r="O207" s="412"/>
      <c r="P207" s="412"/>
      <c r="Q207" s="412"/>
      <c r="R207" s="412"/>
      <c r="S207" s="412"/>
      <c r="T207" s="412"/>
      <c r="U207" s="412"/>
      <c r="V207" s="412"/>
      <c r="W207" s="412"/>
      <c r="X207" s="412"/>
      <c r="Y207" s="412"/>
      <c r="Z207" s="412"/>
    </row>
    <row r="208" spans="1:26" ht="12.75" x14ac:dyDescent="0.2">
      <c r="A208" s="412"/>
      <c r="B208" s="412"/>
      <c r="C208" s="412"/>
      <c r="D208" s="412"/>
      <c r="E208" s="412"/>
      <c r="F208" s="412"/>
      <c r="G208" s="412"/>
      <c r="H208" s="412"/>
      <c r="I208" s="412"/>
      <c r="J208" s="412"/>
      <c r="K208" s="412"/>
      <c r="L208" s="412"/>
      <c r="M208" s="412"/>
      <c r="N208" s="412"/>
      <c r="O208" s="412"/>
      <c r="P208" s="412"/>
      <c r="Q208" s="412"/>
      <c r="R208" s="412"/>
      <c r="S208" s="412"/>
      <c r="T208" s="412"/>
      <c r="U208" s="412"/>
      <c r="V208" s="412"/>
      <c r="W208" s="412"/>
      <c r="X208" s="412"/>
      <c r="Y208" s="412"/>
      <c r="Z208" s="412"/>
    </row>
    <row r="209" spans="1:26" ht="12.75" x14ac:dyDescent="0.2">
      <c r="A209" s="412"/>
      <c r="B209" s="412"/>
      <c r="C209" s="412"/>
      <c r="D209" s="412"/>
      <c r="E209" s="412"/>
      <c r="F209" s="412"/>
      <c r="G209" s="412"/>
      <c r="H209" s="412"/>
      <c r="I209" s="412"/>
      <c r="J209" s="412"/>
      <c r="K209" s="412"/>
      <c r="L209" s="412"/>
      <c r="M209" s="412"/>
      <c r="N209" s="412"/>
      <c r="O209" s="412"/>
      <c r="P209" s="412"/>
      <c r="Q209" s="412"/>
      <c r="R209" s="412"/>
      <c r="S209" s="412"/>
      <c r="T209" s="412"/>
      <c r="U209" s="412"/>
      <c r="V209" s="412"/>
      <c r="W209" s="412"/>
      <c r="X209" s="412"/>
      <c r="Y209" s="412"/>
      <c r="Z209" s="412"/>
    </row>
    <row r="210" spans="1:26" ht="12.75" x14ac:dyDescent="0.2">
      <c r="A210" s="412"/>
      <c r="B210" s="412"/>
      <c r="C210" s="412"/>
      <c r="D210" s="412"/>
      <c r="E210" s="412"/>
      <c r="F210" s="412"/>
      <c r="G210" s="412"/>
      <c r="H210" s="412"/>
      <c r="I210" s="412"/>
      <c r="J210" s="412"/>
      <c r="K210" s="412"/>
      <c r="L210" s="412"/>
      <c r="M210" s="412"/>
      <c r="N210" s="412"/>
      <c r="O210" s="412"/>
      <c r="P210" s="412"/>
      <c r="Q210" s="412"/>
      <c r="R210" s="412"/>
      <c r="S210" s="412"/>
      <c r="T210" s="412"/>
      <c r="U210" s="412"/>
      <c r="V210" s="412"/>
      <c r="W210" s="412"/>
      <c r="X210" s="412"/>
      <c r="Y210" s="412"/>
      <c r="Z210" s="412"/>
    </row>
    <row r="211" spans="1:26" ht="12.75" x14ac:dyDescent="0.2">
      <c r="A211" s="412"/>
      <c r="B211" s="412"/>
      <c r="C211" s="412"/>
      <c r="D211" s="412"/>
      <c r="E211" s="412"/>
      <c r="F211" s="412"/>
      <c r="G211" s="412"/>
      <c r="H211" s="412"/>
      <c r="I211" s="412"/>
      <c r="J211" s="412"/>
      <c r="K211" s="412"/>
      <c r="L211" s="412"/>
      <c r="M211" s="412"/>
      <c r="N211" s="412"/>
      <c r="O211" s="412"/>
      <c r="P211" s="412"/>
      <c r="Q211" s="412"/>
      <c r="R211" s="412"/>
      <c r="S211" s="412"/>
      <c r="T211" s="412"/>
      <c r="U211" s="412"/>
      <c r="V211" s="412"/>
      <c r="W211" s="412"/>
      <c r="X211" s="412"/>
      <c r="Y211" s="412"/>
      <c r="Z211" s="412"/>
    </row>
    <row r="212" spans="1:26" ht="12.75" x14ac:dyDescent="0.2">
      <c r="A212" s="412"/>
      <c r="B212" s="412"/>
      <c r="C212" s="412"/>
      <c r="D212" s="412"/>
      <c r="E212" s="412"/>
      <c r="F212" s="412"/>
      <c r="G212" s="412"/>
      <c r="H212" s="412"/>
      <c r="I212" s="412"/>
      <c r="J212" s="412"/>
      <c r="K212" s="412"/>
      <c r="L212" s="412"/>
      <c r="M212" s="412"/>
      <c r="N212" s="412"/>
      <c r="O212" s="412"/>
      <c r="P212" s="412"/>
      <c r="Q212" s="412"/>
      <c r="R212" s="412"/>
      <c r="S212" s="412"/>
      <c r="T212" s="412"/>
      <c r="U212" s="412"/>
      <c r="V212" s="412"/>
      <c r="W212" s="412"/>
      <c r="X212" s="412"/>
      <c r="Y212" s="412"/>
      <c r="Z212" s="412"/>
    </row>
    <row r="213" spans="1:26" ht="12.75" x14ac:dyDescent="0.2">
      <c r="A213" s="412"/>
      <c r="B213" s="412"/>
      <c r="C213" s="412"/>
      <c r="D213" s="412"/>
      <c r="E213" s="412"/>
      <c r="F213" s="412"/>
      <c r="G213" s="412"/>
      <c r="H213" s="412"/>
      <c r="I213" s="412"/>
      <c r="J213" s="412"/>
      <c r="K213" s="412"/>
      <c r="L213" s="412"/>
      <c r="M213" s="412"/>
      <c r="N213" s="412"/>
      <c r="O213" s="412"/>
      <c r="P213" s="412"/>
      <c r="Q213" s="412"/>
      <c r="R213" s="412"/>
      <c r="S213" s="412"/>
      <c r="T213" s="412"/>
      <c r="U213" s="412"/>
      <c r="V213" s="412"/>
      <c r="W213" s="412"/>
      <c r="X213" s="412"/>
      <c r="Y213" s="412"/>
      <c r="Z213" s="412"/>
    </row>
    <row r="214" spans="1:26" ht="12.75" x14ac:dyDescent="0.2">
      <c r="A214" s="412"/>
      <c r="B214" s="412"/>
      <c r="C214" s="412"/>
      <c r="D214" s="412"/>
      <c r="E214" s="412"/>
      <c r="F214" s="412"/>
      <c r="G214" s="412"/>
      <c r="H214" s="412"/>
      <c r="I214" s="412"/>
      <c r="J214" s="412"/>
      <c r="K214" s="412"/>
      <c r="L214" s="412"/>
      <c r="M214" s="412"/>
      <c r="N214" s="412"/>
      <c r="O214" s="412"/>
      <c r="P214" s="412"/>
      <c r="Q214" s="412"/>
      <c r="R214" s="412"/>
      <c r="S214" s="412"/>
      <c r="T214" s="412"/>
      <c r="U214" s="412"/>
      <c r="V214" s="412"/>
      <c r="W214" s="412"/>
      <c r="X214" s="412"/>
      <c r="Y214" s="412"/>
      <c r="Z214" s="412"/>
    </row>
    <row r="215" spans="1:26" ht="12.75" x14ac:dyDescent="0.2">
      <c r="A215" s="412"/>
      <c r="B215" s="412"/>
      <c r="C215" s="412"/>
      <c r="D215" s="412"/>
      <c r="E215" s="412"/>
      <c r="F215" s="412"/>
      <c r="G215" s="412"/>
      <c r="H215" s="412"/>
      <c r="I215" s="412"/>
      <c r="J215" s="412"/>
      <c r="K215" s="412"/>
      <c r="L215" s="412"/>
      <c r="M215" s="412"/>
      <c r="N215" s="412"/>
      <c r="O215" s="412"/>
      <c r="P215" s="412"/>
      <c r="Q215" s="412"/>
      <c r="R215" s="412"/>
      <c r="S215" s="412"/>
      <c r="T215" s="412"/>
      <c r="U215" s="412"/>
      <c r="V215" s="412"/>
      <c r="W215" s="412"/>
      <c r="X215" s="412"/>
      <c r="Y215" s="412"/>
      <c r="Z215" s="412"/>
    </row>
    <row r="216" spans="1:26" ht="12.75" x14ac:dyDescent="0.2">
      <c r="A216" s="412"/>
      <c r="B216" s="412"/>
      <c r="C216" s="412"/>
      <c r="D216" s="412"/>
      <c r="E216" s="412"/>
      <c r="F216" s="412"/>
      <c r="G216" s="412"/>
      <c r="H216" s="412"/>
      <c r="I216" s="412"/>
      <c r="J216" s="412"/>
      <c r="K216" s="412"/>
      <c r="L216" s="412"/>
      <c r="M216" s="412"/>
      <c r="N216" s="412"/>
      <c r="O216" s="412"/>
      <c r="P216" s="412"/>
      <c r="Q216" s="412"/>
      <c r="R216" s="412"/>
      <c r="S216" s="412"/>
      <c r="T216" s="412"/>
      <c r="U216" s="412"/>
      <c r="V216" s="412"/>
      <c r="W216" s="412"/>
      <c r="X216" s="412"/>
      <c r="Y216" s="412"/>
      <c r="Z216" s="412"/>
    </row>
    <row r="217" spans="1:26" ht="12.75" x14ac:dyDescent="0.2">
      <c r="A217" s="412"/>
      <c r="B217" s="412"/>
      <c r="C217" s="412"/>
      <c r="D217" s="412"/>
      <c r="E217" s="412"/>
      <c r="F217" s="412"/>
      <c r="G217" s="412"/>
      <c r="H217" s="412"/>
      <c r="I217" s="412"/>
      <c r="J217" s="412"/>
      <c r="K217" s="412"/>
      <c r="L217" s="412"/>
      <c r="M217" s="412"/>
      <c r="N217" s="412"/>
      <c r="O217" s="412"/>
      <c r="P217" s="412"/>
      <c r="Q217" s="412"/>
      <c r="R217" s="412"/>
      <c r="S217" s="412"/>
      <c r="T217" s="412"/>
      <c r="U217" s="412"/>
      <c r="V217" s="412"/>
      <c r="W217" s="412"/>
      <c r="X217" s="412"/>
      <c r="Y217" s="412"/>
      <c r="Z217" s="412"/>
    </row>
    <row r="218" spans="1:26" ht="12.75" x14ac:dyDescent="0.2">
      <c r="A218" s="412"/>
      <c r="B218" s="412"/>
      <c r="C218" s="412"/>
      <c r="D218" s="412"/>
      <c r="E218" s="412"/>
      <c r="F218" s="412"/>
      <c r="G218" s="412"/>
      <c r="H218" s="412"/>
      <c r="I218" s="412"/>
      <c r="J218" s="412"/>
      <c r="K218" s="412"/>
      <c r="L218" s="412"/>
      <c r="M218" s="412"/>
      <c r="N218" s="412"/>
      <c r="O218" s="412"/>
      <c r="P218" s="412"/>
      <c r="Q218" s="412"/>
      <c r="R218" s="412"/>
      <c r="S218" s="412"/>
      <c r="T218" s="412"/>
      <c r="U218" s="412"/>
      <c r="V218" s="412"/>
      <c r="W218" s="412"/>
      <c r="X218" s="412"/>
      <c r="Y218" s="412"/>
      <c r="Z218" s="412"/>
    </row>
    <row r="219" spans="1:26" ht="12.75" x14ac:dyDescent="0.2">
      <c r="A219" s="412"/>
      <c r="B219" s="412"/>
      <c r="C219" s="412"/>
      <c r="D219" s="412"/>
      <c r="E219" s="412"/>
      <c r="F219" s="412"/>
      <c r="G219" s="412"/>
      <c r="H219" s="412"/>
      <c r="I219" s="412"/>
      <c r="J219" s="412"/>
      <c r="K219" s="412"/>
      <c r="L219" s="412"/>
      <c r="M219" s="412"/>
      <c r="N219" s="412"/>
      <c r="O219" s="412"/>
      <c r="P219" s="412"/>
      <c r="Q219" s="412"/>
      <c r="R219" s="412"/>
      <c r="S219" s="412"/>
      <c r="T219" s="412"/>
      <c r="U219" s="412"/>
      <c r="V219" s="412"/>
      <c r="W219" s="412"/>
      <c r="X219" s="412"/>
      <c r="Y219" s="412"/>
      <c r="Z219" s="412"/>
    </row>
    <row r="220" spans="1:26" ht="12.75" x14ac:dyDescent="0.2">
      <c r="A220" s="412"/>
      <c r="B220" s="412"/>
      <c r="C220" s="412"/>
      <c r="D220" s="412"/>
      <c r="E220" s="412"/>
      <c r="F220" s="412"/>
      <c r="G220" s="412"/>
      <c r="H220" s="412"/>
      <c r="I220" s="412"/>
      <c r="J220" s="412"/>
      <c r="K220" s="412"/>
      <c r="L220" s="412"/>
      <c r="M220" s="412"/>
      <c r="N220" s="412"/>
      <c r="O220" s="412"/>
      <c r="P220" s="412"/>
      <c r="Q220" s="412"/>
      <c r="R220" s="412"/>
      <c r="S220" s="412"/>
      <c r="T220" s="412"/>
      <c r="U220" s="412"/>
      <c r="V220" s="412"/>
      <c r="W220" s="412"/>
      <c r="X220" s="412"/>
      <c r="Y220" s="412"/>
      <c r="Z220" s="412"/>
    </row>
    <row r="221" spans="1:26" ht="12.75" x14ac:dyDescent="0.2">
      <c r="A221" s="412"/>
      <c r="B221" s="412"/>
      <c r="C221" s="412"/>
      <c r="D221" s="412"/>
      <c r="E221" s="412"/>
      <c r="F221" s="412"/>
      <c r="G221" s="412"/>
      <c r="H221" s="412"/>
      <c r="I221" s="412"/>
      <c r="J221" s="412"/>
      <c r="K221" s="412"/>
      <c r="L221" s="412"/>
      <c r="M221" s="412"/>
      <c r="N221" s="412"/>
      <c r="O221" s="412"/>
      <c r="P221" s="412"/>
      <c r="Q221" s="412"/>
      <c r="R221" s="412"/>
      <c r="S221" s="412"/>
      <c r="T221" s="412"/>
      <c r="U221" s="412"/>
      <c r="V221" s="412"/>
      <c r="W221" s="412"/>
      <c r="X221" s="412"/>
      <c r="Y221" s="412"/>
      <c r="Z221" s="412"/>
    </row>
    <row r="222" spans="1:26" ht="12.75" x14ac:dyDescent="0.2">
      <c r="A222" s="412"/>
      <c r="B222" s="412"/>
      <c r="C222" s="412"/>
      <c r="D222" s="412"/>
      <c r="E222" s="412"/>
      <c r="F222" s="412"/>
      <c r="G222" s="412"/>
      <c r="H222" s="412"/>
      <c r="I222" s="412"/>
      <c r="J222" s="412"/>
      <c r="K222" s="412"/>
      <c r="L222" s="412"/>
      <c r="M222" s="412"/>
      <c r="N222" s="412"/>
      <c r="O222" s="412"/>
      <c r="P222" s="412"/>
      <c r="Q222" s="412"/>
      <c r="R222" s="412"/>
      <c r="S222" s="412"/>
      <c r="T222" s="412"/>
      <c r="U222" s="412"/>
      <c r="V222" s="412"/>
      <c r="W222" s="412"/>
      <c r="X222" s="412"/>
      <c r="Y222" s="412"/>
      <c r="Z222" s="412"/>
    </row>
    <row r="223" spans="1:26" ht="12.75" x14ac:dyDescent="0.2">
      <c r="A223" s="412"/>
      <c r="B223" s="412"/>
      <c r="C223" s="412"/>
      <c r="D223" s="412"/>
      <c r="E223" s="412"/>
      <c r="F223" s="412"/>
      <c r="G223" s="412"/>
      <c r="H223" s="412"/>
      <c r="I223" s="412"/>
      <c r="J223" s="412"/>
      <c r="K223" s="412"/>
      <c r="L223" s="412"/>
      <c r="M223" s="412"/>
      <c r="N223" s="412"/>
      <c r="O223" s="412"/>
      <c r="P223" s="412"/>
      <c r="Q223" s="412"/>
      <c r="R223" s="412"/>
      <c r="S223" s="412"/>
      <c r="T223" s="412"/>
      <c r="U223" s="412"/>
      <c r="V223" s="412"/>
      <c r="W223" s="412"/>
      <c r="X223" s="412"/>
      <c r="Y223" s="412"/>
      <c r="Z223" s="412"/>
    </row>
    <row r="224" spans="1:26" ht="12.75" x14ac:dyDescent="0.2">
      <c r="A224" s="412"/>
      <c r="B224" s="412"/>
      <c r="C224" s="412"/>
      <c r="D224" s="412"/>
      <c r="E224" s="412"/>
      <c r="F224" s="412"/>
      <c r="G224" s="412"/>
      <c r="H224" s="412"/>
      <c r="I224" s="412"/>
      <c r="J224" s="412"/>
      <c r="K224" s="412"/>
      <c r="L224" s="412"/>
      <c r="M224" s="412"/>
      <c r="N224" s="412"/>
      <c r="O224" s="412"/>
      <c r="P224" s="412"/>
      <c r="Q224" s="412"/>
      <c r="R224" s="412"/>
      <c r="S224" s="412"/>
      <c r="T224" s="412"/>
      <c r="U224" s="412"/>
      <c r="V224" s="412"/>
      <c r="W224" s="412"/>
      <c r="X224" s="412"/>
      <c r="Y224" s="412"/>
      <c r="Z224" s="412"/>
    </row>
    <row r="225" spans="1:26" ht="12.75" x14ac:dyDescent="0.2">
      <c r="A225" s="412"/>
      <c r="B225" s="412"/>
      <c r="C225" s="412"/>
      <c r="D225" s="412"/>
      <c r="E225" s="412"/>
      <c r="F225" s="412"/>
      <c r="G225" s="412"/>
      <c r="H225" s="412"/>
      <c r="I225" s="412"/>
      <c r="J225" s="412"/>
      <c r="K225" s="412"/>
      <c r="L225" s="412"/>
      <c r="M225" s="412"/>
      <c r="N225" s="412"/>
      <c r="O225" s="412"/>
      <c r="P225" s="412"/>
      <c r="Q225" s="412"/>
      <c r="R225" s="412"/>
      <c r="S225" s="412"/>
      <c r="T225" s="412"/>
      <c r="U225" s="412"/>
      <c r="V225" s="412"/>
      <c r="W225" s="412"/>
      <c r="X225" s="412"/>
      <c r="Y225" s="412"/>
      <c r="Z225" s="412"/>
    </row>
    <row r="226" spans="1:26" ht="12.75" x14ac:dyDescent="0.2">
      <c r="A226" s="412"/>
      <c r="B226" s="412"/>
      <c r="C226" s="412"/>
      <c r="D226" s="412"/>
      <c r="E226" s="412"/>
      <c r="F226" s="412"/>
      <c r="G226" s="412"/>
      <c r="H226" s="412"/>
      <c r="I226" s="412"/>
      <c r="J226" s="412"/>
      <c r="K226" s="412"/>
      <c r="L226" s="412"/>
      <c r="M226" s="412"/>
      <c r="N226" s="412"/>
      <c r="O226" s="412"/>
      <c r="P226" s="412"/>
      <c r="Q226" s="412"/>
      <c r="R226" s="412"/>
      <c r="S226" s="412"/>
      <c r="T226" s="412"/>
      <c r="U226" s="412"/>
      <c r="V226" s="412"/>
      <c r="W226" s="412"/>
      <c r="X226" s="412"/>
      <c r="Y226" s="412"/>
      <c r="Z226" s="412"/>
    </row>
    <row r="227" spans="1:26" ht="12.75" x14ac:dyDescent="0.2">
      <c r="A227" s="412"/>
      <c r="B227" s="412"/>
      <c r="C227" s="412"/>
      <c r="D227" s="412"/>
      <c r="E227" s="412"/>
      <c r="F227" s="412"/>
      <c r="G227" s="412"/>
      <c r="H227" s="412"/>
      <c r="I227" s="412"/>
      <c r="J227" s="412"/>
      <c r="K227" s="412"/>
      <c r="L227" s="412"/>
      <c r="M227" s="412"/>
      <c r="N227" s="412"/>
      <c r="O227" s="412"/>
      <c r="P227" s="412"/>
      <c r="Q227" s="412"/>
      <c r="R227" s="412"/>
      <c r="S227" s="412"/>
      <c r="T227" s="412"/>
      <c r="U227" s="412"/>
      <c r="V227" s="412"/>
      <c r="W227" s="412"/>
      <c r="X227" s="412"/>
      <c r="Y227" s="412"/>
      <c r="Z227" s="412"/>
    </row>
    <row r="228" spans="1:26" ht="12.75" x14ac:dyDescent="0.2">
      <c r="A228" s="412"/>
      <c r="B228" s="412"/>
      <c r="C228" s="412"/>
      <c r="D228" s="412"/>
      <c r="E228" s="412"/>
      <c r="F228" s="412"/>
      <c r="G228" s="412"/>
      <c r="H228" s="412"/>
      <c r="I228" s="412"/>
      <c r="J228" s="412"/>
      <c r="K228" s="412"/>
      <c r="L228" s="412"/>
      <c r="M228" s="412"/>
      <c r="N228" s="412"/>
      <c r="O228" s="412"/>
      <c r="P228" s="412"/>
      <c r="Q228" s="412"/>
      <c r="R228" s="412"/>
      <c r="S228" s="412"/>
      <c r="T228" s="412"/>
      <c r="U228" s="412"/>
      <c r="V228" s="412"/>
      <c r="W228" s="412"/>
      <c r="X228" s="412"/>
      <c r="Y228" s="412"/>
      <c r="Z228" s="412"/>
    </row>
    <row r="229" spans="1:26" ht="12.75" x14ac:dyDescent="0.2">
      <c r="A229" s="412"/>
      <c r="B229" s="412"/>
      <c r="C229" s="412"/>
      <c r="D229" s="412"/>
      <c r="E229" s="412"/>
      <c r="F229" s="412"/>
      <c r="G229" s="412"/>
      <c r="H229" s="412"/>
      <c r="I229" s="412"/>
      <c r="J229" s="412"/>
      <c r="K229" s="412"/>
      <c r="L229" s="412"/>
      <c r="M229" s="412"/>
      <c r="N229" s="412"/>
      <c r="O229" s="412"/>
      <c r="P229" s="412"/>
      <c r="Q229" s="412"/>
      <c r="R229" s="412"/>
      <c r="S229" s="412"/>
      <c r="T229" s="412"/>
      <c r="U229" s="412"/>
      <c r="V229" s="412"/>
      <c r="W229" s="412"/>
      <c r="X229" s="412"/>
      <c r="Y229" s="412"/>
      <c r="Z229" s="412"/>
    </row>
    <row r="230" spans="1:26" ht="12.75" x14ac:dyDescent="0.2">
      <c r="A230" s="412"/>
      <c r="B230" s="412"/>
      <c r="C230" s="412"/>
      <c r="D230" s="412"/>
      <c r="E230" s="412"/>
      <c r="F230" s="412"/>
      <c r="G230" s="412"/>
      <c r="H230" s="412"/>
      <c r="I230" s="412"/>
      <c r="J230" s="412"/>
      <c r="K230" s="412"/>
      <c r="L230" s="412"/>
      <c r="M230" s="412"/>
      <c r="N230" s="412"/>
      <c r="O230" s="412"/>
      <c r="P230" s="412"/>
      <c r="Q230" s="412"/>
      <c r="R230" s="412"/>
      <c r="S230" s="412"/>
      <c r="T230" s="412"/>
      <c r="U230" s="412"/>
      <c r="V230" s="412"/>
      <c r="W230" s="412"/>
      <c r="X230" s="412"/>
      <c r="Y230" s="412"/>
      <c r="Z230" s="412"/>
    </row>
    <row r="231" spans="1:26" ht="12.75" x14ac:dyDescent="0.2">
      <c r="A231" s="412"/>
      <c r="B231" s="412"/>
      <c r="C231" s="412"/>
      <c r="D231" s="412"/>
      <c r="E231" s="412"/>
      <c r="F231" s="412"/>
      <c r="G231" s="412"/>
      <c r="H231" s="412"/>
      <c r="I231" s="412"/>
      <c r="J231" s="412"/>
      <c r="K231" s="412"/>
      <c r="L231" s="412"/>
      <c r="M231" s="412"/>
      <c r="N231" s="412"/>
      <c r="O231" s="412"/>
      <c r="P231" s="412"/>
      <c r="Q231" s="412"/>
      <c r="R231" s="412"/>
      <c r="S231" s="412"/>
      <c r="T231" s="412"/>
      <c r="U231" s="412"/>
      <c r="V231" s="412"/>
      <c r="W231" s="412"/>
      <c r="X231" s="412"/>
      <c r="Y231" s="412"/>
      <c r="Z231" s="412"/>
    </row>
    <row r="232" spans="1:26" ht="12.75" x14ac:dyDescent="0.2">
      <c r="A232" s="412"/>
      <c r="B232" s="412"/>
      <c r="C232" s="412"/>
      <c r="D232" s="412"/>
      <c r="E232" s="412"/>
      <c r="F232" s="412"/>
      <c r="G232" s="412"/>
      <c r="H232" s="412"/>
      <c r="I232" s="412"/>
      <c r="J232" s="412"/>
      <c r="K232" s="412"/>
      <c r="L232" s="412"/>
      <c r="M232" s="412"/>
      <c r="N232" s="412"/>
      <c r="O232" s="412"/>
      <c r="P232" s="412"/>
      <c r="Q232" s="412"/>
      <c r="R232" s="412"/>
      <c r="S232" s="412"/>
      <c r="T232" s="412"/>
      <c r="U232" s="412"/>
      <c r="V232" s="412"/>
      <c r="W232" s="412"/>
      <c r="X232" s="412"/>
      <c r="Y232" s="412"/>
      <c r="Z232" s="412"/>
    </row>
    <row r="233" spans="1:26" ht="12.75" x14ac:dyDescent="0.2">
      <c r="A233" s="412"/>
      <c r="B233" s="412"/>
      <c r="C233" s="412"/>
      <c r="D233" s="412"/>
      <c r="E233" s="412"/>
      <c r="F233" s="412"/>
      <c r="G233" s="412"/>
      <c r="H233" s="412"/>
      <c r="I233" s="412"/>
      <c r="J233" s="412"/>
      <c r="K233" s="412"/>
      <c r="L233" s="412"/>
      <c r="M233" s="412"/>
      <c r="N233" s="412"/>
      <c r="O233" s="412"/>
      <c r="P233" s="412"/>
      <c r="Q233" s="412"/>
      <c r="R233" s="412"/>
      <c r="S233" s="412"/>
      <c r="T233" s="412"/>
      <c r="U233" s="412"/>
      <c r="V233" s="412"/>
      <c r="W233" s="412"/>
      <c r="X233" s="412"/>
      <c r="Y233" s="412"/>
      <c r="Z233" s="412"/>
    </row>
    <row r="234" spans="1:26" ht="12.75" x14ac:dyDescent="0.2">
      <c r="A234" s="412"/>
      <c r="B234" s="412"/>
      <c r="C234" s="412"/>
      <c r="D234" s="412"/>
      <c r="E234" s="412"/>
      <c r="F234" s="412"/>
      <c r="G234" s="412"/>
      <c r="H234" s="412"/>
      <c r="I234" s="412"/>
      <c r="J234" s="412"/>
      <c r="K234" s="412"/>
      <c r="L234" s="412"/>
      <c r="M234" s="412"/>
      <c r="N234" s="412"/>
      <c r="O234" s="412"/>
      <c r="P234" s="412"/>
      <c r="Q234" s="412"/>
      <c r="R234" s="412"/>
      <c r="S234" s="412"/>
      <c r="T234" s="412"/>
      <c r="U234" s="412"/>
      <c r="V234" s="412"/>
      <c r="W234" s="412"/>
      <c r="X234" s="412"/>
      <c r="Y234" s="412"/>
      <c r="Z234" s="412"/>
    </row>
    <row r="235" spans="1:26" ht="12.75" x14ac:dyDescent="0.2">
      <c r="A235" s="412"/>
      <c r="B235" s="412"/>
      <c r="C235" s="412"/>
      <c r="D235" s="412"/>
      <c r="E235" s="412"/>
      <c r="F235" s="412"/>
      <c r="G235" s="412"/>
      <c r="H235" s="412"/>
      <c r="I235" s="412"/>
      <c r="J235" s="412"/>
      <c r="K235" s="412"/>
      <c r="L235" s="412"/>
      <c r="M235" s="412"/>
      <c r="N235" s="412"/>
      <c r="O235" s="412"/>
      <c r="P235" s="412"/>
      <c r="Q235" s="412"/>
      <c r="R235" s="412"/>
      <c r="S235" s="412"/>
      <c r="T235" s="412"/>
      <c r="U235" s="412"/>
      <c r="V235" s="412"/>
      <c r="W235" s="412"/>
      <c r="X235" s="412"/>
      <c r="Y235" s="412"/>
      <c r="Z235" s="412"/>
    </row>
    <row r="236" spans="1:26" ht="12.75" x14ac:dyDescent="0.2">
      <c r="A236" s="412"/>
      <c r="B236" s="412"/>
      <c r="C236" s="412"/>
      <c r="D236" s="412"/>
      <c r="E236" s="412"/>
      <c r="F236" s="412"/>
      <c r="G236" s="412"/>
      <c r="H236" s="412"/>
      <c r="I236" s="412"/>
      <c r="J236" s="412"/>
      <c r="K236" s="412"/>
      <c r="L236" s="412"/>
      <c r="M236" s="412"/>
      <c r="N236" s="412"/>
      <c r="O236" s="412"/>
      <c r="P236" s="412"/>
      <c r="Q236" s="412"/>
      <c r="R236" s="412"/>
      <c r="S236" s="412"/>
      <c r="T236" s="412"/>
      <c r="U236" s="412"/>
      <c r="V236" s="412"/>
      <c r="W236" s="412"/>
      <c r="X236" s="412"/>
      <c r="Y236" s="412"/>
      <c r="Z236" s="412"/>
    </row>
    <row r="237" spans="1:26" ht="12.75" x14ac:dyDescent="0.2">
      <c r="A237" s="412"/>
      <c r="B237" s="412"/>
      <c r="C237" s="412"/>
      <c r="D237" s="412"/>
      <c r="E237" s="412"/>
      <c r="F237" s="412"/>
      <c r="G237" s="412"/>
      <c r="H237" s="412"/>
      <c r="I237" s="412"/>
      <c r="J237" s="412"/>
      <c r="K237" s="412"/>
      <c r="L237" s="412"/>
      <c r="M237" s="412"/>
      <c r="N237" s="412"/>
      <c r="O237" s="412"/>
      <c r="P237" s="412"/>
      <c r="Q237" s="412"/>
      <c r="R237" s="412"/>
      <c r="S237" s="412"/>
      <c r="T237" s="412"/>
      <c r="U237" s="412"/>
      <c r="V237" s="412"/>
      <c r="W237" s="412"/>
      <c r="X237" s="412"/>
      <c r="Y237" s="412"/>
      <c r="Z237" s="412"/>
    </row>
    <row r="238" spans="1:26" ht="12.75" x14ac:dyDescent="0.2">
      <c r="A238" s="412"/>
      <c r="B238" s="412"/>
      <c r="C238" s="412"/>
      <c r="D238" s="412"/>
      <c r="E238" s="412"/>
      <c r="F238" s="412"/>
      <c r="G238" s="412"/>
      <c r="H238" s="412"/>
      <c r="I238" s="412"/>
      <c r="J238" s="412"/>
      <c r="K238" s="412"/>
      <c r="L238" s="412"/>
      <c r="M238" s="412"/>
      <c r="N238" s="412"/>
      <c r="O238" s="412"/>
      <c r="P238" s="412"/>
      <c r="Q238" s="412"/>
      <c r="R238" s="412"/>
      <c r="S238" s="412"/>
      <c r="T238" s="412"/>
      <c r="U238" s="412"/>
      <c r="V238" s="412"/>
      <c r="W238" s="412"/>
      <c r="X238" s="412"/>
      <c r="Y238" s="412"/>
      <c r="Z238" s="412"/>
    </row>
    <row r="239" spans="1:26" ht="12.75" x14ac:dyDescent="0.2">
      <c r="A239" s="412"/>
      <c r="B239" s="412"/>
      <c r="C239" s="412"/>
      <c r="D239" s="412"/>
      <c r="E239" s="412"/>
      <c r="F239" s="412"/>
      <c r="G239" s="412"/>
      <c r="H239" s="412"/>
      <c r="I239" s="412"/>
      <c r="J239" s="412"/>
      <c r="K239" s="412"/>
      <c r="L239" s="412"/>
      <c r="M239" s="412"/>
      <c r="N239" s="412"/>
      <c r="O239" s="412"/>
      <c r="P239" s="412"/>
      <c r="Q239" s="412"/>
      <c r="R239" s="412"/>
      <c r="S239" s="412"/>
      <c r="T239" s="412"/>
      <c r="U239" s="412"/>
      <c r="V239" s="412"/>
      <c r="W239" s="412"/>
      <c r="X239" s="412"/>
      <c r="Y239" s="412"/>
      <c r="Z239" s="412"/>
    </row>
    <row r="240" spans="1:26" ht="12.75" x14ac:dyDescent="0.2">
      <c r="A240" s="412"/>
      <c r="B240" s="412"/>
      <c r="C240" s="412"/>
      <c r="D240" s="412"/>
      <c r="E240" s="412"/>
      <c r="F240" s="412"/>
      <c r="G240" s="412"/>
      <c r="H240" s="412"/>
      <c r="I240" s="412"/>
      <c r="J240" s="412"/>
      <c r="K240" s="412"/>
      <c r="L240" s="412"/>
      <c r="M240" s="412"/>
      <c r="N240" s="412"/>
      <c r="O240" s="412"/>
      <c r="P240" s="412"/>
      <c r="Q240" s="412"/>
      <c r="R240" s="412"/>
      <c r="S240" s="412"/>
      <c r="T240" s="412"/>
      <c r="U240" s="412"/>
      <c r="V240" s="412"/>
      <c r="W240" s="412"/>
      <c r="X240" s="412"/>
      <c r="Y240" s="412"/>
      <c r="Z240" s="412"/>
    </row>
    <row r="241" spans="1:26" ht="12.75" x14ac:dyDescent="0.2">
      <c r="A241" s="412"/>
      <c r="B241" s="412"/>
      <c r="C241" s="412"/>
      <c r="D241" s="412"/>
      <c r="E241" s="412"/>
      <c r="F241" s="412"/>
      <c r="G241" s="412"/>
      <c r="H241" s="412"/>
      <c r="I241" s="412"/>
      <c r="J241" s="412"/>
      <c r="K241" s="412"/>
      <c r="L241" s="412"/>
      <c r="M241" s="412"/>
      <c r="N241" s="412"/>
      <c r="O241" s="412"/>
      <c r="P241" s="412"/>
      <c r="Q241" s="412"/>
      <c r="R241" s="412"/>
      <c r="S241" s="412"/>
      <c r="T241" s="412"/>
      <c r="U241" s="412"/>
      <c r="V241" s="412"/>
      <c r="W241" s="412"/>
      <c r="X241" s="412"/>
      <c r="Y241" s="412"/>
      <c r="Z241" s="412"/>
    </row>
    <row r="242" spans="1:26" ht="12.75" x14ac:dyDescent="0.2">
      <c r="A242" s="412"/>
      <c r="B242" s="412"/>
      <c r="C242" s="412"/>
      <c r="D242" s="412"/>
      <c r="E242" s="412"/>
      <c r="F242" s="412"/>
      <c r="G242" s="412"/>
      <c r="H242" s="412"/>
      <c r="I242" s="412"/>
      <c r="J242" s="412"/>
      <c r="K242" s="412"/>
      <c r="L242" s="412"/>
      <c r="M242" s="412"/>
      <c r="N242" s="412"/>
      <c r="O242" s="412"/>
      <c r="P242" s="412"/>
      <c r="Q242" s="412"/>
      <c r="R242" s="412"/>
      <c r="S242" s="412"/>
      <c r="T242" s="412"/>
      <c r="U242" s="412"/>
      <c r="V242" s="412"/>
      <c r="W242" s="412"/>
      <c r="X242" s="412"/>
      <c r="Y242" s="412"/>
      <c r="Z242" s="412"/>
    </row>
    <row r="243" spans="1:26" ht="12.75" x14ac:dyDescent="0.2">
      <c r="A243" s="412"/>
      <c r="B243" s="412"/>
      <c r="C243" s="412"/>
      <c r="D243" s="412"/>
      <c r="E243" s="412"/>
      <c r="F243" s="412"/>
      <c r="G243" s="412"/>
      <c r="H243" s="412"/>
      <c r="I243" s="412"/>
      <c r="J243" s="412"/>
      <c r="K243" s="412"/>
      <c r="L243" s="412"/>
      <c r="M243" s="412"/>
      <c r="N243" s="412"/>
      <c r="O243" s="412"/>
      <c r="P243" s="412"/>
      <c r="Q243" s="412"/>
      <c r="R243" s="412"/>
      <c r="S243" s="412"/>
      <c r="T243" s="412"/>
      <c r="U243" s="412"/>
      <c r="V243" s="412"/>
      <c r="W243" s="412"/>
      <c r="X243" s="412"/>
      <c r="Y243" s="412"/>
      <c r="Z243" s="412"/>
    </row>
    <row r="244" spans="1:26" ht="12.75" x14ac:dyDescent="0.2">
      <c r="A244" s="412"/>
      <c r="B244" s="412"/>
      <c r="C244" s="412"/>
      <c r="D244" s="412"/>
      <c r="E244" s="412"/>
      <c r="F244" s="412"/>
      <c r="G244" s="412"/>
      <c r="H244" s="412"/>
      <c r="I244" s="412"/>
      <c r="J244" s="412"/>
      <c r="K244" s="412"/>
      <c r="L244" s="412"/>
      <c r="M244" s="412"/>
      <c r="N244" s="412"/>
      <c r="O244" s="412"/>
      <c r="P244" s="412"/>
      <c r="Q244" s="412"/>
      <c r="R244" s="412"/>
      <c r="S244" s="412"/>
      <c r="T244" s="412"/>
      <c r="U244" s="412"/>
      <c r="V244" s="412"/>
      <c r="W244" s="412"/>
      <c r="X244" s="412"/>
      <c r="Y244" s="412"/>
      <c r="Z244" s="412"/>
    </row>
    <row r="245" spans="1:26" ht="12.75" x14ac:dyDescent="0.2">
      <c r="A245" s="412"/>
      <c r="B245" s="412"/>
      <c r="C245" s="412"/>
      <c r="D245" s="412"/>
      <c r="E245" s="412"/>
      <c r="F245" s="412"/>
      <c r="G245" s="412"/>
      <c r="H245" s="412"/>
      <c r="I245" s="412"/>
      <c r="J245" s="412"/>
      <c r="K245" s="412"/>
      <c r="L245" s="412"/>
      <c r="M245" s="412"/>
      <c r="N245" s="412"/>
      <c r="O245" s="412"/>
      <c r="P245" s="412"/>
      <c r="Q245" s="412"/>
      <c r="R245" s="412"/>
      <c r="S245" s="412"/>
      <c r="T245" s="412"/>
      <c r="U245" s="412"/>
      <c r="V245" s="412"/>
      <c r="W245" s="412"/>
      <c r="X245" s="412"/>
      <c r="Y245" s="412"/>
      <c r="Z245" s="412"/>
    </row>
    <row r="246" spans="1:26" ht="12.75" x14ac:dyDescent="0.2">
      <c r="A246" s="412"/>
      <c r="B246" s="412"/>
      <c r="C246" s="412"/>
      <c r="D246" s="412"/>
      <c r="E246" s="412"/>
      <c r="F246" s="412"/>
      <c r="G246" s="412"/>
      <c r="H246" s="412"/>
      <c r="I246" s="412"/>
      <c r="J246" s="412"/>
      <c r="K246" s="412"/>
      <c r="L246" s="412"/>
      <c r="M246" s="412"/>
      <c r="N246" s="412"/>
      <c r="O246" s="412"/>
      <c r="P246" s="412"/>
      <c r="Q246" s="412"/>
      <c r="R246" s="412"/>
      <c r="S246" s="412"/>
      <c r="T246" s="412"/>
      <c r="U246" s="412"/>
      <c r="V246" s="412"/>
      <c r="W246" s="412"/>
      <c r="X246" s="412"/>
      <c r="Y246" s="412"/>
      <c r="Z246" s="412"/>
    </row>
    <row r="247" spans="1:26" ht="12.75" x14ac:dyDescent="0.2">
      <c r="A247" s="412"/>
      <c r="B247" s="412"/>
      <c r="C247" s="412"/>
      <c r="D247" s="412"/>
      <c r="E247" s="412"/>
      <c r="F247" s="412"/>
      <c r="G247" s="412"/>
      <c r="H247" s="412"/>
      <c r="I247" s="412"/>
      <c r="J247" s="412"/>
      <c r="K247" s="412"/>
      <c r="L247" s="412"/>
      <c r="M247" s="412"/>
      <c r="N247" s="412"/>
      <c r="O247" s="412"/>
      <c r="P247" s="412"/>
      <c r="Q247" s="412"/>
      <c r="R247" s="412"/>
      <c r="S247" s="412"/>
      <c r="T247" s="412"/>
      <c r="U247" s="412"/>
      <c r="V247" s="412"/>
      <c r="W247" s="412"/>
      <c r="X247" s="412"/>
      <c r="Y247" s="412"/>
      <c r="Z247" s="412"/>
    </row>
    <row r="248" spans="1:26" ht="12.75" x14ac:dyDescent="0.2">
      <c r="A248" s="412"/>
      <c r="B248" s="412"/>
      <c r="C248" s="412"/>
      <c r="D248" s="412"/>
      <c r="E248" s="412"/>
      <c r="F248" s="412"/>
      <c r="G248" s="412"/>
      <c r="H248" s="412"/>
      <c r="I248" s="412"/>
      <c r="J248" s="412"/>
      <c r="K248" s="412"/>
      <c r="L248" s="412"/>
      <c r="M248" s="412"/>
      <c r="N248" s="412"/>
      <c r="O248" s="412"/>
      <c r="P248" s="412"/>
      <c r="Q248" s="412"/>
      <c r="R248" s="412"/>
      <c r="S248" s="412"/>
      <c r="T248" s="412"/>
      <c r="U248" s="412"/>
      <c r="V248" s="412"/>
      <c r="W248" s="412"/>
      <c r="X248" s="412"/>
      <c r="Y248" s="412"/>
      <c r="Z248" s="412"/>
    </row>
    <row r="249" spans="1:26" ht="12.75" x14ac:dyDescent="0.2">
      <c r="A249" s="412"/>
      <c r="B249" s="412"/>
      <c r="C249" s="412"/>
      <c r="D249" s="412"/>
      <c r="E249" s="412"/>
      <c r="F249" s="412"/>
      <c r="G249" s="412"/>
      <c r="H249" s="412"/>
      <c r="I249" s="412"/>
      <c r="J249" s="412"/>
      <c r="K249" s="412"/>
      <c r="L249" s="412"/>
      <c r="M249" s="412"/>
      <c r="N249" s="412"/>
      <c r="O249" s="412"/>
      <c r="P249" s="412"/>
      <c r="Q249" s="412"/>
      <c r="R249" s="412"/>
      <c r="S249" s="412"/>
      <c r="T249" s="412"/>
      <c r="U249" s="412"/>
      <c r="V249" s="412"/>
      <c r="W249" s="412"/>
      <c r="X249" s="412"/>
      <c r="Y249" s="412"/>
      <c r="Z249" s="412"/>
    </row>
    <row r="250" spans="1:26" ht="12.75" x14ac:dyDescent="0.2">
      <c r="A250" s="412"/>
      <c r="B250" s="412"/>
      <c r="C250" s="412"/>
      <c r="D250" s="412"/>
      <c r="E250" s="412"/>
      <c r="F250" s="412"/>
      <c r="G250" s="412"/>
      <c r="H250" s="412"/>
      <c r="I250" s="412"/>
      <c r="J250" s="412"/>
      <c r="K250" s="412"/>
      <c r="L250" s="412"/>
      <c r="M250" s="412"/>
      <c r="N250" s="412"/>
      <c r="O250" s="412"/>
      <c r="P250" s="412"/>
      <c r="Q250" s="412"/>
      <c r="R250" s="412"/>
      <c r="S250" s="412"/>
      <c r="T250" s="412"/>
      <c r="U250" s="412"/>
      <c r="V250" s="412"/>
      <c r="W250" s="412"/>
      <c r="X250" s="412"/>
      <c r="Y250" s="412"/>
      <c r="Z250" s="412"/>
    </row>
    <row r="251" spans="1:26" ht="12.75" x14ac:dyDescent="0.2">
      <c r="A251" s="412"/>
      <c r="B251" s="412"/>
      <c r="C251" s="412"/>
      <c r="D251" s="412"/>
      <c r="E251" s="412"/>
      <c r="F251" s="412"/>
      <c r="G251" s="412"/>
      <c r="H251" s="412"/>
      <c r="I251" s="412"/>
      <c r="J251" s="412"/>
      <c r="K251" s="412"/>
      <c r="L251" s="412"/>
      <c r="M251" s="412"/>
      <c r="N251" s="412"/>
      <c r="O251" s="412"/>
      <c r="P251" s="412"/>
      <c r="Q251" s="412"/>
      <c r="R251" s="412"/>
      <c r="S251" s="412"/>
      <c r="T251" s="412"/>
      <c r="U251" s="412"/>
      <c r="V251" s="412"/>
      <c r="W251" s="412"/>
      <c r="X251" s="412"/>
      <c r="Y251" s="412"/>
      <c r="Z251" s="412"/>
    </row>
    <row r="252" spans="1:26" ht="12.75" x14ac:dyDescent="0.2">
      <c r="A252" s="412"/>
      <c r="B252" s="412"/>
      <c r="C252" s="412"/>
      <c r="D252" s="412"/>
      <c r="E252" s="412"/>
      <c r="F252" s="412"/>
      <c r="G252" s="412"/>
      <c r="H252" s="412"/>
      <c r="I252" s="412"/>
      <c r="J252" s="412"/>
      <c r="K252" s="412"/>
      <c r="L252" s="412"/>
      <c r="M252" s="412"/>
      <c r="N252" s="412"/>
      <c r="O252" s="412"/>
      <c r="P252" s="412"/>
      <c r="Q252" s="412"/>
      <c r="R252" s="412"/>
      <c r="S252" s="412"/>
      <c r="T252" s="412"/>
      <c r="U252" s="412"/>
      <c r="V252" s="412"/>
      <c r="W252" s="412"/>
      <c r="X252" s="412"/>
      <c r="Y252" s="412"/>
      <c r="Z252" s="412"/>
    </row>
    <row r="253" spans="1:26" ht="12.75" x14ac:dyDescent="0.2">
      <c r="A253" s="412"/>
      <c r="B253" s="412"/>
      <c r="C253" s="412"/>
      <c r="D253" s="412"/>
      <c r="E253" s="412"/>
      <c r="F253" s="412"/>
      <c r="G253" s="412"/>
      <c r="H253" s="412"/>
      <c r="I253" s="412"/>
      <c r="J253" s="412"/>
      <c r="K253" s="412"/>
      <c r="L253" s="412"/>
      <c r="M253" s="412"/>
      <c r="N253" s="412"/>
      <c r="O253" s="412"/>
      <c r="P253" s="412"/>
      <c r="Q253" s="412"/>
      <c r="R253" s="412"/>
      <c r="S253" s="412"/>
      <c r="T253" s="412"/>
      <c r="U253" s="412"/>
      <c r="V253" s="412"/>
      <c r="W253" s="412"/>
      <c r="X253" s="412"/>
      <c r="Y253" s="412"/>
      <c r="Z253" s="412"/>
    </row>
    <row r="254" spans="1:26" ht="12.75" x14ac:dyDescent="0.2">
      <c r="A254" s="412"/>
      <c r="B254" s="412"/>
      <c r="C254" s="412"/>
      <c r="D254" s="412"/>
      <c r="E254" s="412"/>
      <c r="F254" s="412"/>
      <c r="G254" s="412"/>
      <c r="H254" s="412"/>
      <c r="I254" s="412"/>
      <c r="J254" s="412"/>
      <c r="K254" s="412"/>
      <c r="L254" s="412"/>
      <c r="M254" s="412"/>
      <c r="N254" s="412"/>
      <c r="O254" s="412"/>
      <c r="P254" s="412"/>
      <c r="Q254" s="412"/>
      <c r="R254" s="412"/>
      <c r="S254" s="412"/>
      <c r="T254" s="412"/>
      <c r="U254" s="412"/>
      <c r="V254" s="412"/>
      <c r="W254" s="412"/>
      <c r="X254" s="412"/>
      <c r="Y254" s="412"/>
      <c r="Z254" s="412"/>
    </row>
    <row r="255" spans="1:26" ht="12.75" x14ac:dyDescent="0.2">
      <c r="A255" s="412"/>
      <c r="B255" s="412"/>
      <c r="C255" s="412"/>
      <c r="D255" s="412"/>
      <c r="E255" s="412"/>
      <c r="F255" s="412"/>
      <c r="G255" s="412"/>
      <c r="H255" s="412"/>
      <c r="I255" s="412"/>
      <c r="J255" s="412"/>
      <c r="K255" s="412"/>
      <c r="L255" s="412"/>
      <c r="M255" s="412"/>
      <c r="N255" s="412"/>
      <c r="O255" s="412"/>
      <c r="P255" s="412"/>
      <c r="Q255" s="412"/>
      <c r="R255" s="412"/>
      <c r="S255" s="412"/>
      <c r="T255" s="412"/>
      <c r="U255" s="412"/>
      <c r="V255" s="412"/>
      <c r="W255" s="412"/>
      <c r="X255" s="412"/>
      <c r="Y255" s="412"/>
      <c r="Z255" s="412"/>
    </row>
    <row r="256" spans="1:26" ht="12.75" x14ac:dyDescent="0.2">
      <c r="A256" s="412"/>
      <c r="B256" s="412"/>
      <c r="C256" s="412"/>
      <c r="D256" s="412"/>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row>
    <row r="257" spans="1:26" ht="12.75" x14ac:dyDescent="0.2">
      <c r="A257" s="412"/>
      <c r="B257" s="412"/>
      <c r="C257" s="412"/>
      <c r="D257" s="412"/>
      <c r="E257" s="412"/>
      <c r="F257" s="412"/>
      <c r="G257" s="412"/>
      <c r="H257" s="412"/>
      <c r="I257" s="412"/>
      <c r="J257" s="412"/>
      <c r="K257" s="412"/>
      <c r="L257" s="412"/>
      <c r="M257" s="412"/>
      <c r="N257" s="412"/>
      <c r="O257" s="412"/>
      <c r="P257" s="412"/>
      <c r="Q257" s="412"/>
      <c r="R257" s="412"/>
      <c r="S257" s="412"/>
      <c r="T257" s="412"/>
      <c r="U257" s="412"/>
      <c r="V257" s="412"/>
      <c r="W257" s="412"/>
      <c r="X257" s="412"/>
      <c r="Y257" s="412"/>
      <c r="Z257" s="412"/>
    </row>
    <row r="258" spans="1:26" ht="12.75" x14ac:dyDescent="0.2">
      <c r="A258" s="412"/>
      <c r="B258" s="412"/>
      <c r="C258" s="412"/>
      <c r="D258" s="412"/>
      <c r="E258" s="412"/>
      <c r="F258" s="412"/>
      <c r="G258" s="412"/>
      <c r="H258" s="412"/>
      <c r="I258" s="412"/>
      <c r="J258" s="412"/>
      <c r="K258" s="412"/>
      <c r="L258" s="412"/>
      <c r="M258" s="412"/>
      <c r="N258" s="412"/>
      <c r="O258" s="412"/>
      <c r="P258" s="412"/>
      <c r="Q258" s="412"/>
      <c r="R258" s="412"/>
      <c r="S258" s="412"/>
      <c r="T258" s="412"/>
      <c r="U258" s="412"/>
      <c r="V258" s="412"/>
      <c r="W258" s="412"/>
      <c r="X258" s="412"/>
      <c r="Y258" s="412"/>
      <c r="Z258" s="412"/>
    </row>
    <row r="259" spans="1:26" ht="12.75" x14ac:dyDescent="0.2">
      <c r="A259" s="412"/>
      <c r="B259" s="412"/>
      <c r="C259" s="412"/>
      <c r="D259" s="412"/>
      <c r="E259" s="412"/>
      <c r="F259" s="412"/>
      <c r="G259" s="412"/>
      <c r="H259" s="412"/>
      <c r="I259" s="412"/>
      <c r="J259" s="412"/>
      <c r="K259" s="412"/>
      <c r="L259" s="412"/>
      <c r="M259" s="412"/>
      <c r="N259" s="412"/>
      <c r="O259" s="412"/>
      <c r="P259" s="412"/>
      <c r="Q259" s="412"/>
      <c r="R259" s="412"/>
      <c r="S259" s="412"/>
      <c r="T259" s="412"/>
      <c r="U259" s="412"/>
      <c r="V259" s="412"/>
      <c r="W259" s="412"/>
      <c r="X259" s="412"/>
      <c r="Y259" s="412"/>
      <c r="Z259" s="412"/>
    </row>
    <row r="260" spans="1:26" ht="12.75" x14ac:dyDescent="0.2">
      <c r="A260" s="412"/>
      <c r="B260" s="412"/>
      <c r="C260" s="412"/>
      <c r="D260" s="412"/>
      <c r="E260" s="412"/>
      <c r="F260" s="412"/>
      <c r="G260" s="412"/>
      <c r="H260" s="412"/>
      <c r="I260" s="412"/>
      <c r="J260" s="412"/>
      <c r="K260" s="412"/>
      <c r="L260" s="412"/>
      <c r="M260" s="412"/>
      <c r="N260" s="412"/>
      <c r="O260" s="412"/>
      <c r="P260" s="412"/>
      <c r="Q260" s="412"/>
      <c r="R260" s="412"/>
      <c r="S260" s="412"/>
      <c r="T260" s="412"/>
      <c r="U260" s="412"/>
      <c r="V260" s="412"/>
      <c r="W260" s="412"/>
      <c r="X260" s="412"/>
      <c r="Y260" s="412"/>
      <c r="Z260" s="412"/>
    </row>
    <row r="261" spans="1:26" ht="12.75" x14ac:dyDescent="0.2">
      <c r="A261" s="412"/>
      <c r="B261" s="412"/>
      <c r="C261" s="412"/>
      <c r="D261" s="412"/>
      <c r="E261" s="412"/>
      <c r="F261" s="412"/>
      <c r="G261" s="412"/>
      <c r="H261" s="412"/>
      <c r="I261" s="412"/>
      <c r="J261" s="412"/>
      <c r="K261" s="412"/>
      <c r="L261" s="412"/>
      <c r="M261" s="412"/>
      <c r="N261" s="412"/>
      <c r="O261" s="412"/>
      <c r="P261" s="412"/>
      <c r="Q261" s="412"/>
      <c r="R261" s="412"/>
      <c r="S261" s="412"/>
      <c r="T261" s="412"/>
      <c r="U261" s="412"/>
      <c r="V261" s="412"/>
      <c r="W261" s="412"/>
      <c r="X261" s="412"/>
      <c r="Y261" s="412"/>
      <c r="Z261" s="412"/>
    </row>
    <row r="262" spans="1:26" ht="12.75" x14ac:dyDescent="0.2">
      <c r="A262" s="412"/>
      <c r="B262" s="412"/>
      <c r="C262" s="412"/>
      <c r="D262" s="412"/>
      <c r="E262" s="412"/>
      <c r="F262" s="412"/>
      <c r="G262" s="412"/>
      <c r="H262" s="412"/>
      <c r="I262" s="412"/>
      <c r="J262" s="412"/>
      <c r="K262" s="412"/>
      <c r="L262" s="412"/>
      <c r="M262" s="412"/>
      <c r="N262" s="412"/>
      <c r="O262" s="412"/>
      <c r="P262" s="412"/>
      <c r="Q262" s="412"/>
      <c r="R262" s="412"/>
      <c r="S262" s="412"/>
      <c r="T262" s="412"/>
      <c r="U262" s="412"/>
      <c r="V262" s="412"/>
      <c r="W262" s="412"/>
      <c r="X262" s="412"/>
      <c r="Y262" s="412"/>
      <c r="Z262" s="412"/>
    </row>
    <row r="263" spans="1:26" ht="12.75" x14ac:dyDescent="0.2">
      <c r="A263" s="412"/>
      <c r="B263" s="412"/>
      <c r="C263" s="412"/>
      <c r="D263" s="412"/>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row>
    <row r="264" spans="1:26" ht="12.75" x14ac:dyDescent="0.2">
      <c r="A264" s="412"/>
      <c r="B264" s="412"/>
      <c r="C264" s="412"/>
      <c r="D264" s="412"/>
      <c r="E264" s="412"/>
      <c r="F264" s="412"/>
      <c r="G264" s="412"/>
      <c r="H264" s="412"/>
      <c r="I264" s="412"/>
      <c r="J264" s="412"/>
      <c r="K264" s="412"/>
      <c r="L264" s="412"/>
      <c r="M264" s="412"/>
      <c r="N264" s="412"/>
      <c r="O264" s="412"/>
      <c r="P264" s="412"/>
      <c r="Q264" s="412"/>
      <c r="R264" s="412"/>
      <c r="S264" s="412"/>
      <c r="T264" s="412"/>
      <c r="U264" s="412"/>
      <c r="V264" s="412"/>
      <c r="W264" s="412"/>
      <c r="X264" s="412"/>
      <c r="Y264" s="412"/>
      <c r="Z264" s="412"/>
    </row>
    <row r="265" spans="1:26" ht="12.75" x14ac:dyDescent="0.2">
      <c r="A265" s="412"/>
      <c r="B265" s="412"/>
      <c r="C265" s="412"/>
      <c r="D265" s="412"/>
      <c r="E265" s="412"/>
      <c r="F265" s="412"/>
      <c r="G265" s="412"/>
      <c r="H265" s="412"/>
      <c r="I265" s="412"/>
      <c r="J265" s="412"/>
      <c r="K265" s="412"/>
      <c r="L265" s="412"/>
      <c r="M265" s="412"/>
      <c r="N265" s="412"/>
      <c r="O265" s="412"/>
      <c r="P265" s="412"/>
      <c r="Q265" s="412"/>
      <c r="R265" s="412"/>
      <c r="S265" s="412"/>
      <c r="T265" s="412"/>
      <c r="U265" s="412"/>
      <c r="V265" s="412"/>
      <c r="W265" s="412"/>
      <c r="X265" s="412"/>
      <c r="Y265" s="412"/>
      <c r="Z265" s="412"/>
    </row>
    <row r="266" spans="1:26" ht="12.75" x14ac:dyDescent="0.2">
      <c r="A266" s="412"/>
      <c r="B266" s="412"/>
      <c r="C266" s="412"/>
      <c r="D266" s="412"/>
      <c r="E266" s="412"/>
      <c r="F266" s="412"/>
      <c r="G266" s="412"/>
      <c r="H266" s="412"/>
      <c r="I266" s="412"/>
      <c r="J266" s="412"/>
      <c r="K266" s="412"/>
      <c r="L266" s="412"/>
      <c r="M266" s="412"/>
      <c r="N266" s="412"/>
      <c r="O266" s="412"/>
      <c r="P266" s="412"/>
      <c r="Q266" s="412"/>
      <c r="R266" s="412"/>
      <c r="S266" s="412"/>
      <c r="T266" s="412"/>
      <c r="U266" s="412"/>
      <c r="V266" s="412"/>
      <c r="W266" s="412"/>
      <c r="X266" s="412"/>
      <c r="Y266" s="412"/>
      <c r="Z266" s="412"/>
    </row>
    <row r="267" spans="1:26" ht="12.75" x14ac:dyDescent="0.2">
      <c r="A267" s="412"/>
      <c r="B267" s="412"/>
      <c r="C267" s="412"/>
      <c r="D267" s="412"/>
      <c r="E267" s="412"/>
      <c r="F267" s="412"/>
      <c r="G267" s="412"/>
      <c r="H267" s="412"/>
      <c r="I267" s="412"/>
      <c r="J267" s="412"/>
      <c r="K267" s="412"/>
      <c r="L267" s="412"/>
      <c r="M267" s="412"/>
      <c r="N267" s="412"/>
      <c r="O267" s="412"/>
      <c r="P267" s="412"/>
      <c r="Q267" s="412"/>
      <c r="R267" s="412"/>
      <c r="S267" s="412"/>
      <c r="T267" s="412"/>
      <c r="U267" s="412"/>
      <c r="V267" s="412"/>
      <c r="W267" s="412"/>
      <c r="X267" s="412"/>
      <c r="Y267" s="412"/>
      <c r="Z267" s="412"/>
    </row>
    <row r="268" spans="1:26" ht="12.75" x14ac:dyDescent="0.2">
      <c r="A268" s="412"/>
      <c r="B268" s="412"/>
      <c r="C268" s="412"/>
      <c r="D268" s="412"/>
      <c r="E268" s="412"/>
      <c r="F268" s="412"/>
      <c r="G268" s="412"/>
      <c r="H268" s="412"/>
      <c r="I268" s="412"/>
      <c r="J268" s="412"/>
      <c r="K268" s="412"/>
      <c r="L268" s="412"/>
      <c r="M268" s="412"/>
      <c r="N268" s="412"/>
      <c r="O268" s="412"/>
      <c r="P268" s="412"/>
      <c r="Q268" s="412"/>
      <c r="R268" s="412"/>
      <c r="S268" s="412"/>
      <c r="T268" s="412"/>
      <c r="U268" s="412"/>
      <c r="V268" s="412"/>
      <c r="W268" s="412"/>
      <c r="X268" s="412"/>
      <c r="Y268" s="412"/>
      <c r="Z268" s="412"/>
    </row>
    <row r="269" spans="1:26" ht="12.75" x14ac:dyDescent="0.2">
      <c r="A269" s="412"/>
      <c r="B269" s="412"/>
      <c r="C269" s="412"/>
      <c r="D269" s="412"/>
      <c r="E269" s="412"/>
      <c r="F269" s="412"/>
      <c r="G269" s="412"/>
      <c r="H269" s="412"/>
      <c r="I269" s="412"/>
      <c r="J269" s="412"/>
      <c r="K269" s="412"/>
      <c r="L269" s="412"/>
      <c r="M269" s="412"/>
      <c r="N269" s="412"/>
      <c r="O269" s="412"/>
      <c r="P269" s="412"/>
      <c r="Q269" s="412"/>
      <c r="R269" s="412"/>
      <c r="S269" s="412"/>
      <c r="T269" s="412"/>
      <c r="U269" s="412"/>
      <c r="V269" s="412"/>
      <c r="W269" s="412"/>
      <c r="X269" s="412"/>
      <c r="Y269" s="412"/>
      <c r="Z269" s="412"/>
    </row>
    <row r="270" spans="1:26" ht="12.75" x14ac:dyDescent="0.2">
      <c r="A270" s="412"/>
      <c r="B270" s="412"/>
      <c r="C270" s="412"/>
      <c r="D270" s="412"/>
      <c r="E270" s="412"/>
      <c r="F270" s="412"/>
      <c r="G270" s="412"/>
      <c r="H270" s="412"/>
      <c r="I270" s="412"/>
      <c r="J270" s="412"/>
      <c r="K270" s="412"/>
      <c r="L270" s="412"/>
      <c r="M270" s="412"/>
      <c r="N270" s="412"/>
      <c r="O270" s="412"/>
      <c r="P270" s="412"/>
      <c r="Q270" s="412"/>
      <c r="R270" s="412"/>
      <c r="S270" s="412"/>
      <c r="T270" s="412"/>
      <c r="U270" s="412"/>
      <c r="V270" s="412"/>
      <c r="W270" s="412"/>
      <c r="X270" s="412"/>
      <c r="Y270" s="412"/>
      <c r="Z270" s="412"/>
    </row>
    <row r="271" spans="1:26" ht="12.75" x14ac:dyDescent="0.2">
      <c r="A271" s="412"/>
      <c r="B271" s="412"/>
      <c r="C271" s="412"/>
      <c r="D271" s="412"/>
      <c r="E271" s="412"/>
      <c r="F271" s="412"/>
      <c r="G271" s="412"/>
      <c r="H271" s="412"/>
      <c r="I271" s="412"/>
      <c r="J271" s="412"/>
      <c r="K271" s="412"/>
      <c r="L271" s="412"/>
      <c r="M271" s="412"/>
      <c r="N271" s="412"/>
      <c r="O271" s="412"/>
      <c r="P271" s="412"/>
      <c r="Q271" s="412"/>
      <c r="R271" s="412"/>
      <c r="S271" s="412"/>
      <c r="T271" s="412"/>
      <c r="U271" s="412"/>
      <c r="V271" s="412"/>
      <c r="W271" s="412"/>
      <c r="X271" s="412"/>
      <c r="Y271" s="412"/>
      <c r="Z271" s="412"/>
    </row>
    <row r="272" spans="1:26" ht="12.75" x14ac:dyDescent="0.2">
      <c r="A272" s="412"/>
      <c r="B272" s="412"/>
      <c r="C272" s="412"/>
      <c r="D272" s="412"/>
      <c r="E272" s="412"/>
      <c r="F272" s="412"/>
      <c r="G272" s="412"/>
      <c r="H272" s="412"/>
      <c r="I272" s="412"/>
      <c r="J272" s="412"/>
      <c r="K272" s="412"/>
      <c r="L272" s="412"/>
      <c r="M272" s="412"/>
      <c r="N272" s="412"/>
      <c r="O272" s="412"/>
      <c r="P272" s="412"/>
      <c r="Q272" s="412"/>
      <c r="R272" s="412"/>
      <c r="S272" s="412"/>
      <c r="T272" s="412"/>
      <c r="U272" s="412"/>
      <c r="V272" s="412"/>
      <c r="W272" s="412"/>
      <c r="X272" s="412"/>
      <c r="Y272" s="412"/>
      <c r="Z272" s="412"/>
    </row>
    <row r="273" spans="1:26" ht="12.75" x14ac:dyDescent="0.2">
      <c r="A273" s="412"/>
      <c r="B273" s="412"/>
      <c r="C273" s="412"/>
      <c r="D273" s="412"/>
      <c r="E273" s="412"/>
      <c r="F273" s="412"/>
      <c r="G273" s="412"/>
      <c r="H273" s="412"/>
      <c r="I273" s="412"/>
      <c r="J273" s="412"/>
      <c r="K273" s="412"/>
      <c r="L273" s="412"/>
      <c r="M273" s="412"/>
      <c r="N273" s="412"/>
      <c r="O273" s="412"/>
      <c r="P273" s="412"/>
      <c r="Q273" s="412"/>
      <c r="R273" s="412"/>
      <c r="S273" s="412"/>
      <c r="T273" s="412"/>
      <c r="U273" s="412"/>
      <c r="V273" s="412"/>
      <c r="W273" s="412"/>
      <c r="X273" s="412"/>
      <c r="Y273" s="412"/>
      <c r="Z273" s="412"/>
    </row>
    <row r="274" spans="1:26" ht="12.75" x14ac:dyDescent="0.2">
      <c r="A274" s="412"/>
      <c r="B274" s="412"/>
      <c r="C274" s="412"/>
      <c r="D274" s="412"/>
      <c r="E274" s="412"/>
      <c r="F274" s="412"/>
      <c r="G274" s="412"/>
      <c r="H274" s="412"/>
      <c r="I274" s="412"/>
      <c r="J274" s="412"/>
      <c r="K274" s="412"/>
      <c r="L274" s="412"/>
      <c r="M274" s="412"/>
      <c r="N274" s="412"/>
      <c r="O274" s="412"/>
      <c r="P274" s="412"/>
      <c r="Q274" s="412"/>
      <c r="R274" s="412"/>
      <c r="S274" s="412"/>
      <c r="T274" s="412"/>
      <c r="U274" s="412"/>
      <c r="V274" s="412"/>
      <c r="W274" s="412"/>
      <c r="X274" s="412"/>
      <c r="Y274" s="412"/>
      <c r="Z274" s="412"/>
    </row>
    <row r="275" spans="1:26" ht="12.75" x14ac:dyDescent="0.2">
      <c r="A275" s="412"/>
      <c r="B275" s="412"/>
      <c r="C275" s="412"/>
      <c r="D275" s="412"/>
      <c r="E275" s="412"/>
      <c r="F275" s="412"/>
      <c r="G275" s="412"/>
      <c r="H275" s="412"/>
      <c r="I275" s="412"/>
      <c r="J275" s="412"/>
      <c r="K275" s="412"/>
      <c r="L275" s="412"/>
      <c r="M275" s="412"/>
      <c r="N275" s="412"/>
      <c r="O275" s="412"/>
      <c r="P275" s="412"/>
      <c r="Q275" s="412"/>
      <c r="R275" s="412"/>
      <c r="S275" s="412"/>
      <c r="T275" s="412"/>
      <c r="U275" s="412"/>
      <c r="V275" s="412"/>
      <c r="W275" s="412"/>
      <c r="X275" s="412"/>
      <c r="Y275" s="412"/>
      <c r="Z275" s="412"/>
    </row>
    <row r="276" spans="1:26" ht="12.75" x14ac:dyDescent="0.2">
      <c r="A276" s="412"/>
      <c r="B276" s="412"/>
      <c r="C276" s="412"/>
      <c r="D276" s="412"/>
      <c r="E276" s="412"/>
      <c r="F276" s="412"/>
      <c r="G276" s="412"/>
      <c r="H276" s="412"/>
      <c r="I276" s="412"/>
      <c r="J276" s="412"/>
      <c r="K276" s="412"/>
      <c r="L276" s="412"/>
      <c r="M276" s="412"/>
      <c r="N276" s="412"/>
      <c r="O276" s="412"/>
      <c r="P276" s="412"/>
      <c r="Q276" s="412"/>
      <c r="R276" s="412"/>
      <c r="S276" s="412"/>
      <c r="T276" s="412"/>
      <c r="U276" s="412"/>
      <c r="V276" s="412"/>
      <c r="W276" s="412"/>
      <c r="X276" s="412"/>
      <c r="Y276" s="412"/>
      <c r="Z276" s="412"/>
    </row>
    <row r="277" spans="1:26" ht="12.75" x14ac:dyDescent="0.2">
      <c r="A277" s="412"/>
      <c r="B277" s="412"/>
      <c r="C277" s="412"/>
      <c r="D277" s="412"/>
      <c r="E277" s="412"/>
      <c r="F277" s="412"/>
      <c r="G277" s="412"/>
      <c r="H277" s="412"/>
      <c r="I277" s="412"/>
      <c r="J277" s="412"/>
      <c r="K277" s="412"/>
      <c r="L277" s="412"/>
      <c r="M277" s="412"/>
      <c r="N277" s="412"/>
      <c r="O277" s="412"/>
      <c r="P277" s="412"/>
      <c r="Q277" s="412"/>
      <c r="R277" s="412"/>
      <c r="S277" s="412"/>
      <c r="T277" s="412"/>
      <c r="U277" s="412"/>
      <c r="V277" s="412"/>
      <c r="W277" s="412"/>
      <c r="X277" s="412"/>
      <c r="Y277" s="412"/>
      <c r="Z277" s="412"/>
    </row>
    <row r="278" spans="1:26" ht="12.75" x14ac:dyDescent="0.2">
      <c r="A278" s="412"/>
      <c r="B278" s="412"/>
      <c r="C278" s="412"/>
      <c r="D278" s="412"/>
      <c r="E278" s="412"/>
      <c r="F278" s="412"/>
      <c r="G278" s="412"/>
      <c r="H278" s="412"/>
      <c r="I278" s="412"/>
      <c r="J278" s="412"/>
      <c r="K278" s="412"/>
      <c r="L278" s="412"/>
      <c r="M278" s="412"/>
      <c r="N278" s="412"/>
      <c r="O278" s="412"/>
      <c r="P278" s="412"/>
      <c r="Q278" s="412"/>
      <c r="R278" s="412"/>
      <c r="S278" s="412"/>
      <c r="T278" s="412"/>
      <c r="U278" s="412"/>
      <c r="V278" s="412"/>
      <c r="W278" s="412"/>
      <c r="X278" s="412"/>
      <c r="Y278" s="412"/>
      <c r="Z278" s="412"/>
    </row>
    <row r="279" spans="1:26" ht="12.75" x14ac:dyDescent="0.2">
      <c r="A279" s="412"/>
      <c r="B279" s="412"/>
      <c r="C279" s="412"/>
      <c r="D279" s="412"/>
      <c r="E279" s="412"/>
      <c r="F279" s="412"/>
      <c r="G279" s="412"/>
      <c r="H279" s="412"/>
      <c r="I279" s="412"/>
      <c r="J279" s="412"/>
      <c r="K279" s="412"/>
      <c r="L279" s="412"/>
      <c r="M279" s="412"/>
      <c r="N279" s="412"/>
      <c r="O279" s="412"/>
      <c r="P279" s="412"/>
      <c r="Q279" s="412"/>
      <c r="R279" s="412"/>
      <c r="S279" s="412"/>
      <c r="T279" s="412"/>
      <c r="U279" s="412"/>
      <c r="V279" s="412"/>
      <c r="W279" s="412"/>
      <c r="X279" s="412"/>
      <c r="Y279" s="412"/>
      <c r="Z279" s="412"/>
    </row>
    <row r="280" spans="1:26" ht="12.75" x14ac:dyDescent="0.2">
      <c r="A280" s="412"/>
      <c r="B280" s="412"/>
      <c r="C280" s="412"/>
      <c r="D280" s="412"/>
      <c r="E280" s="412"/>
      <c r="F280" s="412"/>
      <c r="G280" s="412"/>
      <c r="H280" s="412"/>
      <c r="I280" s="412"/>
      <c r="J280" s="412"/>
      <c r="K280" s="412"/>
      <c r="L280" s="412"/>
      <c r="M280" s="412"/>
      <c r="N280" s="412"/>
      <c r="O280" s="412"/>
      <c r="P280" s="412"/>
      <c r="Q280" s="412"/>
      <c r="R280" s="412"/>
      <c r="S280" s="412"/>
      <c r="T280" s="412"/>
      <c r="U280" s="412"/>
      <c r="V280" s="412"/>
      <c r="W280" s="412"/>
      <c r="X280" s="412"/>
      <c r="Y280" s="412"/>
      <c r="Z280" s="412"/>
    </row>
    <row r="281" spans="1:26" ht="12.75" x14ac:dyDescent="0.2">
      <c r="A281" s="412"/>
      <c r="B281" s="412"/>
      <c r="C281" s="412"/>
      <c r="D281" s="412"/>
      <c r="E281" s="412"/>
      <c r="F281" s="412"/>
      <c r="G281" s="412"/>
      <c r="H281" s="412"/>
      <c r="I281" s="412"/>
      <c r="J281" s="412"/>
      <c r="K281" s="412"/>
      <c r="L281" s="412"/>
      <c r="M281" s="412"/>
      <c r="N281" s="412"/>
      <c r="O281" s="412"/>
      <c r="P281" s="412"/>
      <c r="Q281" s="412"/>
      <c r="R281" s="412"/>
      <c r="S281" s="412"/>
      <c r="T281" s="412"/>
      <c r="U281" s="412"/>
      <c r="V281" s="412"/>
      <c r="W281" s="412"/>
      <c r="X281" s="412"/>
      <c r="Y281" s="412"/>
      <c r="Z281" s="412"/>
    </row>
    <row r="282" spans="1:26" ht="12.75" x14ac:dyDescent="0.2">
      <c r="A282" s="412"/>
      <c r="B282" s="412"/>
      <c r="C282" s="412"/>
      <c r="D282" s="412"/>
      <c r="E282" s="412"/>
      <c r="F282" s="412"/>
      <c r="G282" s="412"/>
      <c r="H282" s="412"/>
      <c r="I282" s="412"/>
      <c r="J282" s="412"/>
      <c r="K282" s="412"/>
      <c r="L282" s="412"/>
      <c r="M282" s="412"/>
      <c r="N282" s="412"/>
      <c r="O282" s="412"/>
      <c r="P282" s="412"/>
      <c r="Q282" s="412"/>
      <c r="R282" s="412"/>
      <c r="S282" s="412"/>
      <c r="T282" s="412"/>
      <c r="U282" s="412"/>
      <c r="V282" s="412"/>
      <c r="W282" s="412"/>
      <c r="X282" s="412"/>
      <c r="Y282" s="412"/>
      <c r="Z282" s="412"/>
    </row>
    <row r="283" spans="1:26" ht="12.75" x14ac:dyDescent="0.2">
      <c r="A283" s="412"/>
      <c r="B283" s="412"/>
      <c r="C283" s="412"/>
      <c r="D283" s="412"/>
      <c r="E283" s="412"/>
      <c r="F283" s="412"/>
      <c r="G283" s="412"/>
      <c r="H283" s="412"/>
      <c r="I283" s="412"/>
      <c r="J283" s="412"/>
      <c r="K283" s="412"/>
      <c r="L283" s="412"/>
      <c r="M283" s="412"/>
      <c r="N283" s="412"/>
      <c r="O283" s="412"/>
      <c r="P283" s="412"/>
      <c r="Q283" s="412"/>
      <c r="R283" s="412"/>
      <c r="S283" s="412"/>
      <c r="T283" s="412"/>
      <c r="U283" s="412"/>
      <c r="V283" s="412"/>
      <c r="W283" s="412"/>
      <c r="X283" s="412"/>
      <c r="Y283" s="412"/>
      <c r="Z283" s="412"/>
    </row>
    <row r="284" spans="1:26" ht="12.75" x14ac:dyDescent="0.2">
      <c r="A284" s="412"/>
      <c r="B284" s="412"/>
      <c r="C284" s="412"/>
      <c r="D284" s="412"/>
      <c r="E284" s="412"/>
      <c r="F284" s="412"/>
      <c r="G284" s="412"/>
      <c r="H284" s="412"/>
      <c r="I284" s="412"/>
      <c r="J284" s="412"/>
      <c r="K284" s="412"/>
      <c r="L284" s="412"/>
      <c r="M284" s="412"/>
      <c r="N284" s="412"/>
      <c r="O284" s="412"/>
      <c r="P284" s="412"/>
      <c r="Q284" s="412"/>
      <c r="R284" s="412"/>
      <c r="S284" s="412"/>
      <c r="T284" s="412"/>
      <c r="U284" s="412"/>
      <c r="V284" s="412"/>
      <c r="W284" s="412"/>
      <c r="X284" s="412"/>
      <c r="Y284" s="412"/>
      <c r="Z284" s="412"/>
    </row>
    <row r="285" spans="1:26" ht="12.75" x14ac:dyDescent="0.2">
      <c r="A285" s="412"/>
      <c r="B285" s="412"/>
      <c r="C285" s="412"/>
      <c r="D285" s="412"/>
      <c r="E285" s="412"/>
      <c r="F285" s="412"/>
      <c r="G285" s="412"/>
      <c r="H285" s="412"/>
      <c r="I285" s="412"/>
      <c r="J285" s="412"/>
      <c r="K285" s="412"/>
      <c r="L285" s="412"/>
      <c r="M285" s="412"/>
      <c r="N285" s="412"/>
      <c r="O285" s="412"/>
      <c r="P285" s="412"/>
      <c r="Q285" s="412"/>
      <c r="R285" s="412"/>
      <c r="S285" s="412"/>
      <c r="T285" s="412"/>
      <c r="U285" s="412"/>
      <c r="V285" s="412"/>
      <c r="W285" s="412"/>
      <c r="X285" s="412"/>
      <c r="Y285" s="412"/>
      <c r="Z285" s="412"/>
    </row>
    <row r="286" spans="1:26" ht="12.75" x14ac:dyDescent="0.2">
      <c r="A286" s="412"/>
      <c r="B286" s="412"/>
      <c r="C286" s="412"/>
      <c r="D286" s="412"/>
      <c r="E286" s="412"/>
      <c r="F286" s="412"/>
      <c r="G286" s="412"/>
      <c r="H286" s="412"/>
      <c r="I286" s="412"/>
      <c r="J286" s="412"/>
      <c r="K286" s="412"/>
      <c r="L286" s="412"/>
      <c r="M286" s="412"/>
      <c r="N286" s="412"/>
      <c r="O286" s="412"/>
      <c r="P286" s="412"/>
      <c r="Q286" s="412"/>
      <c r="R286" s="412"/>
      <c r="S286" s="412"/>
      <c r="T286" s="412"/>
      <c r="U286" s="412"/>
      <c r="V286" s="412"/>
      <c r="W286" s="412"/>
      <c r="X286" s="412"/>
      <c r="Y286" s="412"/>
      <c r="Z286" s="412"/>
    </row>
    <row r="287" spans="1:26" ht="12.75" x14ac:dyDescent="0.2">
      <c r="A287" s="412"/>
      <c r="B287" s="412"/>
      <c r="C287" s="412"/>
      <c r="D287" s="412"/>
      <c r="E287" s="412"/>
      <c r="F287" s="412"/>
      <c r="G287" s="412"/>
      <c r="H287" s="412"/>
      <c r="I287" s="412"/>
      <c r="J287" s="412"/>
      <c r="K287" s="412"/>
      <c r="L287" s="412"/>
      <c r="M287" s="412"/>
      <c r="N287" s="412"/>
      <c r="O287" s="412"/>
      <c r="P287" s="412"/>
      <c r="Q287" s="412"/>
      <c r="R287" s="412"/>
      <c r="S287" s="412"/>
      <c r="T287" s="412"/>
      <c r="U287" s="412"/>
      <c r="V287" s="412"/>
      <c r="W287" s="412"/>
      <c r="X287" s="412"/>
      <c r="Y287" s="412"/>
      <c r="Z287" s="412"/>
    </row>
    <row r="288" spans="1:26" ht="12.75" x14ac:dyDescent="0.2">
      <c r="A288" s="412"/>
      <c r="B288" s="412"/>
      <c r="C288" s="412"/>
      <c r="D288" s="412"/>
      <c r="E288" s="412"/>
      <c r="F288" s="412"/>
      <c r="G288" s="412"/>
      <c r="H288" s="412"/>
      <c r="I288" s="412"/>
      <c r="J288" s="412"/>
      <c r="K288" s="412"/>
      <c r="L288" s="412"/>
      <c r="M288" s="412"/>
      <c r="N288" s="412"/>
      <c r="O288" s="412"/>
      <c r="P288" s="412"/>
      <c r="Q288" s="412"/>
      <c r="R288" s="412"/>
      <c r="S288" s="412"/>
      <c r="T288" s="412"/>
      <c r="U288" s="412"/>
      <c r="V288" s="412"/>
      <c r="W288" s="412"/>
      <c r="X288" s="412"/>
      <c r="Y288" s="412"/>
      <c r="Z288" s="412"/>
    </row>
    <row r="289" spans="1:26" ht="12.75" x14ac:dyDescent="0.2">
      <c r="A289" s="412"/>
      <c r="B289" s="412"/>
      <c r="C289" s="412"/>
      <c r="D289" s="412"/>
      <c r="E289" s="412"/>
      <c r="F289" s="412"/>
      <c r="G289" s="412"/>
      <c r="H289" s="412"/>
      <c r="I289" s="412"/>
      <c r="J289" s="412"/>
      <c r="K289" s="412"/>
      <c r="L289" s="412"/>
      <c r="M289" s="412"/>
      <c r="N289" s="412"/>
      <c r="O289" s="412"/>
      <c r="P289" s="412"/>
      <c r="Q289" s="412"/>
      <c r="R289" s="412"/>
      <c r="S289" s="412"/>
      <c r="T289" s="412"/>
      <c r="U289" s="412"/>
      <c r="V289" s="412"/>
      <c r="W289" s="412"/>
      <c r="X289" s="412"/>
      <c r="Y289" s="412"/>
      <c r="Z289" s="412"/>
    </row>
    <row r="290" spans="1:26" ht="12.75" x14ac:dyDescent="0.2">
      <c r="A290" s="412"/>
      <c r="B290" s="412"/>
      <c r="C290" s="412"/>
      <c r="D290" s="412"/>
      <c r="E290" s="412"/>
      <c r="F290" s="412"/>
      <c r="G290" s="412"/>
      <c r="H290" s="412"/>
      <c r="I290" s="412"/>
      <c r="J290" s="412"/>
      <c r="K290" s="412"/>
      <c r="L290" s="412"/>
      <c r="M290" s="412"/>
      <c r="N290" s="412"/>
      <c r="O290" s="412"/>
      <c r="P290" s="412"/>
      <c r="Q290" s="412"/>
      <c r="R290" s="412"/>
      <c r="S290" s="412"/>
      <c r="T290" s="412"/>
      <c r="U290" s="412"/>
      <c r="V290" s="412"/>
      <c r="W290" s="412"/>
      <c r="X290" s="412"/>
      <c r="Y290" s="412"/>
      <c r="Z290" s="412"/>
    </row>
    <row r="291" spans="1:26" ht="12.75" x14ac:dyDescent="0.2">
      <c r="A291" s="412"/>
      <c r="B291" s="412"/>
      <c r="C291" s="412"/>
      <c r="D291" s="412"/>
      <c r="E291" s="412"/>
      <c r="F291" s="412"/>
      <c r="G291" s="412"/>
      <c r="H291" s="412"/>
      <c r="I291" s="412"/>
      <c r="J291" s="412"/>
      <c r="K291" s="412"/>
      <c r="L291" s="412"/>
      <c r="M291" s="412"/>
      <c r="N291" s="412"/>
      <c r="O291" s="412"/>
      <c r="P291" s="412"/>
      <c r="Q291" s="412"/>
      <c r="R291" s="412"/>
      <c r="S291" s="412"/>
      <c r="T291" s="412"/>
      <c r="U291" s="412"/>
      <c r="V291" s="412"/>
      <c r="W291" s="412"/>
      <c r="X291" s="412"/>
      <c r="Y291" s="412"/>
      <c r="Z291" s="412"/>
    </row>
    <row r="292" spans="1:26" ht="12.75" x14ac:dyDescent="0.2">
      <c r="A292" s="412"/>
      <c r="B292" s="412"/>
      <c r="C292" s="412"/>
      <c r="D292" s="412"/>
      <c r="E292" s="412"/>
      <c r="F292" s="412"/>
      <c r="G292" s="412"/>
      <c r="H292" s="412"/>
      <c r="I292" s="412"/>
      <c r="J292" s="412"/>
      <c r="K292" s="412"/>
      <c r="L292" s="412"/>
      <c r="M292" s="412"/>
      <c r="N292" s="412"/>
      <c r="O292" s="412"/>
      <c r="P292" s="412"/>
      <c r="Q292" s="412"/>
      <c r="R292" s="412"/>
      <c r="S292" s="412"/>
      <c r="T292" s="412"/>
      <c r="U292" s="412"/>
      <c r="V292" s="412"/>
      <c r="W292" s="412"/>
      <c r="X292" s="412"/>
      <c r="Y292" s="412"/>
      <c r="Z292" s="412"/>
    </row>
    <row r="293" spans="1:26" ht="12.75" x14ac:dyDescent="0.2">
      <c r="A293" s="412"/>
      <c r="B293" s="412"/>
      <c r="C293" s="412"/>
      <c r="D293" s="412"/>
      <c r="E293" s="412"/>
      <c r="F293" s="412"/>
      <c r="G293" s="412"/>
      <c r="H293" s="412"/>
      <c r="I293" s="412"/>
      <c r="J293" s="412"/>
      <c r="K293" s="412"/>
      <c r="L293" s="412"/>
      <c r="M293" s="412"/>
      <c r="N293" s="412"/>
      <c r="O293" s="412"/>
      <c r="P293" s="412"/>
      <c r="Q293" s="412"/>
      <c r="R293" s="412"/>
      <c r="S293" s="412"/>
      <c r="T293" s="412"/>
      <c r="U293" s="412"/>
      <c r="V293" s="412"/>
      <c r="W293" s="412"/>
      <c r="X293" s="412"/>
      <c r="Y293" s="412"/>
      <c r="Z293" s="412"/>
    </row>
    <row r="294" spans="1:26" ht="12.75" x14ac:dyDescent="0.2">
      <c r="A294" s="412"/>
      <c r="B294" s="412"/>
      <c r="C294" s="412"/>
      <c r="D294" s="412"/>
      <c r="E294" s="412"/>
      <c r="F294" s="412"/>
      <c r="G294" s="412"/>
      <c r="H294" s="412"/>
      <c r="I294" s="412"/>
      <c r="J294" s="412"/>
      <c r="K294" s="412"/>
      <c r="L294" s="412"/>
      <c r="M294" s="412"/>
      <c r="N294" s="412"/>
      <c r="O294" s="412"/>
      <c r="P294" s="412"/>
      <c r="Q294" s="412"/>
      <c r="R294" s="412"/>
      <c r="S294" s="412"/>
      <c r="T294" s="412"/>
      <c r="U294" s="412"/>
      <c r="V294" s="412"/>
      <c r="W294" s="412"/>
      <c r="X294" s="412"/>
      <c r="Y294" s="412"/>
      <c r="Z294" s="412"/>
    </row>
    <row r="295" spans="1:26" ht="12.75" x14ac:dyDescent="0.2">
      <c r="A295" s="412"/>
      <c r="B295" s="412"/>
      <c r="C295" s="412"/>
      <c r="D295" s="412"/>
      <c r="E295" s="412"/>
      <c r="F295" s="412"/>
      <c r="G295" s="412"/>
      <c r="H295" s="412"/>
      <c r="I295" s="412"/>
      <c r="J295" s="412"/>
      <c r="K295" s="412"/>
      <c r="L295" s="412"/>
      <c r="M295" s="412"/>
      <c r="N295" s="412"/>
      <c r="O295" s="412"/>
      <c r="P295" s="412"/>
      <c r="Q295" s="412"/>
      <c r="R295" s="412"/>
      <c r="S295" s="412"/>
      <c r="T295" s="412"/>
      <c r="U295" s="412"/>
      <c r="V295" s="412"/>
      <c r="W295" s="412"/>
      <c r="X295" s="412"/>
      <c r="Y295" s="412"/>
      <c r="Z295" s="412"/>
    </row>
    <row r="296" spans="1:26" ht="12.75" x14ac:dyDescent="0.2">
      <c r="A296" s="412"/>
      <c r="B296" s="412"/>
      <c r="C296" s="412"/>
      <c r="D296" s="412"/>
      <c r="E296" s="412"/>
      <c r="F296" s="412"/>
      <c r="G296" s="412"/>
      <c r="H296" s="412"/>
      <c r="I296" s="412"/>
      <c r="J296" s="412"/>
      <c r="K296" s="412"/>
      <c r="L296" s="412"/>
      <c r="M296" s="412"/>
      <c r="N296" s="412"/>
      <c r="O296" s="412"/>
      <c r="P296" s="412"/>
      <c r="Q296" s="412"/>
      <c r="R296" s="412"/>
      <c r="S296" s="412"/>
      <c r="T296" s="412"/>
      <c r="U296" s="412"/>
      <c r="V296" s="412"/>
      <c r="W296" s="412"/>
      <c r="X296" s="412"/>
      <c r="Y296" s="412"/>
      <c r="Z296" s="412"/>
    </row>
    <row r="297" spans="1:26" ht="12.75" x14ac:dyDescent="0.2">
      <c r="A297" s="412"/>
      <c r="B297" s="412"/>
      <c r="C297" s="412"/>
      <c r="D297" s="412"/>
      <c r="E297" s="412"/>
      <c r="F297" s="412"/>
      <c r="G297" s="412"/>
      <c r="H297" s="412"/>
      <c r="I297" s="412"/>
      <c r="J297" s="412"/>
      <c r="K297" s="412"/>
      <c r="L297" s="412"/>
      <c r="M297" s="412"/>
      <c r="N297" s="412"/>
      <c r="O297" s="412"/>
      <c r="P297" s="412"/>
      <c r="Q297" s="412"/>
      <c r="R297" s="412"/>
      <c r="S297" s="412"/>
      <c r="T297" s="412"/>
      <c r="U297" s="412"/>
      <c r="V297" s="412"/>
      <c r="W297" s="412"/>
      <c r="X297" s="412"/>
      <c r="Y297" s="412"/>
      <c r="Z297" s="412"/>
    </row>
    <row r="298" spans="1:26" ht="12.75" x14ac:dyDescent="0.2">
      <c r="A298" s="412"/>
      <c r="B298" s="412"/>
      <c r="C298" s="412"/>
      <c r="D298" s="412"/>
      <c r="E298" s="412"/>
      <c r="F298" s="412"/>
      <c r="G298" s="412"/>
      <c r="H298" s="412"/>
      <c r="I298" s="412"/>
      <c r="J298" s="412"/>
      <c r="K298" s="412"/>
      <c r="L298" s="412"/>
      <c r="M298" s="412"/>
      <c r="N298" s="412"/>
      <c r="O298" s="412"/>
      <c r="P298" s="412"/>
      <c r="Q298" s="412"/>
      <c r="R298" s="412"/>
      <c r="S298" s="412"/>
      <c r="T298" s="412"/>
      <c r="U298" s="412"/>
      <c r="V298" s="412"/>
      <c r="W298" s="412"/>
      <c r="X298" s="412"/>
      <c r="Y298" s="412"/>
      <c r="Z298" s="412"/>
    </row>
    <row r="299" spans="1:26" ht="12.75" x14ac:dyDescent="0.2">
      <c r="A299" s="412"/>
      <c r="B299" s="412"/>
      <c r="C299" s="412"/>
      <c r="D299" s="412"/>
      <c r="E299" s="412"/>
      <c r="F299" s="412"/>
      <c r="G299" s="412"/>
      <c r="H299" s="412"/>
      <c r="I299" s="412"/>
      <c r="J299" s="412"/>
      <c r="K299" s="412"/>
      <c r="L299" s="412"/>
      <c r="M299" s="412"/>
      <c r="N299" s="412"/>
      <c r="O299" s="412"/>
      <c r="P299" s="412"/>
      <c r="Q299" s="412"/>
      <c r="R299" s="412"/>
      <c r="S299" s="412"/>
      <c r="T299" s="412"/>
      <c r="U299" s="412"/>
      <c r="V299" s="412"/>
      <c r="W299" s="412"/>
      <c r="X299" s="412"/>
      <c r="Y299" s="412"/>
      <c r="Z299" s="412"/>
    </row>
    <row r="300" spans="1:26" ht="12.75" x14ac:dyDescent="0.2">
      <c r="A300" s="412"/>
      <c r="B300" s="412"/>
      <c r="C300" s="412"/>
      <c r="D300" s="412"/>
      <c r="E300" s="412"/>
      <c r="F300" s="412"/>
      <c r="G300" s="412"/>
      <c r="H300" s="412"/>
      <c r="I300" s="412"/>
      <c r="J300" s="412"/>
      <c r="K300" s="412"/>
      <c r="L300" s="412"/>
      <c r="M300" s="412"/>
      <c r="N300" s="412"/>
      <c r="O300" s="412"/>
      <c r="P300" s="412"/>
      <c r="Q300" s="412"/>
      <c r="R300" s="412"/>
      <c r="S300" s="412"/>
      <c r="T300" s="412"/>
      <c r="U300" s="412"/>
      <c r="V300" s="412"/>
      <c r="W300" s="412"/>
      <c r="X300" s="412"/>
      <c r="Y300" s="412"/>
      <c r="Z300" s="412"/>
    </row>
    <row r="301" spans="1:26" ht="12.75" x14ac:dyDescent="0.2">
      <c r="A301" s="412"/>
      <c r="B301" s="412"/>
      <c r="C301" s="412"/>
      <c r="D301" s="412"/>
      <c r="E301" s="412"/>
      <c r="F301" s="412"/>
      <c r="G301" s="412"/>
      <c r="H301" s="412"/>
      <c r="I301" s="412"/>
      <c r="J301" s="412"/>
      <c r="K301" s="412"/>
      <c r="L301" s="412"/>
      <c r="M301" s="412"/>
      <c r="N301" s="412"/>
      <c r="O301" s="412"/>
      <c r="P301" s="412"/>
      <c r="Q301" s="412"/>
      <c r="R301" s="412"/>
      <c r="S301" s="412"/>
      <c r="T301" s="412"/>
      <c r="U301" s="412"/>
      <c r="V301" s="412"/>
      <c r="W301" s="412"/>
      <c r="X301" s="412"/>
      <c r="Y301" s="412"/>
      <c r="Z301" s="412"/>
    </row>
    <row r="302" spans="1:26" ht="12.75" x14ac:dyDescent="0.2">
      <c r="A302" s="412"/>
      <c r="B302" s="412"/>
      <c r="C302" s="412"/>
      <c r="D302" s="412"/>
      <c r="E302" s="412"/>
      <c r="F302" s="412"/>
      <c r="G302" s="412"/>
      <c r="H302" s="412"/>
      <c r="I302" s="412"/>
      <c r="J302" s="412"/>
      <c r="K302" s="412"/>
      <c r="L302" s="412"/>
      <c r="M302" s="412"/>
      <c r="N302" s="412"/>
      <c r="O302" s="412"/>
      <c r="P302" s="412"/>
      <c r="Q302" s="412"/>
      <c r="R302" s="412"/>
      <c r="S302" s="412"/>
      <c r="T302" s="412"/>
      <c r="U302" s="412"/>
      <c r="V302" s="412"/>
      <c r="W302" s="412"/>
      <c r="X302" s="412"/>
      <c r="Y302" s="412"/>
      <c r="Z302" s="412"/>
    </row>
    <row r="303" spans="1:26" ht="12.75" x14ac:dyDescent="0.2">
      <c r="A303" s="412"/>
      <c r="B303" s="412"/>
      <c r="C303" s="412"/>
      <c r="D303" s="412"/>
      <c r="E303" s="412"/>
      <c r="F303" s="412"/>
      <c r="G303" s="412"/>
      <c r="H303" s="412"/>
      <c r="I303" s="412"/>
      <c r="J303" s="412"/>
      <c r="K303" s="412"/>
      <c r="L303" s="412"/>
      <c r="M303" s="412"/>
      <c r="N303" s="412"/>
      <c r="O303" s="412"/>
      <c r="P303" s="412"/>
      <c r="Q303" s="412"/>
      <c r="R303" s="412"/>
      <c r="S303" s="412"/>
      <c r="T303" s="412"/>
      <c r="U303" s="412"/>
      <c r="V303" s="412"/>
      <c r="W303" s="412"/>
      <c r="X303" s="412"/>
      <c r="Y303" s="412"/>
      <c r="Z303" s="412"/>
    </row>
    <row r="304" spans="1:26" ht="12.75" x14ac:dyDescent="0.2">
      <c r="A304" s="412"/>
      <c r="B304" s="412"/>
      <c r="C304" s="412"/>
      <c r="D304" s="412"/>
      <c r="E304" s="412"/>
      <c r="F304" s="412"/>
      <c r="G304" s="412"/>
      <c r="H304" s="412"/>
      <c r="I304" s="412"/>
      <c r="J304" s="412"/>
      <c r="K304" s="412"/>
      <c r="L304" s="412"/>
      <c r="M304" s="412"/>
      <c r="N304" s="412"/>
      <c r="O304" s="412"/>
      <c r="P304" s="412"/>
      <c r="Q304" s="412"/>
      <c r="R304" s="412"/>
      <c r="S304" s="412"/>
      <c r="T304" s="412"/>
      <c r="U304" s="412"/>
      <c r="V304" s="412"/>
      <c r="W304" s="412"/>
      <c r="X304" s="412"/>
      <c r="Y304" s="412"/>
      <c r="Z304" s="412"/>
    </row>
    <row r="305" spans="1:26" ht="12.75" x14ac:dyDescent="0.2">
      <c r="A305" s="412"/>
      <c r="B305" s="412"/>
      <c r="C305" s="412"/>
      <c r="D305" s="412"/>
      <c r="E305" s="412"/>
      <c r="F305" s="412"/>
      <c r="G305" s="412"/>
      <c r="H305" s="412"/>
      <c r="I305" s="412"/>
      <c r="J305" s="412"/>
      <c r="K305" s="412"/>
      <c r="L305" s="412"/>
      <c r="M305" s="412"/>
      <c r="N305" s="412"/>
      <c r="O305" s="412"/>
      <c r="P305" s="412"/>
      <c r="Q305" s="412"/>
      <c r="R305" s="412"/>
      <c r="S305" s="412"/>
      <c r="T305" s="412"/>
      <c r="U305" s="412"/>
      <c r="V305" s="412"/>
      <c r="W305" s="412"/>
      <c r="X305" s="412"/>
      <c r="Y305" s="412"/>
      <c r="Z305" s="412"/>
    </row>
    <row r="306" spans="1:26" ht="12.75" x14ac:dyDescent="0.2">
      <c r="A306" s="412"/>
      <c r="B306" s="412"/>
      <c r="C306" s="412"/>
      <c r="D306" s="412"/>
      <c r="E306" s="412"/>
      <c r="F306" s="412"/>
      <c r="G306" s="412"/>
      <c r="H306" s="412"/>
      <c r="I306" s="412"/>
      <c r="J306" s="412"/>
      <c r="K306" s="412"/>
      <c r="L306" s="412"/>
      <c r="M306" s="412"/>
      <c r="N306" s="412"/>
      <c r="O306" s="412"/>
      <c r="P306" s="412"/>
      <c r="Q306" s="412"/>
      <c r="R306" s="412"/>
      <c r="S306" s="412"/>
      <c r="T306" s="412"/>
      <c r="U306" s="412"/>
      <c r="V306" s="412"/>
      <c r="W306" s="412"/>
      <c r="X306" s="412"/>
      <c r="Y306" s="412"/>
      <c r="Z306" s="412"/>
    </row>
    <row r="307" spans="1:26" ht="12.75" x14ac:dyDescent="0.2">
      <c r="A307" s="412"/>
      <c r="B307" s="412"/>
      <c r="C307" s="412"/>
      <c r="D307" s="412"/>
      <c r="E307" s="412"/>
      <c r="F307" s="412"/>
      <c r="G307" s="412"/>
      <c r="H307" s="412"/>
      <c r="I307" s="412"/>
      <c r="J307" s="412"/>
      <c r="K307" s="412"/>
      <c r="L307" s="412"/>
      <c r="M307" s="412"/>
      <c r="N307" s="412"/>
      <c r="O307" s="412"/>
      <c r="P307" s="412"/>
      <c r="Q307" s="412"/>
      <c r="R307" s="412"/>
      <c r="S307" s="412"/>
      <c r="T307" s="412"/>
      <c r="U307" s="412"/>
      <c r="V307" s="412"/>
      <c r="W307" s="412"/>
      <c r="X307" s="412"/>
      <c r="Y307" s="412"/>
      <c r="Z307" s="412"/>
    </row>
    <row r="308" spans="1:26" ht="12.75" x14ac:dyDescent="0.2">
      <c r="A308" s="412"/>
      <c r="B308" s="412"/>
      <c r="C308" s="412"/>
      <c r="D308" s="412"/>
      <c r="E308" s="412"/>
      <c r="F308" s="412"/>
      <c r="G308" s="412"/>
      <c r="H308" s="412"/>
      <c r="I308" s="412"/>
      <c r="J308" s="412"/>
      <c r="K308" s="412"/>
      <c r="L308" s="412"/>
      <c r="M308" s="412"/>
      <c r="N308" s="412"/>
      <c r="O308" s="412"/>
      <c r="P308" s="412"/>
      <c r="Q308" s="412"/>
      <c r="R308" s="412"/>
      <c r="S308" s="412"/>
      <c r="T308" s="412"/>
      <c r="U308" s="412"/>
      <c r="V308" s="412"/>
      <c r="W308" s="412"/>
      <c r="X308" s="412"/>
      <c r="Y308" s="412"/>
      <c r="Z308" s="412"/>
    </row>
    <row r="309" spans="1:26" ht="12.75" x14ac:dyDescent="0.2">
      <c r="A309" s="412"/>
      <c r="B309" s="412"/>
      <c r="C309" s="412"/>
      <c r="D309" s="412"/>
      <c r="E309" s="412"/>
      <c r="F309" s="412"/>
      <c r="G309" s="412"/>
      <c r="H309" s="412"/>
      <c r="I309" s="412"/>
      <c r="J309" s="412"/>
      <c r="K309" s="412"/>
      <c r="L309" s="412"/>
      <c r="M309" s="412"/>
      <c r="N309" s="412"/>
      <c r="O309" s="412"/>
      <c r="P309" s="412"/>
      <c r="Q309" s="412"/>
      <c r="R309" s="412"/>
      <c r="S309" s="412"/>
      <c r="T309" s="412"/>
      <c r="U309" s="412"/>
      <c r="V309" s="412"/>
      <c r="W309" s="412"/>
      <c r="X309" s="412"/>
      <c r="Y309" s="412"/>
      <c r="Z309" s="412"/>
    </row>
    <row r="310" spans="1:26" ht="12.75" x14ac:dyDescent="0.2">
      <c r="A310" s="412"/>
      <c r="B310" s="412"/>
      <c r="C310" s="412"/>
      <c r="D310" s="412"/>
      <c r="E310" s="412"/>
      <c r="F310" s="412"/>
      <c r="G310" s="412"/>
      <c r="H310" s="412"/>
      <c r="I310" s="412"/>
      <c r="J310" s="412"/>
      <c r="K310" s="412"/>
      <c r="L310" s="412"/>
      <c r="M310" s="412"/>
      <c r="N310" s="412"/>
      <c r="O310" s="412"/>
      <c r="P310" s="412"/>
      <c r="Q310" s="412"/>
      <c r="R310" s="412"/>
      <c r="S310" s="412"/>
      <c r="T310" s="412"/>
      <c r="U310" s="412"/>
      <c r="V310" s="412"/>
      <c r="W310" s="412"/>
      <c r="X310" s="412"/>
      <c r="Y310" s="412"/>
      <c r="Z310" s="412"/>
    </row>
    <row r="311" spans="1:26" ht="12.75" x14ac:dyDescent="0.2">
      <c r="A311" s="412"/>
      <c r="B311" s="412"/>
      <c r="C311" s="412"/>
      <c r="D311" s="412"/>
      <c r="E311" s="412"/>
      <c r="F311" s="412"/>
      <c r="G311" s="412"/>
      <c r="H311" s="412"/>
      <c r="I311" s="412"/>
      <c r="J311" s="412"/>
      <c r="K311" s="412"/>
      <c r="L311" s="412"/>
      <c r="M311" s="412"/>
      <c r="N311" s="412"/>
      <c r="O311" s="412"/>
      <c r="P311" s="412"/>
      <c r="Q311" s="412"/>
      <c r="R311" s="412"/>
      <c r="S311" s="412"/>
      <c r="T311" s="412"/>
      <c r="U311" s="412"/>
      <c r="V311" s="412"/>
      <c r="W311" s="412"/>
      <c r="X311" s="412"/>
      <c r="Y311" s="412"/>
      <c r="Z311" s="412"/>
    </row>
    <row r="312" spans="1:26" ht="12.75" x14ac:dyDescent="0.2">
      <c r="A312" s="412"/>
      <c r="B312" s="412"/>
      <c r="C312" s="412"/>
      <c r="D312" s="412"/>
      <c r="E312" s="412"/>
      <c r="F312" s="412"/>
      <c r="G312" s="412"/>
      <c r="H312" s="412"/>
      <c r="I312" s="412"/>
      <c r="J312" s="412"/>
      <c r="K312" s="412"/>
      <c r="L312" s="412"/>
      <c r="M312" s="412"/>
      <c r="N312" s="412"/>
      <c r="O312" s="412"/>
      <c r="P312" s="412"/>
      <c r="Q312" s="412"/>
      <c r="R312" s="412"/>
      <c r="S312" s="412"/>
      <c r="T312" s="412"/>
      <c r="U312" s="412"/>
      <c r="V312" s="412"/>
      <c r="W312" s="412"/>
      <c r="X312" s="412"/>
      <c r="Y312" s="412"/>
      <c r="Z312" s="412"/>
    </row>
    <row r="313" spans="1:26" ht="12.75" x14ac:dyDescent="0.2">
      <c r="A313" s="412"/>
      <c r="B313" s="412"/>
      <c r="C313" s="412"/>
      <c r="D313" s="412"/>
      <c r="E313" s="412"/>
      <c r="F313" s="412"/>
      <c r="G313" s="412"/>
      <c r="H313" s="412"/>
      <c r="I313" s="412"/>
      <c r="J313" s="412"/>
      <c r="K313" s="412"/>
      <c r="L313" s="412"/>
      <c r="M313" s="412"/>
      <c r="N313" s="412"/>
      <c r="O313" s="412"/>
      <c r="P313" s="412"/>
      <c r="Q313" s="412"/>
      <c r="R313" s="412"/>
      <c r="S313" s="412"/>
      <c r="T313" s="412"/>
      <c r="U313" s="412"/>
      <c r="V313" s="412"/>
      <c r="W313" s="412"/>
      <c r="X313" s="412"/>
      <c r="Y313" s="412"/>
      <c r="Z313" s="412"/>
    </row>
    <row r="314" spans="1:26" ht="12.75" x14ac:dyDescent="0.2">
      <c r="A314" s="412"/>
      <c r="B314" s="412"/>
      <c r="C314" s="412"/>
      <c r="D314" s="412"/>
      <c r="E314" s="412"/>
      <c r="F314" s="412"/>
      <c r="G314" s="412"/>
      <c r="H314" s="412"/>
      <c r="I314" s="412"/>
      <c r="J314" s="412"/>
      <c r="K314" s="412"/>
      <c r="L314" s="412"/>
      <c r="M314" s="412"/>
      <c r="N314" s="412"/>
      <c r="O314" s="412"/>
      <c r="P314" s="412"/>
      <c r="Q314" s="412"/>
      <c r="R314" s="412"/>
      <c r="S314" s="412"/>
      <c r="T314" s="412"/>
      <c r="U314" s="412"/>
      <c r="V314" s="412"/>
      <c r="W314" s="412"/>
      <c r="X314" s="412"/>
      <c r="Y314" s="412"/>
      <c r="Z314" s="412"/>
    </row>
    <row r="315" spans="1:26" ht="12.75" x14ac:dyDescent="0.2">
      <c r="A315" s="412"/>
      <c r="B315" s="412"/>
      <c r="C315" s="412"/>
      <c r="D315" s="412"/>
      <c r="E315" s="412"/>
      <c r="F315" s="412"/>
      <c r="G315" s="412"/>
      <c r="H315" s="412"/>
      <c r="I315" s="412"/>
      <c r="J315" s="412"/>
      <c r="K315" s="412"/>
      <c r="L315" s="412"/>
      <c r="M315" s="412"/>
      <c r="N315" s="412"/>
      <c r="O315" s="412"/>
      <c r="P315" s="412"/>
      <c r="Q315" s="412"/>
      <c r="R315" s="412"/>
      <c r="S315" s="412"/>
      <c r="T315" s="412"/>
      <c r="U315" s="412"/>
      <c r="V315" s="412"/>
      <c r="W315" s="412"/>
      <c r="X315" s="412"/>
      <c r="Y315" s="412"/>
      <c r="Z315" s="412"/>
    </row>
    <row r="316" spans="1:26" ht="12.75" x14ac:dyDescent="0.2">
      <c r="A316" s="412"/>
      <c r="B316" s="412"/>
      <c r="C316" s="412"/>
      <c r="D316" s="412"/>
      <c r="E316" s="412"/>
      <c r="F316" s="412"/>
      <c r="G316" s="412"/>
      <c r="H316" s="412"/>
      <c r="I316" s="412"/>
      <c r="J316" s="412"/>
      <c r="K316" s="412"/>
      <c r="L316" s="412"/>
      <c r="M316" s="412"/>
      <c r="N316" s="412"/>
      <c r="O316" s="412"/>
      <c r="P316" s="412"/>
      <c r="Q316" s="412"/>
      <c r="R316" s="412"/>
      <c r="S316" s="412"/>
      <c r="T316" s="412"/>
      <c r="U316" s="412"/>
      <c r="V316" s="412"/>
      <c r="W316" s="412"/>
      <c r="X316" s="412"/>
      <c r="Y316" s="412"/>
      <c r="Z316" s="412"/>
    </row>
    <row r="317" spans="1:26" ht="12.75" x14ac:dyDescent="0.2">
      <c r="A317" s="412"/>
      <c r="B317" s="412"/>
      <c r="C317" s="412"/>
      <c r="D317" s="412"/>
      <c r="E317" s="412"/>
      <c r="F317" s="412"/>
      <c r="G317" s="412"/>
      <c r="H317" s="412"/>
      <c r="I317" s="412"/>
      <c r="J317" s="412"/>
      <c r="K317" s="412"/>
      <c r="L317" s="412"/>
      <c r="M317" s="412"/>
      <c r="N317" s="412"/>
      <c r="O317" s="412"/>
      <c r="P317" s="412"/>
      <c r="Q317" s="412"/>
      <c r="R317" s="412"/>
      <c r="S317" s="412"/>
      <c r="T317" s="412"/>
      <c r="U317" s="412"/>
      <c r="V317" s="412"/>
      <c r="W317" s="412"/>
      <c r="X317" s="412"/>
      <c r="Y317" s="412"/>
      <c r="Z317" s="412"/>
    </row>
    <row r="318" spans="1:26" ht="12.75" x14ac:dyDescent="0.2">
      <c r="A318" s="412"/>
      <c r="B318" s="412"/>
      <c r="C318" s="412"/>
      <c r="D318" s="412"/>
      <c r="E318" s="412"/>
      <c r="F318" s="412"/>
      <c r="G318" s="412"/>
      <c r="H318" s="412"/>
      <c r="I318" s="412"/>
      <c r="J318" s="412"/>
      <c r="K318" s="412"/>
      <c r="L318" s="412"/>
      <c r="M318" s="412"/>
      <c r="N318" s="412"/>
      <c r="O318" s="412"/>
      <c r="P318" s="412"/>
      <c r="Q318" s="412"/>
      <c r="R318" s="412"/>
      <c r="S318" s="412"/>
      <c r="T318" s="412"/>
      <c r="U318" s="412"/>
      <c r="V318" s="412"/>
      <c r="W318" s="412"/>
      <c r="X318" s="412"/>
      <c r="Y318" s="412"/>
      <c r="Z318" s="412"/>
    </row>
    <row r="319" spans="1:26" ht="12.75" x14ac:dyDescent="0.2">
      <c r="A319" s="412"/>
      <c r="B319" s="412"/>
      <c r="C319" s="412"/>
      <c r="D319" s="412"/>
      <c r="E319" s="412"/>
      <c r="F319" s="412"/>
      <c r="G319" s="412"/>
      <c r="H319" s="412"/>
      <c r="I319" s="412"/>
      <c r="J319" s="412"/>
      <c r="K319" s="412"/>
      <c r="L319" s="412"/>
      <c r="M319" s="412"/>
      <c r="N319" s="412"/>
      <c r="O319" s="412"/>
      <c r="P319" s="412"/>
      <c r="Q319" s="412"/>
      <c r="R319" s="412"/>
      <c r="S319" s="412"/>
      <c r="T319" s="412"/>
      <c r="U319" s="412"/>
      <c r="V319" s="412"/>
      <c r="W319" s="412"/>
      <c r="X319" s="412"/>
      <c r="Y319" s="412"/>
      <c r="Z319" s="412"/>
    </row>
    <row r="320" spans="1:26" ht="12.75" x14ac:dyDescent="0.2">
      <c r="A320" s="412"/>
      <c r="B320" s="412"/>
      <c r="C320" s="412"/>
      <c r="D320" s="412"/>
      <c r="E320" s="412"/>
      <c r="F320" s="412"/>
      <c r="G320" s="412"/>
      <c r="H320" s="412"/>
      <c r="I320" s="412"/>
      <c r="J320" s="412"/>
      <c r="K320" s="412"/>
      <c r="L320" s="412"/>
      <c r="M320" s="412"/>
      <c r="N320" s="412"/>
      <c r="O320" s="412"/>
      <c r="P320" s="412"/>
      <c r="Q320" s="412"/>
      <c r="R320" s="412"/>
      <c r="S320" s="412"/>
      <c r="T320" s="412"/>
      <c r="U320" s="412"/>
      <c r="V320" s="412"/>
      <c r="W320" s="412"/>
      <c r="X320" s="412"/>
      <c r="Y320" s="412"/>
      <c r="Z320" s="412"/>
    </row>
    <row r="321" spans="1:26" ht="12.75" x14ac:dyDescent="0.2">
      <c r="A321" s="412"/>
      <c r="B321" s="412"/>
      <c r="C321" s="412"/>
      <c r="D321" s="412"/>
      <c r="E321" s="412"/>
      <c r="F321" s="412"/>
      <c r="G321" s="412"/>
      <c r="H321" s="412"/>
      <c r="I321" s="412"/>
      <c r="J321" s="412"/>
      <c r="K321" s="412"/>
      <c r="L321" s="412"/>
      <c r="M321" s="412"/>
      <c r="N321" s="412"/>
      <c r="O321" s="412"/>
      <c r="P321" s="412"/>
      <c r="Q321" s="412"/>
      <c r="R321" s="412"/>
      <c r="S321" s="412"/>
      <c r="T321" s="412"/>
      <c r="U321" s="412"/>
      <c r="V321" s="412"/>
      <c r="W321" s="412"/>
      <c r="X321" s="412"/>
      <c r="Y321" s="412"/>
      <c r="Z321" s="412"/>
    </row>
    <row r="322" spans="1:26" ht="12.75" x14ac:dyDescent="0.2">
      <c r="A322" s="412"/>
      <c r="B322" s="412"/>
      <c r="C322" s="412"/>
      <c r="D322" s="412"/>
      <c r="E322" s="412"/>
      <c r="F322" s="412"/>
      <c r="G322" s="412"/>
      <c r="H322" s="412"/>
      <c r="I322" s="412"/>
      <c r="J322" s="412"/>
      <c r="K322" s="412"/>
      <c r="L322" s="412"/>
      <c r="M322" s="412"/>
      <c r="N322" s="412"/>
      <c r="O322" s="412"/>
      <c r="P322" s="412"/>
      <c r="Q322" s="412"/>
      <c r="R322" s="412"/>
      <c r="S322" s="412"/>
      <c r="T322" s="412"/>
      <c r="U322" s="412"/>
      <c r="V322" s="412"/>
      <c r="W322" s="412"/>
      <c r="X322" s="412"/>
      <c r="Y322" s="412"/>
      <c r="Z322" s="412"/>
    </row>
    <row r="323" spans="1:26" ht="12.75" x14ac:dyDescent="0.2">
      <c r="A323" s="412"/>
      <c r="B323" s="412"/>
      <c r="C323" s="412"/>
      <c r="D323" s="412"/>
      <c r="E323" s="412"/>
      <c r="F323" s="412"/>
      <c r="G323" s="412"/>
      <c r="H323" s="412"/>
      <c r="I323" s="412"/>
      <c r="J323" s="412"/>
      <c r="K323" s="412"/>
      <c r="L323" s="412"/>
      <c r="M323" s="412"/>
      <c r="N323" s="412"/>
      <c r="O323" s="412"/>
      <c r="P323" s="412"/>
      <c r="Q323" s="412"/>
      <c r="R323" s="412"/>
      <c r="S323" s="412"/>
      <c r="T323" s="412"/>
      <c r="U323" s="412"/>
      <c r="V323" s="412"/>
      <c r="W323" s="412"/>
      <c r="X323" s="412"/>
      <c r="Y323" s="412"/>
      <c r="Z323" s="412"/>
    </row>
    <row r="324" spans="1:26" ht="12.75" x14ac:dyDescent="0.2">
      <c r="A324" s="412"/>
      <c r="B324" s="412"/>
      <c r="C324" s="412"/>
      <c r="D324" s="412"/>
      <c r="E324" s="412"/>
      <c r="F324" s="412"/>
      <c r="G324" s="412"/>
      <c r="H324" s="412"/>
      <c r="I324" s="412"/>
      <c r="J324" s="412"/>
      <c r="K324" s="412"/>
      <c r="L324" s="412"/>
      <c r="M324" s="412"/>
      <c r="N324" s="412"/>
      <c r="O324" s="412"/>
      <c r="P324" s="412"/>
      <c r="Q324" s="412"/>
      <c r="R324" s="412"/>
      <c r="S324" s="412"/>
      <c r="T324" s="412"/>
      <c r="U324" s="412"/>
      <c r="V324" s="412"/>
      <c r="W324" s="412"/>
      <c r="X324" s="412"/>
      <c r="Y324" s="412"/>
      <c r="Z324" s="412"/>
    </row>
    <row r="325" spans="1:26" ht="12.75" x14ac:dyDescent="0.2">
      <c r="A325" s="412"/>
      <c r="B325" s="412"/>
      <c r="C325" s="412"/>
      <c r="D325" s="412"/>
      <c r="E325" s="412"/>
      <c r="F325" s="412"/>
      <c r="G325" s="412"/>
      <c r="H325" s="412"/>
      <c r="I325" s="412"/>
      <c r="J325" s="412"/>
      <c r="K325" s="412"/>
      <c r="L325" s="412"/>
      <c r="M325" s="412"/>
      <c r="N325" s="412"/>
      <c r="O325" s="412"/>
      <c r="P325" s="412"/>
      <c r="Q325" s="412"/>
      <c r="R325" s="412"/>
      <c r="S325" s="412"/>
      <c r="T325" s="412"/>
      <c r="U325" s="412"/>
      <c r="V325" s="412"/>
      <c r="W325" s="412"/>
      <c r="X325" s="412"/>
      <c r="Y325" s="412"/>
      <c r="Z325" s="412"/>
    </row>
    <row r="326" spans="1:26" ht="12.75" x14ac:dyDescent="0.2">
      <c r="A326" s="412"/>
      <c r="B326" s="412"/>
      <c r="C326" s="412"/>
      <c r="D326" s="412"/>
      <c r="E326" s="412"/>
      <c r="F326" s="412"/>
      <c r="G326" s="412"/>
      <c r="H326" s="412"/>
      <c r="I326" s="412"/>
      <c r="J326" s="412"/>
      <c r="K326" s="412"/>
      <c r="L326" s="412"/>
      <c r="M326" s="412"/>
      <c r="N326" s="412"/>
      <c r="O326" s="412"/>
      <c r="P326" s="412"/>
      <c r="Q326" s="412"/>
      <c r="R326" s="412"/>
      <c r="S326" s="412"/>
      <c r="T326" s="412"/>
      <c r="U326" s="412"/>
      <c r="V326" s="412"/>
      <c r="W326" s="412"/>
      <c r="X326" s="412"/>
      <c r="Y326" s="412"/>
      <c r="Z326" s="412"/>
    </row>
    <row r="327" spans="1:26" ht="12.75" x14ac:dyDescent="0.2">
      <c r="A327" s="412"/>
      <c r="B327" s="412"/>
      <c r="C327" s="412"/>
      <c r="D327" s="412"/>
      <c r="E327" s="412"/>
      <c r="F327" s="412"/>
      <c r="G327" s="412"/>
      <c r="H327" s="412"/>
      <c r="I327" s="412"/>
      <c r="J327" s="412"/>
      <c r="K327" s="412"/>
      <c r="L327" s="412"/>
      <c r="M327" s="412"/>
      <c r="N327" s="412"/>
      <c r="O327" s="412"/>
      <c r="P327" s="412"/>
      <c r="Q327" s="412"/>
      <c r="R327" s="412"/>
      <c r="S327" s="412"/>
      <c r="T327" s="412"/>
      <c r="U327" s="412"/>
      <c r="V327" s="412"/>
      <c r="W327" s="412"/>
      <c r="X327" s="412"/>
      <c r="Y327" s="412"/>
      <c r="Z327" s="412"/>
    </row>
    <row r="328" spans="1:26" ht="12.75" x14ac:dyDescent="0.2">
      <c r="A328" s="412"/>
      <c r="B328" s="412"/>
      <c r="C328" s="412"/>
      <c r="D328" s="412"/>
      <c r="E328" s="412"/>
      <c r="F328" s="412"/>
      <c r="G328" s="412"/>
      <c r="H328" s="412"/>
      <c r="I328" s="412"/>
      <c r="J328" s="412"/>
      <c r="K328" s="412"/>
      <c r="L328" s="412"/>
      <c r="M328" s="412"/>
      <c r="N328" s="412"/>
      <c r="O328" s="412"/>
      <c r="P328" s="412"/>
      <c r="Q328" s="412"/>
      <c r="R328" s="412"/>
      <c r="S328" s="412"/>
      <c r="T328" s="412"/>
      <c r="U328" s="412"/>
      <c r="V328" s="412"/>
      <c r="W328" s="412"/>
      <c r="X328" s="412"/>
      <c r="Y328" s="412"/>
      <c r="Z328" s="412"/>
    </row>
    <row r="329" spans="1:26" ht="12.75" x14ac:dyDescent="0.2">
      <c r="A329" s="412"/>
      <c r="B329" s="412"/>
      <c r="C329" s="412"/>
      <c r="D329" s="412"/>
      <c r="E329" s="412"/>
      <c r="F329" s="412"/>
      <c r="G329" s="412"/>
      <c r="H329" s="412"/>
      <c r="I329" s="412"/>
      <c r="J329" s="412"/>
      <c r="K329" s="412"/>
      <c r="L329" s="412"/>
      <c r="M329" s="412"/>
      <c r="N329" s="412"/>
      <c r="O329" s="412"/>
      <c r="P329" s="412"/>
      <c r="Q329" s="412"/>
      <c r="R329" s="412"/>
      <c r="S329" s="412"/>
      <c r="T329" s="412"/>
      <c r="U329" s="412"/>
      <c r="V329" s="412"/>
      <c r="W329" s="412"/>
      <c r="X329" s="412"/>
      <c r="Y329" s="412"/>
      <c r="Z329" s="412"/>
    </row>
    <row r="330" spans="1:26" ht="12.75" x14ac:dyDescent="0.2">
      <c r="A330" s="412"/>
      <c r="B330" s="412"/>
      <c r="C330" s="412"/>
      <c r="D330" s="412"/>
      <c r="E330" s="412"/>
      <c r="F330" s="412"/>
      <c r="G330" s="412"/>
      <c r="H330" s="412"/>
      <c r="I330" s="412"/>
      <c r="J330" s="412"/>
      <c r="K330" s="412"/>
      <c r="L330" s="412"/>
      <c r="M330" s="412"/>
      <c r="N330" s="412"/>
      <c r="O330" s="412"/>
      <c r="P330" s="412"/>
      <c r="Q330" s="412"/>
      <c r="R330" s="412"/>
      <c r="S330" s="412"/>
      <c r="T330" s="412"/>
      <c r="U330" s="412"/>
      <c r="V330" s="412"/>
      <c r="W330" s="412"/>
      <c r="X330" s="412"/>
      <c r="Y330" s="412"/>
      <c r="Z330" s="412"/>
    </row>
    <row r="331" spans="1:26" ht="12.75" x14ac:dyDescent="0.2">
      <c r="A331" s="412"/>
      <c r="B331" s="412"/>
      <c r="C331" s="412"/>
      <c r="D331" s="412"/>
      <c r="E331" s="412"/>
      <c r="F331" s="412"/>
      <c r="G331" s="412"/>
      <c r="H331" s="412"/>
      <c r="I331" s="412"/>
      <c r="J331" s="412"/>
      <c r="K331" s="412"/>
      <c r="L331" s="412"/>
      <c r="M331" s="412"/>
      <c r="N331" s="412"/>
      <c r="O331" s="412"/>
      <c r="P331" s="412"/>
      <c r="Q331" s="412"/>
      <c r="R331" s="412"/>
      <c r="S331" s="412"/>
      <c r="T331" s="412"/>
      <c r="U331" s="412"/>
      <c r="V331" s="412"/>
      <c r="W331" s="412"/>
      <c r="X331" s="412"/>
      <c r="Y331" s="412"/>
      <c r="Z331" s="412"/>
    </row>
    <row r="332" spans="1:26" ht="12.75" x14ac:dyDescent="0.2">
      <c r="A332" s="412"/>
      <c r="B332" s="412"/>
      <c r="C332" s="412"/>
      <c r="D332" s="412"/>
      <c r="E332" s="412"/>
      <c r="F332" s="412"/>
      <c r="G332" s="412"/>
      <c r="H332" s="412"/>
      <c r="I332" s="412"/>
      <c r="J332" s="412"/>
      <c r="K332" s="412"/>
      <c r="L332" s="412"/>
      <c r="M332" s="412"/>
      <c r="N332" s="412"/>
      <c r="O332" s="412"/>
      <c r="P332" s="412"/>
      <c r="Q332" s="412"/>
      <c r="R332" s="412"/>
      <c r="S332" s="412"/>
      <c r="T332" s="412"/>
      <c r="U332" s="412"/>
      <c r="V332" s="412"/>
      <c r="W332" s="412"/>
      <c r="X332" s="412"/>
      <c r="Y332" s="412"/>
      <c r="Z332" s="412"/>
    </row>
    <row r="333" spans="1:26" ht="12.75" x14ac:dyDescent="0.2">
      <c r="A333" s="412"/>
      <c r="B333" s="412"/>
      <c r="C333" s="412"/>
      <c r="D333" s="412"/>
      <c r="E333" s="412"/>
      <c r="F333" s="412"/>
      <c r="G333" s="412"/>
      <c r="H333" s="412"/>
      <c r="I333" s="412"/>
      <c r="J333" s="412"/>
      <c r="K333" s="412"/>
      <c r="L333" s="412"/>
      <c r="M333" s="412"/>
      <c r="N333" s="412"/>
      <c r="O333" s="412"/>
      <c r="P333" s="412"/>
      <c r="Q333" s="412"/>
      <c r="R333" s="412"/>
      <c r="S333" s="412"/>
      <c r="T333" s="412"/>
      <c r="U333" s="412"/>
      <c r="V333" s="412"/>
      <c r="W333" s="412"/>
      <c r="X333" s="412"/>
      <c r="Y333" s="412"/>
      <c r="Z333" s="412"/>
    </row>
    <row r="334" spans="1:26" ht="12.75" x14ac:dyDescent="0.2">
      <c r="A334" s="412"/>
      <c r="B334" s="412"/>
      <c r="C334" s="412"/>
      <c r="D334" s="412"/>
      <c r="E334" s="412"/>
      <c r="F334" s="412"/>
      <c r="G334" s="412"/>
      <c r="H334" s="412"/>
      <c r="I334" s="412"/>
      <c r="J334" s="412"/>
      <c r="K334" s="412"/>
      <c r="L334" s="412"/>
      <c r="M334" s="412"/>
      <c r="N334" s="412"/>
      <c r="O334" s="412"/>
      <c r="P334" s="412"/>
      <c r="Q334" s="412"/>
      <c r="R334" s="412"/>
      <c r="S334" s="412"/>
      <c r="T334" s="412"/>
      <c r="U334" s="412"/>
      <c r="V334" s="412"/>
      <c r="W334" s="412"/>
      <c r="X334" s="412"/>
      <c r="Y334" s="412"/>
      <c r="Z334" s="412"/>
    </row>
    <row r="335" spans="1:26" ht="12.75" x14ac:dyDescent="0.2">
      <c r="A335" s="412"/>
      <c r="B335" s="412"/>
      <c r="C335" s="412"/>
      <c r="D335" s="412"/>
      <c r="E335" s="412"/>
      <c r="F335" s="412"/>
      <c r="G335" s="412"/>
      <c r="H335" s="412"/>
      <c r="I335" s="412"/>
      <c r="J335" s="412"/>
      <c r="K335" s="412"/>
      <c r="L335" s="412"/>
      <c r="M335" s="412"/>
      <c r="N335" s="412"/>
      <c r="O335" s="412"/>
      <c r="P335" s="412"/>
      <c r="Q335" s="412"/>
      <c r="R335" s="412"/>
      <c r="S335" s="412"/>
      <c r="T335" s="412"/>
      <c r="U335" s="412"/>
      <c r="V335" s="412"/>
      <c r="W335" s="412"/>
      <c r="X335" s="412"/>
      <c r="Y335" s="412"/>
      <c r="Z335" s="412"/>
    </row>
    <row r="336" spans="1:26" ht="12.75" x14ac:dyDescent="0.2">
      <c r="A336" s="412"/>
      <c r="B336" s="412"/>
      <c r="C336" s="412"/>
      <c r="D336" s="412"/>
      <c r="E336" s="412"/>
      <c r="F336" s="412"/>
      <c r="G336" s="412"/>
      <c r="H336" s="412"/>
      <c r="I336" s="412"/>
      <c r="J336" s="412"/>
      <c r="K336" s="412"/>
      <c r="L336" s="412"/>
      <c r="M336" s="412"/>
      <c r="N336" s="412"/>
      <c r="O336" s="412"/>
      <c r="P336" s="412"/>
      <c r="Q336" s="412"/>
      <c r="R336" s="412"/>
      <c r="S336" s="412"/>
      <c r="T336" s="412"/>
      <c r="U336" s="412"/>
      <c r="V336" s="412"/>
      <c r="W336" s="412"/>
      <c r="X336" s="412"/>
      <c r="Y336" s="412"/>
      <c r="Z336" s="412"/>
    </row>
    <row r="337" spans="1:26" ht="12.75" x14ac:dyDescent="0.2">
      <c r="A337" s="412"/>
      <c r="B337" s="412"/>
      <c r="C337" s="412"/>
      <c r="D337" s="412"/>
      <c r="E337" s="412"/>
      <c r="F337" s="412"/>
      <c r="G337" s="412"/>
      <c r="H337" s="412"/>
      <c r="I337" s="412"/>
      <c r="J337" s="412"/>
      <c r="K337" s="412"/>
      <c r="L337" s="412"/>
      <c r="M337" s="412"/>
      <c r="N337" s="412"/>
      <c r="O337" s="412"/>
      <c r="P337" s="412"/>
      <c r="Q337" s="412"/>
      <c r="R337" s="412"/>
      <c r="S337" s="412"/>
      <c r="T337" s="412"/>
      <c r="U337" s="412"/>
      <c r="V337" s="412"/>
      <c r="W337" s="412"/>
      <c r="X337" s="412"/>
      <c r="Y337" s="412"/>
      <c r="Z337" s="412"/>
    </row>
    <row r="338" spans="1:26" ht="12.75" x14ac:dyDescent="0.2">
      <c r="A338" s="412"/>
      <c r="B338" s="412"/>
      <c r="C338" s="412"/>
      <c r="D338" s="412"/>
      <c r="E338" s="412"/>
      <c r="F338" s="412"/>
      <c r="G338" s="412"/>
      <c r="H338" s="412"/>
      <c r="I338" s="412"/>
      <c r="J338" s="412"/>
      <c r="K338" s="412"/>
      <c r="L338" s="412"/>
      <c r="M338" s="412"/>
      <c r="N338" s="412"/>
      <c r="O338" s="412"/>
      <c r="P338" s="412"/>
      <c r="Q338" s="412"/>
      <c r="R338" s="412"/>
      <c r="S338" s="412"/>
      <c r="T338" s="412"/>
      <c r="U338" s="412"/>
      <c r="V338" s="412"/>
      <c r="W338" s="412"/>
      <c r="X338" s="412"/>
      <c r="Y338" s="412"/>
      <c r="Z338" s="412"/>
    </row>
    <row r="339" spans="1:26" ht="12.75" x14ac:dyDescent="0.2">
      <c r="A339" s="412"/>
      <c r="B339" s="412"/>
      <c r="C339" s="412"/>
      <c r="D339" s="412"/>
      <c r="E339" s="412"/>
      <c r="F339" s="412"/>
      <c r="G339" s="412"/>
      <c r="H339" s="412"/>
      <c r="I339" s="412"/>
      <c r="J339" s="412"/>
      <c r="K339" s="412"/>
      <c r="L339" s="412"/>
      <c r="M339" s="412"/>
      <c r="N339" s="412"/>
      <c r="O339" s="412"/>
      <c r="P339" s="412"/>
      <c r="Q339" s="412"/>
      <c r="R339" s="412"/>
      <c r="S339" s="412"/>
      <c r="T339" s="412"/>
      <c r="U339" s="412"/>
      <c r="V339" s="412"/>
      <c r="W339" s="412"/>
      <c r="X339" s="412"/>
      <c r="Y339" s="412"/>
      <c r="Z339" s="412"/>
    </row>
    <row r="340" spans="1:26" ht="12.75" x14ac:dyDescent="0.2">
      <c r="A340" s="412"/>
      <c r="B340" s="412"/>
      <c r="C340" s="412"/>
      <c r="D340" s="412"/>
      <c r="E340" s="412"/>
      <c r="F340" s="412"/>
      <c r="G340" s="412"/>
      <c r="H340" s="412"/>
      <c r="I340" s="412"/>
      <c r="J340" s="412"/>
      <c r="K340" s="412"/>
      <c r="L340" s="412"/>
      <c r="M340" s="412"/>
      <c r="N340" s="412"/>
      <c r="O340" s="412"/>
      <c r="P340" s="412"/>
      <c r="Q340" s="412"/>
      <c r="R340" s="412"/>
      <c r="S340" s="412"/>
      <c r="T340" s="412"/>
      <c r="U340" s="412"/>
      <c r="V340" s="412"/>
      <c r="W340" s="412"/>
      <c r="X340" s="412"/>
      <c r="Y340" s="412"/>
      <c r="Z340" s="412"/>
    </row>
    <row r="341" spans="1:26" ht="12.75" x14ac:dyDescent="0.2">
      <c r="A341" s="412"/>
      <c r="B341" s="412"/>
      <c r="C341" s="412"/>
      <c r="D341" s="412"/>
      <c r="E341" s="412"/>
      <c r="F341" s="412"/>
      <c r="G341" s="412"/>
      <c r="H341" s="412"/>
      <c r="I341" s="412"/>
      <c r="J341" s="412"/>
      <c r="K341" s="412"/>
      <c r="L341" s="412"/>
      <c r="M341" s="412"/>
      <c r="N341" s="412"/>
      <c r="O341" s="412"/>
      <c r="P341" s="412"/>
      <c r="Q341" s="412"/>
      <c r="R341" s="412"/>
      <c r="S341" s="412"/>
      <c r="T341" s="412"/>
      <c r="U341" s="412"/>
      <c r="V341" s="412"/>
      <c r="W341" s="412"/>
      <c r="X341" s="412"/>
      <c r="Y341" s="412"/>
      <c r="Z341" s="412"/>
    </row>
    <row r="342" spans="1:26" ht="12.75" x14ac:dyDescent="0.2">
      <c r="A342" s="412"/>
      <c r="B342" s="412"/>
      <c r="C342" s="412"/>
      <c r="D342" s="412"/>
      <c r="E342" s="412"/>
      <c r="F342" s="412"/>
      <c r="G342" s="412"/>
      <c r="H342" s="412"/>
      <c r="I342" s="412"/>
      <c r="J342" s="412"/>
      <c r="K342" s="412"/>
      <c r="L342" s="412"/>
      <c r="M342" s="412"/>
      <c r="N342" s="412"/>
      <c r="O342" s="412"/>
      <c r="P342" s="412"/>
      <c r="Q342" s="412"/>
      <c r="R342" s="412"/>
      <c r="S342" s="412"/>
      <c r="T342" s="412"/>
      <c r="U342" s="412"/>
      <c r="V342" s="412"/>
      <c r="W342" s="412"/>
      <c r="X342" s="412"/>
      <c r="Y342" s="412"/>
      <c r="Z342" s="412"/>
    </row>
    <row r="343" spans="1:26" ht="12.75" x14ac:dyDescent="0.2">
      <c r="A343" s="412"/>
      <c r="B343" s="412"/>
      <c r="C343" s="412"/>
      <c r="D343" s="412"/>
      <c r="E343" s="412"/>
      <c r="F343" s="412"/>
      <c r="G343" s="412"/>
      <c r="H343" s="412"/>
      <c r="I343" s="412"/>
      <c r="J343" s="412"/>
      <c r="K343" s="412"/>
      <c r="L343" s="412"/>
      <c r="M343" s="412"/>
      <c r="N343" s="412"/>
      <c r="O343" s="412"/>
      <c r="P343" s="412"/>
      <c r="Q343" s="412"/>
      <c r="R343" s="412"/>
      <c r="S343" s="412"/>
      <c r="T343" s="412"/>
      <c r="U343" s="412"/>
      <c r="V343" s="412"/>
      <c r="W343" s="412"/>
      <c r="X343" s="412"/>
      <c r="Y343" s="412"/>
      <c r="Z343" s="412"/>
    </row>
    <row r="344" spans="1:26" ht="12.75" x14ac:dyDescent="0.2">
      <c r="A344" s="412"/>
      <c r="B344" s="412"/>
      <c r="C344" s="412"/>
      <c r="D344" s="412"/>
      <c r="E344" s="412"/>
      <c r="F344" s="412"/>
      <c r="G344" s="412"/>
      <c r="H344" s="412"/>
      <c r="I344" s="412"/>
      <c r="J344" s="412"/>
      <c r="K344" s="412"/>
      <c r="L344" s="412"/>
      <c r="M344" s="412"/>
      <c r="N344" s="412"/>
      <c r="O344" s="412"/>
      <c r="P344" s="412"/>
      <c r="Q344" s="412"/>
      <c r="R344" s="412"/>
      <c r="S344" s="412"/>
      <c r="T344" s="412"/>
      <c r="U344" s="412"/>
      <c r="V344" s="412"/>
      <c r="W344" s="412"/>
      <c r="X344" s="412"/>
      <c r="Y344" s="412"/>
      <c r="Z344" s="412"/>
    </row>
    <row r="345" spans="1:26" ht="12.75" x14ac:dyDescent="0.2">
      <c r="A345" s="412"/>
      <c r="B345" s="412"/>
      <c r="C345" s="412"/>
      <c r="D345" s="412"/>
      <c r="E345" s="412"/>
      <c r="F345" s="412"/>
      <c r="G345" s="412"/>
      <c r="H345" s="412"/>
      <c r="I345" s="412"/>
      <c r="J345" s="412"/>
      <c r="K345" s="412"/>
      <c r="L345" s="412"/>
      <c r="M345" s="412"/>
      <c r="N345" s="412"/>
      <c r="O345" s="412"/>
      <c r="P345" s="412"/>
      <c r="Q345" s="412"/>
      <c r="R345" s="412"/>
      <c r="S345" s="412"/>
      <c r="T345" s="412"/>
      <c r="U345" s="412"/>
      <c r="V345" s="412"/>
      <c r="W345" s="412"/>
      <c r="X345" s="412"/>
      <c r="Y345" s="412"/>
      <c r="Z345" s="412"/>
    </row>
    <row r="346" spans="1:26" ht="12.75" x14ac:dyDescent="0.2">
      <c r="A346" s="412"/>
      <c r="B346" s="412"/>
      <c r="C346" s="412"/>
      <c r="D346" s="412"/>
      <c r="E346" s="412"/>
      <c r="F346" s="412"/>
      <c r="G346" s="412"/>
      <c r="H346" s="412"/>
      <c r="I346" s="412"/>
      <c r="J346" s="412"/>
      <c r="K346" s="412"/>
      <c r="L346" s="412"/>
      <c r="M346" s="412"/>
      <c r="N346" s="412"/>
      <c r="O346" s="412"/>
      <c r="P346" s="412"/>
      <c r="Q346" s="412"/>
      <c r="R346" s="412"/>
      <c r="S346" s="412"/>
      <c r="T346" s="412"/>
      <c r="U346" s="412"/>
      <c r="V346" s="412"/>
      <c r="W346" s="412"/>
      <c r="X346" s="412"/>
      <c r="Y346" s="412"/>
      <c r="Z346" s="412"/>
    </row>
    <row r="347" spans="1:26" ht="12.75" x14ac:dyDescent="0.2">
      <c r="A347" s="412"/>
      <c r="B347" s="412"/>
      <c r="C347" s="412"/>
      <c r="D347" s="412"/>
      <c r="E347" s="412"/>
      <c r="F347" s="412"/>
      <c r="G347" s="412"/>
      <c r="H347" s="412"/>
      <c r="I347" s="412"/>
      <c r="J347" s="412"/>
      <c r="K347" s="412"/>
      <c r="L347" s="412"/>
      <c r="M347" s="412"/>
      <c r="N347" s="412"/>
      <c r="O347" s="412"/>
      <c r="P347" s="412"/>
      <c r="Q347" s="412"/>
      <c r="R347" s="412"/>
      <c r="S347" s="412"/>
      <c r="T347" s="412"/>
      <c r="U347" s="412"/>
      <c r="V347" s="412"/>
      <c r="W347" s="412"/>
      <c r="X347" s="412"/>
      <c r="Y347" s="412"/>
      <c r="Z347" s="412"/>
    </row>
    <row r="348" spans="1:26" ht="12.75" x14ac:dyDescent="0.2">
      <c r="A348" s="412"/>
      <c r="B348" s="412"/>
      <c r="C348" s="412"/>
      <c r="D348" s="412"/>
      <c r="E348" s="412"/>
      <c r="F348" s="412"/>
      <c r="G348" s="412"/>
      <c r="H348" s="412"/>
      <c r="I348" s="412"/>
      <c r="J348" s="412"/>
      <c r="K348" s="412"/>
      <c r="L348" s="412"/>
      <c r="M348" s="412"/>
      <c r="N348" s="412"/>
      <c r="O348" s="412"/>
      <c r="P348" s="412"/>
      <c r="Q348" s="412"/>
      <c r="R348" s="412"/>
      <c r="S348" s="412"/>
      <c r="T348" s="412"/>
      <c r="U348" s="412"/>
      <c r="V348" s="412"/>
      <c r="W348" s="412"/>
      <c r="X348" s="412"/>
      <c r="Y348" s="412"/>
      <c r="Z348" s="412"/>
    </row>
    <row r="349" spans="1:26" ht="12.75" x14ac:dyDescent="0.2">
      <c r="A349" s="412"/>
      <c r="B349" s="412"/>
      <c r="C349" s="412"/>
      <c r="D349" s="412"/>
      <c r="E349" s="412"/>
      <c r="F349" s="412"/>
      <c r="G349" s="412"/>
      <c r="H349" s="412"/>
      <c r="I349" s="412"/>
      <c r="J349" s="412"/>
      <c r="K349" s="412"/>
      <c r="L349" s="412"/>
      <c r="M349" s="412"/>
      <c r="N349" s="412"/>
      <c r="O349" s="412"/>
      <c r="P349" s="412"/>
      <c r="Q349" s="412"/>
      <c r="R349" s="412"/>
      <c r="S349" s="412"/>
      <c r="T349" s="412"/>
      <c r="U349" s="412"/>
      <c r="V349" s="412"/>
      <c r="W349" s="412"/>
      <c r="X349" s="412"/>
      <c r="Y349" s="412"/>
      <c r="Z349" s="412"/>
    </row>
    <row r="350" spans="1:26" ht="12.75" x14ac:dyDescent="0.2">
      <c r="A350" s="412"/>
      <c r="B350" s="412"/>
      <c r="C350" s="412"/>
      <c r="D350" s="412"/>
      <c r="E350" s="412"/>
      <c r="F350" s="412"/>
      <c r="G350" s="412"/>
      <c r="H350" s="412"/>
      <c r="I350" s="412"/>
      <c r="J350" s="412"/>
      <c r="K350" s="412"/>
      <c r="L350" s="412"/>
      <c r="M350" s="412"/>
      <c r="N350" s="412"/>
      <c r="O350" s="412"/>
      <c r="P350" s="412"/>
      <c r="Q350" s="412"/>
      <c r="R350" s="412"/>
      <c r="S350" s="412"/>
      <c r="T350" s="412"/>
      <c r="U350" s="412"/>
      <c r="V350" s="412"/>
      <c r="W350" s="412"/>
      <c r="X350" s="412"/>
      <c r="Y350" s="412"/>
      <c r="Z350" s="412"/>
    </row>
    <row r="351" spans="1:26" ht="12.75" x14ac:dyDescent="0.2">
      <c r="A351" s="412"/>
      <c r="B351" s="412"/>
      <c r="C351" s="412"/>
      <c r="D351" s="412"/>
      <c r="E351" s="412"/>
      <c r="F351" s="412"/>
      <c r="G351" s="412"/>
      <c r="H351" s="412"/>
      <c r="I351" s="412"/>
      <c r="J351" s="412"/>
      <c r="K351" s="412"/>
      <c r="L351" s="412"/>
      <c r="M351" s="412"/>
      <c r="N351" s="412"/>
      <c r="O351" s="412"/>
      <c r="P351" s="412"/>
      <c r="Q351" s="412"/>
      <c r="R351" s="412"/>
      <c r="S351" s="412"/>
      <c r="T351" s="412"/>
      <c r="U351" s="412"/>
      <c r="V351" s="412"/>
      <c r="W351" s="412"/>
      <c r="X351" s="412"/>
      <c r="Y351" s="412"/>
      <c r="Z351" s="412"/>
    </row>
    <row r="352" spans="1:26" ht="12.75" x14ac:dyDescent="0.2">
      <c r="A352" s="412"/>
      <c r="B352" s="412"/>
      <c r="C352" s="412"/>
      <c r="D352" s="412"/>
      <c r="E352" s="412"/>
      <c r="F352" s="412"/>
      <c r="G352" s="412"/>
      <c r="H352" s="412"/>
      <c r="I352" s="412"/>
      <c r="J352" s="412"/>
      <c r="K352" s="412"/>
      <c r="L352" s="412"/>
      <c r="M352" s="412"/>
      <c r="N352" s="412"/>
      <c r="O352" s="412"/>
      <c r="P352" s="412"/>
      <c r="Q352" s="412"/>
      <c r="R352" s="412"/>
      <c r="S352" s="412"/>
      <c r="T352" s="412"/>
      <c r="U352" s="412"/>
      <c r="V352" s="412"/>
      <c r="W352" s="412"/>
      <c r="X352" s="412"/>
      <c r="Y352" s="412"/>
      <c r="Z352" s="412"/>
    </row>
    <row r="353" spans="1:26" ht="12.75" x14ac:dyDescent="0.2">
      <c r="A353" s="412"/>
      <c r="B353" s="412"/>
      <c r="C353" s="412"/>
      <c r="D353" s="412"/>
      <c r="E353" s="412"/>
      <c r="F353" s="412"/>
      <c r="G353" s="412"/>
      <c r="H353" s="412"/>
      <c r="I353" s="412"/>
      <c r="J353" s="412"/>
      <c r="K353" s="412"/>
      <c r="L353" s="412"/>
      <c r="M353" s="412"/>
      <c r="N353" s="412"/>
      <c r="O353" s="412"/>
      <c r="P353" s="412"/>
      <c r="Q353" s="412"/>
      <c r="R353" s="412"/>
      <c r="S353" s="412"/>
      <c r="T353" s="412"/>
      <c r="U353" s="412"/>
      <c r="V353" s="412"/>
      <c r="W353" s="412"/>
      <c r="X353" s="412"/>
      <c r="Y353" s="412"/>
      <c r="Z353" s="412"/>
    </row>
    <row r="354" spans="1:26" ht="12.75" x14ac:dyDescent="0.2">
      <c r="A354" s="412"/>
      <c r="B354" s="412"/>
      <c r="C354" s="412"/>
      <c r="D354" s="412"/>
      <c r="E354" s="412"/>
      <c r="F354" s="412"/>
      <c r="G354" s="412"/>
      <c r="H354" s="412"/>
      <c r="I354" s="412"/>
      <c r="J354" s="412"/>
      <c r="K354" s="412"/>
      <c r="L354" s="412"/>
      <c r="M354" s="412"/>
      <c r="N354" s="412"/>
      <c r="O354" s="412"/>
      <c r="P354" s="412"/>
      <c r="Q354" s="412"/>
      <c r="R354" s="412"/>
      <c r="S354" s="412"/>
      <c r="T354" s="412"/>
      <c r="U354" s="412"/>
      <c r="V354" s="412"/>
      <c r="W354" s="412"/>
      <c r="X354" s="412"/>
      <c r="Y354" s="412"/>
      <c r="Z354" s="412"/>
    </row>
    <row r="355" spans="1:26" ht="12.75" x14ac:dyDescent="0.2">
      <c r="A355" s="412"/>
      <c r="B355" s="412"/>
      <c r="C355" s="412"/>
      <c r="D355" s="412"/>
      <c r="E355" s="412"/>
      <c r="F355" s="412"/>
      <c r="G355" s="412"/>
      <c r="H355" s="412"/>
      <c r="I355" s="412"/>
      <c r="J355" s="412"/>
      <c r="K355" s="412"/>
      <c r="L355" s="412"/>
      <c r="M355" s="412"/>
      <c r="N355" s="412"/>
      <c r="O355" s="412"/>
      <c r="P355" s="412"/>
      <c r="Q355" s="412"/>
      <c r="R355" s="412"/>
      <c r="S355" s="412"/>
      <c r="T355" s="412"/>
      <c r="U355" s="412"/>
      <c r="V355" s="412"/>
      <c r="W355" s="412"/>
      <c r="X355" s="412"/>
      <c r="Y355" s="412"/>
      <c r="Z355" s="412"/>
    </row>
    <row r="356" spans="1:26" ht="12.75" x14ac:dyDescent="0.2">
      <c r="A356" s="412"/>
      <c r="B356" s="412"/>
      <c r="C356" s="412"/>
      <c r="D356" s="412"/>
      <c r="E356" s="412"/>
      <c r="F356" s="412"/>
      <c r="G356" s="412"/>
      <c r="H356" s="412"/>
      <c r="I356" s="412"/>
      <c r="J356" s="412"/>
      <c r="K356" s="412"/>
      <c r="L356" s="412"/>
      <c r="M356" s="412"/>
      <c r="N356" s="412"/>
      <c r="O356" s="412"/>
      <c r="P356" s="412"/>
      <c r="Q356" s="412"/>
      <c r="R356" s="412"/>
      <c r="S356" s="412"/>
      <c r="T356" s="412"/>
      <c r="U356" s="412"/>
      <c r="V356" s="412"/>
      <c r="W356" s="412"/>
      <c r="X356" s="412"/>
      <c r="Y356" s="412"/>
      <c r="Z356" s="412"/>
    </row>
    <row r="357" spans="1:26" ht="12.75" x14ac:dyDescent="0.2">
      <c r="A357" s="412"/>
      <c r="B357" s="412"/>
      <c r="C357" s="412"/>
      <c r="D357" s="412"/>
      <c r="E357" s="412"/>
      <c r="F357" s="412"/>
      <c r="G357" s="412"/>
      <c r="H357" s="412"/>
      <c r="I357" s="412"/>
      <c r="J357" s="412"/>
      <c r="K357" s="412"/>
      <c r="L357" s="412"/>
      <c r="M357" s="412"/>
      <c r="N357" s="412"/>
      <c r="O357" s="412"/>
      <c r="P357" s="412"/>
      <c r="Q357" s="412"/>
      <c r="R357" s="412"/>
      <c r="S357" s="412"/>
      <c r="T357" s="412"/>
      <c r="U357" s="412"/>
      <c r="V357" s="412"/>
      <c r="W357" s="412"/>
      <c r="X357" s="412"/>
      <c r="Y357" s="412"/>
      <c r="Z357" s="412"/>
    </row>
    <row r="358" spans="1:26" ht="12.75" x14ac:dyDescent="0.2">
      <c r="A358" s="412"/>
      <c r="B358" s="412"/>
      <c r="C358" s="412"/>
      <c r="D358" s="412"/>
      <c r="E358" s="412"/>
      <c r="F358" s="412"/>
      <c r="G358" s="412"/>
      <c r="H358" s="412"/>
      <c r="I358" s="412"/>
      <c r="J358" s="412"/>
      <c r="K358" s="412"/>
      <c r="L358" s="412"/>
      <c r="M358" s="412"/>
      <c r="N358" s="412"/>
      <c r="O358" s="412"/>
      <c r="P358" s="412"/>
      <c r="Q358" s="412"/>
      <c r="R358" s="412"/>
      <c r="S358" s="412"/>
      <c r="T358" s="412"/>
      <c r="U358" s="412"/>
      <c r="V358" s="412"/>
      <c r="W358" s="412"/>
      <c r="X358" s="412"/>
      <c r="Y358" s="412"/>
      <c r="Z358" s="412"/>
    </row>
    <row r="359" spans="1:26" ht="12.75" x14ac:dyDescent="0.2">
      <c r="A359" s="412"/>
      <c r="B359" s="412"/>
      <c r="C359" s="412"/>
      <c r="D359" s="412"/>
      <c r="E359" s="412"/>
      <c r="F359" s="412"/>
      <c r="G359" s="412"/>
      <c r="H359" s="412"/>
      <c r="I359" s="412"/>
      <c r="J359" s="412"/>
      <c r="K359" s="412"/>
      <c r="L359" s="412"/>
      <c r="M359" s="412"/>
      <c r="N359" s="412"/>
      <c r="O359" s="412"/>
      <c r="P359" s="412"/>
      <c r="Q359" s="412"/>
      <c r="R359" s="412"/>
      <c r="S359" s="412"/>
      <c r="T359" s="412"/>
      <c r="U359" s="412"/>
      <c r="V359" s="412"/>
      <c r="W359" s="412"/>
      <c r="X359" s="412"/>
      <c r="Y359" s="412"/>
      <c r="Z359" s="412"/>
    </row>
    <row r="360" spans="1:26" ht="12.75" x14ac:dyDescent="0.2">
      <c r="A360" s="412"/>
      <c r="B360" s="412"/>
      <c r="C360" s="412"/>
      <c r="D360" s="412"/>
      <c r="E360" s="412"/>
      <c r="F360" s="412"/>
      <c r="G360" s="412"/>
      <c r="H360" s="412"/>
      <c r="I360" s="412"/>
      <c r="J360" s="412"/>
      <c r="K360" s="412"/>
      <c r="L360" s="412"/>
      <c r="M360" s="412"/>
      <c r="N360" s="412"/>
      <c r="O360" s="412"/>
      <c r="P360" s="412"/>
      <c r="Q360" s="412"/>
      <c r="R360" s="412"/>
      <c r="S360" s="412"/>
      <c r="T360" s="412"/>
      <c r="U360" s="412"/>
      <c r="V360" s="412"/>
      <c r="W360" s="412"/>
      <c r="X360" s="412"/>
      <c r="Y360" s="412"/>
      <c r="Z360" s="412"/>
    </row>
    <row r="361" spans="1:26" ht="12.75" x14ac:dyDescent="0.2">
      <c r="A361" s="412"/>
      <c r="B361" s="412"/>
      <c r="C361" s="412"/>
      <c r="D361" s="412"/>
      <c r="E361" s="412"/>
      <c r="F361" s="412"/>
      <c r="G361" s="412"/>
      <c r="H361" s="412"/>
      <c r="I361" s="412"/>
      <c r="J361" s="412"/>
      <c r="K361" s="412"/>
      <c r="L361" s="412"/>
      <c r="M361" s="412"/>
      <c r="N361" s="412"/>
      <c r="O361" s="412"/>
      <c r="P361" s="412"/>
      <c r="Q361" s="412"/>
      <c r="R361" s="412"/>
      <c r="S361" s="412"/>
      <c r="T361" s="412"/>
      <c r="U361" s="412"/>
      <c r="V361" s="412"/>
      <c r="W361" s="412"/>
      <c r="X361" s="412"/>
      <c r="Y361" s="412"/>
      <c r="Z361" s="412"/>
    </row>
    <row r="362" spans="1:26" ht="12.75" x14ac:dyDescent="0.2">
      <c r="A362" s="412"/>
      <c r="B362" s="412"/>
      <c r="C362" s="412"/>
      <c r="D362" s="412"/>
      <c r="E362" s="412"/>
      <c r="F362" s="412"/>
      <c r="G362" s="412"/>
      <c r="H362" s="412"/>
      <c r="I362" s="412"/>
      <c r="J362" s="412"/>
      <c r="K362" s="412"/>
      <c r="L362" s="412"/>
      <c r="M362" s="412"/>
      <c r="N362" s="412"/>
      <c r="O362" s="412"/>
      <c r="P362" s="412"/>
      <c r="Q362" s="412"/>
      <c r="R362" s="412"/>
      <c r="S362" s="412"/>
      <c r="T362" s="412"/>
      <c r="U362" s="412"/>
      <c r="V362" s="412"/>
      <c r="W362" s="412"/>
      <c r="X362" s="412"/>
      <c r="Y362" s="412"/>
      <c r="Z362" s="412"/>
    </row>
    <row r="363" spans="1:26" ht="12.75" x14ac:dyDescent="0.2">
      <c r="A363" s="412"/>
      <c r="B363" s="412"/>
      <c r="C363" s="412"/>
      <c r="D363" s="412"/>
      <c r="E363" s="412"/>
      <c r="F363" s="412"/>
      <c r="G363" s="412"/>
      <c r="H363" s="412"/>
      <c r="I363" s="412"/>
      <c r="J363" s="412"/>
      <c r="K363" s="412"/>
      <c r="L363" s="412"/>
      <c r="M363" s="412"/>
      <c r="N363" s="412"/>
      <c r="O363" s="412"/>
      <c r="P363" s="412"/>
      <c r="Q363" s="412"/>
      <c r="R363" s="412"/>
      <c r="S363" s="412"/>
      <c r="T363" s="412"/>
      <c r="U363" s="412"/>
      <c r="V363" s="412"/>
      <c r="W363" s="412"/>
      <c r="X363" s="412"/>
      <c r="Y363" s="412"/>
      <c r="Z363" s="412"/>
    </row>
    <row r="364" spans="1:26" ht="12.75" x14ac:dyDescent="0.2">
      <c r="A364" s="412"/>
      <c r="B364" s="412"/>
      <c r="C364" s="412"/>
      <c r="D364" s="412"/>
      <c r="E364" s="412"/>
      <c r="F364" s="412"/>
      <c r="G364" s="412"/>
      <c r="H364" s="412"/>
      <c r="I364" s="412"/>
      <c r="J364" s="412"/>
      <c r="K364" s="412"/>
      <c r="L364" s="412"/>
      <c r="M364" s="412"/>
      <c r="N364" s="412"/>
      <c r="O364" s="412"/>
      <c r="P364" s="412"/>
      <c r="Q364" s="412"/>
      <c r="R364" s="412"/>
      <c r="S364" s="412"/>
      <c r="T364" s="412"/>
      <c r="U364" s="412"/>
      <c r="V364" s="412"/>
      <c r="W364" s="412"/>
      <c r="X364" s="412"/>
      <c r="Y364" s="412"/>
      <c r="Z364" s="412"/>
    </row>
    <row r="365" spans="1:26" ht="12.75" x14ac:dyDescent="0.2">
      <c r="A365" s="412"/>
      <c r="B365" s="412"/>
      <c r="C365" s="412"/>
      <c r="D365" s="412"/>
      <c r="E365" s="412"/>
      <c r="F365" s="412"/>
      <c r="G365" s="412"/>
      <c r="H365" s="412"/>
      <c r="I365" s="412"/>
      <c r="J365" s="412"/>
      <c r="K365" s="412"/>
      <c r="L365" s="412"/>
      <c r="M365" s="412"/>
      <c r="N365" s="412"/>
      <c r="O365" s="412"/>
      <c r="P365" s="412"/>
      <c r="Q365" s="412"/>
      <c r="R365" s="412"/>
      <c r="S365" s="412"/>
      <c r="T365" s="412"/>
      <c r="U365" s="412"/>
      <c r="V365" s="412"/>
      <c r="W365" s="412"/>
      <c r="X365" s="412"/>
      <c r="Y365" s="412"/>
      <c r="Z365" s="412"/>
    </row>
    <row r="366" spans="1:26" ht="12.75" x14ac:dyDescent="0.2">
      <c r="A366" s="412"/>
      <c r="B366" s="412"/>
      <c r="C366" s="412"/>
      <c r="D366" s="412"/>
      <c r="E366" s="412"/>
      <c r="F366" s="412"/>
      <c r="G366" s="412"/>
      <c r="H366" s="412"/>
      <c r="I366" s="412"/>
      <c r="J366" s="412"/>
      <c r="K366" s="412"/>
      <c r="L366" s="412"/>
      <c r="M366" s="412"/>
      <c r="N366" s="412"/>
      <c r="O366" s="412"/>
      <c r="P366" s="412"/>
      <c r="Q366" s="412"/>
      <c r="R366" s="412"/>
      <c r="S366" s="412"/>
      <c r="T366" s="412"/>
      <c r="U366" s="412"/>
      <c r="V366" s="412"/>
      <c r="W366" s="412"/>
      <c r="X366" s="412"/>
      <c r="Y366" s="412"/>
      <c r="Z366" s="412"/>
    </row>
    <row r="367" spans="1:26" ht="12.75" x14ac:dyDescent="0.2">
      <c r="A367" s="412"/>
      <c r="B367" s="412"/>
      <c r="C367" s="412"/>
      <c r="D367" s="412"/>
      <c r="E367" s="412"/>
      <c r="F367" s="412"/>
      <c r="G367" s="412"/>
      <c r="H367" s="412"/>
      <c r="I367" s="412"/>
      <c r="J367" s="412"/>
      <c r="K367" s="412"/>
      <c r="L367" s="412"/>
      <c r="M367" s="412"/>
      <c r="N367" s="412"/>
      <c r="O367" s="412"/>
      <c r="P367" s="412"/>
      <c r="Q367" s="412"/>
      <c r="R367" s="412"/>
      <c r="S367" s="412"/>
      <c r="T367" s="412"/>
      <c r="U367" s="412"/>
      <c r="V367" s="412"/>
      <c r="W367" s="412"/>
      <c r="X367" s="412"/>
      <c r="Y367" s="412"/>
      <c r="Z367" s="412"/>
    </row>
    <row r="368" spans="1:26" ht="12.75" x14ac:dyDescent="0.2">
      <c r="A368" s="412"/>
      <c r="B368" s="412"/>
      <c r="C368" s="412"/>
      <c r="D368" s="412"/>
      <c r="E368" s="412"/>
      <c r="F368" s="412"/>
      <c r="G368" s="412"/>
      <c r="H368" s="412"/>
      <c r="I368" s="412"/>
      <c r="J368" s="412"/>
      <c r="K368" s="412"/>
      <c r="L368" s="412"/>
      <c r="M368" s="412"/>
      <c r="N368" s="412"/>
      <c r="O368" s="412"/>
      <c r="P368" s="412"/>
      <c r="Q368" s="412"/>
      <c r="R368" s="412"/>
      <c r="S368" s="412"/>
      <c r="T368" s="412"/>
      <c r="U368" s="412"/>
      <c r="V368" s="412"/>
      <c r="W368" s="412"/>
      <c r="X368" s="412"/>
      <c r="Y368" s="412"/>
      <c r="Z368" s="412"/>
    </row>
    <row r="369" spans="1:26" ht="12.75" x14ac:dyDescent="0.2">
      <c r="A369" s="412"/>
      <c r="B369" s="412"/>
      <c r="C369" s="412"/>
      <c r="D369" s="412"/>
      <c r="E369" s="412"/>
      <c r="F369" s="412"/>
      <c r="G369" s="412"/>
      <c r="H369" s="412"/>
      <c r="I369" s="412"/>
      <c r="J369" s="412"/>
      <c r="K369" s="412"/>
      <c r="L369" s="412"/>
      <c r="M369" s="412"/>
      <c r="N369" s="412"/>
      <c r="O369" s="412"/>
      <c r="P369" s="412"/>
      <c r="Q369" s="412"/>
      <c r="R369" s="412"/>
      <c r="S369" s="412"/>
      <c r="T369" s="412"/>
      <c r="U369" s="412"/>
      <c r="V369" s="412"/>
      <c r="W369" s="412"/>
      <c r="X369" s="412"/>
      <c r="Y369" s="412"/>
      <c r="Z369" s="412"/>
    </row>
    <row r="370" spans="1:26" ht="12.75" x14ac:dyDescent="0.2">
      <c r="A370" s="412"/>
      <c r="B370" s="412"/>
      <c r="C370" s="412"/>
      <c r="D370" s="412"/>
      <c r="E370" s="412"/>
      <c r="F370" s="412"/>
      <c r="G370" s="412"/>
      <c r="H370" s="412"/>
      <c r="I370" s="412"/>
      <c r="J370" s="412"/>
      <c r="K370" s="412"/>
      <c r="L370" s="412"/>
      <c r="M370" s="412"/>
      <c r="N370" s="412"/>
      <c r="O370" s="412"/>
      <c r="P370" s="412"/>
      <c r="Q370" s="412"/>
      <c r="R370" s="412"/>
      <c r="S370" s="412"/>
      <c r="T370" s="412"/>
      <c r="U370" s="412"/>
      <c r="V370" s="412"/>
      <c r="W370" s="412"/>
      <c r="X370" s="412"/>
      <c r="Y370" s="412"/>
      <c r="Z370" s="412"/>
    </row>
    <row r="371" spans="1:26" ht="12.75" x14ac:dyDescent="0.2">
      <c r="A371" s="412"/>
      <c r="B371" s="412"/>
      <c r="C371" s="412"/>
      <c r="D371" s="412"/>
      <c r="E371" s="412"/>
      <c r="F371" s="412"/>
      <c r="G371" s="412"/>
      <c r="H371" s="412"/>
      <c r="I371" s="412"/>
      <c r="J371" s="412"/>
      <c r="K371" s="412"/>
      <c r="L371" s="412"/>
      <c r="M371" s="412"/>
      <c r="N371" s="412"/>
      <c r="O371" s="412"/>
      <c r="P371" s="412"/>
      <c r="Q371" s="412"/>
      <c r="R371" s="412"/>
      <c r="S371" s="412"/>
      <c r="T371" s="412"/>
      <c r="U371" s="412"/>
      <c r="V371" s="412"/>
      <c r="W371" s="412"/>
      <c r="X371" s="412"/>
      <c r="Y371" s="412"/>
      <c r="Z371" s="412"/>
    </row>
    <row r="372" spans="1:26" ht="12.75" x14ac:dyDescent="0.2">
      <c r="A372" s="412"/>
      <c r="B372" s="412"/>
      <c r="C372" s="412"/>
      <c r="D372" s="412"/>
      <c r="E372" s="412"/>
      <c r="F372" s="412"/>
      <c r="G372" s="412"/>
      <c r="H372" s="412"/>
      <c r="I372" s="412"/>
      <c r="J372" s="412"/>
      <c r="K372" s="412"/>
      <c r="L372" s="412"/>
      <c r="M372" s="412"/>
      <c r="N372" s="412"/>
      <c r="O372" s="412"/>
      <c r="P372" s="412"/>
      <c r="Q372" s="412"/>
      <c r="R372" s="412"/>
      <c r="S372" s="412"/>
      <c r="T372" s="412"/>
      <c r="U372" s="412"/>
      <c r="V372" s="412"/>
      <c r="W372" s="412"/>
      <c r="X372" s="412"/>
      <c r="Y372" s="412"/>
      <c r="Z372" s="412"/>
    </row>
    <row r="373" spans="1:26" ht="12.75" x14ac:dyDescent="0.2">
      <c r="A373" s="412"/>
      <c r="B373" s="412"/>
      <c r="C373" s="412"/>
      <c r="D373" s="412"/>
      <c r="E373" s="412"/>
      <c r="F373" s="412"/>
      <c r="G373" s="412"/>
      <c r="H373" s="412"/>
      <c r="I373" s="412"/>
      <c r="J373" s="412"/>
      <c r="K373" s="412"/>
      <c r="L373" s="412"/>
      <c r="M373" s="412"/>
      <c r="N373" s="412"/>
      <c r="O373" s="412"/>
      <c r="P373" s="412"/>
      <c r="Q373" s="412"/>
      <c r="R373" s="412"/>
      <c r="S373" s="412"/>
      <c r="T373" s="412"/>
      <c r="U373" s="412"/>
      <c r="V373" s="412"/>
      <c r="W373" s="412"/>
      <c r="X373" s="412"/>
      <c r="Y373" s="412"/>
      <c r="Z373" s="412"/>
    </row>
    <row r="374" spans="1:26" ht="12.75" x14ac:dyDescent="0.2">
      <c r="A374" s="412"/>
      <c r="B374" s="412"/>
      <c r="C374" s="412"/>
      <c r="D374" s="412"/>
      <c r="E374" s="412"/>
      <c r="F374" s="412"/>
      <c r="G374" s="412"/>
      <c r="H374" s="412"/>
      <c r="I374" s="412"/>
      <c r="J374" s="412"/>
      <c r="K374" s="412"/>
      <c r="L374" s="412"/>
      <c r="M374" s="412"/>
      <c r="N374" s="412"/>
      <c r="O374" s="412"/>
      <c r="P374" s="412"/>
      <c r="Q374" s="412"/>
      <c r="R374" s="412"/>
      <c r="S374" s="412"/>
      <c r="T374" s="412"/>
      <c r="U374" s="412"/>
      <c r="V374" s="412"/>
      <c r="W374" s="412"/>
      <c r="X374" s="412"/>
      <c r="Y374" s="412"/>
      <c r="Z374" s="412"/>
    </row>
    <row r="375" spans="1:26" ht="12.75" x14ac:dyDescent="0.2">
      <c r="A375" s="412"/>
      <c r="B375" s="412"/>
      <c r="C375" s="412"/>
      <c r="D375" s="412"/>
      <c r="E375" s="412"/>
      <c r="F375" s="412"/>
      <c r="G375" s="412"/>
      <c r="H375" s="412"/>
      <c r="I375" s="412"/>
      <c r="J375" s="412"/>
      <c r="K375" s="412"/>
      <c r="L375" s="412"/>
      <c r="M375" s="412"/>
      <c r="N375" s="412"/>
      <c r="O375" s="412"/>
      <c r="P375" s="412"/>
      <c r="Q375" s="412"/>
      <c r="R375" s="412"/>
      <c r="S375" s="412"/>
      <c r="T375" s="412"/>
      <c r="U375" s="412"/>
      <c r="V375" s="412"/>
      <c r="W375" s="412"/>
      <c r="X375" s="412"/>
      <c r="Y375" s="412"/>
      <c r="Z375" s="412"/>
    </row>
    <row r="376" spans="1:26" ht="12.75" x14ac:dyDescent="0.2">
      <c r="A376" s="412"/>
      <c r="B376" s="412"/>
      <c r="C376" s="412"/>
      <c r="D376" s="412"/>
      <c r="E376" s="412"/>
      <c r="F376" s="412"/>
      <c r="G376" s="412"/>
      <c r="H376" s="412"/>
      <c r="I376" s="412"/>
      <c r="J376" s="412"/>
      <c r="K376" s="412"/>
      <c r="L376" s="412"/>
      <c r="M376" s="412"/>
      <c r="N376" s="412"/>
      <c r="O376" s="412"/>
      <c r="P376" s="412"/>
      <c r="Q376" s="412"/>
      <c r="R376" s="412"/>
      <c r="S376" s="412"/>
      <c r="T376" s="412"/>
      <c r="U376" s="412"/>
      <c r="V376" s="412"/>
      <c r="W376" s="412"/>
      <c r="X376" s="412"/>
      <c r="Y376" s="412"/>
      <c r="Z376" s="412"/>
    </row>
    <row r="377" spans="1:26" ht="12.75" x14ac:dyDescent="0.2">
      <c r="A377" s="412"/>
      <c r="B377" s="412"/>
      <c r="C377" s="412"/>
      <c r="D377" s="412"/>
      <c r="E377" s="412"/>
      <c r="F377" s="412"/>
      <c r="G377" s="412"/>
      <c r="H377" s="412"/>
      <c r="I377" s="412"/>
      <c r="J377" s="412"/>
      <c r="K377" s="412"/>
      <c r="L377" s="412"/>
      <c r="M377" s="412"/>
      <c r="N377" s="412"/>
      <c r="O377" s="412"/>
      <c r="P377" s="412"/>
      <c r="Q377" s="412"/>
      <c r="R377" s="412"/>
      <c r="S377" s="412"/>
      <c r="T377" s="412"/>
      <c r="U377" s="412"/>
      <c r="V377" s="412"/>
      <c r="W377" s="412"/>
      <c r="X377" s="412"/>
      <c r="Y377" s="412"/>
      <c r="Z377" s="412"/>
    </row>
    <row r="378" spans="1:26" ht="12.75" x14ac:dyDescent="0.2">
      <c r="A378" s="412"/>
      <c r="B378" s="412"/>
      <c r="C378" s="412"/>
      <c r="D378" s="412"/>
      <c r="E378" s="412"/>
      <c r="F378" s="412"/>
      <c r="G378" s="412"/>
      <c r="H378" s="412"/>
      <c r="I378" s="412"/>
      <c r="J378" s="412"/>
      <c r="K378" s="412"/>
      <c r="L378" s="412"/>
      <c r="M378" s="412"/>
      <c r="N378" s="412"/>
      <c r="O378" s="412"/>
      <c r="P378" s="412"/>
      <c r="Q378" s="412"/>
      <c r="R378" s="412"/>
      <c r="S378" s="412"/>
      <c r="T378" s="412"/>
      <c r="U378" s="412"/>
      <c r="V378" s="412"/>
      <c r="W378" s="412"/>
      <c r="X378" s="412"/>
      <c r="Y378" s="412"/>
      <c r="Z378" s="412"/>
    </row>
    <row r="379" spans="1:26" ht="12.75" x14ac:dyDescent="0.2">
      <c r="A379" s="412"/>
      <c r="B379" s="412"/>
      <c r="C379" s="412"/>
      <c r="D379" s="412"/>
      <c r="E379" s="412"/>
      <c r="F379" s="412"/>
      <c r="G379" s="412"/>
      <c r="H379" s="412"/>
      <c r="I379" s="412"/>
      <c r="J379" s="412"/>
      <c r="K379" s="412"/>
      <c r="L379" s="412"/>
      <c r="M379" s="412"/>
      <c r="N379" s="412"/>
      <c r="O379" s="412"/>
      <c r="P379" s="412"/>
      <c r="Q379" s="412"/>
      <c r="R379" s="412"/>
      <c r="S379" s="412"/>
      <c r="T379" s="412"/>
      <c r="U379" s="412"/>
      <c r="V379" s="412"/>
      <c r="W379" s="412"/>
      <c r="X379" s="412"/>
      <c r="Y379" s="412"/>
      <c r="Z379" s="412"/>
    </row>
    <row r="380" spans="1:26" ht="12.75" x14ac:dyDescent="0.2">
      <c r="A380" s="412"/>
      <c r="B380" s="412"/>
      <c r="C380" s="412"/>
      <c r="D380" s="412"/>
      <c r="E380" s="412"/>
      <c r="F380" s="412"/>
      <c r="G380" s="412"/>
      <c r="H380" s="412"/>
      <c r="I380" s="412"/>
      <c r="J380" s="412"/>
      <c r="K380" s="412"/>
      <c r="L380" s="412"/>
      <c r="M380" s="412"/>
      <c r="N380" s="412"/>
      <c r="O380" s="412"/>
      <c r="P380" s="412"/>
      <c r="Q380" s="412"/>
      <c r="R380" s="412"/>
      <c r="S380" s="412"/>
      <c r="T380" s="412"/>
      <c r="U380" s="412"/>
      <c r="V380" s="412"/>
      <c r="W380" s="412"/>
      <c r="X380" s="412"/>
      <c r="Y380" s="412"/>
      <c r="Z380" s="412"/>
    </row>
    <row r="381" spans="1:26" ht="12.75" x14ac:dyDescent="0.2">
      <c r="A381" s="412"/>
      <c r="B381" s="412"/>
      <c r="C381" s="412"/>
      <c r="D381" s="412"/>
      <c r="E381" s="412"/>
      <c r="F381" s="412"/>
      <c r="G381" s="412"/>
      <c r="H381" s="412"/>
      <c r="I381" s="412"/>
      <c r="J381" s="412"/>
      <c r="K381" s="412"/>
      <c r="L381" s="412"/>
      <c r="M381" s="412"/>
      <c r="N381" s="412"/>
      <c r="O381" s="412"/>
      <c r="P381" s="412"/>
      <c r="Q381" s="412"/>
      <c r="R381" s="412"/>
      <c r="S381" s="412"/>
      <c r="T381" s="412"/>
      <c r="U381" s="412"/>
      <c r="V381" s="412"/>
      <c r="W381" s="412"/>
      <c r="X381" s="412"/>
      <c r="Y381" s="412"/>
      <c r="Z381" s="412"/>
    </row>
    <row r="382" spans="1:26" ht="12.75" x14ac:dyDescent="0.2">
      <c r="A382" s="412"/>
      <c r="B382" s="412"/>
      <c r="C382" s="412"/>
      <c r="D382" s="412"/>
      <c r="E382" s="412"/>
      <c r="F382" s="412"/>
      <c r="G382" s="412"/>
      <c r="H382" s="412"/>
      <c r="I382" s="412"/>
      <c r="J382" s="412"/>
      <c r="K382" s="412"/>
      <c r="L382" s="412"/>
      <c r="M382" s="412"/>
      <c r="N382" s="412"/>
      <c r="O382" s="412"/>
      <c r="P382" s="412"/>
      <c r="Q382" s="412"/>
      <c r="R382" s="412"/>
      <c r="S382" s="412"/>
      <c r="T382" s="412"/>
      <c r="U382" s="412"/>
      <c r="V382" s="412"/>
      <c r="W382" s="412"/>
      <c r="X382" s="412"/>
      <c r="Y382" s="412"/>
      <c r="Z382" s="412"/>
    </row>
    <row r="383" spans="1:26" ht="12.75" x14ac:dyDescent="0.2">
      <c r="A383" s="412"/>
      <c r="B383" s="412"/>
      <c r="C383" s="412"/>
      <c r="D383" s="412"/>
      <c r="E383" s="412"/>
      <c r="F383" s="412"/>
      <c r="G383" s="412"/>
      <c r="H383" s="412"/>
      <c r="I383" s="412"/>
      <c r="J383" s="412"/>
      <c r="K383" s="412"/>
      <c r="L383" s="412"/>
      <c r="M383" s="412"/>
      <c r="N383" s="412"/>
      <c r="O383" s="412"/>
      <c r="P383" s="412"/>
      <c r="Q383" s="412"/>
      <c r="R383" s="412"/>
      <c r="S383" s="412"/>
      <c r="T383" s="412"/>
      <c r="U383" s="412"/>
      <c r="V383" s="412"/>
      <c r="W383" s="412"/>
      <c r="X383" s="412"/>
      <c r="Y383" s="412"/>
      <c r="Z383" s="412"/>
    </row>
    <row r="384" spans="1:26" ht="12.75" x14ac:dyDescent="0.2">
      <c r="A384" s="412"/>
      <c r="B384" s="412"/>
      <c r="C384" s="412"/>
      <c r="D384" s="412"/>
      <c r="E384" s="412"/>
      <c r="F384" s="412"/>
      <c r="G384" s="412"/>
      <c r="H384" s="412"/>
      <c r="I384" s="412"/>
      <c r="J384" s="412"/>
      <c r="K384" s="412"/>
      <c r="L384" s="412"/>
      <c r="M384" s="412"/>
      <c r="N384" s="412"/>
      <c r="O384" s="412"/>
      <c r="P384" s="412"/>
      <c r="Q384" s="412"/>
      <c r="R384" s="412"/>
      <c r="S384" s="412"/>
      <c r="T384" s="412"/>
      <c r="U384" s="412"/>
      <c r="V384" s="412"/>
      <c r="W384" s="412"/>
      <c r="X384" s="412"/>
      <c r="Y384" s="412"/>
      <c r="Z384" s="412"/>
    </row>
    <row r="385" spans="1:26" ht="12.75" x14ac:dyDescent="0.2">
      <c r="A385" s="412"/>
      <c r="B385" s="412"/>
      <c r="C385" s="412"/>
      <c r="D385" s="412"/>
      <c r="E385" s="412"/>
      <c r="F385" s="412"/>
      <c r="G385" s="412"/>
      <c r="H385" s="412"/>
      <c r="I385" s="412"/>
      <c r="J385" s="412"/>
      <c r="K385" s="412"/>
      <c r="L385" s="412"/>
      <c r="M385" s="412"/>
      <c r="N385" s="412"/>
      <c r="O385" s="412"/>
      <c r="P385" s="412"/>
      <c r="Q385" s="412"/>
      <c r="R385" s="412"/>
      <c r="S385" s="412"/>
      <c r="T385" s="412"/>
      <c r="U385" s="412"/>
      <c r="V385" s="412"/>
      <c r="W385" s="412"/>
      <c r="X385" s="412"/>
      <c r="Y385" s="412"/>
      <c r="Z385" s="412"/>
    </row>
    <row r="386" spans="1:26" ht="12.75" x14ac:dyDescent="0.2">
      <c r="A386" s="412"/>
      <c r="B386" s="412"/>
      <c r="C386" s="412"/>
      <c r="D386" s="412"/>
      <c r="E386" s="412"/>
      <c r="F386" s="412"/>
      <c r="G386" s="412"/>
      <c r="H386" s="412"/>
      <c r="I386" s="412"/>
      <c r="J386" s="412"/>
      <c r="K386" s="412"/>
      <c r="L386" s="412"/>
      <c r="M386" s="412"/>
      <c r="N386" s="412"/>
      <c r="O386" s="412"/>
      <c r="P386" s="412"/>
      <c r="Q386" s="412"/>
      <c r="R386" s="412"/>
      <c r="S386" s="412"/>
      <c r="T386" s="412"/>
      <c r="U386" s="412"/>
      <c r="V386" s="412"/>
      <c r="W386" s="412"/>
      <c r="X386" s="412"/>
      <c r="Y386" s="412"/>
      <c r="Z386" s="412"/>
    </row>
    <row r="387" spans="1:26" ht="12.75" x14ac:dyDescent="0.2">
      <c r="A387" s="412"/>
      <c r="B387" s="412"/>
      <c r="C387" s="412"/>
      <c r="D387" s="412"/>
      <c r="E387" s="412"/>
      <c r="F387" s="412"/>
      <c r="G387" s="412"/>
      <c r="H387" s="412"/>
      <c r="I387" s="412"/>
      <c r="J387" s="412"/>
      <c r="K387" s="412"/>
      <c r="L387" s="412"/>
      <c r="M387" s="412"/>
      <c r="N387" s="412"/>
      <c r="O387" s="412"/>
      <c r="P387" s="412"/>
      <c r="Q387" s="412"/>
      <c r="R387" s="412"/>
      <c r="S387" s="412"/>
      <c r="T387" s="412"/>
      <c r="U387" s="412"/>
      <c r="V387" s="412"/>
      <c r="W387" s="412"/>
      <c r="X387" s="412"/>
      <c r="Y387" s="412"/>
      <c r="Z387" s="412"/>
    </row>
    <row r="388" spans="1:26" ht="12.75" x14ac:dyDescent="0.2">
      <c r="A388" s="412"/>
      <c r="B388" s="412"/>
      <c r="C388" s="412"/>
      <c r="D388" s="412"/>
      <c r="E388" s="412"/>
      <c r="F388" s="412"/>
      <c r="G388" s="412"/>
      <c r="H388" s="412"/>
      <c r="I388" s="412"/>
      <c r="J388" s="412"/>
      <c r="K388" s="412"/>
      <c r="L388" s="412"/>
      <c r="M388" s="412"/>
      <c r="N388" s="412"/>
      <c r="O388" s="412"/>
      <c r="P388" s="412"/>
      <c r="Q388" s="412"/>
      <c r="R388" s="412"/>
      <c r="S388" s="412"/>
      <c r="T388" s="412"/>
      <c r="U388" s="412"/>
      <c r="V388" s="412"/>
      <c r="W388" s="412"/>
      <c r="X388" s="412"/>
      <c r="Y388" s="412"/>
      <c r="Z388" s="412"/>
    </row>
    <row r="389" spans="1:26" ht="12.75" x14ac:dyDescent="0.2">
      <c r="A389" s="412"/>
      <c r="B389" s="412"/>
      <c r="C389" s="412"/>
      <c r="D389" s="412"/>
      <c r="E389" s="412"/>
      <c r="F389" s="412"/>
      <c r="G389" s="412"/>
      <c r="H389" s="412"/>
      <c r="I389" s="412"/>
      <c r="J389" s="412"/>
      <c r="K389" s="412"/>
      <c r="L389" s="412"/>
      <c r="M389" s="412"/>
      <c r="N389" s="412"/>
      <c r="O389" s="412"/>
      <c r="P389" s="412"/>
      <c r="Q389" s="412"/>
      <c r="R389" s="412"/>
      <c r="S389" s="412"/>
      <c r="T389" s="412"/>
      <c r="U389" s="412"/>
      <c r="V389" s="412"/>
      <c r="W389" s="412"/>
      <c r="X389" s="412"/>
      <c r="Y389" s="412"/>
      <c r="Z389" s="412"/>
    </row>
    <row r="390" spans="1:26" ht="12.75" x14ac:dyDescent="0.2">
      <c r="A390" s="412"/>
      <c r="B390" s="412"/>
      <c r="C390" s="412"/>
      <c r="D390" s="412"/>
      <c r="E390" s="412"/>
      <c r="F390" s="412"/>
      <c r="G390" s="412"/>
      <c r="H390" s="412"/>
      <c r="I390" s="412"/>
      <c r="J390" s="412"/>
      <c r="K390" s="412"/>
      <c r="L390" s="412"/>
      <c r="M390" s="412"/>
      <c r="N390" s="412"/>
      <c r="O390" s="412"/>
      <c r="P390" s="412"/>
      <c r="Q390" s="412"/>
      <c r="R390" s="412"/>
      <c r="S390" s="412"/>
      <c r="T390" s="412"/>
      <c r="U390" s="412"/>
      <c r="V390" s="412"/>
      <c r="W390" s="412"/>
      <c r="X390" s="412"/>
      <c r="Y390" s="412"/>
      <c r="Z390" s="412"/>
    </row>
    <row r="391" spans="1:26" ht="12.75" x14ac:dyDescent="0.2">
      <c r="A391" s="412"/>
      <c r="B391" s="412"/>
      <c r="C391" s="412"/>
      <c r="D391" s="412"/>
      <c r="E391" s="412"/>
      <c r="F391" s="412"/>
      <c r="G391" s="412"/>
      <c r="H391" s="412"/>
      <c r="I391" s="412"/>
      <c r="J391" s="412"/>
      <c r="K391" s="412"/>
      <c r="L391" s="412"/>
      <c r="M391" s="412"/>
      <c r="N391" s="412"/>
      <c r="O391" s="412"/>
      <c r="P391" s="412"/>
      <c r="Q391" s="412"/>
      <c r="R391" s="412"/>
      <c r="S391" s="412"/>
      <c r="T391" s="412"/>
      <c r="U391" s="412"/>
      <c r="V391" s="412"/>
      <c r="W391" s="412"/>
      <c r="X391" s="412"/>
      <c r="Y391" s="412"/>
      <c r="Z391" s="412"/>
    </row>
    <row r="392" spans="1:26" ht="12.75" x14ac:dyDescent="0.2">
      <c r="A392" s="412"/>
      <c r="B392" s="412"/>
      <c r="C392" s="412"/>
      <c r="D392" s="412"/>
      <c r="E392" s="412"/>
      <c r="F392" s="412"/>
      <c r="G392" s="412"/>
      <c r="H392" s="412"/>
      <c r="I392" s="412"/>
      <c r="J392" s="412"/>
      <c r="K392" s="412"/>
      <c r="L392" s="412"/>
      <c r="M392" s="412"/>
      <c r="N392" s="412"/>
      <c r="O392" s="412"/>
      <c r="P392" s="412"/>
      <c r="Q392" s="412"/>
      <c r="R392" s="412"/>
      <c r="S392" s="412"/>
      <c r="T392" s="412"/>
      <c r="U392" s="412"/>
      <c r="V392" s="412"/>
      <c r="W392" s="412"/>
      <c r="X392" s="412"/>
      <c r="Y392" s="412"/>
      <c r="Z392" s="412"/>
    </row>
    <row r="393" spans="1:26" ht="12.75" x14ac:dyDescent="0.2">
      <c r="A393" s="412"/>
      <c r="B393" s="412"/>
      <c r="C393" s="412"/>
      <c r="D393" s="412"/>
      <c r="E393" s="412"/>
      <c r="F393" s="412"/>
      <c r="G393" s="412"/>
      <c r="H393" s="412"/>
      <c r="I393" s="412"/>
      <c r="J393" s="412"/>
      <c r="K393" s="412"/>
      <c r="L393" s="412"/>
      <c r="M393" s="412"/>
      <c r="N393" s="412"/>
      <c r="O393" s="412"/>
      <c r="P393" s="412"/>
      <c r="Q393" s="412"/>
      <c r="R393" s="412"/>
      <c r="S393" s="412"/>
      <c r="T393" s="412"/>
      <c r="U393" s="412"/>
      <c r="V393" s="412"/>
      <c r="W393" s="412"/>
      <c r="X393" s="412"/>
      <c r="Y393" s="412"/>
      <c r="Z393" s="412"/>
    </row>
    <row r="394" spans="1:26" ht="12.75" x14ac:dyDescent="0.2">
      <c r="A394" s="412"/>
      <c r="B394" s="412"/>
      <c r="C394" s="412"/>
      <c r="D394" s="412"/>
      <c r="E394" s="412"/>
      <c r="F394" s="412"/>
      <c r="G394" s="412"/>
      <c r="H394" s="412"/>
      <c r="I394" s="412"/>
      <c r="J394" s="412"/>
      <c r="K394" s="412"/>
      <c r="L394" s="412"/>
      <c r="M394" s="412"/>
      <c r="N394" s="412"/>
      <c r="O394" s="412"/>
      <c r="P394" s="412"/>
      <c r="Q394" s="412"/>
      <c r="R394" s="412"/>
      <c r="S394" s="412"/>
      <c r="T394" s="412"/>
      <c r="U394" s="412"/>
      <c r="V394" s="412"/>
      <c r="W394" s="412"/>
      <c r="X394" s="412"/>
      <c r="Y394" s="412"/>
      <c r="Z394" s="412"/>
    </row>
    <row r="395" spans="1:26" ht="12.75" x14ac:dyDescent="0.2">
      <c r="A395" s="412"/>
      <c r="B395" s="412"/>
      <c r="C395" s="412"/>
      <c r="D395" s="412"/>
      <c r="E395" s="412"/>
      <c r="F395" s="412"/>
      <c r="G395" s="412"/>
      <c r="H395" s="412"/>
      <c r="I395" s="412"/>
      <c r="J395" s="412"/>
      <c r="K395" s="412"/>
      <c r="L395" s="412"/>
      <c r="M395" s="412"/>
      <c r="N395" s="412"/>
      <c r="O395" s="412"/>
      <c r="P395" s="412"/>
      <c r="Q395" s="412"/>
      <c r="R395" s="412"/>
      <c r="S395" s="412"/>
      <c r="T395" s="412"/>
      <c r="U395" s="412"/>
      <c r="V395" s="412"/>
      <c r="W395" s="412"/>
      <c r="X395" s="412"/>
      <c r="Y395" s="412"/>
      <c r="Z395" s="412"/>
    </row>
    <row r="396" spans="1:26" ht="12.75" x14ac:dyDescent="0.2">
      <c r="A396" s="412"/>
      <c r="B396" s="412"/>
      <c r="C396" s="412"/>
      <c r="D396" s="412"/>
      <c r="E396" s="412"/>
      <c r="F396" s="412"/>
      <c r="G396" s="412"/>
      <c r="H396" s="412"/>
      <c r="I396" s="412"/>
      <c r="J396" s="412"/>
      <c r="K396" s="412"/>
      <c r="L396" s="412"/>
      <c r="M396" s="412"/>
      <c r="N396" s="412"/>
      <c r="O396" s="412"/>
      <c r="P396" s="412"/>
      <c r="Q396" s="412"/>
      <c r="R396" s="412"/>
      <c r="S396" s="412"/>
      <c r="T396" s="412"/>
      <c r="U396" s="412"/>
      <c r="V396" s="412"/>
      <c r="W396" s="412"/>
      <c r="X396" s="412"/>
      <c r="Y396" s="412"/>
      <c r="Z396" s="412"/>
    </row>
    <row r="397" spans="1:26" ht="12.75" x14ac:dyDescent="0.2">
      <c r="A397" s="412"/>
      <c r="B397" s="412"/>
      <c r="C397" s="412"/>
      <c r="D397" s="412"/>
      <c r="E397" s="412"/>
      <c r="F397" s="412"/>
      <c r="G397" s="412"/>
      <c r="H397" s="412"/>
      <c r="I397" s="412"/>
      <c r="J397" s="412"/>
      <c r="K397" s="412"/>
      <c r="L397" s="412"/>
      <c r="M397" s="412"/>
      <c r="N397" s="412"/>
      <c r="O397" s="412"/>
      <c r="P397" s="412"/>
      <c r="Q397" s="412"/>
      <c r="R397" s="412"/>
      <c r="S397" s="412"/>
      <c r="T397" s="412"/>
      <c r="U397" s="412"/>
      <c r="V397" s="412"/>
      <c r="W397" s="412"/>
      <c r="X397" s="412"/>
      <c r="Y397" s="412"/>
      <c r="Z397" s="412"/>
    </row>
    <row r="398" spans="1:26" ht="12.75" x14ac:dyDescent="0.2">
      <c r="A398" s="412"/>
      <c r="B398" s="412"/>
      <c r="C398" s="412"/>
      <c r="D398" s="412"/>
      <c r="E398" s="412"/>
      <c r="F398" s="412"/>
      <c r="G398" s="412"/>
      <c r="H398" s="412"/>
      <c r="I398" s="412"/>
      <c r="J398" s="412"/>
      <c r="K398" s="412"/>
      <c r="L398" s="412"/>
      <c r="M398" s="412"/>
      <c r="N398" s="412"/>
      <c r="O398" s="412"/>
      <c r="P398" s="412"/>
      <c r="Q398" s="412"/>
      <c r="R398" s="412"/>
      <c r="S398" s="412"/>
      <c r="T398" s="412"/>
      <c r="U398" s="412"/>
      <c r="V398" s="412"/>
      <c r="W398" s="412"/>
      <c r="X398" s="412"/>
      <c r="Y398" s="412"/>
      <c r="Z398" s="412"/>
    </row>
    <row r="399" spans="1:26" ht="12.75" x14ac:dyDescent="0.2">
      <c r="A399" s="412"/>
      <c r="B399" s="412"/>
      <c r="C399" s="412"/>
      <c r="D399" s="412"/>
      <c r="E399" s="412"/>
      <c r="F399" s="412"/>
      <c r="G399" s="412"/>
      <c r="H399" s="412"/>
      <c r="I399" s="412"/>
      <c r="J399" s="412"/>
      <c r="K399" s="412"/>
      <c r="L399" s="412"/>
      <c r="M399" s="412"/>
      <c r="N399" s="412"/>
      <c r="O399" s="412"/>
      <c r="P399" s="412"/>
      <c r="Q399" s="412"/>
      <c r="R399" s="412"/>
      <c r="S399" s="412"/>
      <c r="T399" s="412"/>
      <c r="U399" s="412"/>
      <c r="V399" s="412"/>
      <c r="W399" s="412"/>
      <c r="X399" s="412"/>
      <c r="Y399" s="412"/>
      <c r="Z399" s="412"/>
    </row>
    <row r="400" spans="1:26" ht="12.75" x14ac:dyDescent="0.2">
      <c r="A400" s="412"/>
      <c r="B400" s="412"/>
      <c r="C400" s="412"/>
      <c r="D400" s="412"/>
      <c r="E400" s="412"/>
      <c r="F400" s="412"/>
      <c r="G400" s="412"/>
      <c r="H400" s="412"/>
      <c r="I400" s="412"/>
      <c r="J400" s="412"/>
      <c r="K400" s="412"/>
      <c r="L400" s="412"/>
      <c r="M400" s="412"/>
      <c r="N400" s="412"/>
      <c r="O400" s="412"/>
      <c r="P400" s="412"/>
      <c r="Q400" s="412"/>
      <c r="R400" s="412"/>
      <c r="S400" s="412"/>
      <c r="T400" s="412"/>
      <c r="U400" s="412"/>
      <c r="V400" s="412"/>
      <c r="W400" s="412"/>
      <c r="X400" s="412"/>
      <c r="Y400" s="412"/>
      <c r="Z400" s="412"/>
    </row>
    <row r="401" spans="1:26" ht="12.75" x14ac:dyDescent="0.2">
      <c r="A401" s="412"/>
      <c r="B401" s="412"/>
      <c r="C401" s="412"/>
      <c r="D401" s="412"/>
      <c r="E401" s="412"/>
      <c r="F401" s="412"/>
      <c r="G401" s="412"/>
      <c r="H401" s="412"/>
      <c r="I401" s="412"/>
      <c r="J401" s="412"/>
      <c r="K401" s="412"/>
      <c r="L401" s="412"/>
      <c r="M401" s="412"/>
      <c r="N401" s="412"/>
      <c r="O401" s="412"/>
      <c r="P401" s="412"/>
      <c r="Q401" s="412"/>
      <c r="R401" s="412"/>
      <c r="S401" s="412"/>
      <c r="T401" s="412"/>
      <c r="U401" s="412"/>
      <c r="V401" s="412"/>
      <c r="W401" s="412"/>
      <c r="X401" s="412"/>
      <c r="Y401" s="412"/>
      <c r="Z401" s="412"/>
    </row>
    <row r="402" spans="1:26" ht="12.75" x14ac:dyDescent="0.2">
      <c r="A402" s="412"/>
      <c r="B402" s="412"/>
      <c r="C402" s="412"/>
      <c r="D402" s="412"/>
      <c r="E402" s="412"/>
      <c r="F402" s="412"/>
      <c r="G402" s="412"/>
      <c r="H402" s="412"/>
      <c r="I402" s="412"/>
      <c r="J402" s="412"/>
      <c r="K402" s="412"/>
      <c r="L402" s="412"/>
      <c r="M402" s="412"/>
      <c r="N402" s="412"/>
      <c r="O402" s="412"/>
      <c r="P402" s="412"/>
      <c r="Q402" s="412"/>
      <c r="R402" s="412"/>
      <c r="S402" s="412"/>
      <c r="T402" s="412"/>
      <c r="U402" s="412"/>
      <c r="V402" s="412"/>
      <c r="W402" s="412"/>
      <c r="X402" s="412"/>
      <c r="Y402" s="412"/>
      <c r="Z402" s="412"/>
    </row>
    <row r="403" spans="1:26" ht="12.75" x14ac:dyDescent="0.2">
      <c r="A403" s="412"/>
      <c r="B403" s="412"/>
      <c r="C403" s="412"/>
      <c r="D403" s="412"/>
      <c r="E403" s="412"/>
      <c r="F403" s="412"/>
      <c r="G403" s="412"/>
      <c r="H403" s="412"/>
      <c r="I403" s="412"/>
      <c r="J403" s="412"/>
      <c r="K403" s="412"/>
      <c r="L403" s="412"/>
      <c r="M403" s="412"/>
      <c r="N403" s="412"/>
      <c r="O403" s="412"/>
      <c r="P403" s="412"/>
      <c r="Q403" s="412"/>
      <c r="R403" s="412"/>
      <c r="S403" s="412"/>
      <c r="T403" s="412"/>
      <c r="U403" s="412"/>
      <c r="V403" s="412"/>
      <c r="W403" s="412"/>
      <c r="X403" s="412"/>
      <c r="Y403" s="412"/>
      <c r="Z403" s="412"/>
    </row>
    <row r="404" spans="1:26" ht="12.75" x14ac:dyDescent="0.2">
      <c r="A404" s="412"/>
      <c r="B404" s="412"/>
      <c r="C404" s="412"/>
      <c r="D404" s="412"/>
      <c r="E404" s="412"/>
      <c r="F404" s="412"/>
      <c r="G404" s="412"/>
      <c r="H404" s="412"/>
      <c r="I404" s="412"/>
      <c r="J404" s="412"/>
      <c r="K404" s="412"/>
      <c r="L404" s="412"/>
      <c r="M404" s="412"/>
      <c r="N404" s="412"/>
      <c r="O404" s="412"/>
      <c r="P404" s="412"/>
      <c r="Q404" s="412"/>
      <c r="R404" s="412"/>
      <c r="S404" s="412"/>
      <c r="T404" s="412"/>
      <c r="U404" s="412"/>
      <c r="V404" s="412"/>
      <c r="W404" s="412"/>
      <c r="X404" s="412"/>
      <c r="Y404" s="412"/>
      <c r="Z404" s="412"/>
    </row>
    <row r="405" spans="1:26" ht="12.75" x14ac:dyDescent="0.2">
      <c r="A405" s="412"/>
      <c r="B405" s="412"/>
      <c r="C405" s="412"/>
      <c r="D405" s="412"/>
      <c r="E405" s="412"/>
      <c r="F405" s="412"/>
      <c r="G405" s="412"/>
      <c r="H405" s="412"/>
      <c r="I405" s="412"/>
      <c r="J405" s="412"/>
      <c r="K405" s="412"/>
      <c r="L405" s="412"/>
      <c r="M405" s="412"/>
      <c r="N405" s="412"/>
      <c r="O405" s="412"/>
      <c r="P405" s="412"/>
      <c r="Q405" s="412"/>
      <c r="R405" s="412"/>
      <c r="S405" s="412"/>
      <c r="T405" s="412"/>
      <c r="U405" s="412"/>
      <c r="V405" s="412"/>
      <c r="W405" s="412"/>
      <c r="X405" s="412"/>
      <c r="Y405" s="412"/>
      <c r="Z405" s="412"/>
    </row>
    <row r="406" spans="1:26" ht="12.75" x14ac:dyDescent="0.2">
      <c r="A406" s="412"/>
      <c r="B406" s="412"/>
      <c r="C406" s="412"/>
      <c r="D406" s="412"/>
      <c r="E406" s="412"/>
      <c r="F406" s="412"/>
      <c r="G406" s="412"/>
      <c r="H406" s="412"/>
      <c r="I406" s="412"/>
      <c r="J406" s="412"/>
      <c r="K406" s="412"/>
      <c r="L406" s="412"/>
      <c r="M406" s="412"/>
      <c r="N406" s="412"/>
      <c r="O406" s="412"/>
      <c r="P406" s="412"/>
      <c r="Q406" s="412"/>
      <c r="R406" s="412"/>
      <c r="S406" s="412"/>
      <c r="T406" s="412"/>
      <c r="U406" s="412"/>
      <c r="V406" s="412"/>
      <c r="W406" s="412"/>
      <c r="X406" s="412"/>
      <c r="Y406" s="412"/>
      <c r="Z406" s="412"/>
    </row>
    <row r="407" spans="1:26" ht="12.75" x14ac:dyDescent="0.2">
      <c r="A407" s="412"/>
      <c r="B407" s="412"/>
      <c r="C407" s="412"/>
      <c r="D407" s="412"/>
      <c r="E407" s="412"/>
      <c r="F407" s="412"/>
      <c r="G407" s="412"/>
      <c r="H407" s="412"/>
      <c r="I407" s="412"/>
      <c r="J407" s="412"/>
      <c r="K407" s="412"/>
      <c r="L407" s="412"/>
      <c r="M407" s="412"/>
      <c r="N407" s="412"/>
      <c r="O407" s="412"/>
      <c r="P407" s="412"/>
      <c r="Q407" s="412"/>
      <c r="R407" s="412"/>
      <c r="S407" s="412"/>
      <c r="T407" s="412"/>
      <c r="U407" s="412"/>
      <c r="V407" s="412"/>
      <c r="W407" s="412"/>
      <c r="X407" s="412"/>
      <c r="Y407" s="412"/>
      <c r="Z407" s="412"/>
    </row>
    <row r="408" spans="1:26" ht="12.75" x14ac:dyDescent="0.2">
      <c r="A408" s="412"/>
      <c r="B408" s="412"/>
      <c r="C408" s="412"/>
      <c r="D408" s="412"/>
      <c r="E408" s="412"/>
      <c r="F408" s="412"/>
      <c r="G408" s="412"/>
      <c r="H408" s="412"/>
      <c r="I408" s="412"/>
      <c r="J408" s="412"/>
      <c r="K408" s="412"/>
      <c r="L408" s="412"/>
      <c r="M408" s="412"/>
      <c r="N408" s="412"/>
      <c r="O408" s="412"/>
      <c r="P408" s="412"/>
      <c r="Q408" s="412"/>
      <c r="R408" s="412"/>
      <c r="S408" s="412"/>
      <c r="T408" s="412"/>
      <c r="U408" s="412"/>
      <c r="V408" s="412"/>
      <c r="W408" s="412"/>
      <c r="X408" s="412"/>
      <c r="Y408" s="412"/>
      <c r="Z408" s="412"/>
    </row>
    <row r="409" spans="1:26" ht="12.75" x14ac:dyDescent="0.2">
      <c r="A409" s="412"/>
      <c r="B409" s="412"/>
      <c r="C409" s="412"/>
      <c r="D409" s="412"/>
      <c r="E409" s="412"/>
      <c r="F409" s="412"/>
      <c r="G409" s="412"/>
      <c r="H409" s="412"/>
      <c r="I409" s="412"/>
      <c r="J409" s="412"/>
      <c r="K409" s="412"/>
      <c r="L409" s="412"/>
      <c r="M409" s="412"/>
      <c r="N409" s="412"/>
      <c r="O409" s="412"/>
      <c r="P409" s="412"/>
      <c r="Q409" s="412"/>
      <c r="R409" s="412"/>
      <c r="S409" s="412"/>
      <c r="T409" s="412"/>
      <c r="U409" s="412"/>
      <c r="V409" s="412"/>
      <c r="W409" s="412"/>
      <c r="X409" s="412"/>
      <c r="Y409" s="412"/>
      <c r="Z409" s="412"/>
    </row>
    <row r="410" spans="1:26" ht="12.75" x14ac:dyDescent="0.2">
      <c r="A410" s="412"/>
      <c r="B410" s="412"/>
      <c r="C410" s="412"/>
      <c r="D410" s="412"/>
      <c r="E410" s="412"/>
      <c r="F410" s="412"/>
      <c r="G410" s="412"/>
      <c r="H410" s="412"/>
      <c r="I410" s="412"/>
      <c r="J410" s="412"/>
      <c r="K410" s="412"/>
      <c r="L410" s="412"/>
      <c r="M410" s="412"/>
      <c r="N410" s="412"/>
      <c r="O410" s="412"/>
      <c r="P410" s="412"/>
      <c r="Q410" s="412"/>
      <c r="R410" s="412"/>
      <c r="S410" s="412"/>
      <c r="T410" s="412"/>
      <c r="U410" s="412"/>
      <c r="V410" s="412"/>
      <c r="W410" s="412"/>
      <c r="X410" s="412"/>
      <c r="Y410" s="412"/>
      <c r="Z410" s="412"/>
    </row>
    <row r="411" spans="1:26" ht="12.75" x14ac:dyDescent="0.2">
      <c r="A411" s="412"/>
      <c r="B411" s="412"/>
      <c r="C411" s="412"/>
      <c r="D411" s="412"/>
      <c r="E411" s="412"/>
      <c r="F411" s="412"/>
      <c r="G411" s="412"/>
      <c r="H411" s="412"/>
      <c r="I411" s="412"/>
      <c r="J411" s="412"/>
      <c r="K411" s="412"/>
      <c r="L411" s="412"/>
      <c r="M411" s="412"/>
      <c r="N411" s="412"/>
      <c r="O411" s="412"/>
      <c r="P411" s="412"/>
      <c r="Q411" s="412"/>
      <c r="R411" s="412"/>
      <c r="S411" s="412"/>
      <c r="T411" s="412"/>
      <c r="U411" s="412"/>
      <c r="V411" s="412"/>
      <c r="W411" s="412"/>
      <c r="X411" s="412"/>
      <c r="Y411" s="412"/>
      <c r="Z411" s="412"/>
    </row>
    <row r="412" spans="1:26" ht="12.75" x14ac:dyDescent="0.2">
      <c r="A412" s="412"/>
      <c r="B412" s="412"/>
      <c r="C412" s="412"/>
      <c r="D412" s="412"/>
      <c r="E412" s="412"/>
      <c r="F412" s="412"/>
      <c r="G412" s="412"/>
      <c r="H412" s="412"/>
      <c r="I412" s="412"/>
      <c r="J412" s="412"/>
      <c r="K412" s="412"/>
      <c r="L412" s="412"/>
      <c r="M412" s="412"/>
      <c r="N412" s="412"/>
      <c r="O412" s="412"/>
      <c r="P412" s="412"/>
      <c r="Q412" s="412"/>
      <c r="R412" s="412"/>
      <c r="S412" s="412"/>
      <c r="T412" s="412"/>
      <c r="U412" s="412"/>
      <c r="V412" s="412"/>
      <c r="W412" s="412"/>
      <c r="X412" s="412"/>
      <c r="Y412" s="412"/>
      <c r="Z412" s="412"/>
    </row>
    <row r="413" spans="1:26" ht="12.75" x14ac:dyDescent="0.2">
      <c r="A413" s="412"/>
      <c r="B413" s="412"/>
      <c r="C413" s="412"/>
      <c r="D413" s="412"/>
      <c r="E413" s="412"/>
      <c r="F413" s="412"/>
      <c r="G413" s="412"/>
      <c r="H413" s="412"/>
      <c r="I413" s="412"/>
      <c r="J413" s="412"/>
      <c r="K413" s="412"/>
      <c r="L413" s="412"/>
      <c r="M413" s="412"/>
      <c r="N413" s="412"/>
      <c r="O413" s="412"/>
      <c r="P413" s="412"/>
      <c r="Q413" s="412"/>
      <c r="R413" s="412"/>
      <c r="S413" s="412"/>
      <c r="T413" s="412"/>
      <c r="U413" s="412"/>
      <c r="V413" s="412"/>
      <c r="W413" s="412"/>
      <c r="X413" s="412"/>
      <c r="Y413" s="412"/>
      <c r="Z413" s="412"/>
    </row>
    <row r="414" spans="1:26" ht="12.75" x14ac:dyDescent="0.2">
      <c r="A414" s="412"/>
      <c r="B414" s="412"/>
      <c r="C414" s="412"/>
      <c r="D414" s="412"/>
      <c r="E414" s="412"/>
      <c r="F414" s="412"/>
      <c r="G414" s="412"/>
      <c r="H414" s="412"/>
      <c r="I414" s="412"/>
      <c r="J414" s="412"/>
      <c r="K414" s="412"/>
      <c r="L414" s="412"/>
      <c r="M414" s="412"/>
      <c r="N414" s="412"/>
      <c r="O414" s="412"/>
      <c r="P414" s="412"/>
      <c r="Q414" s="412"/>
      <c r="R414" s="412"/>
      <c r="S414" s="412"/>
      <c r="T414" s="412"/>
      <c r="U414" s="412"/>
      <c r="V414" s="412"/>
      <c r="W414" s="412"/>
      <c r="X414" s="412"/>
      <c r="Y414" s="412"/>
      <c r="Z414" s="412"/>
    </row>
    <row r="415" spans="1:26" ht="12.75" x14ac:dyDescent="0.2">
      <c r="A415" s="412"/>
      <c r="B415" s="412"/>
      <c r="C415" s="412"/>
      <c r="D415" s="412"/>
      <c r="E415" s="412"/>
      <c r="F415" s="412"/>
      <c r="G415" s="412"/>
      <c r="H415" s="412"/>
      <c r="I415" s="412"/>
      <c r="J415" s="412"/>
      <c r="K415" s="412"/>
      <c r="L415" s="412"/>
      <c r="M415" s="412"/>
      <c r="N415" s="412"/>
      <c r="O415" s="412"/>
      <c r="P415" s="412"/>
      <c r="Q415" s="412"/>
      <c r="R415" s="412"/>
      <c r="S415" s="412"/>
      <c r="T415" s="412"/>
      <c r="U415" s="412"/>
      <c r="V415" s="412"/>
      <c r="W415" s="412"/>
      <c r="X415" s="412"/>
      <c r="Y415" s="412"/>
      <c r="Z415" s="412"/>
    </row>
    <row r="416" spans="1:26" ht="12.75" x14ac:dyDescent="0.2">
      <c r="A416" s="412"/>
      <c r="B416" s="412"/>
      <c r="C416" s="412"/>
      <c r="D416" s="412"/>
      <c r="E416" s="412"/>
      <c r="F416" s="412"/>
      <c r="G416" s="412"/>
      <c r="H416" s="412"/>
      <c r="I416" s="412"/>
      <c r="J416" s="412"/>
      <c r="K416" s="412"/>
      <c r="L416" s="412"/>
      <c r="M416" s="412"/>
      <c r="N416" s="412"/>
      <c r="O416" s="412"/>
      <c r="P416" s="412"/>
      <c r="Q416" s="412"/>
      <c r="R416" s="412"/>
      <c r="S416" s="412"/>
      <c r="T416" s="412"/>
      <c r="U416" s="412"/>
      <c r="V416" s="412"/>
      <c r="W416" s="412"/>
      <c r="X416" s="412"/>
      <c r="Y416" s="412"/>
      <c r="Z416" s="412"/>
    </row>
    <row r="417" spans="1:26" ht="12.75" x14ac:dyDescent="0.2">
      <c r="A417" s="412"/>
      <c r="B417" s="412"/>
      <c r="C417" s="412"/>
      <c r="D417" s="412"/>
      <c r="E417" s="412"/>
      <c r="F417" s="412"/>
      <c r="G417" s="412"/>
      <c r="H417" s="412"/>
      <c r="I417" s="412"/>
      <c r="J417" s="412"/>
      <c r="K417" s="412"/>
      <c r="L417" s="412"/>
      <c r="M417" s="412"/>
      <c r="N417" s="412"/>
      <c r="O417" s="412"/>
      <c r="P417" s="412"/>
      <c r="Q417" s="412"/>
      <c r="R417" s="412"/>
      <c r="S417" s="412"/>
      <c r="T417" s="412"/>
      <c r="U417" s="412"/>
      <c r="V417" s="412"/>
      <c r="W417" s="412"/>
      <c r="X417" s="412"/>
      <c r="Y417" s="412"/>
      <c r="Z417" s="412"/>
    </row>
    <row r="418" spans="1:26" ht="12.75" x14ac:dyDescent="0.2">
      <c r="A418" s="412"/>
      <c r="B418" s="412"/>
      <c r="C418" s="412"/>
      <c r="D418" s="412"/>
      <c r="E418" s="412"/>
      <c r="F418" s="412"/>
      <c r="G418" s="412"/>
      <c r="H418" s="412"/>
      <c r="I418" s="412"/>
      <c r="J418" s="412"/>
      <c r="K418" s="412"/>
      <c r="L418" s="412"/>
      <c r="M418" s="412"/>
      <c r="N418" s="412"/>
      <c r="O418" s="412"/>
      <c r="P418" s="412"/>
      <c r="Q418" s="412"/>
      <c r="R418" s="412"/>
      <c r="S418" s="412"/>
      <c r="T418" s="412"/>
      <c r="U418" s="412"/>
      <c r="V418" s="412"/>
      <c r="W418" s="412"/>
      <c r="X418" s="412"/>
      <c r="Y418" s="412"/>
      <c r="Z418" s="412"/>
    </row>
    <row r="419" spans="1:26" ht="12.75" x14ac:dyDescent="0.2">
      <c r="A419" s="412"/>
      <c r="B419" s="412"/>
      <c r="C419" s="412"/>
      <c r="D419" s="412"/>
      <c r="E419" s="412"/>
      <c r="F419" s="412"/>
      <c r="G419" s="412"/>
      <c r="H419" s="412"/>
      <c r="I419" s="412"/>
      <c r="J419" s="412"/>
      <c r="K419" s="412"/>
      <c r="L419" s="412"/>
      <c r="M419" s="412"/>
      <c r="N419" s="412"/>
      <c r="O419" s="412"/>
      <c r="P419" s="412"/>
      <c r="Q419" s="412"/>
      <c r="R419" s="412"/>
      <c r="S419" s="412"/>
      <c r="T419" s="412"/>
      <c r="U419" s="412"/>
      <c r="V419" s="412"/>
      <c r="W419" s="412"/>
      <c r="X419" s="412"/>
      <c r="Y419" s="412"/>
      <c r="Z419" s="412"/>
    </row>
    <row r="420" spans="1:26" ht="12.75" x14ac:dyDescent="0.2">
      <c r="A420" s="412"/>
      <c r="B420" s="412"/>
      <c r="C420" s="412"/>
      <c r="D420" s="412"/>
      <c r="E420" s="412"/>
      <c r="F420" s="412"/>
      <c r="G420" s="412"/>
      <c r="H420" s="412"/>
      <c r="I420" s="412"/>
      <c r="J420" s="412"/>
      <c r="K420" s="412"/>
      <c r="L420" s="412"/>
      <c r="M420" s="412"/>
      <c r="N420" s="412"/>
      <c r="O420" s="412"/>
      <c r="P420" s="412"/>
      <c r="Q420" s="412"/>
      <c r="R420" s="412"/>
      <c r="S420" s="412"/>
      <c r="T420" s="412"/>
      <c r="U420" s="412"/>
      <c r="V420" s="412"/>
      <c r="W420" s="412"/>
      <c r="X420" s="412"/>
      <c r="Y420" s="412"/>
      <c r="Z420" s="412"/>
    </row>
    <row r="421" spans="1:26" ht="12.75" x14ac:dyDescent="0.2">
      <c r="A421" s="412"/>
      <c r="B421" s="412"/>
      <c r="C421" s="412"/>
      <c r="D421" s="412"/>
      <c r="E421" s="412"/>
      <c r="F421" s="412"/>
      <c r="G421" s="412"/>
      <c r="H421" s="412"/>
      <c r="I421" s="412"/>
      <c r="J421" s="412"/>
      <c r="K421" s="412"/>
      <c r="L421" s="412"/>
      <c r="M421" s="412"/>
      <c r="N421" s="412"/>
      <c r="O421" s="412"/>
      <c r="P421" s="412"/>
      <c r="Q421" s="412"/>
      <c r="R421" s="412"/>
      <c r="S421" s="412"/>
      <c r="T421" s="412"/>
      <c r="U421" s="412"/>
      <c r="V421" s="412"/>
      <c r="W421" s="412"/>
      <c r="X421" s="412"/>
      <c r="Y421" s="412"/>
      <c r="Z421" s="412"/>
    </row>
    <row r="422" spans="1:26" ht="12.75" x14ac:dyDescent="0.2">
      <c r="A422" s="412"/>
      <c r="B422" s="412"/>
      <c r="C422" s="412"/>
      <c r="D422" s="412"/>
      <c r="E422" s="412"/>
      <c r="F422" s="412"/>
      <c r="G422" s="412"/>
      <c r="H422" s="412"/>
      <c r="I422" s="412"/>
      <c r="J422" s="412"/>
      <c r="K422" s="412"/>
      <c r="L422" s="412"/>
      <c r="M422" s="412"/>
      <c r="N422" s="412"/>
      <c r="O422" s="412"/>
      <c r="P422" s="412"/>
      <c r="Q422" s="412"/>
      <c r="R422" s="412"/>
      <c r="S422" s="412"/>
      <c r="T422" s="412"/>
      <c r="U422" s="412"/>
      <c r="V422" s="412"/>
      <c r="W422" s="412"/>
      <c r="X422" s="412"/>
      <c r="Y422" s="412"/>
      <c r="Z422" s="412"/>
    </row>
    <row r="423" spans="1:26" ht="12.75" x14ac:dyDescent="0.2">
      <c r="A423" s="412"/>
      <c r="B423" s="412"/>
      <c r="C423" s="412"/>
      <c r="D423" s="412"/>
      <c r="E423" s="412"/>
      <c r="F423" s="412"/>
      <c r="G423" s="412"/>
      <c r="H423" s="412"/>
      <c r="I423" s="412"/>
      <c r="J423" s="412"/>
      <c r="K423" s="412"/>
      <c r="L423" s="412"/>
      <c r="M423" s="412"/>
      <c r="N423" s="412"/>
      <c r="O423" s="412"/>
      <c r="P423" s="412"/>
      <c r="Q423" s="412"/>
      <c r="R423" s="412"/>
      <c r="S423" s="412"/>
      <c r="T423" s="412"/>
      <c r="U423" s="412"/>
      <c r="V423" s="412"/>
      <c r="W423" s="412"/>
      <c r="X423" s="412"/>
      <c r="Y423" s="412"/>
      <c r="Z423" s="412"/>
    </row>
    <row r="424" spans="1:26" ht="12.75" x14ac:dyDescent="0.2">
      <c r="A424" s="412"/>
      <c r="B424" s="412"/>
      <c r="C424" s="412"/>
      <c r="D424" s="412"/>
      <c r="E424" s="412"/>
      <c r="F424" s="412"/>
      <c r="G424" s="412"/>
      <c r="H424" s="412"/>
      <c r="I424" s="412"/>
      <c r="J424" s="412"/>
      <c r="K424" s="412"/>
      <c r="L424" s="412"/>
      <c r="M424" s="412"/>
      <c r="N424" s="412"/>
      <c r="O424" s="412"/>
      <c r="P424" s="412"/>
      <c r="Q424" s="412"/>
      <c r="R424" s="412"/>
      <c r="S424" s="412"/>
      <c r="T424" s="412"/>
      <c r="U424" s="412"/>
      <c r="V424" s="412"/>
      <c r="W424" s="412"/>
      <c r="X424" s="412"/>
      <c r="Y424" s="412"/>
      <c r="Z424" s="412"/>
    </row>
    <row r="425" spans="1:26" ht="12.75" x14ac:dyDescent="0.2">
      <c r="A425" s="412"/>
      <c r="B425" s="412"/>
      <c r="C425" s="412"/>
      <c r="D425" s="412"/>
      <c r="E425" s="412"/>
      <c r="F425" s="412"/>
      <c r="G425" s="412"/>
      <c r="H425" s="412"/>
      <c r="I425" s="412"/>
      <c r="J425" s="412"/>
      <c r="K425" s="412"/>
      <c r="L425" s="412"/>
      <c r="M425" s="412"/>
      <c r="N425" s="412"/>
      <c r="O425" s="412"/>
      <c r="P425" s="412"/>
      <c r="Q425" s="412"/>
      <c r="R425" s="412"/>
      <c r="S425" s="412"/>
      <c r="T425" s="412"/>
      <c r="U425" s="412"/>
      <c r="V425" s="412"/>
      <c r="W425" s="412"/>
      <c r="X425" s="412"/>
      <c r="Y425" s="412"/>
      <c r="Z425" s="412"/>
    </row>
    <row r="426" spans="1:26" ht="12.75" x14ac:dyDescent="0.2">
      <c r="A426" s="412"/>
      <c r="B426" s="412"/>
      <c r="C426" s="412"/>
      <c r="D426" s="412"/>
      <c r="E426" s="412"/>
      <c r="F426" s="412"/>
      <c r="G426" s="412"/>
      <c r="H426" s="412"/>
      <c r="I426" s="412"/>
      <c r="J426" s="412"/>
      <c r="K426" s="412"/>
      <c r="L426" s="412"/>
      <c r="M426" s="412"/>
      <c r="N426" s="412"/>
      <c r="O426" s="412"/>
      <c r="P426" s="412"/>
      <c r="Q426" s="412"/>
      <c r="R426" s="412"/>
      <c r="S426" s="412"/>
      <c r="T426" s="412"/>
      <c r="U426" s="412"/>
      <c r="V426" s="412"/>
      <c r="W426" s="412"/>
      <c r="X426" s="412"/>
      <c r="Y426" s="412"/>
      <c r="Z426" s="412"/>
    </row>
    <row r="427" spans="1:26" ht="12.75" x14ac:dyDescent="0.2">
      <c r="A427" s="412"/>
      <c r="B427" s="412"/>
      <c r="C427" s="412"/>
      <c r="D427" s="412"/>
      <c r="E427" s="412"/>
      <c r="F427" s="412"/>
      <c r="G427" s="412"/>
      <c r="H427" s="412"/>
      <c r="I427" s="412"/>
      <c r="J427" s="412"/>
      <c r="K427" s="412"/>
      <c r="L427" s="412"/>
      <c r="M427" s="412"/>
      <c r="N427" s="412"/>
      <c r="O427" s="412"/>
      <c r="P427" s="412"/>
      <c r="Q427" s="412"/>
      <c r="R427" s="412"/>
      <c r="S427" s="412"/>
      <c r="T427" s="412"/>
      <c r="U427" s="412"/>
      <c r="V427" s="412"/>
      <c r="W427" s="412"/>
      <c r="X427" s="412"/>
      <c r="Y427" s="412"/>
      <c r="Z427" s="412"/>
    </row>
    <row r="428" spans="1:26" ht="12.75" x14ac:dyDescent="0.2">
      <c r="A428" s="412"/>
      <c r="B428" s="412"/>
      <c r="C428" s="412"/>
      <c r="D428" s="412"/>
      <c r="E428" s="412"/>
      <c r="F428" s="412"/>
      <c r="G428" s="412"/>
      <c r="H428" s="412"/>
      <c r="I428" s="412"/>
      <c r="J428" s="412"/>
      <c r="K428" s="412"/>
      <c r="L428" s="412"/>
      <c r="M428" s="412"/>
      <c r="N428" s="412"/>
      <c r="O428" s="412"/>
      <c r="P428" s="412"/>
      <c r="Q428" s="412"/>
      <c r="R428" s="412"/>
      <c r="S428" s="412"/>
      <c r="T428" s="412"/>
      <c r="U428" s="412"/>
      <c r="V428" s="412"/>
      <c r="W428" s="412"/>
      <c r="X428" s="412"/>
      <c r="Y428" s="412"/>
      <c r="Z428" s="412"/>
    </row>
    <row r="429" spans="1:26" ht="12.75" x14ac:dyDescent="0.2">
      <c r="A429" s="412"/>
      <c r="B429" s="412"/>
      <c r="C429" s="412"/>
      <c r="D429" s="412"/>
      <c r="E429" s="412"/>
      <c r="F429" s="412"/>
      <c r="G429" s="412"/>
      <c r="H429" s="412"/>
      <c r="I429" s="412"/>
      <c r="J429" s="412"/>
      <c r="K429" s="412"/>
      <c r="L429" s="412"/>
      <c r="M429" s="412"/>
      <c r="N429" s="412"/>
      <c r="O429" s="412"/>
      <c r="P429" s="412"/>
      <c r="Q429" s="412"/>
      <c r="R429" s="412"/>
      <c r="S429" s="412"/>
      <c r="T429" s="412"/>
      <c r="U429" s="412"/>
      <c r="V429" s="412"/>
      <c r="W429" s="412"/>
      <c r="X429" s="412"/>
      <c r="Y429" s="412"/>
      <c r="Z429" s="412"/>
    </row>
    <row r="430" spans="1:26" ht="12.75" x14ac:dyDescent="0.2">
      <c r="A430" s="412"/>
      <c r="B430" s="412"/>
      <c r="C430" s="412"/>
      <c r="D430" s="412"/>
      <c r="E430" s="412"/>
      <c r="F430" s="412"/>
      <c r="G430" s="412"/>
      <c r="H430" s="412"/>
      <c r="I430" s="412"/>
      <c r="J430" s="412"/>
      <c r="K430" s="412"/>
      <c r="L430" s="412"/>
      <c r="M430" s="412"/>
      <c r="N430" s="412"/>
      <c r="O430" s="412"/>
      <c r="P430" s="412"/>
      <c r="Q430" s="412"/>
      <c r="R430" s="412"/>
      <c r="S430" s="412"/>
      <c r="T430" s="412"/>
      <c r="U430" s="412"/>
      <c r="V430" s="412"/>
      <c r="W430" s="412"/>
      <c r="X430" s="412"/>
      <c r="Y430" s="412"/>
      <c r="Z430" s="412"/>
    </row>
    <row r="431" spans="1:26" ht="12.75" x14ac:dyDescent="0.2">
      <c r="A431" s="412"/>
      <c r="B431" s="412"/>
      <c r="C431" s="412"/>
      <c r="D431" s="412"/>
      <c r="E431" s="412"/>
      <c r="F431" s="412"/>
      <c r="G431" s="412"/>
      <c r="H431" s="412"/>
      <c r="I431" s="412"/>
      <c r="J431" s="412"/>
      <c r="K431" s="412"/>
      <c r="L431" s="412"/>
      <c r="M431" s="412"/>
      <c r="N431" s="412"/>
      <c r="O431" s="412"/>
      <c r="P431" s="412"/>
      <c r="Q431" s="412"/>
      <c r="R431" s="412"/>
      <c r="S431" s="412"/>
      <c r="T431" s="412"/>
      <c r="U431" s="412"/>
      <c r="V431" s="412"/>
      <c r="W431" s="412"/>
      <c r="X431" s="412"/>
      <c r="Y431" s="412"/>
      <c r="Z431" s="412"/>
    </row>
    <row r="432" spans="1:26" ht="12.75" x14ac:dyDescent="0.2">
      <c r="A432" s="412"/>
      <c r="B432" s="412"/>
      <c r="C432" s="412"/>
      <c r="D432" s="412"/>
      <c r="E432" s="412"/>
      <c r="F432" s="412"/>
      <c r="G432" s="412"/>
      <c r="H432" s="412"/>
      <c r="I432" s="412"/>
      <c r="J432" s="412"/>
      <c r="K432" s="412"/>
      <c r="L432" s="412"/>
      <c r="M432" s="412"/>
      <c r="N432" s="412"/>
      <c r="O432" s="412"/>
      <c r="P432" s="412"/>
      <c r="Q432" s="412"/>
      <c r="R432" s="412"/>
      <c r="S432" s="412"/>
      <c r="T432" s="412"/>
      <c r="U432" s="412"/>
      <c r="V432" s="412"/>
      <c r="W432" s="412"/>
      <c r="X432" s="412"/>
      <c r="Y432" s="412"/>
      <c r="Z432" s="412"/>
    </row>
    <row r="433" spans="1:26" ht="12.75" x14ac:dyDescent="0.2">
      <c r="A433" s="412"/>
      <c r="B433" s="412"/>
      <c r="C433" s="412"/>
      <c r="D433" s="412"/>
      <c r="E433" s="412"/>
      <c r="F433" s="412"/>
      <c r="G433" s="412"/>
      <c r="H433" s="412"/>
      <c r="I433" s="412"/>
      <c r="J433" s="412"/>
      <c r="K433" s="412"/>
      <c r="L433" s="412"/>
      <c r="M433" s="412"/>
      <c r="N433" s="412"/>
      <c r="O433" s="412"/>
      <c r="P433" s="412"/>
      <c r="Q433" s="412"/>
      <c r="R433" s="412"/>
      <c r="S433" s="412"/>
      <c r="T433" s="412"/>
      <c r="U433" s="412"/>
      <c r="V433" s="412"/>
      <c r="W433" s="412"/>
      <c r="X433" s="412"/>
      <c r="Y433" s="412"/>
      <c r="Z433" s="412"/>
    </row>
    <row r="434" spans="1:26" ht="12.75" x14ac:dyDescent="0.2">
      <c r="A434" s="412"/>
      <c r="B434" s="412"/>
      <c r="C434" s="412"/>
      <c r="D434" s="412"/>
      <c r="E434" s="412"/>
      <c r="F434" s="412"/>
      <c r="G434" s="412"/>
      <c r="H434" s="412"/>
      <c r="I434" s="412"/>
      <c r="J434" s="412"/>
      <c r="K434" s="412"/>
      <c r="L434" s="412"/>
      <c r="M434" s="412"/>
      <c r="N434" s="412"/>
      <c r="O434" s="412"/>
      <c r="P434" s="412"/>
      <c r="Q434" s="412"/>
      <c r="R434" s="412"/>
      <c r="S434" s="412"/>
      <c r="T434" s="412"/>
      <c r="U434" s="412"/>
      <c r="V434" s="412"/>
      <c r="W434" s="412"/>
      <c r="X434" s="412"/>
      <c r="Y434" s="412"/>
      <c r="Z434" s="412"/>
    </row>
    <row r="435" spans="1:26" ht="12.75" x14ac:dyDescent="0.2">
      <c r="A435" s="412"/>
      <c r="B435" s="412"/>
      <c r="C435" s="412"/>
      <c r="D435" s="412"/>
      <c r="E435" s="412"/>
      <c r="F435" s="412"/>
      <c r="G435" s="412"/>
      <c r="H435" s="412"/>
      <c r="I435" s="412"/>
      <c r="J435" s="412"/>
      <c r="K435" s="412"/>
      <c r="L435" s="412"/>
      <c r="M435" s="412"/>
      <c r="N435" s="412"/>
      <c r="O435" s="412"/>
      <c r="P435" s="412"/>
      <c r="Q435" s="412"/>
      <c r="R435" s="412"/>
      <c r="S435" s="412"/>
      <c r="T435" s="412"/>
      <c r="U435" s="412"/>
      <c r="V435" s="412"/>
      <c r="W435" s="412"/>
      <c r="X435" s="412"/>
      <c r="Y435" s="412"/>
      <c r="Z435" s="412"/>
    </row>
    <row r="436" spans="1:26" ht="12.75" x14ac:dyDescent="0.2">
      <c r="A436" s="412"/>
      <c r="B436" s="412"/>
      <c r="C436" s="412"/>
      <c r="D436" s="412"/>
      <c r="E436" s="412"/>
      <c r="F436" s="412"/>
      <c r="G436" s="412"/>
      <c r="H436" s="412"/>
      <c r="I436" s="412"/>
      <c r="J436" s="412"/>
      <c r="K436" s="412"/>
      <c r="L436" s="412"/>
      <c r="M436" s="412"/>
      <c r="N436" s="412"/>
      <c r="O436" s="412"/>
      <c r="P436" s="412"/>
      <c r="Q436" s="412"/>
      <c r="R436" s="412"/>
      <c r="S436" s="412"/>
      <c r="T436" s="412"/>
      <c r="U436" s="412"/>
      <c r="V436" s="412"/>
      <c r="W436" s="412"/>
      <c r="X436" s="412"/>
      <c r="Y436" s="412"/>
      <c r="Z436" s="412"/>
    </row>
    <row r="437" spans="1:26" ht="12.75" x14ac:dyDescent="0.2">
      <c r="A437" s="412"/>
      <c r="B437" s="412"/>
      <c r="C437" s="412"/>
      <c r="D437" s="412"/>
      <c r="E437" s="412"/>
      <c r="F437" s="412"/>
      <c r="G437" s="412"/>
      <c r="H437" s="412"/>
      <c r="I437" s="412"/>
      <c r="J437" s="412"/>
      <c r="K437" s="412"/>
      <c r="L437" s="412"/>
      <c r="M437" s="412"/>
      <c r="N437" s="412"/>
      <c r="O437" s="412"/>
      <c r="P437" s="412"/>
      <c r="Q437" s="412"/>
      <c r="R437" s="412"/>
      <c r="S437" s="412"/>
      <c r="T437" s="412"/>
      <c r="U437" s="412"/>
      <c r="V437" s="412"/>
      <c r="W437" s="412"/>
      <c r="X437" s="412"/>
      <c r="Y437" s="412"/>
      <c r="Z437" s="412"/>
    </row>
    <row r="438" spans="1:26" ht="12.75" x14ac:dyDescent="0.2">
      <c r="A438" s="412"/>
      <c r="B438" s="412"/>
      <c r="C438" s="412"/>
      <c r="D438" s="412"/>
      <c r="E438" s="412"/>
      <c r="F438" s="412"/>
      <c r="G438" s="412"/>
      <c r="H438" s="412"/>
      <c r="I438" s="412"/>
      <c r="J438" s="412"/>
      <c r="K438" s="412"/>
      <c r="L438" s="412"/>
      <c r="M438" s="412"/>
      <c r="N438" s="412"/>
      <c r="O438" s="412"/>
      <c r="P438" s="412"/>
      <c r="Q438" s="412"/>
      <c r="R438" s="412"/>
      <c r="S438" s="412"/>
      <c r="T438" s="412"/>
      <c r="U438" s="412"/>
      <c r="V438" s="412"/>
      <c r="W438" s="412"/>
      <c r="X438" s="412"/>
      <c r="Y438" s="412"/>
      <c r="Z438" s="412"/>
    </row>
    <row r="439" spans="1:26" ht="12.75" x14ac:dyDescent="0.2">
      <c r="A439" s="412"/>
      <c r="B439" s="412"/>
      <c r="C439" s="412"/>
      <c r="D439" s="412"/>
      <c r="E439" s="412"/>
      <c r="F439" s="412"/>
      <c r="G439" s="412"/>
      <c r="H439" s="412"/>
      <c r="I439" s="412"/>
      <c r="J439" s="412"/>
      <c r="K439" s="412"/>
      <c r="L439" s="412"/>
      <c r="M439" s="412"/>
      <c r="N439" s="412"/>
      <c r="O439" s="412"/>
      <c r="P439" s="412"/>
      <c r="Q439" s="412"/>
      <c r="R439" s="412"/>
      <c r="S439" s="412"/>
      <c r="T439" s="412"/>
      <c r="U439" s="412"/>
      <c r="V439" s="412"/>
      <c r="W439" s="412"/>
      <c r="X439" s="412"/>
      <c r="Y439" s="412"/>
      <c r="Z439" s="412"/>
    </row>
    <row r="440" spans="1:26" ht="12.75" x14ac:dyDescent="0.2">
      <c r="A440" s="412"/>
      <c r="B440" s="412"/>
      <c r="C440" s="412"/>
      <c r="D440" s="412"/>
      <c r="E440" s="412"/>
      <c r="F440" s="412"/>
      <c r="G440" s="412"/>
      <c r="H440" s="412"/>
      <c r="I440" s="412"/>
      <c r="J440" s="412"/>
      <c r="K440" s="412"/>
      <c r="L440" s="412"/>
      <c r="M440" s="412"/>
      <c r="N440" s="412"/>
      <c r="O440" s="412"/>
      <c r="P440" s="412"/>
      <c r="Q440" s="412"/>
      <c r="R440" s="412"/>
      <c r="S440" s="412"/>
      <c r="T440" s="412"/>
      <c r="U440" s="412"/>
      <c r="V440" s="412"/>
      <c r="W440" s="412"/>
      <c r="X440" s="412"/>
      <c r="Y440" s="412"/>
      <c r="Z440" s="412"/>
    </row>
    <row r="441" spans="1:26" ht="12.75" x14ac:dyDescent="0.2">
      <c r="A441" s="412"/>
      <c r="B441" s="412"/>
      <c r="C441" s="412"/>
      <c r="D441" s="412"/>
      <c r="E441" s="412"/>
      <c r="F441" s="412"/>
      <c r="G441" s="412"/>
      <c r="H441" s="412"/>
      <c r="I441" s="412"/>
      <c r="J441" s="412"/>
      <c r="K441" s="412"/>
      <c r="L441" s="412"/>
      <c r="M441" s="412"/>
      <c r="N441" s="412"/>
      <c r="O441" s="412"/>
      <c r="P441" s="412"/>
      <c r="Q441" s="412"/>
      <c r="R441" s="412"/>
      <c r="S441" s="412"/>
      <c r="T441" s="412"/>
      <c r="U441" s="412"/>
      <c r="V441" s="412"/>
      <c r="W441" s="412"/>
      <c r="X441" s="412"/>
      <c r="Y441" s="412"/>
      <c r="Z441" s="412"/>
    </row>
    <row r="442" spans="1:26" ht="12.75" x14ac:dyDescent="0.2">
      <c r="A442" s="412"/>
      <c r="B442" s="412"/>
      <c r="C442" s="412"/>
      <c r="D442" s="412"/>
      <c r="E442" s="412"/>
      <c r="F442" s="412"/>
      <c r="G442" s="412"/>
      <c r="H442" s="412"/>
      <c r="I442" s="412"/>
      <c r="J442" s="412"/>
      <c r="K442" s="412"/>
      <c r="L442" s="412"/>
      <c r="M442" s="412"/>
      <c r="N442" s="412"/>
      <c r="O442" s="412"/>
      <c r="P442" s="412"/>
      <c r="Q442" s="412"/>
      <c r="R442" s="412"/>
      <c r="S442" s="412"/>
      <c r="T442" s="412"/>
      <c r="U442" s="412"/>
      <c r="V442" s="412"/>
      <c r="W442" s="412"/>
      <c r="X442" s="412"/>
      <c r="Y442" s="412"/>
      <c r="Z442" s="412"/>
    </row>
    <row r="443" spans="1:26" ht="12.75" x14ac:dyDescent="0.2">
      <c r="A443" s="412"/>
      <c r="B443" s="412"/>
      <c r="C443" s="412"/>
      <c r="D443" s="412"/>
      <c r="E443" s="412"/>
      <c r="F443" s="412"/>
      <c r="G443" s="412"/>
      <c r="H443" s="412"/>
      <c r="I443" s="412"/>
      <c r="J443" s="412"/>
      <c r="K443" s="412"/>
      <c r="L443" s="412"/>
      <c r="M443" s="412"/>
      <c r="N443" s="412"/>
      <c r="O443" s="412"/>
      <c r="P443" s="412"/>
      <c r="Q443" s="412"/>
      <c r="R443" s="412"/>
      <c r="S443" s="412"/>
      <c r="T443" s="412"/>
      <c r="U443" s="412"/>
      <c r="V443" s="412"/>
      <c r="W443" s="412"/>
      <c r="X443" s="412"/>
      <c r="Y443" s="412"/>
      <c r="Z443" s="412"/>
    </row>
    <row r="444" spans="1:26" ht="12.75" x14ac:dyDescent="0.2">
      <c r="A444" s="412"/>
      <c r="B444" s="412"/>
      <c r="C444" s="412"/>
      <c r="D444" s="412"/>
      <c r="E444" s="412"/>
      <c r="F444" s="412"/>
      <c r="G444" s="412"/>
      <c r="H444" s="412"/>
      <c r="I444" s="412"/>
      <c r="J444" s="412"/>
      <c r="K444" s="412"/>
      <c r="L444" s="412"/>
      <c r="M444" s="412"/>
      <c r="N444" s="412"/>
      <c r="O444" s="412"/>
      <c r="P444" s="412"/>
      <c r="Q444" s="412"/>
      <c r="R444" s="412"/>
      <c r="S444" s="412"/>
      <c r="T444" s="412"/>
      <c r="U444" s="412"/>
      <c r="V444" s="412"/>
      <c r="W444" s="412"/>
      <c r="X444" s="412"/>
      <c r="Y444" s="412"/>
      <c r="Z444" s="412"/>
    </row>
    <row r="445" spans="1:26" ht="12.75" x14ac:dyDescent="0.2">
      <c r="A445" s="412"/>
      <c r="B445" s="412"/>
      <c r="C445" s="412"/>
      <c r="D445" s="412"/>
      <c r="E445" s="412"/>
      <c r="F445" s="412"/>
      <c r="G445" s="412"/>
      <c r="H445" s="412"/>
      <c r="I445" s="412"/>
      <c r="J445" s="412"/>
      <c r="K445" s="412"/>
      <c r="L445" s="412"/>
      <c r="M445" s="412"/>
      <c r="N445" s="412"/>
      <c r="O445" s="412"/>
      <c r="P445" s="412"/>
      <c r="Q445" s="412"/>
      <c r="R445" s="412"/>
      <c r="S445" s="412"/>
      <c r="T445" s="412"/>
      <c r="U445" s="412"/>
      <c r="V445" s="412"/>
      <c r="W445" s="412"/>
      <c r="X445" s="412"/>
      <c r="Y445" s="412"/>
      <c r="Z445" s="412"/>
    </row>
    <row r="446" spans="1:26" ht="12.75" x14ac:dyDescent="0.2">
      <c r="A446" s="412"/>
      <c r="B446" s="412"/>
      <c r="C446" s="412"/>
      <c r="D446" s="412"/>
      <c r="E446" s="412"/>
      <c r="F446" s="412"/>
      <c r="G446" s="412"/>
      <c r="H446" s="412"/>
      <c r="I446" s="412"/>
      <c r="J446" s="412"/>
      <c r="K446" s="412"/>
      <c r="L446" s="412"/>
      <c r="M446" s="412"/>
      <c r="N446" s="412"/>
      <c r="O446" s="412"/>
      <c r="P446" s="412"/>
      <c r="Q446" s="412"/>
      <c r="R446" s="412"/>
      <c r="S446" s="412"/>
      <c r="T446" s="412"/>
      <c r="U446" s="412"/>
      <c r="V446" s="412"/>
      <c r="W446" s="412"/>
      <c r="X446" s="412"/>
      <c r="Y446" s="412"/>
      <c r="Z446" s="412"/>
    </row>
    <row r="447" spans="1:26" ht="12.75" x14ac:dyDescent="0.2">
      <c r="A447" s="412"/>
      <c r="B447" s="412"/>
      <c r="C447" s="412"/>
      <c r="D447" s="412"/>
      <c r="E447" s="412"/>
      <c r="F447" s="412"/>
      <c r="G447" s="412"/>
      <c r="H447" s="412"/>
      <c r="I447" s="412"/>
      <c r="J447" s="412"/>
      <c r="K447" s="412"/>
      <c r="L447" s="412"/>
      <c r="M447" s="412"/>
      <c r="N447" s="412"/>
      <c r="O447" s="412"/>
      <c r="P447" s="412"/>
      <c r="Q447" s="412"/>
      <c r="R447" s="412"/>
      <c r="S447" s="412"/>
      <c r="T447" s="412"/>
      <c r="U447" s="412"/>
      <c r="V447" s="412"/>
      <c r="W447" s="412"/>
      <c r="X447" s="412"/>
      <c r="Y447" s="412"/>
      <c r="Z447" s="412"/>
    </row>
    <row r="448" spans="1:26" ht="12.75" x14ac:dyDescent="0.2">
      <c r="A448" s="412"/>
      <c r="B448" s="412"/>
      <c r="C448" s="412"/>
      <c r="D448" s="412"/>
      <c r="E448" s="412"/>
      <c r="F448" s="412"/>
      <c r="G448" s="412"/>
      <c r="H448" s="412"/>
      <c r="I448" s="412"/>
      <c r="J448" s="412"/>
      <c r="K448" s="412"/>
      <c r="L448" s="412"/>
      <c r="M448" s="412"/>
      <c r="N448" s="412"/>
      <c r="O448" s="412"/>
      <c r="P448" s="412"/>
      <c r="Q448" s="412"/>
      <c r="R448" s="412"/>
      <c r="S448" s="412"/>
      <c r="T448" s="412"/>
      <c r="U448" s="412"/>
      <c r="V448" s="412"/>
      <c r="W448" s="412"/>
      <c r="X448" s="412"/>
      <c r="Y448" s="412"/>
      <c r="Z448" s="412"/>
    </row>
    <row r="449" spans="1:26" ht="12.75" x14ac:dyDescent="0.2">
      <c r="A449" s="412"/>
      <c r="B449" s="412"/>
      <c r="C449" s="412"/>
      <c r="D449" s="412"/>
      <c r="E449" s="412"/>
      <c r="F449" s="412"/>
      <c r="G449" s="412"/>
      <c r="H449" s="412"/>
      <c r="I449" s="412"/>
      <c r="J449" s="412"/>
      <c r="K449" s="412"/>
      <c r="L449" s="412"/>
      <c r="M449" s="412"/>
      <c r="N449" s="412"/>
      <c r="O449" s="412"/>
      <c r="P449" s="412"/>
      <c r="Q449" s="412"/>
      <c r="R449" s="412"/>
      <c r="S449" s="412"/>
      <c r="T449" s="412"/>
      <c r="U449" s="412"/>
      <c r="V449" s="412"/>
      <c r="W449" s="412"/>
      <c r="X449" s="412"/>
      <c r="Y449" s="412"/>
      <c r="Z449" s="412"/>
    </row>
    <row r="450" spans="1:26" ht="12.75" x14ac:dyDescent="0.2">
      <c r="A450" s="412"/>
      <c r="B450" s="412"/>
      <c r="C450" s="412"/>
      <c r="D450" s="412"/>
      <c r="E450" s="412"/>
      <c r="F450" s="412"/>
      <c r="G450" s="412"/>
      <c r="H450" s="412"/>
      <c r="I450" s="412"/>
      <c r="J450" s="412"/>
      <c r="K450" s="412"/>
      <c r="L450" s="412"/>
      <c r="M450" s="412"/>
      <c r="N450" s="412"/>
      <c r="O450" s="412"/>
      <c r="P450" s="412"/>
      <c r="Q450" s="412"/>
      <c r="R450" s="412"/>
      <c r="S450" s="412"/>
      <c r="T450" s="412"/>
      <c r="U450" s="412"/>
      <c r="V450" s="412"/>
      <c r="W450" s="412"/>
      <c r="X450" s="412"/>
      <c r="Y450" s="412"/>
      <c r="Z450" s="412"/>
    </row>
    <row r="451" spans="1:26" ht="12.75" x14ac:dyDescent="0.2">
      <c r="A451" s="412"/>
      <c r="B451" s="412"/>
      <c r="C451" s="412"/>
      <c r="D451" s="412"/>
      <c r="E451" s="412"/>
      <c r="F451" s="412"/>
      <c r="G451" s="412"/>
      <c r="H451" s="412"/>
      <c r="I451" s="412"/>
      <c r="J451" s="412"/>
      <c r="K451" s="412"/>
      <c r="L451" s="412"/>
      <c r="M451" s="412"/>
      <c r="N451" s="412"/>
      <c r="O451" s="412"/>
      <c r="P451" s="412"/>
      <c r="Q451" s="412"/>
      <c r="R451" s="412"/>
      <c r="S451" s="412"/>
      <c r="T451" s="412"/>
      <c r="U451" s="412"/>
      <c r="V451" s="412"/>
      <c r="W451" s="412"/>
      <c r="X451" s="412"/>
      <c r="Y451" s="412"/>
      <c r="Z451" s="412"/>
    </row>
    <row r="452" spans="1:26" ht="12.75" x14ac:dyDescent="0.2">
      <c r="A452" s="412"/>
      <c r="B452" s="412"/>
      <c r="C452" s="412"/>
      <c r="D452" s="412"/>
      <c r="E452" s="412"/>
      <c r="F452" s="412"/>
      <c r="G452" s="412"/>
      <c r="H452" s="412"/>
      <c r="I452" s="412"/>
      <c r="J452" s="412"/>
      <c r="K452" s="412"/>
      <c r="L452" s="412"/>
      <c r="M452" s="412"/>
      <c r="N452" s="412"/>
      <c r="O452" s="412"/>
      <c r="P452" s="412"/>
      <c r="Q452" s="412"/>
      <c r="R452" s="412"/>
      <c r="S452" s="412"/>
      <c r="T452" s="412"/>
      <c r="U452" s="412"/>
      <c r="V452" s="412"/>
      <c r="W452" s="412"/>
      <c r="X452" s="412"/>
      <c r="Y452" s="412"/>
      <c r="Z452" s="412"/>
    </row>
    <row r="453" spans="1:26" ht="12.75" x14ac:dyDescent="0.2">
      <c r="A453" s="412"/>
      <c r="B453" s="412"/>
      <c r="C453" s="412"/>
      <c r="D453" s="412"/>
      <c r="E453" s="412"/>
      <c r="F453" s="412"/>
      <c r="G453" s="412"/>
      <c r="H453" s="412"/>
      <c r="I453" s="412"/>
      <c r="J453" s="412"/>
      <c r="K453" s="412"/>
      <c r="L453" s="412"/>
      <c r="M453" s="412"/>
      <c r="N453" s="412"/>
      <c r="O453" s="412"/>
      <c r="P453" s="412"/>
      <c r="Q453" s="412"/>
      <c r="R453" s="412"/>
      <c r="S453" s="412"/>
      <c r="T453" s="412"/>
      <c r="U453" s="412"/>
      <c r="V453" s="412"/>
      <c r="W453" s="412"/>
      <c r="X453" s="412"/>
      <c r="Y453" s="412"/>
      <c r="Z453" s="412"/>
    </row>
    <row r="454" spans="1:26" ht="12.75" x14ac:dyDescent="0.2">
      <c r="A454" s="412"/>
      <c r="B454" s="412"/>
      <c r="C454" s="412"/>
      <c r="D454" s="412"/>
      <c r="E454" s="412"/>
      <c r="F454" s="412"/>
      <c r="G454" s="412"/>
      <c r="H454" s="412"/>
      <c r="I454" s="412"/>
      <c r="J454" s="412"/>
      <c r="K454" s="412"/>
      <c r="L454" s="412"/>
      <c r="M454" s="412"/>
      <c r="N454" s="412"/>
      <c r="O454" s="412"/>
      <c r="P454" s="412"/>
      <c r="Q454" s="412"/>
      <c r="R454" s="412"/>
      <c r="S454" s="412"/>
      <c r="T454" s="412"/>
      <c r="U454" s="412"/>
      <c r="V454" s="412"/>
      <c r="W454" s="412"/>
      <c r="X454" s="412"/>
      <c r="Y454" s="412"/>
      <c r="Z454" s="412"/>
    </row>
    <row r="455" spans="1:26" ht="12.75" x14ac:dyDescent="0.2">
      <c r="A455" s="412"/>
      <c r="B455" s="412"/>
      <c r="C455" s="412"/>
      <c r="D455" s="412"/>
      <c r="E455" s="412"/>
      <c r="F455" s="412"/>
      <c r="G455" s="412"/>
      <c r="H455" s="412"/>
      <c r="I455" s="412"/>
      <c r="J455" s="412"/>
      <c r="K455" s="412"/>
      <c r="L455" s="412"/>
      <c r="M455" s="412"/>
      <c r="N455" s="412"/>
      <c r="O455" s="412"/>
      <c r="P455" s="412"/>
      <c r="Q455" s="412"/>
      <c r="R455" s="412"/>
      <c r="S455" s="412"/>
      <c r="T455" s="412"/>
      <c r="U455" s="412"/>
      <c r="V455" s="412"/>
      <c r="W455" s="412"/>
      <c r="X455" s="412"/>
      <c r="Y455" s="412"/>
      <c r="Z455" s="412"/>
    </row>
    <row r="456" spans="1:26" ht="12.75" x14ac:dyDescent="0.2">
      <c r="A456" s="412"/>
      <c r="B456" s="412"/>
      <c r="C456" s="412"/>
      <c r="D456" s="412"/>
      <c r="E456" s="412"/>
      <c r="F456" s="412"/>
      <c r="G456" s="412"/>
      <c r="H456" s="412"/>
      <c r="I456" s="412"/>
      <c r="J456" s="412"/>
      <c r="K456" s="412"/>
      <c r="L456" s="412"/>
      <c r="M456" s="412"/>
      <c r="N456" s="412"/>
      <c r="O456" s="412"/>
      <c r="P456" s="412"/>
      <c r="Q456" s="412"/>
      <c r="R456" s="412"/>
      <c r="S456" s="412"/>
      <c r="T456" s="412"/>
      <c r="U456" s="412"/>
      <c r="V456" s="412"/>
      <c r="W456" s="412"/>
      <c r="X456" s="412"/>
      <c r="Y456" s="412"/>
      <c r="Z456" s="412"/>
    </row>
    <row r="457" spans="1:26" ht="12.75" x14ac:dyDescent="0.2">
      <c r="A457" s="412"/>
      <c r="B457" s="412"/>
      <c r="C457" s="412"/>
      <c r="D457" s="412"/>
      <c r="E457" s="412"/>
      <c r="F457" s="412"/>
      <c r="G457" s="412"/>
      <c r="H457" s="412"/>
      <c r="I457" s="412"/>
      <c r="J457" s="412"/>
      <c r="K457" s="412"/>
      <c r="L457" s="412"/>
      <c r="M457" s="412"/>
      <c r="N457" s="412"/>
      <c r="O457" s="412"/>
      <c r="P457" s="412"/>
      <c r="Q457" s="412"/>
      <c r="R457" s="412"/>
      <c r="S457" s="412"/>
      <c r="T457" s="412"/>
      <c r="U457" s="412"/>
      <c r="V457" s="412"/>
      <c r="W457" s="412"/>
      <c r="X457" s="412"/>
      <c r="Y457" s="412"/>
      <c r="Z457" s="412"/>
    </row>
    <row r="458" spans="1:26" ht="12.75" x14ac:dyDescent="0.2">
      <c r="A458" s="412"/>
      <c r="B458" s="412"/>
      <c r="C458" s="412"/>
      <c r="D458" s="412"/>
      <c r="E458" s="412"/>
      <c r="F458" s="412"/>
      <c r="G458" s="412"/>
      <c r="H458" s="412"/>
      <c r="I458" s="412"/>
      <c r="J458" s="412"/>
      <c r="K458" s="412"/>
      <c r="L458" s="412"/>
      <c r="M458" s="412"/>
      <c r="N458" s="412"/>
      <c r="O458" s="412"/>
      <c r="P458" s="412"/>
      <c r="Q458" s="412"/>
      <c r="R458" s="412"/>
      <c r="S458" s="412"/>
      <c r="T458" s="412"/>
      <c r="U458" s="412"/>
      <c r="V458" s="412"/>
      <c r="W458" s="412"/>
      <c r="X458" s="412"/>
      <c r="Y458" s="412"/>
      <c r="Z458" s="412"/>
    </row>
    <row r="459" spans="1:26" ht="12.75" x14ac:dyDescent="0.2">
      <c r="A459" s="412"/>
      <c r="B459" s="412"/>
      <c r="C459" s="412"/>
      <c r="D459" s="412"/>
      <c r="E459" s="412"/>
      <c r="F459" s="412"/>
      <c r="G459" s="412"/>
      <c r="H459" s="412"/>
      <c r="I459" s="412"/>
      <c r="J459" s="412"/>
      <c r="K459" s="412"/>
      <c r="L459" s="412"/>
      <c r="M459" s="412"/>
      <c r="N459" s="412"/>
      <c r="O459" s="412"/>
      <c r="P459" s="412"/>
      <c r="Q459" s="412"/>
      <c r="R459" s="412"/>
      <c r="S459" s="412"/>
      <c r="T459" s="412"/>
      <c r="U459" s="412"/>
      <c r="V459" s="412"/>
      <c r="W459" s="412"/>
      <c r="X459" s="412"/>
      <c r="Y459" s="412"/>
      <c r="Z459" s="412"/>
    </row>
    <row r="460" spans="1:26" ht="12.75" x14ac:dyDescent="0.2">
      <c r="A460" s="412"/>
      <c r="B460" s="412"/>
      <c r="C460" s="412"/>
      <c r="D460" s="412"/>
      <c r="E460" s="412"/>
      <c r="F460" s="412"/>
      <c r="G460" s="412"/>
      <c r="H460" s="412"/>
      <c r="I460" s="412"/>
      <c r="J460" s="412"/>
      <c r="K460" s="412"/>
      <c r="L460" s="412"/>
      <c r="M460" s="412"/>
      <c r="N460" s="412"/>
      <c r="O460" s="412"/>
      <c r="P460" s="412"/>
      <c r="Q460" s="412"/>
      <c r="R460" s="412"/>
      <c r="S460" s="412"/>
      <c r="T460" s="412"/>
      <c r="U460" s="412"/>
      <c r="V460" s="412"/>
      <c r="W460" s="412"/>
      <c r="X460" s="412"/>
      <c r="Y460" s="412"/>
      <c r="Z460" s="412"/>
    </row>
    <row r="461" spans="1:26" ht="12.75" x14ac:dyDescent="0.2">
      <c r="A461" s="412"/>
      <c r="B461" s="412"/>
      <c r="C461" s="412"/>
      <c r="D461" s="412"/>
      <c r="E461" s="412"/>
      <c r="F461" s="412"/>
      <c r="G461" s="412"/>
      <c r="H461" s="412"/>
      <c r="I461" s="412"/>
      <c r="J461" s="412"/>
      <c r="K461" s="412"/>
      <c r="L461" s="412"/>
      <c r="M461" s="412"/>
      <c r="N461" s="412"/>
      <c r="O461" s="412"/>
      <c r="P461" s="412"/>
      <c r="Q461" s="412"/>
      <c r="R461" s="412"/>
      <c r="S461" s="412"/>
      <c r="T461" s="412"/>
      <c r="U461" s="412"/>
      <c r="V461" s="412"/>
      <c r="W461" s="412"/>
      <c r="X461" s="412"/>
      <c r="Y461" s="412"/>
      <c r="Z461" s="412"/>
    </row>
    <row r="462" spans="1:26" ht="12.75" x14ac:dyDescent="0.2">
      <c r="A462" s="412"/>
      <c r="B462" s="412"/>
      <c r="C462" s="412"/>
      <c r="D462" s="412"/>
      <c r="E462" s="412"/>
      <c r="F462" s="412"/>
      <c r="G462" s="412"/>
      <c r="H462" s="412"/>
      <c r="I462" s="412"/>
      <c r="J462" s="412"/>
      <c r="K462" s="412"/>
      <c r="L462" s="412"/>
      <c r="M462" s="412"/>
      <c r="N462" s="412"/>
      <c r="O462" s="412"/>
      <c r="P462" s="412"/>
      <c r="Q462" s="412"/>
      <c r="R462" s="412"/>
      <c r="S462" s="412"/>
      <c r="T462" s="412"/>
      <c r="U462" s="412"/>
      <c r="V462" s="412"/>
      <c r="W462" s="412"/>
      <c r="X462" s="412"/>
      <c r="Y462" s="412"/>
      <c r="Z462" s="412"/>
    </row>
    <row r="463" spans="1:26" ht="12.75" x14ac:dyDescent="0.2">
      <c r="A463" s="412"/>
      <c r="B463" s="412"/>
      <c r="C463" s="412"/>
      <c r="D463" s="412"/>
      <c r="E463" s="412"/>
      <c r="F463" s="412"/>
      <c r="G463" s="412"/>
      <c r="H463" s="412"/>
      <c r="I463" s="412"/>
      <c r="J463" s="412"/>
      <c r="K463" s="412"/>
      <c r="L463" s="412"/>
      <c r="M463" s="412"/>
      <c r="N463" s="412"/>
      <c r="O463" s="412"/>
      <c r="P463" s="412"/>
      <c r="Q463" s="412"/>
      <c r="R463" s="412"/>
      <c r="S463" s="412"/>
      <c r="T463" s="412"/>
      <c r="U463" s="412"/>
      <c r="V463" s="412"/>
      <c r="W463" s="412"/>
      <c r="X463" s="412"/>
      <c r="Y463" s="412"/>
      <c r="Z463" s="412"/>
    </row>
    <row r="464" spans="1:26" ht="12.75" x14ac:dyDescent="0.2">
      <c r="A464" s="412"/>
      <c r="B464" s="412"/>
      <c r="C464" s="412"/>
      <c r="D464" s="412"/>
      <c r="E464" s="412"/>
      <c r="F464" s="412"/>
      <c r="G464" s="412"/>
      <c r="H464" s="412"/>
      <c r="I464" s="412"/>
      <c r="J464" s="412"/>
      <c r="K464" s="412"/>
      <c r="L464" s="412"/>
      <c r="M464" s="412"/>
      <c r="N464" s="412"/>
      <c r="O464" s="412"/>
      <c r="P464" s="412"/>
      <c r="Q464" s="412"/>
      <c r="R464" s="412"/>
      <c r="S464" s="412"/>
      <c r="T464" s="412"/>
      <c r="U464" s="412"/>
      <c r="V464" s="412"/>
      <c r="W464" s="412"/>
      <c r="X464" s="412"/>
      <c r="Y464" s="412"/>
      <c r="Z464" s="412"/>
    </row>
    <row r="465" spans="1:26" ht="12.75" x14ac:dyDescent="0.2">
      <c r="A465" s="412"/>
      <c r="B465" s="412"/>
      <c r="C465" s="412"/>
      <c r="D465" s="412"/>
      <c r="E465" s="412"/>
      <c r="F465" s="412"/>
      <c r="G465" s="412"/>
      <c r="H465" s="412"/>
      <c r="I465" s="412"/>
      <c r="J465" s="412"/>
      <c r="K465" s="412"/>
      <c r="L465" s="412"/>
      <c r="M465" s="412"/>
      <c r="N465" s="412"/>
      <c r="O465" s="412"/>
      <c r="P465" s="412"/>
      <c r="Q465" s="412"/>
      <c r="R465" s="412"/>
      <c r="S465" s="412"/>
      <c r="T465" s="412"/>
      <c r="U465" s="412"/>
      <c r="V465" s="412"/>
      <c r="W465" s="412"/>
      <c r="X465" s="412"/>
      <c r="Y465" s="412"/>
      <c r="Z465" s="412"/>
    </row>
    <row r="466" spans="1:26" ht="12.75" x14ac:dyDescent="0.2">
      <c r="A466" s="412"/>
      <c r="B466" s="412"/>
      <c r="C466" s="412"/>
      <c r="D466" s="412"/>
      <c r="E466" s="412"/>
      <c r="F466" s="412"/>
      <c r="G466" s="412"/>
      <c r="H466" s="412"/>
      <c r="I466" s="412"/>
      <c r="J466" s="412"/>
      <c r="K466" s="412"/>
      <c r="L466" s="412"/>
      <c r="M466" s="412"/>
      <c r="N466" s="412"/>
      <c r="O466" s="412"/>
      <c r="P466" s="412"/>
      <c r="Q466" s="412"/>
      <c r="R466" s="412"/>
      <c r="S466" s="412"/>
      <c r="T466" s="412"/>
      <c r="U466" s="412"/>
      <c r="V466" s="412"/>
      <c r="W466" s="412"/>
      <c r="X466" s="412"/>
      <c r="Y466" s="412"/>
      <c r="Z466" s="412"/>
    </row>
    <row r="467" spans="1:26" ht="12.75" x14ac:dyDescent="0.2">
      <c r="A467" s="412"/>
      <c r="B467" s="412"/>
      <c r="C467" s="412"/>
      <c r="D467" s="412"/>
      <c r="E467" s="412"/>
      <c r="F467" s="412"/>
      <c r="G467" s="412"/>
      <c r="H467" s="412"/>
      <c r="I467" s="412"/>
      <c r="J467" s="412"/>
      <c r="K467" s="412"/>
      <c r="L467" s="412"/>
      <c r="M467" s="412"/>
      <c r="N467" s="412"/>
      <c r="O467" s="412"/>
      <c r="P467" s="412"/>
      <c r="Q467" s="412"/>
      <c r="R467" s="412"/>
      <c r="S467" s="412"/>
      <c r="T467" s="412"/>
      <c r="U467" s="412"/>
      <c r="V467" s="412"/>
      <c r="W467" s="412"/>
      <c r="X467" s="412"/>
      <c r="Y467" s="412"/>
      <c r="Z467" s="412"/>
    </row>
    <row r="468" spans="1:26" ht="12.75" x14ac:dyDescent="0.2">
      <c r="A468" s="412"/>
      <c r="B468" s="412"/>
      <c r="C468" s="412"/>
      <c r="D468" s="412"/>
      <c r="E468" s="412"/>
      <c r="F468" s="412"/>
      <c r="G468" s="412"/>
      <c r="H468" s="412"/>
      <c r="I468" s="412"/>
      <c r="J468" s="412"/>
      <c r="K468" s="412"/>
      <c r="L468" s="412"/>
      <c r="M468" s="412"/>
      <c r="N468" s="412"/>
      <c r="O468" s="412"/>
      <c r="P468" s="412"/>
      <c r="Q468" s="412"/>
      <c r="R468" s="412"/>
      <c r="S468" s="412"/>
      <c r="T468" s="412"/>
      <c r="U468" s="412"/>
      <c r="V468" s="412"/>
      <c r="W468" s="412"/>
      <c r="X468" s="412"/>
      <c r="Y468" s="412"/>
      <c r="Z468" s="412"/>
    </row>
    <row r="469" spans="1:26" ht="12.75" x14ac:dyDescent="0.2">
      <c r="A469" s="412"/>
      <c r="B469" s="412"/>
      <c r="C469" s="412"/>
      <c r="D469" s="412"/>
      <c r="E469" s="412"/>
      <c r="F469" s="412"/>
      <c r="G469" s="412"/>
      <c r="H469" s="412"/>
      <c r="I469" s="412"/>
      <c r="J469" s="412"/>
      <c r="K469" s="412"/>
      <c r="L469" s="412"/>
      <c r="M469" s="412"/>
      <c r="N469" s="412"/>
      <c r="O469" s="412"/>
      <c r="P469" s="412"/>
      <c r="Q469" s="412"/>
      <c r="R469" s="412"/>
      <c r="S469" s="412"/>
      <c r="T469" s="412"/>
      <c r="U469" s="412"/>
      <c r="V469" s="412"/>
      <c r="W469" s="412"/>
      <c r="X469" s="412"/>
      <c r="Y469" s="412"/>
      <c r="Z469" s="412"/>
    </row>
    <row r="470" spans="1:26" ht="12.75" x14ac:dyDescent="0.2">
      <c r="A470" s="412"/>
      <c r="B470" s="412"/>
      <c r="C470" s="412"/>
      <c r="D470" s="412"/>
      <c r="E470" s="412"/>
      <c r="F470" s="412"/>
      <c r="G470" s="412"/>
      <c r="H470" s="412"/>
      <c r="I470" s="412"/>
      <c r="J470" s="412"/>
      <c r="K470" s="412"/>
      <c r="L470" s="412"/>
      <c r="M470" s="412"/>
      <c r="N470" s="412"/>
      <c r="O470" s="412"/>
      <c r="P470" s="412"/>
      <c r="Q470" s="412"/>
      <c r="R470" s="412"/>
      <c r="S470" s="412"/>
      <c r="T470" s="412"/>
      <c r="U470" s="412"/>
      <c r="V470" s="412"/>
      <c r="W470" s="412"/>
      <c r="X470" s="412"/>
      <c r="Y470" s="412"/>
      <c r="Z470" s="412"/>
    </row>
    <row r="471" spans="1:26" ht="12.75" x14ac:dyDescent="0.2">
      <c r="A471" s="412"/>
      <c r="B471" s="412"/>
      <c r="C471" s="412"/>
      <c r="D471" s="412"/>
      <c r="E471" s="412"/>
      <c r="F471" s="412"/>
      <c r="G471" s="412"/>
      <c r="H471" s="412"/>
      <c r="I471" s="412"/>
      <c r="J471" s="412"/>
      <c r="K471" s="412"/>
      <c r="L471" s="412"/>
      <c r="M471" s="412"/>
      <c r="N471" s="412"/>
      <c r="O471" s="412"/>
      <c r="P471" s="412"/>
      <c r="Q471" s="412"/>
      <c r="R471" s="412"/>
      <c r="S471" s="412"/>
      <c r="T471" s="412"/>
      <c r="U471" s="412"/>
      <c r="V471" s="412"/>
      <c r="W471" s="412"/>
      <c r="X471" s="412"/>
      <c r="Y471" s="412"/>
      <c r="Z471" s="412"/>
    </row>
    <row r="472" spans="1:26" ht="12.75" x14ac:dyDescent="0.2">
      <c r="A472" s="412"/>
      <c r="B472" s="412"/>
      <c r="C472" s="412"/>
      <c r="D472" s="412"/>
      <c r="E472" s="412"/>
      <c r="F472" s="412"/>
      <c r="G472" s="412"/>
      <c r="H472" s="412"/>
      <c r="I472" s="412"/>
      <c r="J472" s="412"/>
      <c r="K472" s="412"/>
      <c r="L472" s="412"/>
      <c r="M472" s="412"/>
      <c r="N472" s="412"/>
      <c r="O472" s="412"/>
      <c r="P472" s="412"/>
      <c r="Q472" s="412"/>
      <c r="R472" s="412"/>
      <c r="S472" s="412"/>
      <c r="T472" s="412"/>
      <c r="U472" s="412"/>
      <c r="V472" s="412"/>
      <c r="W472" s="412"/>
      <c r="X472" s="412"/>
      <c r="Y472" s="412"/>
      <c r="Z472" s="412"/>
    </row>
    <row r="473" spans="1:26" ht="12.75" x14ac:dyDescent="0.2">
      <c r="A473" s="412"/>
      <c r="B473" s="412"/>
      <c r="C473" s="412"/>
      <c r="D473" s="412"/>
      <c r="E473" s="412"/>
      <c r="F473" s="412"/>
      <c r="G473" s="412"/>
      <c r="H473" s="412"/>
      <c r="I473" s="412"/>
      <c r="J473" s="412"/>
      <c r="K473" s="412"/>
      <c r="L473" s="412"/>
      <c r="M473" s="412"/>
      <c r="N473" s="412"/>
      <c r="O473" s="412"/>
      <c r="P473" s="412"/>
      <c r="Q473" s="412"/>
      <c r="R473" s="412"/>
      <c r="S473" s="412"/>
      <c r="T473" s="412"/>
      <c r="U473" s="412"/>
      <c r="V473" s="412"/>
      <c r="W473" s="412"/>
      <c r="X473" s="412"/>
      <c r="Y473" s="412"/>
      <c r="Z473" s="412"/>
    </row>
    <row r="474" spans="1:26" ht="12.75" x14ac:dyDescent="0.2">
      <c r="A474" s="412"/>
      <c r="B474" s="412"/>
      <c r="C474" s="412"/>
      <c r="D474" s="412"/>
      <c r="E474" s="412"/>
      <c r="F474" s="412"/>
      <c r="G474" s="412"/>
      <c r="H474" s="412"/>
      <c r="I474" s="412"/>
      <c r="J474" s="412"/>
      <c r="K474" s="412"/>
      <c r="L474" s="412"/>
      <c r="M474" s="412"/>
      <c r="N474" s="412"/>
      <c r="O474" s="412"/>
      <c r="P474" s="412"/>
      <c r="Q474" s="412"/>
      <c r="R474" s="412"/>
      <c r="S474" s="412"/>
      <c r="T474" s="412"/>
      <c r="U474" s="412"/>
      <c r="V474" s="412"/>
      <c r="W474" s="412"/>
      <c r="X474" s="412"/>
      <c r="Y474" s="412"/>
      <c r="Z474" s="412"/>
    </row>
    <row r="475" spans="1:26" ht="12.75" x14ac:dyDescent="0.2">
      <c r="A475" s="412"/>
      <c r="B475" s="412"/>
      <c r="C475" s="412"/>
      <c r="D475" s="412"/>
      <c r="E475" s="412"/>
      <c r="F475" s="412"/>
      <c r="G475" s="412"/>
      <c r="H475" s="412"/>
      <c r="I475" s="412"/>
      <c r="J475" s="412"/>
      <c r="K475" s="412"/>
      <c r="L475" s="412"/>
      <c r="M475" s="412"/>
      <c r="N475" s="412"/>
      <c r="O475" s="412"/>
      <c r="P475" s="412"/>
      <c r="Q475" s="412"/>
      <c r="R475" s="412"/>
      <c r="S475" s="412"/>
      <c r="T475" s="412"/>
      <c r="U475" s="412"/>
      <c r="V475" s="412"/>
      <c r="W475" s="412"/>
      <c r="X475" s="412"/>
      <c r="Y475" s="412"/>
      <c r="Z475" s="412"/>
    </row>
    <row r="476" spans="1:26" ht="12.75" x14ac:dyDescent="0.2">
      <c r="A476" s="412"/>
      <c r="B476" s="412"/>
      <c r="C476" s="412"/>
      <c r="D476" s="412"/>
      <c r="E476" s="412"/>
      <c r="F476" s="412"/>
      <c r="G476" s="412"/>
      <c r="H476" s="412"/>
      <c r="I476" s="412"/>
      <c r="J476" s="412"/>
      <c r="K476" s="412"/>
      <c r="L476" s="412"/>
      <c r="M476" s="412"/>
      <c r="N476" s="412"/>
      <c r="O476" s="412"/>
      <c r="P476" s="412"/>
      <c r="Q476" s="412"/>
      <c r="R476" s="412"/>
      <c r="S476" s="412"/>
      <c r="T476" s="412"/>
      <c r="U476" s="412"/>
      <c r="V476" s="412"/>
      <c r="W476" s="412"/>
      <c r="X476" s="412"/>
      <c r="Y476" s="412"/>
      <c r="Z476" s="412"/>
    </row>
    <row r="477" spans="1:26" ht="12.75" x14ac:dyDescent="0.2">
      <c r="A477" s="412"/>
      <c r="B477" s="412"/>
      <c r="C477" s="412"/>
      <c r="D477" s="412"/>
      <c r="E477" s="412"/>
      <c r="F477" s="412"/>
      <c r="G477" s="412"/>
      <c r="H477" s="412"/>
      <c r="I477" s="412"/>
      <c r="J477" s="412"/>
      <c r="K477" s="412"/>
      <c r="L477" s="412"/>
      <c r="M477" s="412"/>
      <c r="N477" s="412"/>
      <c r="O477" s="412"/>
      <c r="P477" s="412"/>
      <c r="Q477" s="412"/>
      <c r="R477" s="412"/>
      <c r="S477" s="412"/>
      <c r="T477" s="412"/>
      <c r="U477" s="412"/>
      <c r="V477" s="412"/>
      <c r="W477" s="412"/>
      <c r="X477" s="412"/>
      <c r="Y477" s="412"/>
      <c r="Z477" s="412"/>
    </row>
    <row r="478" spans="1:26" ht="12.75" x14ac:dyDescent="0.2">
      <c r="A478" s="412"/>
      <c r="B478" s="412"/>
      <c r="C478" s="412"/>
      <c r="D478" s="412"/>
      <c r="E478" s="412"/>
      <c r="F478" s="412"/>
      <c r="G478" s="412"/>
      <c r="H478" s="412"/>
      <c r="I478" s="412"/>
      <c r="J478" s="412"/>
      <c r="K478" s="412"/>
      <c r="L478" s="412"/>
      <c r="M478" s="412"/>
      <c r="N478" s="412"/>
      <c r="O478" s="412"/>
      <c r="P478" s="412"/>
      <c r="Q478" s="412"/>
      <c r="R478" s="412"/>
      <c r="S478" s="412"/>
      <c r="T478" s="412"/>
      <c r="U478" s="412"/>
      <c r="V478" s="412"/>
      <c r="W478" s="412"/>
      <c r="X478" s="412"/>
      <c r="Y478" s="412"/>
      <c r="Z478" s="412"/>
    </row>
    <row r="479" spans="1:26" ht="12.75" x14ac:dyDescent="0.2">
      <c r="A479" s="412"/>
      <c r="B479" s="412"/>
      <c r="C479" s="412"/>
      <c r="D479" s="412"/>
      <c r="E479" s="412"/>
      <c r="F479" s="412"/>
      <c r="G479" s="412"/>
      <c r="H479" s="412"/>
      <c r="I479" s="412"/>
      <c r="J479" s="412"/>
      <c r="K479" s="412"/>
      <c r="L479" s="412"/>
      <c r="M479" s="412"/>
      <c r="N479" s="412"/>
      <c r="O479" s="412"/>
      <c r="P479" s="412"/>
      <c r="Q479" s="412"/>
      <c r="R479" s="412"/>
      <c r="S479" s="412"/>
      <c r="T479" s="412"/>
      <c r="U479" s="412"/>
      <c r="V479" s="412"/>
      <c r="W479" s="412"/>
      <c r="X479" s="412"/>
      <c r="Y479" s="412"/>
      <c r="Z479" s="412"/>
    </row>
    <row r="480" spans="1:26" ht="12.75" x14ac:dyDescent="0.2">
      <c r="A480" s="412"/>
      <c r="B480" s="412"/>
      <c r="C480" s="412"/>
      <c r="D480" s="412"/>
      <c r="E480" s="412"/>
      <c r="F480" s="412"/>
      <c r="G480" s="412"/>
      <c r="H480" s="412"/>
      <c r="I480" s="412"/>
      <c r="J480" s="412"/>
      <c r="K480" s="412"/>
      <c r="L480" s="412"/>
      <c r="M480" s="412"/>
      <c r="N480" s="412"/>
      <c r="O480" s="412"/>
      <c r="P480" s="412"/>
      <c r="Q480" s="412"/>
      <c r="R480" s="412"/>
      <c r="S480" s="412"/>
      <c r="T480" s="412"/>
      <c r="U480" s="412"/>
      <c r="V480" s="412"/>
      <c r="W480" s="412"/>
      <c r="X480" s="412"/>
      <c r="Y480" s="412"/>
      <c r="Z480" s="412"/>
    </row>
    <row r="481" spans="1:26" ht="12.75" x14ac:dyDescent="0.2">
      <c r="A481" s="412"/>
      <c r="B481" s="412"/>
      <c r="C481" s="412"/>
      <c r="D481" s="412"/>
      <c r="E481" s="412"/>
      <c r="F481" s="412"/>
      <c r="G481" s="412"/>
      <c r="H481" s="412"/>
      <c r="I481" s="412"/>
      <c r="J481" s="412"/>
      <c r="K481" s="412"/>
      <c r="L481" s="412"/>
      <c r="M481" s="412"/>
      <c r="N481" s="412"/>
      <c r="O481" s="412"/>
      <c r="P481" s="412"/>
      <c r="Q481" s="412"/>
      <c r="R481" s="412"/>
      <c r="S481" s="412"/>
      <c r="T481" s="412"/>
      <c r="U481" s="412"/>
      <c r="V481" s="412"/>
      <c r="W481" s="412"/>
      <c r="X481" s="412"/>
      <c r="Y481" s="412"/>
      <c r="Z481" s="412"/>
    </row>
    <row r="482" spans="1:26" ht="12.75" x14ac:dyDescent="0.2">
      <c r="A482" s="412"/>
      <c r="B482" s="412"/>
      <c r="C482" s="412"/>
      <c r="D482" s="412"/>
      <c r="E482" s="412"/>
      <c r="F482" s="412"/>
      <c r="G482" s="412"/>
      <c r="H482" s="412"/>
      <c r="I482" s="412"/>
      <c r="J482" s="412"/>
      <c r="K482" s="412"/>
      <c r="L482" s="412"/>
      <c r="M482" s="412"/>
      <c r="N482" s="412"/>
      <c r="O482" s="412"/>
      <c r="P482" s="412"/>
      <c r="Q482" s="412"/>
      <c r="R482" s="412"/>
      <c r="S482" s="412"/>
      <c r="T482" s="412"/>
      <c r="U482" s="412"/>
      <c r="V482" s="412"/>
      <c r="W482" s="412"/>
      <c r="X482" s="412"/>
      <c r="Y482" s="412"/>
      <c r="Z482" s="412"/>
    </row>
    <row r="483" spans="1:26" ht="12.75" x14ac:dyDescent="0.2">
      <c r="A483" s="412"/>
      <c r="B483" s="412"/>
      <c r="C483" s="412"/>
      <c r="D483" s="412"/>
      <c r="E483" s="412"/>
      <c r="F483" s="412"/>
      <c r="G483" s="412"/>
      <c r="H483" s="412"/>
      <c r="I483" s="412"/>
      <c r="J483" s="412"/>
      <c r="K483" s="412"/>
      <c r="L483" s="412"/>
      <c r="M483" s="412"/>
      <c r="N483" s="412"/>
      <c r="O483" s="412"/>
      <c r="P483" s="412"/>
      <c r="Q483" s="412"/>
      <c r="R483" s="412"/>
      <c r="S483" s="412"/>
      <c r="T483" s="412"/>
      <c r="U483" s="412"/>
      <c r="V483" s="412"/>
      <c r="W483" s="412"/>
      <c r="X483" s="412"/>
      <c r="Y483" s="412"/>
      <c r="Z483" s="412"/>
    </row>
    <row r="484" spans="1:26" ht="12.75" x14ac:dyDescent="0.2">
      <c r="A484" s="412"/>
      <c r="B484" s="412"/>
      <c r="C484" s="412"/>
      <c r="D484" s="412"/>
      <c r="E484" s="412"/>
      <c r="F484" s="412"/>
      <c r="G484" s="412"/>
      <c r="H484" s="412"/>
      <c r="I484" s="412"/>
      <c r="J484" s="412"/>
      <c r="K484" s="412"/>
      <c r="L484" s="412"/>
      <c r="M484" s="412"/>
      <c r="N484" s="412"/>
      <c r="O484" s="412"/>
      <c r="P484" s="412"/>
      <c r="Q484" s="412"/>
      <c r="R484" s="412"/>
      <c r="S484" s="412"/>
      <c r="T484" s="412"/>
      <c r="U484" s="412"/>
      <c r="V484" s="412"/>
      <c r="W484" s="412"/>
      <c r="X484" s="412"/>
      <c r="Y484" s="412"/>
      <c r="Z484" s="412"/>
    </row>
    <row r="485" spans="1:26" ht="12.75" x14ac:dyDescent="0.2">
      <c r="A485" s="412"/>
      <c r="B485" s="412"/>
      <c r="C485" s="412"/>
      <c r="D485" s="412"/>
      <c r="E485" s="412"/>
      <c r="F485" s="412"/>
      <c r="G485" s="412"/>
      <c r="H485" s="412"/>
      <c r="I485" s="412"/>
      <c r="J485" s="412"/>
      <c r="K485" s="412"/>
      <c r="L485" s="412"/>
      <c r="M485" s="412"/>
      <c r="N485" s="412"/>
      <c r="O485" s="412"/>
      <c r="P485" s="412"/>
      <c r="Q485" s="412"/>
      <c r="R485" s="412"/>
      <c r="S485" s="412"/>
      <c r="T485" s="412"/>
      <c r="U485" s="412"/>
      <c r="V485" s="412"/>
      <c r="W485" s="412"/>
      <c r="X485" s="412"/>
      <c r="Y485" s="412"/>
      <c r="Z485" s="412"/>
    </row>
    <row r="486" spans="1:26" ht="12.75" x14ac:dyDescent="0.2">
      <c r="A486" s="412"/>
      <c r="B486" s="412"/>
      <c r="C486" s="412"/>
      <c r="D486" s="412"/>
      <c r="E486" s="412"/>
      <c r="F486" s="412"/>
      <c r="G486" s="412"/>
      <c r="H486" s="412"/>
      <c r="I486" s="412"/>
      <c r="J486" s="412"/>
      <c r="K486" s="412"/>
      <c r="L486" s="412"/>
      <c r="M486" s="412"/>
      <c r="N486" s="412"/>
      <c r="O486" s="412"/>
      <c r="P486" s="412"/>
      <c r="Q486" s="412"/>
      <c r="R486" s="412"/>
      <c r="S486" s="412"/>
      <c r="T486" s="412"/>
      <c r="U486" s="412"/>
      <c r="V486" s="412"/>
      <c r="W486" s="412"/>
      <c r="X486" s="412"/>
      <c r="Y486" s="412"/>
      <c r="Z486" s="412"/>
    </row>
    <row r="487" spans="1:26" ht="12.75" x14ac:dyDescent="0.2">
      <c r="A487" s="412"/>
      <c r="B487" s="412"/>
      <c r="C487" s="412"/>
      <c r="D487" s="412"/>
      <c r="E487" s="412"/>
      <c r="F487" s="412"/>
      <c r="G487" s="412"/>
      <c r="H487" s="412"/>
      <c r="I487" s="412"/>
      <c r="J487" s="412"/>
      <c r="K487" s="412"/>
      <c r="L487" s="412"/>
      <c r="M487" s="412"/>
      <c r="N487" s="412"/>
      <c r="O487" s="412"/>
      <c r="P487" s="412"/>
      <c r="Q487" s="412"/>
      <c r="R487" s="412"/>
      <c r="S487" s="412"/>
      <c r="T487" s="412"/>
      <c r="U487" s="412"/>
      <c r="V487" s="412"/>
      <c r="W487" s="412"/>
      <c r="X487" s="412"/>
      <c r="Y487" s="412"/>
      <c r="Z487" s="412"/>
    </row>
    <row r="488" spans="1:26" ht="12.75" x14ac:dyDescent="0.2">
      <c r="A488" s="412"/>
      <c r="B488" s="412"/>
      <c r="C488" s="412"/>
      <c r="D488" s="412"/>
      <c r="E488" s="412"/>
      <c r="F488" s="412"/>
      <c r="G488" s="412"/>
      <c r="H488" s="412"/>
      <c r="I488" s="412"/>
      <c r="J488" s="412"/>
      <c r="K488" s="412"/>
      <c r="L488" s="412"/>
      <c r="M488" s="412"/>
      <c r="N488" s="412"/>
      <c r="O488" s="412"/>
      <c r="P488" s="412"/>
      <c r="Q488" s="412"/>
      <c r="R488" s="412"/>
      <c r="S488" s="412"/>
      <c r="T488" s="412"/>
      <c r="U488" s="412"/>
      <c r="V488" s="412"/>
      <c r="W488" s="412"/>
      <c r="X488" s="412"/>
      <c r="Y488" s="412"/>
      <c r="Z488" s="412"/>
    </row>
    <row r="489" spans="1:26" ht="12.75" x14ac:dyDescent="0.2">
      <c r="A489" s="412"/>
      <c r="B489" s="412"/>
      <c r="C489" s="412"/>
      <c r="D489" s="412"/>
      <c r="E489" s="412"/>
      <c r="F489" s="412"/>
      <c r="G489" s="412"/>
      <c r="H489" s="412"/>
      <c r="I489" s="412"/>
      <c r="J489" s="412"/>
      <c r="K489" s="412"/>
      <c r="L489" s="412"/>
      <c r="M489" s="412"/>
      <c r="N489" s="412"/>
      <c r="O489" s="412"/>
      <c r="P489" s="412"/>
      <c r="Q489" s="412"/>
      <c r="R489" s="412"/>
      <c r="S489" s="412"/>
      <c r="T489" s="412"/>
      <c r="U489" s="412"/>
      <c r="V489" s="412"/>
      <c r="W489" s="412"/>
      <c r="X489" s="412"/>
      <c r="Y489" s="412"/>
      <c r="Z489" s="412"/>
    </row>
    <row r="490" spans="1:26" ht="12.75" x14ac:dyDescent="0.2">
      <c r="A490" s="412"/>
      <c r="B490" s="412"/>
      <c r="C490" s="412"/>
      <c r="D490" s="412"/>
      <c r="E490" s="412"/>
      <c r="F490" s="412"/>
      <c r="G490" s="412"/>
      <c r="H490" s="412"/>
      <c r="I490" s="412"/>
      <c r="J490" s="412"/>
      <c r="K490" s="412"/>
      <c r="L490" s="412"/>
      <c r="M490" s="412"/>
      <c r="N490" s="412"/>
      <c r="O490" s="412"/>
      <c r="P490" s="412"/>
      <c r="Q490" s="412"/>
      <c r="R490" s="412"/>
      <c r="S490" s="412"/>
      <c r="T490" s="412"/>
      <c r="U490" s="412"/>
      <c r="V490" s="412"/>
      <c r="W490" s="412"/>
      <c r="X490" s="412"/>
      <c r="Y490" s="412"/>
      <c r="Z490" s="412"/>
    </row>
    <row r="491" spans="1:26" ht="12.75" x14ac:dyDescent="0.2">
      <c r="A491" s="412"/>
      <c r="B491" s="412"/>
      <c r="C491" s="412"/>
      <c r="D491" s="412"/>
      <c r="E491" s="412"/>
      <c r="F491" s="412"/>
      <c r="G491" s="412"/>
      <c r="H491" s="412"/>
      <c r="I491" s="412"/>
      <c r="J491" s="412"/>
      <c r="K491" s="412"/>
      <c r="L491" s="412"/>
      <c r="M491" s="412"/>
      <c r="N491" s="412"/>
      <c r="O491" s="412"/>
      <c r="P491" s="412"/>
      <c r="Q491" s="412"/>
      <c r="R491" s="412"/>
      <c r="S491" s="412"/>
      <c r="T491" s="412"/>
      <c r="U491" s="412"/>
      <c r="V491" s="412"/>
      <c r="W491" s="412"/>
      <c r="X491" s="412"/>
      <c r="Y491" s="412"/>
      <c r="Z491" s="412"/>
    </row>
    <row r="492" spans="1:26" ht="12.75" x14ac:dyDescent="0.2">
      <c r="A492" s="412"/>
      <c r="B492" s="412"/>
      <c r="C492" s="412"/>
      <c r="D492" s="412"/>
      <c r="E492" s="412"/>
      <c r="F492" s="412"/>
      <c r="G492" s="412"/>
      <c r="H492" s="412"/>
      <c r="I492" s="412"/>
      <c r="J492" s="412"/>
      <c r="K492" s="412"/>
      <c r="L492" s="412"/>
      <c r="M492" s="412"/>
      <c r="N492" s="412"/>
      <c r="O492" s="412"/>
      <c r="P492" s="412"/>
      <c r="Q492" s="412"/>
      <c r="R492" s="412"/>
      <c r="S492" s="412"/>
      <c r="T492" s="412"/>
      <c r="U492" s="412"/>
      <c r="V492" s="412"/>
      <c r="W492" s="412"/>
      <c r="X492" s="412"/>
      <c r="Y492" s="412"/>
      <c r="Z492" s="412"/>
    </row>
    <row r="493" spans="1:26" ht="12.75" x14ac:dyDescent="0.2">
      <c r="A493" s="412"/>
      <c r="B493" s="412"/>
      <c r="C493" s="412"/>
      <c r="D493" s="412"/>
      <c r="E493" s="412"/>
      <c r="F493" s="412"/>
      <c r="G493" s="412"/>
      <c r="H493" s="412"/>
      <c r="I493" s="412"/>
      <c r="J493" s="412"/>
      <c r="K493" s="412"/>
      <c r="L493" s="412"/>
      <c r="M493" s="412"/>
      <c r="N493" s="412"/>
      <c r="O493" s="412"/>
      <c r="P493" s="412"/>
      <c r="Q493" s="412"/>
      <c r="R493" s="412"/>
      <c r="S493" s="412"/>
      <c r="T493" s="412"/>
      <c r="U493" s="412"/>
      <c r="V493" s="412"/>
      <c r="W493" s="412"/>
      <c r="X493" s="412"/>
      <c r="Y493" s="412"/>
      <c r="Z493" s="412"/>
    </row>
    <row r="494" spans="1:26" ht="12.75" x14ac:dyDescent="0.2">
      <c r="A494" s="412"/>
      <c r="B494" s="412"/>
      <c r="C494" s="412"/>
      <c r="D494" s="412"/>
      <c r="E494" s="412"/>
      <c r="F494" s="412"/>
      <c r="G494" s="412"/>
      <c r="H494" s="412"/>
      <c r="I494" s="412"/>
      <c r="J494" s="412"/>
      <c r="K494" s="412"/>
      <c r="L494" s="412"/>
      <c r="M494" s="412"/>
      <c r="N494" s="412"/>
      <c r="O494" s="412"/>
      <c r="P494" s="412"/>
      <c r="Q494" s="412"/>
      <c r="R494" s="412"/>
      <c r="S494" s="412"/>
      <c r="T494" s="412"/>
      <c r="U494" s="412"/>
      <c r="V494" s="412"/>
      <c r="W494" s="412"/>
      <c r="X494" s="412"/>
      <c r="Y494" s="412"/>
      <c r="Z494" s="412"/>
    </row>
    <row r="495" spans="1:26" ht="12.75" x14ac:dyDescent="0.2">
      <c r="A495" s="412"/>
      <c r="B495" s="412"/>
      <c r="C495" s="412"/>
      <c r="D495" s="412"/>
      <c r="E495" s="412"/>
      <c r="F495" s="412"/>
      <c r="G495" s="412"/>
      <c r="H495" s="412"/>
      <c r="I495" s="412"/>
      <c r="J495" s="412"/>
      <c r="K495" s="412"/>
      <c r="L495" s="412"/>
      <c r="M495" s="412"/>
      <c r="N495" s="412"/>
      <c r="O495" s="412"/>
      <c r="P495" s="412"/>
      <c r="Q495" s="412"/>
      <c r="R495" s="412"/>
      <c r="S495" s="412"/>
      <c r="T495" s="412"/>
      <c r="U495" s="412"/>
      <c r="V495" s="412"/>
      <c r="W495" s="412"/>
      <c r="X495" s="412"/>
      <c r="Y495" s="412"/>
      <c r="Z495" s="412"/>
    </row>
    <row r="496" spans="1:26" ht="12.75" x14ac:dyDescent="0.2">
      <c r="A496" s="412"/>
      <c r="B496" s="412"/>
      <c r="C496" s="412"/>
      <c r="D496" s="412"/>
      <c r="E496" s="412"/>
      <c r="F496" s="412"/>
      <c r="G496" s="412"/>
      <c r="H496" s="412"/>
      <c r="I496" s="412"/>
      <c r="J496" s="412"/>
      <c r="K496" s="412"/>
      <c r="L496" s="412"/>
      <c r="M496" s="412"/>
      <c r="N496" s="412"/>
      <c r="O496" s="412"/>
      <c r="P496" s="412"/>
      <c r="Q496" s="412"/>
      <c r="R496" s="412"/>
      <c r="S496" s="412"/>
      <c r="T496" s="412"/>
      <c r="U496" s="412"/>
      <c r="V496" s="412"/>
      <c r="W496" s="412"/>
      <c r="X496" s="412"/>
      <c r="Y496" s="412"/>
      <c r="Z496" s="412"/>
    </row>
    <row r="497" spans="1:26" ht="12.75" x14ac:dyDescent="0.2">
      <c r="A497" s="412"/>
      <c r="B497" s="412"/>
      <c r="C497" s="412"/>
      <c r="D497" s="412"/>
      <c r="E497" s="412"/>
      <c r="F497" s="412"/>
      <c r="G497" s="412"/>
      <c r="H497" s="412"/>
      <c r="I497" s="412"/>
      <c r="J497" s="412"/>
      <c r="K497" s="412"/>
      <c r="L497" s="412"/>
      <c r="M497" s="412"/>
      <c r="N497" s="412"/>
      <c r="O497" s="412"/>
      <c r="P497" s="412"/>
      <c r="Q497" s="412"/>
      <c r="R497" s="412"/>
      <c r="S497" s="412"/>
      <c r="T497" s="412"/>
      <c r="U497" s="412"/>
      <c r="V497" s="412"/>
      <c r="W497" s="412"/>
      <c r="X497" s="412"/>
      <c r="Y497" s="412"/>
      <c r="Z497" s="412"/>
    </row>
    <row r="498" spans="1:26" ht="12.75" x14ac:dyDescent="0.2">
      <c r="A498" s="412"/>
      <c r="B498" s="412"/>
      <c r="C498" s="412"/>
      <c r="D498" s="412"/>
      <c r="E498" s="412"/>
      <c r="F498" s="412"/>
      <c r="G498" s="412"/>
      <c r="H498" s="412"/>
      <c r="I498" s="412"/>
      <c r="J498" s="412"/>
      <c r="K498" s="412"/>
      <c r="L498" s="412"/>
      <c r="M498" s="412"/>
      <c r="N498" s="412"/>
      <c r="O498" s="412"/>
      <c r="P498" s="412"/>
      <c r="Q498" s="412"/>
      <c r="R498" s="412"/>
      <c r="S498" s="412"/>
      <c r="T498" s="412"/>
      <c r="U498" s="412"/>
      <c r="V498" s="412"/>
      <c r="W498" s="412"/>
      <c r="X498" s="412"/>
      <c r="Y498" s="412"/>
      <c r="Z498" s="412"/>
    </row>
    <row r="499" spans="1:26" ht="12.75" x14ac:dyDescent="0.2">
      <c r="A499" s="412"/>
      <c r="B499" s="412"/>
      <c r="C499" s="412"/>
      <c r="D499" s="412"/>
      <c r="E499" s="412"/>
      <c r="F499" s="412"/>
      <c r="G499" s="412"/>
      <c r="H499" s="412"/>
      <c r="I499" s="412"/>
      <c r="J499" s="412"/>
      <c r="K499" s="412"/>
      <c r="L499" s="412"/>
      <c r="M499" s="412"/>
      <c r="N499" s="412"/>
      <c r="O499" s="412"/>
      <c r="P499" s="412"/>
      <c r="Q499" s="412"/>
      <c r="R499" s="412"/>
      <c r="S499" s="412"/>
      <c r="T499" s="412"/>
      <c r="U499" s="412"/>
      <c r="V499" s="412"/>
      <c r="W499" s="412"/>
      <c r="X499" s="412"/>
      <c r="Y499" s="412"/>
      <c r="Z499" s="412"/>
    </row>
    <row r="500" spans="1:26" ht="12.75" x14ac:dyDescent="0.2">
      <c r="A500" s="412"/>
      <c r="B500" s="412"/>
      <c r="C500" s="412"/>
      <c r="D500" s="412"/>
      <c r="E500" s="412"/>
      <c r="F500" s="412"/>
      <c r="G500" s="412"/>
      <c r="H500" s="412"/>
      <c r="I500" s="412"/>
      <c r="J500" s="412"/>
      <c r="K500" s="412"/>
      <c r="L500" s="412"/>
      <c r="M500" s="412"/>
      <c r="N500" s="412"/>
      <c r="O500" s="412"/>
      <c r="P500" s="412"/>
      <c r="Q500" s="412"/>
      <c r="R500" s="412"/>
      <c r="S500" s="412"/>
      <c r="T500" s="412"/>
      <c r="U500" s="412"/>
      <c r="V500" s="412"/>
      <c r="W500" s="412"/>
      <c r="X500" s="412"/>
      <c r="Y500" s="412"/>
      <c r="Z500" s="412"/>
    </row>
    <row r="501" spans="1:26" ht="12.75" x14ac:dyDescent="0.2">
      <c r="A501" s="412"/>
      <c r="B501" s="412"/>
      <c r="C501" s="412"/>
      <c r="D501" s="412"/>
      <c r="E501" s="412"/>
      <c r="F501" s="412"/>
      <c r="G501" s="412"/>
      <c r="H501" s="412"/>
      <c r="I501" s="412"/>
      <c r="J501" s="412"/>
      <c r="K501" s="412"/>
      <c r="L501" s="412"/>
      <c r="M501" s="412"/>
      <c r="N501" s="412"/>
      <c r="O501" s="412"/>
      <c r="P501" s="412"/>
      <c r="Q501" s="412"/>
      <c r="R501" s="412"/>
      <c r="S501" s="412"/>
      <c r="T501" s="412"/>
      <c r="U501" s="412"/>
      <c r="V501" s="412"/>
      <c r="W501" s="412"/>
      <c r="X501" s="412"/>
      <c r="Y501" s="412"/>
      <c r="Z501" s="412"/>
    </row>
    <row r="502" spans="1:26" ht="12.75" x14ac:dyDescent="0.2">
      <c r="A502" s="412"/>
      <c r="B502" s="412"/>
      <c r="C502" s="412"/>
      <c r="D502" s="412"/>
      <c r="E502" s="412"/>
      <c r="F502" s="412"/>
      <c r="G502" s="412"/>
      <c r="H502" s="412"/>
      <c r="I502" s="412"/>
      <c r="J502" s="412"/>
      <c r="K502" s="412"/>
      <c r="L502" s="412"/>
      <c r="M502" s="412"/>
      <c r="N502" s="412"/>
      <c r="O502" s="412"/>
      <c r="P502" s="412"/>
      <c r="Q502" s="412"/>
      <c r="R502" s="412"/>
      <c r="S502" s="412"/>
      <c r="T502" s="412"/>
      <c r="U502" s="412"/>
      <c r="V502" s="412"/>
      <c r="W502" s="412"/>
      <c r="X502" s="412"/>
      <c r="Y502" s="412"/>
      <c r="Z502" s="412"/>
    </row>
    <row r="503" spans="1:26" ht="12.75" x14ac:dyDescent="0.2">
      <c r="A503" s="412"/>
      <c r="B503" s="412"/>
      <c r="C503" s="412"/>
      <c r="D503" s="412"/>
      <c r="E503" s="412"/>
      <c r="F503" s="412"/>
      <c r="G503" s="412"/>
      <c r="H503" s="412"/>
      <c r="I503" s="412"/>
      <c r="J503" s="412"/>
      <c r="K503" s="412"/>
      <c r="L503" s="412"/>
      <c r="M503" s="412"/>
      <c r="N503" s="412"/>
      <c r="O503" s="412"/>
      <c r="P503" s="412"/>
      <c r="Q503" s="412"/>
      <c r="R503" s="412"/>
      <c r="S503" s="412"/>
      <c r="T503" s="412"/>
      <c r="U503" s="412"/>
      <c r="V503" s="412"/>
      <c r="W503" s="412"/>
      <c r="X503" s="412"/>
      <c r="Y503" s="412"/>
      <c r="Z503" s="412"/>
    </row>
    <row r="504" spans="1:26" ht="12.75" x14ac:dyDescent="0.2">
      <c r="A504" s="412"/>
      <c r="B504" s="412"/>
      <c r="C504" s="412"/>
      <c r="D504" s="412"/>
      <c r="E504" s="412"/>
      <c r="F504" s="412"/>
      <c r="G504" s="412"/>
      <c r="H504" s="412"/>
      <c r="I504" s="412"/>
      <c r="J504" s="412"/>
      <c r="K504" s="412"/>
      <c r="L504" s="412"/>
      <c r="M504" s="412"/>
      <c r="N504" s="412"/>
      <c r="O504" s="412"/>
      <c r="P504" s="412"/>
      <c r="Q504" s="412"/>
      <c r="R504" s="412"/>
      <c r="S504" s="412"/>
      <c r="T504" s="412"/>
      <c r="U504" s="412"/>
      <c r="V504" s="412"/>
      <c r="W504" s="412"/>
      <c r="X504" s="412"/>
      <c r="Y504" s="412"/>
      <c r="Z504" s="412"/>
    </row>
    <row r="505" spans="1:26" ht="12.75" x14ac:dyDescent="0.2">
      <c r="A505" s="412"/>
      <c r="B505" s="412"/>
      <c r="C505" s="412"/>
      <c r="D505" s="412"/>
      <c r="E505" s="412"/>
      <c r="F505" s="412"/>
      <c r="G505" s="412"/>
      <c r="H505" s="412"/>
      <c r="I505" s="412"/>
      <c r="J505" s="412"/>
      <c r="K505" s="412"/>
      <c r="L505" s="412"/>
      <c r="M505" s="412"/>
      <c r="N505" s="412"/>
      <c r="O505" s="412"/>
      <c r="P505" s="412"/>
      <c r="Q505" s="412"/>
      <c r="R505" s="412"/>
      <c r="S505" s="412"/>
      <c r="T505" s="412"/>
      <c r="U505" s="412"/>
      <c r="V505" s="412"/>
      <c r="W505" s="412"/>
      <c r="X505" s="412"/>
      <c r="Y505" s="412"/>
      <c r="Z505" s="412"/>
    </row>
    <row r="506" spans="1:26" ht="12.75" x14ac:dyDescent="0.2">
      <c r="A506" s="412"/>
      <c r="B506" s="412"/>
      <c r="C506" s="412"/>
      <c r="D506" s="412"/>
      <c r="E506" s="412"/>
      <c r="F506" s="412"/>
      <c r="G506" s="412"/>
      <c r="H506" s="412"/>
      <c r="I506" s="412"/>
      <c r="J506" s="412"/>
      <c r="K506" s="412"/>
      <c r="L506" s="412"/>
      <c r="M506" s="412"/>
      <c r="N506" s="412"/>
      <c r="O506" s="412"/>
      <c r="P506" s="412"/>
      <c r="Q506" s="412"/>
      <c r="R506" s="412"/>
      <c r="S506" s="412"/>
      <c r="T506" s="412"/>
      <c r="U506" s="412"/>
      <c r="V506" s="412"/>
      <c r="W506" s="412"/>
      <c r="X506" s="412"/>
      <c r="Y506" s="412"/>
      <c r="Z506" s="412"/>
    </row>
    <row r="507" spans="1:26" ht="12.75" x14ac:dyDescent="0.2">
      <c r="A507" s="412"/>
      <c r="B507" s="412"/>
      <c r="C507" s="412"/>
      <c r="D507" s="412"/>
      <c r="E507" s="412"/>
      <c r="F507" s="412"/>
      <c r="G507" s="412"/>
      <c r="H507" s="412"/>
      <c r="I507" s="412"/>
      <c r="J507" s="412"/>
      <c r="K507" s="412"/>
      <c r="L507" s="412"/>
      <c r="M507" s="412"/>
      <c r="N507" s="412"/>
      <c r="O507" s="412"/>
      <c r="P507" s="412"/>
      <c r="Q507" s="412"/>
      <c r="R507" s="412"/>
      <c r="S507" s="412"/>
      <c r="T507" s="412"/>
      <c r="U507" s="412"/>
      <c r="V507" s="412"/>
      <c r="W507" s="412"/>
      <c r="X507" s="412"/>
      <c r="Y507" s="412"/>
      <c r="Z507" s="412"/>
    </row>
    <row r="508" spans="1:26" ht="12.75" x14ac:dyDescent="0.2">
      <c r="A508" s="412"/>
      <c r="B508" s="412"/>
      <c r="C508" s="412"/>
      <c r="D508" s="412"/>
      <c r="E508" s="412"/>
      <c r="F508" s="412"/>
      <c r="G508" s="412"/>
      <c r="H508" s="412"/>
      <c r="I508" s="412"/>
      <c r="J508" s="412"/>
      <c r="K508" s="412"/>
      <c r="L508" s="412"/>
      <c r="M508" s="412"/>
      <c r="N508" s="412"/>
      <c r="O508" s="412"/>
      <c r="P508" s="412"/>
      <c r="Q508" s="412"/>
      <c r="R508" s="412"/>
      <c r="S508" s="412"/>
      <c r="T508" s="412"/>
      <c r="U508" s="412"/>
      <c r="V508" s="412"/>
      <c r="W508" s="412"/>
      <c r="X508" s="412"/>
      <c r="Y508" s="412"/>
      <c r="Z508" s="412"/>
    </row>
    <row r="509" spans="1:26" ht="12.75" x14ac:dyDescent="0.2">
      <c r="A509" s="412"/>
      <c r="B509" s="412"/>
      <c r="C509" s="412"/>
      <c r="D509" s="412"/>
      <c r="E509" s="412"/>
      <c r="F509" s="412"/>
      <c r="G509" s="412"/>
      <c r="H509" s="412"/>
      <c r="I509" s="412"/>
      <c r="J509" s="412"/>
      <c r="K509" s="412"/>
      <c r="L509" s="412"/>
      <c r="M509" s="412"/>
      <c r="N509" s="412"/>
      <c r="O509" s="412"/>
      <c r="P509" s="412"/>
      <c r="Q509" s="412"/>
      <c r="R509" s="412"/>
      <c r="S509" s="412"/>
      <c r="T509" s="412"/>
      <c r="U509" s="412"/>
      <c r="V509" s="412"/>
      <c r="W509" s="412"/>
      <c r="X509" s="412"/>
      <c r="Y509" s="412"/>
      <c r="Z509" s="412"/>
    </row>
    <row r="510" spans="1:26" ht="12.75" x14ac:dyDescent="0.2">
      <c r="A510" s="412"/>
      <c r="B510" s="412"/>
      <c r="C510" s="412"/>
      <c r="D510" s="412"/>
      <c r="E510" s="412"/>
      <c r="F510" s="412"/>
      <c r="G510" s="412"/>
      <c r="H510" s="412"/>
      <c r="I510" s="412"/>
      <c r="J510" s="412"/>
      <c r="K510" s="412"/>
      <c r="L510" s="412"/>
      <c r="M510" s="412"/>
      <c r="N510" s="412"/>
      <c r="O510" s="412"/>
      <c r="P510" s="412"/>
      <c r="Q510" s="412"/>
      <c r="R510" s="412"/>
      <c r="S510" s="412"/>
      <c r="T510" s="412"/>
      <c r="U510" s="412"/>
      <c r="V510" s="412"/>
      <c r="W510" s="412"/>
      <c r="X510" s="412"/>
      <c r="Y510" s="412"/>
      <c r="Z510" s="412"/>
    </row>
    <row r="511" spans="1:26" ht="12.75" x14ac:dyDescent="0.2">
      <c r="A511" s="412"/>
      <c r="B511" s="412"/>
      <c r="C511" s="412"/>
      <c r="D511" s="412"/>
      <c r="E511" s="412"/>
      <c r="F511" s="412"/>
      <c r="G511" s="412"/>
      <c r="H511" s="412"/>
      <c r="I511" s="412"/>
      <c r="J511" s="412"/>
      <c r="K511" s="412"/>
      <c r="L511" s="412"/>
      <c r="M511" s="412"/>
      <c r="N511" s="412"/>
      <c r="O511" s="412"/>
      <c r="P511" s="412"/>
      <c r="Q511" s="412"/>
      <c r="R511" s="412"/>
      <c r="S511" s="412"/>
      <c r="T511" s="412"/>
      <c r="U511" s="412"/>
      <c r="V511" s="412"/>
      <c r="W511" s="412"/>
      <c r="X511" s="412"/>
      <c r="Y511" s="412"/>
      <c r="Z511" s="412"/>
    </row>
    <row r="512" spans="1:26" ht="12.75" x14ac:dyDescent="0.2">
      <c r="A512" s="412"/>
      <c r="B512" s="412"/>
      <c r="C512" s="412"/>
      <c r="D512" s="412"/>
      <c r="E512" s="412"/>
      <c r="F512" s="412"/>
      <c r="G512" s="412"/>
      <c r="H512" s="412"/>
      <c r="I512" s="412"/>
      <c r="J512" s="412"/>
      <c r="K512" s="412"/>
      <c r="L512" s="412"/>
      <c r="M512" s="412"/>
      <c r="N512" s="412"/>
      <c r="O512" s="412"/>
      <c r="P512" s="412"/>
      <c r="Q512" s="412"/>
      <c r="R512" s="412"/>
      <c r="S512" s="412"/>
      <c r="T512" s="412"/>
      <c r="U512" s="412"/>
      <c r="V512" s="412"/>
      <c r="W512" s="412"/>
      <c r="X512" s="412"/>
      <c r="Y512" s="412"/>
      <c r="Z512" s="412"/>
    </row>
    <row r="513" spans="1:26" ht="12.75" x14ac:dyDescent="0.2">
      <c r="A513" s="412"/>
      <c r="B513" s="412"/>
      <c r="C513" s="412"/>
      <c r="D513" s="412"/>
      <c r="E513" s="412"/>
      <c r="F513" s="412"/>
      <c r="G513" s="412"/>
      <c r="H513" s="412"/>
      <c r="I513" s="412"/>
      <c r="J513" s="412"/>
      <c r="K513" s="412"/>
      <c r="L513" s="412"/>
      <c r="M513" s="412"/>
      <c r="N513" s="412"/>
      <c r="O513" s="412"/>
      <c r="P513" s="412"/>
      <c r="Q513" s="412"/>
      <c r="R513" s="412"/>
      <c r="S513" s="412"/>
      <c r="T513" s="412"/>
      <c r="U513" s="412"/>
      <c r="V513" s="412"/>
      <c r="W513" s="412"/>
      <c r="X513" s="412"/>
      <c r="Y513" s="412"/>
      <c r="Z513" s="412"/>
    </row>
    <row r="514" spans="1:26" ht="12.75" x14ac:dyDescent="0.2">
      <c r="A514" s="412"/>
      <c r="B514" s="412"/>
      <c r="C514" s="412"/>
      <c r="D514" s="412"/>
      <c r="E514" s="412"/>
      <c r="F514" s="412"/>
      <c r="G514" s="412"/>
      <c r="H514" s="412"/>
      <c r="I514" s="412"/>
      <c r="J514" s="412"/>
      <c r="K514" s="412"/>
      <c r="L514" s="412"/>
      <c r="M514" s="412"/>
      <c r="N514" s="412"/>
      <c r="O514" s="412"/>
      <c r="P514" s="412"/>
      <c r="Q514" s="412"/>
      <c r="R514" s="412"/>
      <c r="S514" s="412"/>
      <c r="T514" s="412"/>
      <c r="U514" s="412"/>
      <c r="V514" s="412"/>
      <c r="W514" s="412"/>
      <c r="X514" s="412"/>
      <c r="Y514" s="412"/>
      <c r="Z514" s="412"/>
    </row>
    <row r="515" spans="1:26" ht="12.75" x14ac:dyDescent="0.2">
      <c r="A515" s="412"/>
      <c r="B515" s="412"/>
      <c r="C515" s="412"/>
      <c r="D515" s="412"/>
      <c r="E515" s="412"/>
      <c r="F515" s="412"/>
      <c r="G515" s="412"/>
      <c r="H515" s="412"/>
      <c r="I515" s="412"/>
      <c r="J515" s="412"/>
      <c r="K515" s="412"/>
      <c r="L515" s="412"/>
      <c r="M515" s="412"/>
      <c r="N515" s="412"/>
      <c r="O515" s="412"/>
      <c r="P515" s="412"/>
      <c r="Q515" s="412"/>
      <c r="R515" s="412"/>
      <c r="S515" s="412"/>
      <c r="T515" s="412"/>
      <c r="U515" s="412"/>
      <c r="V515" s="412"/>
      <c r="W515" s="412"/>
      <c r="X515" s="412"/>
      <c r="Y515" s="412"/>
      <c r="Z515" s="412"/>
    </row>
    <row r="516" spans="1:26" ht="12.75" x14ac:dyDescent="0.2">
      <c r="A516" s="412"/>
      <c r="B516" s="412"/>
      <c r="C516" s="412"/>
      <c r="D516" s="412"/>
      <c r="E516" s="412"/>
      <c r="F516" s="412"/>
      <c r="G516" s="412"/>
      <c r="H516" s="412"/>
      <c r="I516" s="412"/>
      <c r="J516" s="412"/>
      <c r="K516" s="412"/>
      <c r="L516" s="412"/>
      <c r="M516" s="412"/>
      <c r="N516" s="412"/>
      <c r="O516" s="412"/>
      <c r="P516" s="412"/>
      <c r="Q516" s="412"/>
      <c r="R516" s="412"/>
      <c r="S516" s="412"/>
      <c r="T516" s="412"/>
      <c r="U516" s="412"/>
      <c r="V516" s="412"/>
      <c r="W516" s="412"/>
      <c r="X516" s="412"/>
      <c r="Y516" s="412"/>
      <c r="Z516" s="412"/>
    </row>
    <row r="517" spans="1:26" ht="12.75" x14ac:dyDescent="0.2">
      <c r="A517" s="412"/>
      <c r="B517" s="412"/>
      <c r="C517" s="412"/>
      <c r="D517" s="412"/>
      <c r="E517" s="412"/>
      <c r="F517" s="412"/>
      <c r="G517" s="412"/>
      <c r="H517" s="412"/>
      <c r="I517" s="412"/>
      <c r="J517" s="412"/>
      <c r="K517" s="412"/>
      <c r="L517" s="412"/>
      <c r="M517" s="412"/>
      <c r="N517" s="412"/>
      <c r="O517" s="412"/>
      <c r="P517" s="412"/>
      <c r="Q517" s="412"/>
      <c r="R517" s="412"/>
      <c r="S517" s="412"/>
      <c r="T517" s="412"/>
      <c r="U517" s="412"/>
      <c r="V517" s="412"/>
      <c r="W517" s="412"/>
      <c r="X517" s="412"/>
      <c r="Y517" s="412"/>
      <c r="Z517" s="412"/>
    </row>
    <row r="518" spans="1:26" ht="12.75" x14ac:dyDescent="0.2">
      <c r="A518" s="412"/>
      <c r="B518" s="412"/>
      <c r="C518" s="412"/>
      <c r="D518" s="412"/>
      <c r="E518" s="412"/>
      <c r="F518" s="412"/>
      <c r="G518" s="412"/>
      <c r="H518" s="412"/>
      <c r="I518" s="412"/>
      <c r="J518" s="412"/>
      <c r="K518" s="412"/>
      <c r="L518" s="412"/>
      <c r="M518" s="412"/>
      <c r="N518" s="412"/>
      <c r="O518" s="412"/>
      <c r="P518" s="412"/>
      <c r="Q518" s="412"/>
      <c r="R518" s="412"/>
      <c r="S518" s="412"/>
      <c r="T518" s="412"/>
      <c r="U518" s="412"/>
      <c r="V518" s="412"/>
      <c r="W518" s="412"/>
      <c r="X518" s="412"/>
      <c r="Y518" s="412"/>
      <c r="Z518" s="412"/>
    </row>
    <row r="519" spans="1:26" ht="12.75" x14ac:dyDescent="0.2">
      <c r="A519" s="412"/>
      <c r="B519" s="412"/>
      <c r="C519" s="412"/>
      <c r="D519" s="412"/>
      <c r="E519" s="412"/>
      <c r="F519" s="412"/>
      <c r="G519" s="412"/>
      <c r="H519" s="412"/>
      <c r="I519" s="412"/>
      <c r="J519" s="412"/>
      <c r="K519" s="412"/>
      <c r="L519" s="412"/>
      <c r="M519" s="412"/>
      <c r="N519" s="412"/>
      <c r="O519" s="412"/>
      <c r="P519" s="412"/>
      <c r="Q519" s="412"/>
      <c r="R519" s="412"/>
      <c r="S519" s="412"/>
      <c r="T519" s="412"/>
      <c r="U519" s="412"/>
      <c r="V519" s="412"/>
      <c r="W519" s="412"/>
      <c r="X519" s="412"/>
      <c r="Y519" s="412"/>
      <c r="Z519" s="412"/>
    </row>
    <row r="520" spans="1:26" ht="12.75" x14ac:dyDescent="0.2">
      <c r="A520" s="412"/>
      <c r="B520" s="412"/>
      <c r="C520" s="412"/>
      <c r="D520" s="412"/>
      <c r="E520" s="412"/>
      <c r="F520" s="412"/>
      <c r="G520" s="412"/>
      <c r="H520" s="412"/>
      <c r="I520" s="412"/>
      <c r="J520" s="412"/>
      <c r="K520" s="412"/>
      <c r="L520" s="412"/>
      <c r="M520" s="412"/>
      <c r="N520" s="412"/>
      <c r="O520" s="412"/>
      <c r="P520" s="412"/>
      <c r="Q520" s="412"/>
      <c r="R520" s="412"/>
      <c r="S520" s="412"/>
      <c r="T520" s="412"/>
      <c r="U520" s="412"/>
      <c r="V520" s="412"/>
      <c r="W520" s="412"/>
      <c r="X520" s="412"/>
      <c r="Y520" s="412"/>
      <c r="Z520" s="412"/>
    </row>
    <row r="521" spans="1:26" ht="12.75" x14ac:dyDescent="0.2">
      <c r="A521" s="412"/>
      <c r="B521" s="412"/>
      <c r="C521" s="412"/>
      <c r="D521" s="412"/>
      <c r="E521" s="412"/>
      <c r="F521" s="412"/>
      <c r="G521" s="412"/>
      <c r="H521" s="412"/>
      <c r="I521" s="412"/>
      <c r="J521" s="412"/>
      <c r="K521" s="412"/>
      <c r="L521" s="412"/>
      <c r="M521" s="412"/>
      <c r="N521" s="412"/>
      <c r="O521" s="412"/>
      <c r="P521" s="412"/>
      <c r="Q521" s="412"/>
      <c r="R521" s="412"/>
      <c r="S521" s="412"/>
      <c r="T521" s="412"/>
      <c r="U521" s="412"/>
      <c r="V521" s="412"/>
      <c r="W521" s="412"/>
      <c r="X521" s="412"/>
      <c r="Y521" s="412"/>
      <c r="Z521" s="412"/>
    </row>
    <row r="522" spans="1:26" ht="12.75" x14ac:dyDescent="0.2">
      <c r="A522" s="412"/>
      <c r="B522" s="412"/>
      <c r="C522" s="412"/>
      <c r="D522" s="412"/>
      <c r="E522" s="412"/>
      <c r="F522" s="412"/>
      <c r="G522" s="412"/>
      <c r="H522" s="412"/>
      <c r="I522" s="412"/>
      <c r="J522" s="412"/>
      <c r="K522" s="412"/>
      <c r="L522" s="412"/>
      <c r="M522" s="412"/>
      <c r="N522" s="412"/>
      <c r="O522" s="412"/>
      <c r="P522" s="412"/>
      <c r="Q522" s="412"/>
      <c r="R522" s="412"/>
      <c r="S522" s="412"/>
      <c r="T522" s="412"/>
      <c r="U522" s="412"/>
      <c r="V522" s="412"/>
      <c r="W522" s="412"/>
      <c r="X522" s="412"/>
      <c r="Y522" s="412"/>
      <c r="Z522" s="412"/>
    </row>
    <row r="523" spans="1:26" ht="12.75" x14ac:dyDescent="0.2">
      <c r="A523" s="412"/>
      <c r="B523" s="412"/>
      <c r="C523" s="412"/>
      <c r="D523" s="412"/>
      <c r="E523" s="412"/>
      <c r="F523" s="412"/>
      <c r="G523" s="412"/>
      <c r="H523" s="412"/>
      <c r="I523" s="412"/>
      <c r="J523" s="412"/>
      <c r="K523" s="412"/>
      <c r="L523" s="412"/>
      <c r="M523" s="412"/>
      <c r="N523" s="412"/>
      <c r="O523" s="412"/>
      <c r="P523" s="412"/>
      <c r="Q523" s="412"/>
      <c r="R523" s="412"/>
      <c r="S523" s="412"/>
      <c r="T523" s="412"/>
      <c r="U523" s="412"/>
      <c r="V523" s="412"/>
      <c r="W523" s="412"/>
      <c r="X523" s="412"/>
      <c r="Y523" s="412"/>
      <c r="Z523" s="412"/>
    </row>
    <row r="524" spans="1:26" ht="12.75" x14ac:dyDescent="0.2">
      <c r="A524" s="412"/>
      <c r="B524" s="412"/>
      <c r="C524" s="412"/>
      <c r="D524" s="412"/>
      <c r="E524" s="412"/>
      <c r="F524" s="412"/>
      <c r="G524" s="412"/>
      <c r="H524" s="412"/>
      <c r="I524" s="412"/>
      <c r="J524" s="412"/>
      <c r="K524" s="412"/>
      <c r="L524" s="412"/>
      <c r="M524" s="412"/>
      <c r="N524" s="412"/>
      <c r="O524" s="412"/>
      <c r="P524" s="412"/>
      <c r="Q524" s="412"/>
      <c r="R524" s="412"/>
      <c r="S524" s="412"/>
      <c r="T524" s="412"/>
      <c r="U524" s="412"/>
      <c r="V524" s="412"/>
      <c r="W524" s="412"/>
      <c r="X524" s="412"/>
      <c r="Y524" s="412"/>
      <c r="Z524" s="412"/>
    </row>
    <row r="525" spans="1:26" ht="12.75" x14ac:dyDescent="0.2">
      <c r="A525" s="412"/>
      <c r="B525" s="412"/>
      <c r="C525" s="412"/>
      <c r="D525" s="412"/>
      <c r="E525" s="412"/>
      <c r="F525" s="412"/>
      <c r="G525" s="412"/>
      <c r="H525" s="412"/>
      <c r="I525" s="412"/>
      <c r="J525" s="412"/>
      <c r="K525" s="412"/>
      <c r="L525" s="412"/>
      <c r="M525" s="412"/>
      <c r="N525" s="412"/>
      <c r="O525" s="412"/>
      <c r="P525" s="412"/>
      <c r="Q525" s="412"/>
      <c r="R525" s="412"/>
      <c r="S525" s="412"/>
      <c r="T525" s="412"/>
      <c r="U525" s="412"/>
      <c r="V525" s="412"/>
      <c r="W525" s="412"/>
      <c r="X525" s="412"/>
      <c r="Y525" s="412"/>
      <c r="Z525" s="412"/>
    </row>
    <row r="526" spans="1:26" ht="12.75" x14ac:dyDescent="0.2">
      <c r="A526" s="412"/>
      <c r="B526" s="412"/>
      <c r="C526" s="412"/>
      <c r="D526" s="412"/>
      <c r="E526" s="412"/>
      <c r="F526" s="412"/>
      <c r="G526" s="412"/>
      <c r="H526" s="412"/>
      <c r="I526" s="412"/>
      <c r="J526" s="412"/>
      <c r="K526" s="412"/>
      <c r="L526" s="412"/>
      <c r="M526" s="412"/>
      <c r="N526" s="412"/>
      <c r="O526" s="412"/>
      <c r="P526" s="412"/>
      <c r="Q526" s="412"/>
      <c r="R526" s="412"/>
      <c r="S526" s="412"/>
      <c r="T526" s="412"/>
      <c r="U526" s="412"/>
      <c r="V526" s="412"/>
      <c r="W526" s="412"/>
      <c r="X526" s="412"/>
      <c r="Y526" s="412"/>
      <c r="Z526" s="412"/>
    </row>
    <row r="527" spans="1:26" ht="12.75" x14ac:dyDescent="0.2">
      <c r="A527" s="412"/>
      <c r="B527" s="412"/>
      <c r="C527" s="412"/>
      <c r="D527" s="412"/>
      <c r="E527" s="412"/>
      <c r="F527" s="412"/>
      <c r="G527" s="412"/>
      <c r="H527" s="412"/>
      <c r="I527" s="412"/>
      <c r="J527" s="412"/>
      <c r="K527" s="412"/>
      <c r="L527" s="412"/>
      <c r="M527" s="412"/>
      <c r="N527" s="412"/>
      <c r="O527" s="412"/>
      <c r="P527" s="412"/>
      <c r="Q527" s="412"/>
      <c r="R527" s="412"/>
      <c r="S527" s="412"/>
      <c r="T527" s="412"/>
      <c r="U527" s="412"/>
      <c r="V527" s="412"/>
      <c r="W527" s="412"/>
      <c r="X527" s="412"/>
      <c r="Y527" s="412"/>
      <c r="Z527" s="412"/>
    </row>
    <row r="528" spans="1:26" ht="12.75" x14ac:dyDescent="0.2">
      <c r="A528" s="412"/>
      <c r="B528" s="412"/>
      <c r="C528" s="412"/>
      <c r="D528" s="412"/>
      <c r="E528" s="412"/>
      <c r="F528" s="412"/>
      <c r="G528" s="412"/>
      <c r="H528" s="412"/>
      <c r="I528" s="412"/>
      <c r="J528" s="412"/>
      <c r="K528" s="412"/>
      <c r="L528" s="412"/>
      <c r="M528" s="412"/>
      <c r="N528" s="412"/>
      <c r="O528" s="412"/>
      <c r="P528" s="412"/>
      <c r="Q528" s="412"/>
      <c r="R528" s="412"/>
      <c r="S528" s="412"/>
      <c r="T528" s="412"/>
      <c r="U528" s="412"/>
      <c r="V528" s="412"/>
      <c r="W528" s="412"/>
      <c r="X528" s="412"/>
      <c r="Y528" s="412"/>
      <c r="Z528" s="412"/>
    </row>
    <row r="529" spans="1:26" ht="12.75" x14ac:dyDescent="0.2">
      <c r="A529" s="412"/>
      <c r="B529" s="412"/>
      <c r="C529" s="412"/>
      <c r="D529" s="412"/>
      <c r="E529" s="412"/>
      <c r="F529" s="412"/>
      <c r="G529" s="412"/>
      <c r="H529" s="412"/>
      <c r="I529" s="412"/>
      <c r="J529" s="412"/>
      <c r="K529" s="412"/>
      <c r="L529" s="412"/>
      <c r="M529" s="412"/>
      <c r="N529" s="412"/>
      <c r="O529" s="412"/>
      <c r="P529" s="412"/>
      <c r="Q529" s="412"/>
      <c r="R529" s="412"/>
      <c r="S529" s="412"/>
      <c r="T529" s="412"/>
      <c r="U529" s="412"/>
      <c r="V529" s="412"/>
      <c r="W529" s="412"/>
      <c r="X529" s="412"/>
      <c r="Y529" s="412"/>
      <c r="Z529" s="412"/>
    </row>
    <row r="530" spans="1:26" ht="12.75" x14ac:dyDescent="0.2">
      <c r="A530" s="412"/>
      <c r="B530" s="412"/>
      <c r="C530" s="412"/>
      <c r="D530" s="412"/>
      <c r="E530" s="412"/>
      <c r="F530" s="412"/>
      <c r="G530" s="412"/>
      <c r="H530" s="412"/>
      <c r="I530" s="412"/>
      <c r="J530" s="412"/>
      <c r="K530" s="412"/>
      <c r="L530" s="412"/>
      <c r="M530" s="412"/>
      <c r="N530" s="412"/>
      <c r="O530" s="412"/>
      <c r="P530" s="412"/>
      <c r="Q530" s="412"/>
      <c r="R530" s="412"/>
      <c r="S530" s="412"/>
      <c r="T530" s="412"/>
      <c r="U530" s="412"/>
      <c r="V530" s="412"/>
      <c r="W530" s="412"/>
      <c r="X530" s="412"/>
      <c r="Y530" s="412"/>
      <c r="Z530" s="412"/>
    </row>
    <row r="531" spans="1:26" ht="12.75" x14ac:dyDescent="0.2">
      <c r="A531" s="412"/>
      <c r="B531" s="412"/>
      <c r="C531" s="412"/>
      <c r="D531" s="412"/>
      <c r="E531" s="412"/>
      <c r="F531" s="412"/>
      <c r="G531" s="412"/>
      <c r="H531" s="412"/>
      <c r="I531" s="412"/>
      <c r="J531" s="412"/>
      <c r="K531" s="412"/>
      <c r="L531" s="412"/>
      <c r="M531" s="412"/>
      <c r="N531" s="412"/>
      <c r="O531" s="412"/>
      <c r="P531" s="412"/>
      <c r="Q531" s="412"/>
      <c r="R531" s="412"/>
      <c r="S531" s="412"/>
      <c r="T531" s="412"/>
      <c r="U531" s="412"/>
      <c r="V531" s="412"/>
      <c r="W531" s="412"/>
      <c r="X531" s="412"/>
      <c r="Y531" s="412"/>
      <c r="Z531" s="412"/>
    </row>
    <row r="532" spans="1:26" ht="12.75" x14ac:dyDescent="0.2">
      <c r="A532" s="412"/>
      <c r="B532" s="412"/>
      <c r="C532" s="412"/>
      <c r="D532" s="412"/>
      <c r="E532" s="412"/>
      <c r="F532" s="412"/>
      <c r="G532" s="412"/>
      <c r="H532" s="412"/>
      <c r="I532" s="412"/>
      <c r="J532" s="412"/>
      <c r="K532" s="412"/>
      <c r="L532" s="412"/>
      <c r="M532" s="412"/>
      <c r="N532" s="412"/>
      <c r="O532" s="412"/>
      <c r="P532" s="412"/>
      <c r="Q532" s="412"/>
      <c r="R532" s="412"/>
      <c r="S532" s="412"/>
      <c r="T532" s="412"/>
      <c r="U532" s="412"/>
      <c r="V532" s="412"/>
      <c r="W532" s="412"/>
      <c r="X532" s="412"/>
      <c r="Y532" s="412"/>
      <c r="Z532" s="412"/>
    </row>
    <row r="533" spans="1:26" ht="12.75" x14ac:dyDescent="0.2">
      <c r="A533" s="412"/>
      <c r="B533" s="412"/>
      <c r="C533" s="412"/>
      <c r="D533" s="412"/>
      <c r="E533" s="412"/>
      <c r="F533" s="412"/>
      <c r="G533" s="412"/>
      <c r="H533" s="412"/>
      <c r="I533" s="412"/>
      <c r="J533" s="412"/>
      <c r="K533" s="412"/>
      <c r="L533" s="412"/>
      <c r="M533" s="412"/>
      <c r="N533" s="412"/>
      <c r="O533" s="412"/>
      <c r="P533" s="412"/>
      <c r="Q533" s="412"/>
      <c r="R533" s="412"/>
      <c r="S533" s="412"/>
      <c r="T533" s="412"/>
      <c r="U533" s="412"/>
      <c r="V533" s="412"/>
      <c r="W533" s="412"/>
      <c r="X533" s="412"/>
      <c r="Y533" s="412"/>
      <c r="Z533" s="412"/>
    </row>
    <row r="534" spans="1:26" ht="12.75" x14ac:dyDescent="0.2">
      <c r="A534" s="412"/>
      <c r="B534" s="412"/>
      <c r="C534" s="412"/>
      <c r="D534" s="412"/>
      <c r="E534" s="412"/>
      <c r="F534" s="412"/>
      <c r="G534" s="412"/>
      <c r="H534" s="412"/>
      <c r="I534" s="412"/>
      <c r="J534" s="412"/>
      <c r="K534" s="412"/>
      <c r="L534" s="412"/>
      <c r="M534" s="412"/>
      <c r="N534" s="412"/>
      <c r="O534" s="412"/>
      <c r="P534" s="412"/>
      <c r="Q534" s="412"/>
      <c r="R534" s="412"/>
      <c r="S534" s="412"/>
      <c r="T534" s="412"/>
      <c r="U534" s="412"/>
      <c r="V534" s="412"/>
      <c r="W534" s="412"/>
      <c r="X534" s="412"/>
      <c r="Y534" s="412"/>
      <c r="Z534" s="412"/>
    </row>
    <row r="535" spans="1:26" ht="12.75" x14ac:dyDescent="0.2">
      <c r="A535" s="412"/>
      <c r="B535" s="412"/>
      <c r="C535" s="412"/>
      <c r="D535" s="412"/>
      <c r="E535" s="412"/>
      <c r="F535" s="412"/>
      <c r="G535" s="412"/>
      <c r="H535" s="412"/>
      <c r="I535" s="412"/>
      <c r="J535" s="412"/>
      <c r="K535" s="412"/>
      <c r="L535" s="412"/>
      <c r="M535" s="412"/>
      <c r="N535" s="412"/>
      <c r="O535" s="412"/>
      <c r="P535" s="412"/>
      <c r="Q535" s="412"/>
      <c r="R535" s="412"/>
      <c r="S535" s="412"/>
      <c r="T535" s="412"/>
      <c r="U535" s="412"/>
      <c r="V535" s="412"/>
      <c r="W535" s="412"/>
      <c r="X535" s="412"/>
      <c r="Y535" s="412"/>
      <c r="Z535" s="412"/>
    </row>
    <row r="536" spans="1:26" ht="12.75" x14ac:dyDescent="0.2">
      <c r="A536" s="412"/>
      <c r="B536" s="412"/>
      <c r="C536" s="412"/>
      <c r="D536" s="412"/>
      <c r="E536" s="412"/>
      <c r="F536" s="412"/>
      <c r="G536" s="412"/>
      <c r="H536" s="412"/>
      <c r="I536" s="412"/>
      <c r="J536" s="412"/>
      <c r="K536" s="412"/>
      <c r="L536" s="412"/>
      <c r="M536" s="412"/>
      <c r="N536" s="412"/>
      <c r="O536" s="412"/>
      <c r="P536" s="412"/>
      <c r="Q536" s="412"/>
      <c r="R536" s="412"/>
      <c r="S536" s="412"/>
      <c r="T536" s="412"/>
      <c r="U536" s="412"/>
      <c r="V536" s="412"/>
      <c r="W536" s="412"/>
      <c r="X536" s="412"/>
      <c r="Y536" s="412"/>
      <c r="Z536" s="412"/>
    </row>
    <row r="537" spans="1:26" ht="12.75" x14ac:dyDescent="0.2">
      <c r="A537" s="412"/>
      <c r="B537" s="412"/>
      <c r="C537" s="412"/>
      <c r="D537" s="412"/>
      <c r="E537" s="412"/>
      <c r="F537" s="412"/>
      <c r="G537" s="412"/>
      <c r="H537" s="412"/>
      <c r="I537" s="412"/>
      <c r="J537" s="412"/>
      <c r="K537" s="412"/>
      <c r="L537" s="412"/>
      <c r="M537" s="412"/>
      <c r="N537" s="412"/>
      <c r="O537" s="412"/>
      <c r="P537" s="412"/>
      <c r="Q537" s="412"/>
      <c r="R537" s="412"/>
      <c r="S537" s="412"/>
      <c r="T537" s="412"/>
      <c r="U537" s="412"/>
      <c r="V537" s="412"/>
      <c r="W537" s="412"/>
      <c r="X537" s="412"/>
      <c r="Y537" s="412"/>
      <c r="Z537" s="412"/>
    </row>
    <row r="538" spans="1:26" ht="12.75" x14ac:dyDescent="0.2">
      <c r="A538" s="412"/>
      <c r="B538" s="412"/>
      <c r="C538" s="412"/>
      <c r="D538" s="412"/>
      <c r="E538" s="412"/>
      <c r="F538" s="412"/>
      <c r="G538" s="412"/>
      <c r="H538" s="412"/>
      <c r="I538" s="412"/>
      <c r="J538" s="412"/>
      <c r="K538" s="412"/>
      <c r="L538" s="412"/>
      <c r="M538" s="412"/>
      <c r="N538" s="412"/>
      <c r="O538" s="412"/>
      <c r="P538" s="412"/>
      <c r="Q538" s="412"/>
      <c r="R538" s="412"/>
      <c r="S538" s="412"/>
      <c r="T538" s="412"/>
      <c r="U538" s="412"/>
      <c r="V538" s="412"/>
      <c r="W538" s="412"/>
      <c r="X538" s="412"/>
      <c r="Y538" s="412"/>
      <c r="Z538" s="412"/>
    </row>
    <row r="539" spans="1:26" ht="12.75" x14ac:dyDescent="0.2">
      <c r="A539" s="412"/>
      <c r="B539" s="412"/>
      <c r="C539" s="412"/>
      <c r="D539" s="412"/>
      <c r="E539" s="412"/>
      <c r="F539" s="412"/>
      <c r="G539" s="412"/>
      <c r="H539" s="412"/>
      <c r="I539" s="412"/>
      <c r="J539" s="412"/>
      <c r="K539" s="412"/>
      <c r="L539" s="412"/>
      <c r="M539" s="412"/>
      <c r="N539" s="412"/>
      <c r="O539" s="412"/>
      <c r="P539" s="412"/>
      <c r="Q539" s="412"/>
      <c r="R539" s="412"/>
      <c r="S539" s="412"/>
      <c r="T539" s="412"/>
      <c r="U539" s="412"/>
      <c r="V539" s="412"/>
      <c r="W539" s="412"/>
      <c r="X539" s="412"/>
      <c r="Y539" s="412"/>
      <c r="Z539" s="412"/>
    </row>
    <row r="540" spans="1:26" ht="12.75" x14ac:dyDescent="0.2">
      <c r="A540" s="412"/>
      <c r="B540" s="412"/>
      <c r="C540" s="412"/>
      <c r="D540" s="412"/>
      <c r="E540" s="412"/>
      <c r="F540" s="412"/>
      <c r="G540" s="412"/>
      <c r="H540" s="412"/>
      <c r="I540" s="412"/>
      <c r="J540" s="412"/>
      <c r="K540" s="412"/>
      <c r="L540" s="412"/>
      <c r="M540" s="412"/>
      <c r="N540" s="412"/>
      <c r="O540" s="412"/>
      <c r="P540" s="412"/>
      <c r="Q540" s="412"/>
      <c r="R540" s="412"/>
      <c r="S540" s="412"/>
      <c r="T540" s="412"/>
      <c r="U540" s="412"/>
      <c r="V540" s="412"/>
      <c r="W540" s="412"/>
      <c r="X540" s="412"/>
      <c r="Y540" s="412"/>
      <c r="Z540" s="412"/>
    </row>
    <row r="541" spans="1:26" ht="12.75" x14ac:dyDescent="0.2">
      <c r="A541" s="412"/>
      <c r="B541" s="412"/>
      <c r="C541" s="412"/>
      <c r="D541" s="412"/>
      <c r="E541" s="412"/>
      <c r="F541" s="412"/>
      <c r="G541" s="412"/>
      <c r="H541" s="412"/>
      <c r="I541" s="412"/>
      <c r="J541" s="412"/>
      <c r="K541" s="412"/>
      <c r="L541" s="412"/>
      <c r="M541" s="412"/>
      <c r="N541" s="412"/>
      <c r="O541" s="412"/>
      <c r="P541" s="412"/>
      <c r="Q541" s="412"/>
      <c r="R541" s="412"/>
      <c r="S541" s="412"/>
      <c r="T541" s="412"/>
      <c r="U541" s="412"/>
      <c r="V541" s="412"/>
      <c r="W541" s="412"/>
      <c r="X541" s="412"/>
      <c r="Y541" s="412"/>
      <c r="Z541" s="412"/>
    </row>
    <row r="542" spans="1:26" ht="12.75" x14ac:dyDescent="0.2">
      <c r="A542" s="412"/>
      <c r="B542" s="412"/>
      <c r="C542" s="412"/>
      <c r="D542" s="412"/>
      <c r="E542" s="412"/>
      <c r="F542" s="412"/>
      <c r="G542" s="412"/>
      <c r="H542" s="412"/>
      <c r="I542" s="412"/>
      <c r="J542" s="412"/>
      <c r="K542" s="412"/>
      <c r="L542" s="412"/>
      <c r="M542" s="412"/>
      <c r="N542" s="412"/>
      <c r="O542" s="412"/>
      <c r="P542" s="412"/>
      <c r="Q542" s="412"/>
      <c r="R542" s="412"/>
      <c r="S542" s="412"/>
      <c r="T542" s="412"/>
      <c r="U542" s="412"/>
      <c r="V542" s="412"/>
      <c r="W542" s="412"/>
      <c r="X542" s="412"/>
      <c r="Y542" s="412"/>
      <c r="Z542" s="412"/>
    </row>
    <row r="543" spans="1:26" ht="12.75" x14ac:dyDescent="0.2">
      <c r="A543" s="412"/>
      <c r="B543" s="412"/>
      <c r="C543" s="412"/>
      <c r="D543" s="412"/>
      <c r="E543" s="412"/>
      <c r="F543" s="412"/>
      <c r="G543" s="412"/>
      <c r="H543" s="412"/>
      <c r="I543" s="412"/>
      <c r="J543" s="412"/>
      <c r="K543" s="412"/>
      <c r="L543" s="412"/>
      <c r="M543" s="412"/>
      <c r="N543" s="412"/>
      <c r="O543" s="412"/>
      <c r="P543" s="412"/>
      <c r="Q543" s="412"/>
      <c r="R543" s="412"/>
      <c r="S543" s="412"/>
      <c r="T543" s="412"/>
      <c r="U543" s="412"/>
      <c r="V543" s="412"/>
      <c r="W543" s="412"/>
      <c r="X543" s="412"/>
      <c r="Y543" s="412"/>
      <c r="Z543" s="412"/>
    </row>
    <row r="544" spans="1:26" ht="12.75" x14ac:dyDescent="0.2">
      <c r="A544" s="412"/>
      <c r="B544" s="412"/>
      <c r="C544" s="412"/>
      <c r="D544" s="412"/>
      <c r="E544" s="412"/>
      <c r="F544" s="412"/>
      <c r="G544" s="412"/>
      <c r="H544" s="412"/>
      <c r="I544" s="412"/>
      <c r="J544" s="412"/>
      <c r="K544" s="412"/>
      <c r="L544" s="412"/>
      <c r="M544" s="412"/>
      <c r="N544" s="412"/>
      <c r="O544" s="412"/>
      <c r="P544" s="412"/>
      <c r="Q544" s="412"/>
      <c r="R544" s="412"/>
      <c r="S544" s="412"/>
      <c r="T544" s="412"/>
      <c r="U544" s="412"/>
      <c r="V544" s="412"/>
      <c r="W544" s="412"/>
      <c r="X544" s="412"/>
      <c r="Y544" s="412"/>
      <c r="Z544" s="412"/>
    </row>
    <row r="545" spans="1:26" ht="12.75" x14ac:dyDescent="0.2">
      <c r="A545" s="412"/>
      <c r="B545" s="412"/>
      <c r="C545" s="412"/>
      <c r="D545" s="412"/>
      <c r="E545" s="412"/>
      <c r="F545" s="412"/>
      <c r="G545" s="412"/>
      <c r="H545" s="412"/>
      <c r="I545" s="412"/>
      <c r="J545" s="412"/>
      <c r="K545" s="412"/>
      <c r="L545" s="412"/>
      <c r="M545" s="412"/>
      <c r="N545" s="412"/>
      <c r="O545" s="412"/>
      <c r="P545" s="412"/>
      <c r="Q545" s="412"/>
      <c r="R545" s="412"/>
      <c r="S545" s="412"/>
      <c r="T545" s="412"/>
      <c r="U545" s="412"/>
      <c r="V545" s="412"/>
      <c r="W545" s="412"/>
      <c r="X545" s="412"/>
      <c r="Y545" s="412"/>
      <c r="Z545" s="412"/>
    </row>
    <row r="546" spans="1:26" ht="12.75" x14ac:dyDescent="0.2">
      <c r="A546" s="412"/>
      <c r="B546" s="412"/>
      <c r="C546" s="412"/>
      <c r="D546" s="412"/>
      <c r="E546" s="412"/>
      <c r="F546" s="412"/>
      <c r="G546" s="412"/>
      <c r="H546" s="412"/>
      <c r="I546" s="412"/>
      <c r="J546" s="412"/>
      <c r="K546" s="412"/>
      <c r="L546" s="412"/>
      <c r="M546" s="412"/>
      <c r="N546" s="412"/>
      <c r="O546" s="412"/>
      <c r="P546" s="412"/>
      <c r="Q546" s="412"/>
      <c r="R546" s="412"/>
      <c r="S546" s="412"/>
      <c r="T546" s="412"/>
      <c r="U546" s="412"/>
      <c r="V546" s="412"/>
      <c r="W546" s="412"/>
      <c r="X546" s="412"/>
      <c r="Y546" s="412"/>
      <c r="Z546" s="412"/>
    </row>
    <row r="547" spans="1:26" ht="12.75" x14ac:dyDescent="0.2">
      <c r="A547" s="412"/>
      <c r="B547" s="412"/>
      <c r="C547" s="412"/>
      <c r="D547" s="412"/>
      <c r="E547" s="412"/>
      <c r="F547" s="412"/>
      <c r="G547" s="412"/>
      <c r="H547" s="412"/>
      <c r="I547" s="412"/>
      <c r="J547" s="412"/>
      <c r="K547" s="412"/>
      <c r="L547" s="412"/>
      <c r="M547" s="412"/>
      <c r="N547" s="412"/>
      <c r="O547" s="412"/>
      <c r="P547" s="412"/>
      <c r="Q547" s="412"/>
      <c r="R547" s="412"/>
      <c r="S547" s="412"/>
      <c r="T547" s="412"/>
      <c r="U547" s="412"/>
      <c r="V547" s="412"/>
      <c r="W547" s="412"/>
      <c r="X547" s="412"/>
      <c r="Y547" s="412"/>
      <c r="Z547" s="412"/>
    </row>
    <row r="548" spans="1:26" ht="12.75" x14ac:dyDescent="0.2">
      <c r="A548" s="412"/>
      <c r="B548" s="412"/>
      <c r="C548" s="412"/>
      <c r="D548" s="412"/>
      <c r="E548" s="412"/>
      <c r="F548" s="412"/>
      <c r="G548" s="412"/>
      <c r="H548" s="412"/>
      <c r="I548" s="412"/>
      <c r="J548" s="412"/>
      <c r="K548" s="412"/>
      <c r="L548" s="412"/>
      <c r="M548" s="412"/>
      <c r="N548" s="412"/>
      <c r="O548" s="412"/>
      <c r="P548" s="412"/>
      <c r="Q548" s="412"/>
      <c r="R548" s="412"/>
      <c r="S548" s="412"/>
      <c r="T548" s="412"/>
      <c r="U548" s="412"/>
      <c r="V548" s="412"/>
      <c r="W548" s="412"/>
      <c r="X548" s="412"/>
      <c r="Y548" s="412"/>
      <c r="Z548" s="412"/>
    </row>
    <row r="549" spans="1:26" ht="12.75" x14ac:dyDescent="0.2">
      <c r="A549" s="412"/>
      <c r="B549" s="412"/>
      <c r="C549" s="412"/>
      <c r="D549" s="412"/>
      <c r="E549" s="412"/>
      <c r="F549" s="412"/>
      <c r="G549" s="412"/>
      <c r="H549" s="412"/>
      <c r="I549" s="412"/>
      <c r="J549" s="412"/>
      <c r="K549" s="412"/>
      <c r="L549" s="412"/>
      <c r="M549" s="412"/>
      <c r="N549" s="412"/>
      <c r="O549" s="412"/>
      <c r="P549" s="412"/>
      <c r="Q549" s="412"/>
      <c r="R549" s="412"/>
      <c r="S549" s="412"/>
      <c r="T549" s="412"/>
      <c r="U549" s="412"/>
      <c r="V549" s="412"/>
      <c r="W549" s="412"/>
      <c r="X549" s="412"/>
      <c r="Y549" s="412"/>
      <c r="Z549" s="412"/>
    </row>
    <row r="550" spans="1:26" ht="12.75" x14ac:dyDescent="0.2">
      <c r="A550" s="412"/>
      <c r="B550" s="412"/>
      <c r="C550" s="412"/>
      <c r="D550" s="412"/>
      <c r="E550" s="412"/>
      <c r="F550" s="412"/>
      <c r="G550" s="412"/>
      <c r="H550" s="412"/>
      <c r="I550" s="412"/>
      <c r="J550" s="412"/>
      <c r="K550" s="412"/>
      <c r="L550" s="412"/>
      <c r="M550" s="412"/>
      <c r="N550" s="412"/>
      <c r="O550" s="412"/>
      <c r="P550" s="412"/>
      <c r="Q550" s="412"/>
      <c r="R550" s="412"/>
      <c r="S550" s="412"/>
      <c r="T550" s="412"/>
      <c r="U550" s="412"/>
      <c r="V550" s="412"/>
      <c r="W550" s="412"/>
      <c r="X550" s="412"/>
      <c r="Y550" s="412"/>
      <c r="Z550" s="412"/>
    </row>
    <row r="551" spans="1:26" ht="12.75" x14ac:dyDescent="0.2">
      <c r="A551" s="412"/>
      <c r="B551" s="412"/>
      <c r="C551" s="412"/>
      <c r="D551" s="412"/>
      <c r="E551" s="412"/>
      <c r="F551" s="412"/>
      <c r="G551" s="412"/>
      <c r="H551" s="412"/>
      <c r="I551" s="412"/>
      <c r="J551" s="412"/>
      <c r="K551" s="412"/>
      <c r="L551" s="412"/>
      <c r="M551" s="412"/>
      <c r="N551" s="412"/>
      <c r="O551" s="412"/>
      <c r="P551" s="412"/>
      <c r="Q551" s="412"/>
      <c r="R551" s="412"/>
      <c r="S551" s="412"/>
      <c r="T551" s="412"/>
      <c r="U551" s="412"/>
      <c r="V551" s="412"/>
      <c r="W551" s="412"/>
      <c r="X551" s="412"/>
      <c r="Y551" s="412"/>
      <c r="Z551" s="412"/>
    </row>
    <row r="552" spans="1:26" ht="12.75" x14ac:dyDescent="0.2">
      <c r="A552" s="412"/>
      <c r="B552" s="412"/>
      <c r="C552" s="412"/>
      <c r="D552" s="412"/>
      <c r="E552" s="412"/>
      <c r="F552" s="412"/>
      <c r="G552" s="412"/>
      <c r="H552" s="412"/>
      <c r="I552" s="412"/>
      <c r="J552" s="412"/>
      <c r="K552" s="412"/>
      <c r="L552" s="412"/>
      <c r="M552" s="412"/>
      <c r="N552" s="412"/>
      <c r="O552" s="412"/>
      <c r="P552" s="412"/>
      <c r="Q552" s="412"/>
      <c r="R552" s="412"/>
      <c r="S552" s="412"/>
      <c r="T552" s="412"/>
      <c r="U552" s="412"/>
      <c r="V552" s="412"/>
      <c r="W552" s="412"/>
      <c r="X552" s="412"/>
      <c r="Y552" s="412"/>
      <c r="Z552" s="412"/>
    </row>
    <row r="553" spans="1:26" ht="12.75" x14ac:dyDescent="0.2">
      <c r="A553" s="412"/>
      <c r="B553" s="412"/>
      <c r="C553" s="412"/>
      <c r="D553" s="412"/>
      <c r="E553" s="412"/>
      <c r="F553" s="412"/>
      <c r="G553" s="412"/>
      <c r="H553" s="412"/>
      <c r="I553" s="412"/>
      <c r="J553" s="412"/>
      <c r="K553" s="412"/>
      <c r="L553" s="412"/>
      <c r="M553" s="412"/>
      <c r="N553" s="412"/>
      <c r="O553" s="412"/>
      <c r="P553" s="412"/>
      <c r="Q553" s="412"/>
      <c r="R553" s="412"/>
      <c r="S553" s="412"/>
      <c r="T553" s="412"/>
      <c r="U553" s="412"/>
      <c r="V553" s="412"/>
      <c r="W553" s="412"/>
      <c r="X553" s="412"/>
      <c r="Y553" s="412"/>
      <c r="Z553" s="412"/>
    </row>
    <row r="554" spans="1:26" ht="12.75" x14ac:dyDescent="0.2">
      <c r="A554" s="412"/>
      <c r="B554" s="412"/>
      <c r="C554" s="412"/>
      <c r="D554" s="412"/>
      <c r="E554" s="412"/>
      <c r="F554" s="412"/>
      <c r="G554" s="412"/>
      <c r="H554" s="412"/>
      <c r="I554" s="412"/>
      <c r="J554" s="412"/>
      <c r="K554" s="412"/>
      <c r="L554" s="412"/>
      <c r="M554" s="412"/>
      <c r="N554" s="412"/>
      <c r="O554" s="412"/>
      <c r="P554" s="412"/>
      <c r="Q554" s="412"/>
      <c r="R554" s="412"/>
      <c r="S554" s="412"/>
      <c r="T554" s="412"/>
      <c r="U554" s="412"/>
      <c r="V554" s="412"/>
      <c r="W554" s="412"/>
      <c r="X554" s="412"/>
      <c r="Y554" s="412"/>
      <c r="Z554" s="412"/>
    </row>
    <row r="555" spans="1:26" ht="12.75" x14ac:dyDescent="0.2">
      <c r="A555" s="412"/>
      <c r="B555" s="412"/>
      <c r="C555" s="412"/>
      <c r="D555" s="412"/>
      <c r="E555" s="412"/>
      <c r="F555" s="412"/>
      <c r="G555" s="412"/>
      <c r="H555" s="412"/>
      <c r="I555" s="412"/>
      <c r="J555" s="412"/>
      <c r="K555" s="412"/>
      <c r="L555" s="412"/>
      <c r="M555" s="412"/>
      <c r="N555" s="412"/>
      <c r="O555" s="412"/>
      <c r="P555" s="412"/>
      <c r="Q555" s="412"/>
      <c r="R555" s="412"/>
      <c r="S555" s="412"/>
      <c r="T555" s="412"/>
      <c r="U555" s="412"/>
      <c r="V555" s="412"/>
      <c r="W555" s="412"/>
      <c r="X555" s="412"/>
      <c r="Y555" s="412"/>
      <c r="Z555" s="412"/>
    </row>
    <row r="556" spans="1:26" ht="12.75" x14ac:dyDescent="0.2">
      <c r="A556" s="412"/>
      <c r="B556" s="412"/>
      <c r="C556" s="412"/>
      <c r="D556" s="412"/>
      <c r="E556" s="412"/>
      <c r="F556" s="412"/>
      <c r="G556" s="412"/>
      <c r="H556" s="412"/>
      <c r="I556" s="412"/>
      <c r="J556" s="412"/>
      <c r="K556" s="412"/>
      <c r="L556" s="412"/>
      <c r="M556" s="412"/>
      <c r="N556" s="412"/>
      <c r="O556" s="412"/>
      <c r="P556" s="412"/>
      <c r="Q556" s="412"/>
      <c r="R556" s="412"/>
      <c r="S556" s="412"/>
      <c r="T556" s="412"/>
      <c r="U556" s="412"/>
      <c r="V556" s="412"/>
      <c r="W556" s="412"/>
      <c r="X556" s="412"/>
      <c r="Y556" s="412"/>
      <c r="Z556" s="412"/>
    </row>
    <row r="557" spans="1:26" ht="12.75" x14ac:dyDescent="0.2">
      <c r="A557" s="412"/>
      <c r="B557" s="412"/>
      <c r="C557" s="412"/>
      <c r="D557" s="412"/>
      <c r="E557" s="412"/>
      <c r="F557" s="412"/>
      <c r="G557" s="412"/>
      <c r="H557" s="412"/>
      <c r="I557" s="412"/>
      <c r="J557" s="412"/>
      <c r="K557" s="412"/>
      <c r="L557" s="412"/>
      <c r="M557" s="412"/>
      <c r="N557" s="412"/>
      <c r="O557" s="412"/>
      <c r="P557" s="412"/>
      <c r="Q557" s="412"/>
      <c r="R557" s="412"/>
      <c r="S557" s="412"/>
      <c r="T557" s="412"/>
      <c r="U557" s="412"/>
      <c r="V557" s="412"/>
      <c r="W557" s="412"/>
      <c r="X557" s="412"/>
      <c r="Y557" s="412"/>
      <c r="Z557" s="412"/>
    </row>
    <row r="558" spans="1:26" ht="12.75" x14ac:dyDescent="0.2">
      <c r="A558" s="412"/>
      <c r="B558" s="412"/>
      <c r="C558" s="412"/>
      <c r="D558" s="412"/>
      <c r="E558" s="412"/>
      <c r="F558" s="412"/>
      <c r="G558" s="412"/>
      <c r="H558" s="412"/>
      <c r="I558" s="412"/>
      <c r="J558" s="412"/>
      <c r="K558" s="412"/>
      <c r="L558" s="412"/>
      <c r="M558" s="412"/>
      <c r="N558" s="412"/>
      <c r="O558" s="412"/>
      <c r="P558" s="412"/>
      <c r="Q558" s="412"/>
      <c r="R558" s="412"/>
      <c r="S558" s="412"/>
      <c r="T558" s="412"/>
      <c r="U558" s="412"/>
      <c r="V558" s="412"/>
      <c r="W558" s="412"/>
      <c r="X558" s="412"/>
      <c r="Y558" s="412"/>
      <c r="Z558" s="412"/>
    </row>
    <row r="559" spans="1:26" ht="12.75" x14ac:dyDescent="0.2">
      <c r="A559" s="412"/>
      <c r="B559" s="412"/>
      <c r="C559" s="412"/>
      <c r="D559" s="412"/>
      <c r="E559" s="412"/>
      <c r="F559" s="412"/>
      <c r="G559" s="412"/>
      <c r="H559" s="412"/>
      <c r="I559" s="412"/>
      <c r="J559" s="412"/>
      <c r="K559" s="412"/>
      <c r="L559" s="412"/>
      <c r="M559" s="412"/>
      <c r="N559" s="412"/>
      <c r="O559" s="412"/>
      <c r="P559" s="412"/>
      <c r="Q559" s="412"/>
      <c r="R559" s="412"/>
      <c r="S559" s="412"/>
      <c r="T559" s="412"/>
      <c r="U559" s="412"/>
      <c r="V559" s="412"/>
      <c r="W559" s="412"/>
      <c r="X559" s="412"/>
      <c r="Y559" s="412"/>
      <c r="Z559" s="412"/>
    </row>
    <row r="560" spans="1:26" ht="12.75" x14ac:dyDescent="0.2">
      <c r="A560" s="412"/>
      <c r="B560" s="412"/>
      <c r="C560" s="412"/>
      <c r="D560" s="412"/>
      <c r="E560" s="412"/>
      <c r="F560" s="412"/>
      <c r="G560" s="412"/>
      <c r="H560" s="412"/>
      <c r="I560" s="412"/>
      <c r="J560" s="412"/>
      <c r="K560" s="412"/>
      <c r="L560" s="412"/>
      <c r="M560" s="412"/>
      <c r="N560" s="412"/>
      <c r="O560" s="412"/>
      <c r="P560" s="412"/>
      <c r="Q560" s="412"/>
      <c r="R560" s="412"/>
      <c r="S560" s="412"/>
      <c r="T560" s="412"/>
      <c r="U560" s="412"/>
      <c r="V560" s="412"/>
      <c r="W560" s="412"/>
      <c r="X560" s="412"/>
      <c r="Y560" s="412"/>
      <c r="Z560" s="412"/>
    </row>
    <row r="561" spans="1:26" ht="12.75" x14ac:dyDescent="0.2">
      <c r="A561" s="412"/>
      <c r="B561" s="412"/>
      <c r="C561" s="412"/>
      <c r="D561" s="412"/>
      <c r="E561" s="412"/>
      <c r="F561" s="412"/>
      <c r="G561" s="412"/>
      <c r="H561" s="412"/>
      <c r="I561" s="412"/>
      <c r="J561" s="412"/>
      <c r="K561" s="412"/>
      <c r="L561" s="412"/>
      <c r="M561" s="412"/>
      <c r="N561" s="412"/>
      <c r="O561" s="412"/>
      <c r="P561" s="412"/>
      <c r="Q561" s="412"/>
      <c r="R561" s="412"/>
      <c r="S561" s="412"/>
      <c r="T561" s="412"/>
      <c r="U561" s="412"/>
      <c r="V561" s="412"/>
      <c r="W561" s="412"/>
      <c r="X561" s="412"/>
      <c r="Y561" s="412"/>
      <c r="Z561" s="412"/>
    </row>
    <row r="562" spans="1:26" ht="12.75" x14ac:dyDescent="0.2">
      <c r="A562" s="412"/>
      <c r="B562" s="412"/>
      <c r="C562" s="412"/>
      <c r="D562" s="412"/>
      <c r="E562" s="412"/>
      <c r="F562" s="412"/>
      <c r="G562" s="412"/>
      <c r="H562" s="412"/>
      <c r="I562" s="412"/>
      <c r="J562" s="412"/>
      <c r="K562" s="412"/>
      <c r="L562" s="412"/>
      <c r="M562" s="412"/>
      <c r="N562" s="412"/>
      <c r="O562" s="412"/>
      <c r="P562" s="412"/>
      <c r="Q562" s="412"/>
      <c r="R562" s="412"/>
      <c r="S562" s="412"/>
      <c r="T562" s="412"/>
      <c r="U562" s="412"/>
      <c r="V562" s="412"/>
      <c r="W562" s="412"/>
      <c r="X562" s="412"/>
      <c r="Y562" s="412"/>
      <c r="Z562" s="412"/>
    </row>
    <row r="563" spans="1:26" ht="12.75" x14ac:dyDescent="0.2">
      <c r="A563" s="412"/>
      <c r="B563" s="412"/>
      <c r="C563" s="412"/>
      <c r="D563" s="412"/>
      <c r="E563" s="412"/>
      <c r="F563" s="412"/>
      <c r="G563" s="412"/>
      <c r="H563" s="412"/>
      <c r="I563" s="412"/>
      <c r="J563" s="412"/>
      <c r="K563" s="412"/>
      <c r="L563" s="412"/>
      <c r="M563" s="412"/>
      <c r="N563" s="412"/>
      <c r="O563" s="412"/>
      <c r="P563" s="412"/>
      <c r="Q563" s="412"/>
      <c r="R563" s="412"/>
      <c r="S563" s="412"/>
      <c r="T563" s="412"/>
      <c r="U563" s="412"/>
      <c r="V563" s="412"/>
      <c r="W563" s="412"/>
      <c r="X563" s="412"/>
      <c r="Y563" s="412"/>
      <c r="Z563" s="412"/>
    </row>
    <row r="564" spans="1:26" ht="12.75" x14ac:dyDescent="0.2">
      <c r="A564" s="412"/>
      <c r="B564" s="412"/>
      <c r="C564" s="412"/>
      <c r="D564" s="412"/>
      <c r="E564" s="412"/>
      <c r="F564" s="412"/>
      <c r="G564" s="412"/>
      <c r="H564" s="412"/>
      <c r="I564" s="412"/>
      <c r="J564" s="412"/>
      <c r="K564" s="412"/>
      <c r="L564" s="412"/>
      <c r="M564" s="412"/>
      <c r="N564" s="412"/>
      <c r="O564" s="412"/>
      <c r="P564" s="412"/>
      <c r="Q564" s="412"/>
      <c r="R564" s="412"/>
      <c r="S564" s="412"/>
      <c r="T564" s="412"/>
      <c r="U564" s="412"/>
      <c r="V564" s="412"/>
      <c r="W564" s="412"/>
      <c r="X564" s="412"/>
      <c r="Y564" s="412"/>
      <c r="Z564" s="412"/>
    </row>
    <row r="565" spans="1:26" ht="12.75" x14ac:dyDescent="0.2">
      <c r="A565" s="412"/>
      <c r="B565" s="412"/>
      <c r="C565" s="412"/>
      <c r="D565" s="412"/>
      <c r="E565" s="412"/>
      <c r="F565" s="412"/>
      <c r="G565" s="412"/>
      <c r="H565" s="412"/>
      <c r="I565" s="412"/>
      <c r="J565" s="412"/>
      <c r="K565" s="412"/>
      <c r="L565" s="412"/>
      <c r="M565" s="412"/>
      <c r="N565" s="412"/>
      <c r="O565" s="412"/>
      <c r="P565" s="412"/>
      <c r="Q565" s="412"/>
      <c r="R565" s="412"/>
      <c r="S565" s="412"/>
      <c r="T565" s="412"/>
      <c r="U565" s="412"/>
      <c r="V565" s="412"/>
      <c r="W565" s="412"/>
      <c r="X565" s="412"/>
      <c r="Y565" s="412"/>
      <c r="Z565" s="412"/>
    </row>
    <row r="566" spans="1:26" ht="12.75" x14ac:dyDescent="0.2">
      <c r="A566" s="412"/>
      <c r="B566" s="412"/>
      <c r="C566" s="412"/>
      <c r="D566" s="412"/>
      <c r="E566" s="412"/>
      <c r="F566" s="412"/>
      <c r="G566" s="412"/>
      <c r="H566" s="412"/>
      <c r="I566" s="412"/>
      <c r="J566" s="412"/>
      <c r="K566" s="412"/>
      <c r="L566" s="412"/>
      <c r="M566" s="412"/>
      <c r="N566" s="412"/>
      <c r="O566" s="412"/>
      <c r="P566" s="412"/>
      <c r="Q566" s="412"/>
      <c r="R566" s="412"/>
      <c r="S566" s="412"/>
      <c r="T566" s="412"/>
      <c r="U566" s="412"/>
      <c r="V566" s="412"/>
      <c r="W566" s="412"/>
      <c r="X566" s="412"/>
      <c r="Y566" s="412"/>
      <c r="Z566" s="412"/>
    </row>
    <row r="567" spans="1:26" ht="12.75" x14ac:dyDescent="0.2">
      <c r="A567" s="412"/>
      <c r="B567" s="412"/>
      <c r="C567" s="412"/>
      <c r="D567" s="412"/>
      <c r="E567" s="412"/>
      <c r="F567" s="412"/>
      <c r="G567" s="412"/>
      <c r="H567" s="412"/>
      <c r="I567" s="412"/>
      <c r="J567" s="412"/>
      <c r="K567" s="412"/>
      <c r="L567" s="412"/>
      <c r="M567" s="412"/>
      <c r="N567" s="412"/>
      <c r="O567" s="412"/>
      <c r="P567" s="412"/>
      <c r="Q567" s="412"/>
      <c r="R567" s="412"/>
      <c r="S567" s="412"/>
      <c r="T567" s="412"/>
      <c r="U567" s="412"/>
      <c r="V567" s="412"/>
      <c r="W567" s="412"/>
      <c r="X567" s="412"/>
      <c r="Y567" s="412"/>
      <c r="Z567" s="412"/>
    </row>
    <row r="568" spans="1:26" ht="12.75" x14ac:dyDescent="0.2">
      <c r="A568" s="412"/>
      <c r="B568" s="412"/>
      <c r="C568" s="412"/>
      <c r="D568" s="412"/>
      <c r="E568" s="412"/>
      <c r="F568" s="412"/>
      <c r="G568" s="412"/>
      <c r="H568" s="412"/>
      <c r="I568" s="412"/>
      <c r="J568" s="412"/>
      <c r="K568" s="412"/>
      <c r="L568" s="412"/>
      <c r="M568" s="412"/>
      <c r="N568" s="412"/>
      <c r="O568" s="412"/>
      <c r="P568" s="412"/>
      <c r="Q568" s="412"/>
      <c r="R568" s="412"/>
      <c r="S568" s="412"/>
      <c r="T568" s="412"/>
      <c r="U568" s="412"/>
      <c r="V568" s="412"/>
      <c r="W568" s="412"/>
      <c r="X568" s="412"/>
      <c r="Y568" s="412"/>
      <c r="Z568" s="412"/>
    </row>
    <row r="569" spans="1:26" ht="12.75" x14ac:dyDescent="0.2">
      <c r="A569" s="412"/>
      <c r="B569" s="412"/>
      <c r="C569" s="412"/>
      <c r="D569" s="412"/>
      <c r="E569" s="412"/>
      <c r="F569" s="412"/>
      <c r="G569" s="412"/>
      <c r="H569" s="412"/>
      <c r="I569" s="412"/>
      <c r="J569" s="412"/>
      <c r="K569" s="412"/>
      <c r="L569" s="412"/>
      <c r="M569" s="412"/>
      <c r="N569" s="412"/>
      <c r="O569" s="412"/>
      <c r="P569" s="412"/>
      <c r="Q569" s="412"/>
      <c r="R569" s="412"/>
      <c r="S569" s="412"/>
      <c r="T569" s="412"/>
      <c r="U569" s="412"/>
      <c r="V569" s="412"/>
      <c r="W569" s="412"/>
      <c r="X569" s="412"/>
      <c r="Y569" s="412"/>
      <c r="Z569" s="412"/>
    </row>
    <row r="570" spans="1:26" ht="12.75" x14ac:dyDescent="0.2">
      <c r="A570" s="412"/>
      <c r="B570" s="412"/>
      <c r="C570" s="412"/>
      <c r="D570" s="412"/>
      <c r="E570" s="412"/>
      <c r="F570" s="412"/>
      <c r="G570" s="412"/>
      <c r="H570" s="412"/>
      <c r="I570" s="412"/>
      <c r="J570" s="412"/>
      <c r="K570" s="412"/>
      <c r="L570" s="412"/>
      <c r="M570" s="412"/>
      <c r="N570" s="412"/>
      <c r="O570" s="412"/>
      <c r="P570" s="412"/>
      <c r="Q570" s="412"/>
      <c r="R570" s="412"/>
      <c r="S570" s="412"/>
      <c r="T570" s="412"/>
      <c r="U570" s="412"/>
      <c r="V570" s="412"/>
      <c r="W570" s="412"/>
      <c r="X570" s="412"/>
      <c r="Y570" s="412"/>
      <c r="Z570" s="412"/>
    </row>
    <row r="571" spans="1:26" ht="12.75" x14ac:dyDescent="0.2">
      <c r="A571" s="412"/>
      <c r="B571" s="412"/>
      <c r="C571" s="412"/>
      <c r="D571" s="412"/>
      <c r="E571" s="412"/>
      <c r="F571" s="412"/>
      <c r="G571" s="412"/>
      <c r="H571" s="412"/>
      <c r="I571" s="412"/>
      <c r="J571" s="412"/>
      <c r="K571" s="412"/>
      <c r="L571" s="412"/>
      <c r="M571" s="412"/>
      <c r="N571" s="412"/>
      <c r="O571" s="412"/>
      <c r="P571" s="412"/>
      <c r="Q571" s="412"/>
      <c r="R571" s="412"/>
      <c r="S571" s="412"/>
      <c r="T571" s="412"/>
      <c r="U571" s="412"/>
      <c r="V571" s="412"/>
      <c r="W571" s="412"/>
      <c r="X571" s="412"/>
      <c r="Y571" s="412"/>
      <c r="Z571" s="412"/>
    </row>
    <row r="572" spans="1:26" ht="12.75" x14ac:dyDescent="0.2">
      <c r="A572" s="412"/>
      <c r="B572" s="412"/>
      <c r="C572" s="412"/>
      <c r="D572" s="412"/>
      <c r="E572" s="412"/>
      <c r="F572" s="412"/>
      <c r="G572" s="412"/>
      <c r="H572" s="412"/>
      <c r="I572" s="412"/>
      <c r="J572" s="412"/>
      <c r="K572" s="412"/>
      <c r="L572" s="412"/>
      <c r="M572" s="412"/>
      <c r="N572" s="412"/>
      <c r="O572" s="412"/>
      <c r="P572" s="412"/>
      <c r="Q572" s="412"/>
      <c r="R572" s="412"/>
      <c r="S572" s="412"/>
      <c r="T572" s="412"/>
      <c r="U572" s="412"/>
      <c r="V572" s="412"/>
      <c r="W572" s="412"/>
      <c r="X572" s="412"/>
      <c r="Y572" s="412"/>
      <c r="Z572" s="412"/>
    </row>
    <row r="573" spans="1:26" ht="12.75" x14ac:dyDescent="0.2">
      <c r="A573" s="412"/>
      <c r="B573" s="412"/>
      <c r="C573" s="412"/>
      <c r="D573" s="412"/>
      <c r="E573" s="412"/>
      <c r="F573" s="412"/>
      <c r="G573" s="412"/>
      <c r="H573" s="412"/>
      <c r="I573" s="412"/>
      <c r="J573" s="412"/>
      <c r="K573" s="412"/>
      <c r="L573" s="412"/>
      <c r="M573" s="412"/>
      <c r="N573" s="412"/>
      <c r="O573" s="412"/>
      <c r="P573" s="412"/>
      <c r="Q573" s="412"/>
      <c r="R573" s="412"/>
      <c r="S573" s="412"/>
      <c r="T573" s="412"/>
      <c r="U573" s="412"/>
      <c r="V573" s="412"/>
      <c r="W573" s="412"/>
      <c r="X573" s="412"/>
      <c r="Y573" s="412"/>
      <c r="Z573" s="412"/>
    </row>
    <row r="574" spans="1:26" ht="12.75" x14ac:dyDescent="0.2">
      <c r="A574" s="412"/>
      <c r="B574" s="412"/>
      <c r="C574" s="412"/>
      <c r="D574" s="412"/>
      <c r="E574" s="412"/>
      <c r="F574" s="412"/>
      <c r="G574" s="412"/>
      <c r="H574" s="412"/>
      <c r="I574" s="412"/>
      <c r="J574" s="412"/>
      <c r="K574" s="412"/>
      <c r="L574" s="412"/>
      <c r="M574" s="412"/>
      <c r="N574" s="412"/>
      <c r="O574" s="412"/>
      <c r="P574" s="412"/>
      <c r="Q574" s="412"/>
      <c r="R574" s="412"/>
      <c r="S574" s="412"/>
      <c r="T574" s="412"/>
      <c r="U574" s="412"/>
      <c r="V574" s="412"/>
      <c r="W574" s="412"/>
      <c r="X574" s="412"/>
      <c r="Y574" s="412"/>
      <c r="Z574" s="412"/>
    </row>
    <row r="575" spans="1:26" ht="12.75" x14ac:dyDescent="0.2">
      <c r="A575" s="412"/>
      <c r="B575" s="412"/>
      <c r="C575" s="412"/>
      <c r="D575" s="412"/>
      <c r="E575" s="412"/>
      <c r="F575" s="412"/>
      <c r="G575" s="412"/>
      <c r="H575" s="412"/>
      <c r="I575" s="412"/>
      <c r="J575" s="412"/>
      <c r="K575" s="412"/>
      <c r="L575" s="412"/>
      <c r="M575" s="412"/>
      <c r="N575" s="412"/>
      <c r="O575" s="412"/>
      <c r="P575" s="412"/>
      <c r="Q575" s="412"/>
      <c r="R575" s="412"/>
      <c r="S575" s="412"/>
      <c r="T575" s="412"/>
      <c r="U575" s="412"/>
      <c r="V575" s="412"/>
      <c r="W575" s="412"/>
      <c r="X575" s="412"/>
      <c r="Y575" s="412"/>
      <c r="Z575" s="412"/>
    </row>
    <row r="576" spans="1:26" ht="12.75" x14ac:dyDescent="0.2">
      <c r="A576" s="412"/>
      <c r="B576" s="412"/>
      <c r="C576" s="412"/>
      <c r="D576" s="412"/>
      <c r="E576" s="412"/>
      <c r="F576" s="412"/>
      <c r="G576" s="412"/>
      <c r="H576" s="412"/>
      <c r="I576" s="412"/>
      <c r="J576" s="412"/>
      <c r="K576" s="412"/>
      <c r="L576" s="412"/>
      <c r="M576" s="412"/>
      <c r="N576" s="412"/>
      <c r="O576" s="412"/>
      <c r="P576" s="412"/>
      <c r="Q576" s="412"/>
      <c r="R576" s="412"/>
      <c r="S576" s="412"/>
      <c r="T576" s="412"/>
      <c r="U576" s="412"/>
      <c r="V576" s="412"/>
      <c r="W576" s="412"/>
      <c r="X576" s="412"/>
      <c r="Y576" s="412"/>
      <c r="Z576" s="412"/>
    </row>
    <row r="577" spans="1:26" ht="12.75" x14ac:dyDescent="0.2">
      <c r="A577" s="412"/>
      <c r="B577" s="412"/>
      <c r="C577" s="412"/>
      <c r="D577" s="412"/>
      <c r="E577" s="412"/>
      <c r="F577" s="412"/>
      <c r="G577" s="412"/>
      <c r="H577" s="412"/>
      <c r="I577" s="412"/>
      <c r="J577" s="412"/>
      <c r="K577" s="412"/>
      <c r="L577" s="412"/>
      <c r="M577" s="412"/>
      <c r="N577" s="412"/>
      <c r="O577" s="412"/>
      <c r="P577" s="412"/>
      <c r="Q577" s="412"/>
      <c r="R577" s="412"/>
      <c r="S577" s="412"/>
      <c r="T577" s="412"/>
      <c r="U577" s="412"/>
      <c r="V577" s="412"/>
      <c r="W577" s="412"/>
      <c r="X577" s="412"/>
      <c r="Y577" s="412"/>
      <c r="Z577" s="412"/>
    </row>
    <row r="578" spans="1:26" ht="12.75" x14ac:dyDescent="0.2">
      <c r="A578" s="412"/>
      <c r="B578" s="412"/>
      <c r="C578" s="412"/>
      <c r="D578" s="412"/>
      <c r="E578" s="412"/>
      <c r="F578" s="412"/>
      <c r="G578" s="412"/>
      <c r="H578" s="412"/>
      <c r="I578" s="412"/>
      <c r="J578" s="412"/>
      <c r="K578" s="412"/>
      <c r="L578" s="412"/>
      <c r="M578" s="412"/>
      <c r="N578" s="412"/>
      <c r="O578" s="412"/>
      <c r="P578" s="412"/>
      <c r="Q578" s="412"/>
      <c r="R578" s="412"/>
      <c r="S578" s="412"/>
      <c r="T578" s="412"/>
      <c r="U578" s="412"/>
      <c r="V578" s="412"/>
      <c r="W578" s="412"/>
      <c r="X578" s="412"/>
      <c r="Y578" s="412"/>
      <c r="Z578" s="412"/>
    </row>
    <row r="579" spans="1:26" ht="12.75" x14ac:dyDescent="0.2">
      <c r="A579" s="412"/>
      <c r="B579" s="412"/>
      <c r="C579" s="412"/>
      <c r="D579" s="412"/>
      <c r="E579" s="412"/>
      <c r="F579" s="412"/>
      <c r="G579" s="412"/>
      <c r="H579" s="412"/>
      <c r="I579" s="412"/>
      <c r="J579" s="412"/>
      <c r="K579" s="412"/>
      <c r="L579" s="412"/>
      <c r="M579" s="412"/>
      <c r="N579" s="412"/>
      <c r="O579" s="412"/>
      <c r="P579" s="412"/>
      <c r="Q579" s="412"/>
      <c r="R579" s="412"/>
      <c r="S579" s="412"/>
      <c r="T579" s="412"/>
      <c r="U579" s="412"/>
      <c r="V579" s="412"/>
      <c r="W579" s="412"/>
      <c r="X579" s="412"/>
      <c r="Y579" s="412"/>
      <c r="Z579" s="412"/>
    </row>
    <row r="580" spans="1:26" ht="12.75" x14ac:dyDescent="0.2">
      <c r="A580" s="412"/>
      <c r="B580" s="412"/>
      <c r="C580" s="412"/>
      <c r="D580" s="412"/>
      <c r="E580" s="412"/>
      <c r="F580" s="412"/>
      <c r="G580" s="412"/>
      <c r="H580" s="412"/>
      <c r="I580" s="412"/>
      <c r="J580" s="412"/>
      <c r="K580" s="412"/>
      <c r="L580" s="412"/>
      <c r="M580" s="412"/>
      <c r="N580" s="412"/>
      <c r="O580" s="412"/>
      <c r="P580" s="412"/>
      <c r="Q580" s="412"/>
      <c r="R580" s="412"/>
      <c r="S580" s="412"/>
      <c r="T580" s="412"/>
      <c r="U580" s="412"/>
      <c r="V580" s="412"/>
      <c r="W580" s="412"/>
      <c r="X580" s="412"/>
      <c r="Y580" s="412"/>
      <c r="Z580" s="412"/>
    </row>
    <row r="581" spans="1:26" ht="12.75" x14ac:dyDescent="0.2">
      <c r="A581" s="412"/>
      <c r="B581" s="412"/>
      <c r="C581" s="412"/>
      <c r="D581" s="412"/>
      <c r="E581" s="412"/>
      <c r="F581" s="412"/>
      <c r="G581" s="412"/>
      <c r="H581" s="412"/>
      <c r="I581" s="412"/>
      <c r="J581" s="412"/>
      <c r="K581" s="412"/>
      <c r="L581" s="412"/>
      <c r="M581" s="412"/>
      <c r="N581" s="412"/>
      <c r="O581" s="412"/>
      <c r="P581" s="412"/>
      <c r="Q581" s="412"/>
      <c r="R581" s="412"/>
      <c r="S581" s="412"/>
      <c r="T581" s="412"/>
      <c r="U581" s="412"/>
      <c r="V581" s="412"/>
      <c r="W581" s="412"/>
      <c r="X581" s="412"/>
      <c r="Y581" s="412"/>
      <c r="Z581" s="412"/>
    </row>
    <row r="582" spans="1:26" ht="12.75" x14ac:dyDescent="0.2">
      <c r="A582" s="412"/>
      <c r="B582" s="412"/>
      <c r="C582" s="412"/>
      <c r="D582" s="412"/>
      <c r="E582" s="412"/>
      <c r="F582" s="412"/>
      <c r="G582" s="412"/>
      <c r="H582" s="412"/>
      <c r="I582" s="412"/>
      <c r="J582" s="412"/>
      <c r="K582" s="412"/>
      <c r="L582" s="412"/>
      <c r="M582" s="412"/>
      <c r="N582" s="412"/>
      <c r="O582" s="412"/>
      <c r="P582" s="412"/>
      <c r="Q582" s="412"/>
      <c r="R582" s="412"/>
      <c r="S582" s="412"/>
      <c r="T582" s="412"/>
      <c r="U582" s="412"/>
      <c r="V582" s="412"/>
      <c r="W582" s="412"/>
      <c r="X582" s="412"/>
      <c r="Y582" s="412"/>
      <c r="Z582" s="412"/>
    </row>
    <row r="583" spans="1:26" ht="12.75" x14ac:dyDescent="0.2">
      <c r="A583" s="412"/>
      <c r="B583" s="412"/>
      <c r="C583" s="412"/>
      <c r="D583" s="412"/>
      <c r="E583" s="412"/>
      <c r="F583" s="412"/>
      <c r="G583" s="412"/>
      <c r="H583" s="412"/>
      <c r="I583" s="412"/>
      <c r="J583" s="412"/>
      <c r="K583" s="412"/>
      <c r="L583" s="412"/>
      <c r="M583" s="412"/>
      <c r="N583" s="412"/>
      <c r="O583" s="412"/>
      <c r="P583" s="412"/>
      <c r="Q583" s="412"/>
      <c r="R583" s="412"/>
      <c r="S583" s="412"/>
      <c r="T583" s="412"/>
      <c r="U583" s="412"/>
      <c r="V583" s="412"/>
      <c r="W583" s="412"/>
      <c r="X583" s="412"/>
      <c r="Y583" s="412"/>
      <c r="Z583" s="412"/>
    </row>
    <row r="584" spans="1:26" ht="12.75" x14ac:dyDescent="0.2">
      <c r="A584" s="412"/>
      <c r="B584" s="412"/>
      <c r="C584" s="412"/>
      <c r="D584" s="412"/>
      <c r="E584" s="412"/>
      <c r="F584" s="412"/>
      <c r="G584" s="412"/>
      <c r="H584" s="412"/>
      <c r="I584" s="412"/>
      <c r="J584" s="412"/>
      <c r="K584" s="412"/>
      <c r="L584" s="412"/>
      <c r="M584" s="412"/>
      <c r="N584" s="412"/>
      <c r="O584" s="412"/>
      <c r="P584" s="412"/>
      <c r="Q584" s="412"/>
      <c r="R584" s="412"/>
      <c r="S584" s="412"/>
      <c r="T584" s="412"/>
      <c r="U584" s="412"/>
      <c r="V584" s="412"/>
      <c r="W584" s="412"/>
      <c r="X584" s="412"/>
      <c r="Y584" s="412"/>
      <c r="Z584" s="412"/>
    </row>
    <row r="585" spans="1:26" ht="12.75" x14ac:dyDescent="0.2">
      <c r="A585" s="412"/>
      <c r="B585" s="412"/>
      <c r="C585" s="412"/>
      <c r="D585" s="412"/>
      <c r="E585" s="412"/>
      <c r="F585" s="412"/>
      <c r="G585" s="412"/>
      <c r="H585" s="412"/>
      <c r="I585" s="412"/>
      <c r="J585" s="412"/>
      <c r="K585" s="412"/>
      <c r="L585" s="412"/>
      <c r="M585" s="412"/>
      <c r="N585" s="412"/>
      <c r="O585" s="412"/>
      <c r="P585" s="412"/>
      <c r="Q585" s="412"/>
      <c r="R585" s="412"/>
      <c r="S585" s="412"/>
      <c r="T585" s="412"/>
      <c r="U585" s="412"/>
      <c r="V585" s="412"/>
      <c r="W585" s="412"/>
      <c r="X585" s="412"/>
      <c r="Y585" s="412"/>
      <c r="Z585" s="412"/>
    </row>
    <row r="586" spans="1:26" ht="12.75" x14ac:dyDescent="0.2">
      <c r="A586" s="412"/>
      <c r="B586" s="412"/>
      <c r="C586" s="412"/>
      <c r="D586" s="412"/>
      <c r="E586" s="412"/>
      <c r="F586" s="412"/>
      <c r="G586" s="412"/>
      <c r="H586" s="412"/>
      <c r="I586" s="412"/>
      <c r="J586" s="412"/>
      <c r="K586" s="412"/>
      <c r="L586" s="412"/>
      <c r="M586" s="412"/>
      <c r="N586" s="412"/>
      <c r="O586" s="412"/>
      <c r="P586" s="412"/>
      <c r="Q586" s="412"/>
      <c r="R586" s="412"/>
      <c r="S586" s="412"/>
      <c r="T586" s="412"/>
      <c r="U586" s="412"/>
      <c r="V586" s="412"/>
      <c r="W586" s="412"/>
      <c r="X586" s="412"/>
      <c r="Y586" s="412"/>
      <c r="Z586" s="412"/>
    </row>
    <row r="587" spans="1:26" ht="12.75" x14ac:dyDescent="0.2">
      <c r="A587" s="412"/>
      <c r="B587" s="412"/>
      <c r="C587" s="412"/>
      <c r="D587" s="412"/>
      <c r="E587" s="412"/>
      <c r="F587" s="412"/>
      <c r="G587" s="412"/>
      <c r="H587" s="412"/>
      <c r="I587" s="412"/>
      <c r="J587" s="412"/>
      <c r="K587" s="412"/>
      <c r="L587" s="412"/>
      <c r="M587" s="412"/>
      <c r="N587" s="412"/>
      <c r="O587" s="412"/>
      <c r="P587" s="412"/>
      <c r="Q587" s="412"/>
      <c r="R587" s="412"/>
      <c r="S587" s="412"/>
      <c r="T587" s="412"/>
      <c r="U587" s="412"/>
      <c r="V587" s="412"/>
      <c r="W587" s="412"/>
      <c r="X587" s="412"/>
      <c r="Y587" s="412"/>
      <c r="Z587" s="412"/>
    </row>
    <row r="588" spans="1:26" ht="12.75" x14ac:dyDescent="0.2">
      <c r="A588" s="412"/>
      <c r="B588" s="412"/>
      <c r="C588" s="412"/>
      <c r="D588" s="412"/>
      <c r="E588" s="412"/>
      <c r="F588" s="412"/>
      <c r="G588" s="412"/>
      <c r="H588" s="412"/>
      <c r="I588" s="412"/>
      <c r="J588" s="412"/>
      <c r="K588" s="412"/>
      <c r="L588" s="412"/>
      <c r="M588" s="412"/>
      <c r="N588" s="412"/>
      <c r="O588" s="412"/>
      <c r="P588" s="412"/>
      <c r="Q588" s="412"/>
      <c r="R588" s="412"/>
      <c r="S588" s="412"/>
      <c r="T588" s="412"/>
      <c r="U588" s="412"/>
      <c r="V588" s="412"/>
      <c r="W588" s="412"/>
      <c r="X588" s="412"/>
      <c r="Y588" s="412"/>
      <c r="Z588" s="412"/>
    </row>
    <row r="589" spans="1:26" ht="12.75" x14ac:dyDescent="0.2">
      <c r="A589" s="412"/>
      <c r="B589" s="412"/>
      <c r="C589" s="412"/>
      <c r="D589" s="412"/>
      <c r="E589" s="412"/>
      <c r="F589" s="412"/>
      <c r="G589" s="412"/>
      <c r="H589" s="412"/>
      <c r="I589" s="412"/>
      <c r="J589" s="412"/>
      <c r="K589" s="412"/>
      <c r="L589" s="412"/>
      <c r="M589" s="412"/>
      <c r="N589" s="412"/>
      <c r="O589" s="412"/>
      <c r="P589" s="412"/>
      <c r="Q589" s="412"/>
      <c r="R589" s="412"/>
      <c r="S589" s="412"/>
      <c r="T589" s="412"/>
      <c r="U589" s="412"/>
      <c r="V589" s="412"/>
      <c r="W589" s="412"/>
      <c r="X589" s="412"/>
      <c r="Y589" s="412"/>
      <c r="Z589" s="412"/>
    </row>
    <row r="590" spans="1:26" ht="12.75" x14ac:dyDescent="0.2">
      <c r="A590" s="412"/>
      <c r="B590" s="412"/>
      <c r="C590" s="412"/>
      <c r="D590" s="412"/>
      <c r="E590" s="412"/>
      <c r="F590" s="412"/>
      <c r="G590" s="412"/>
      <c r="H590" s="412"/>
      <c r="I590" s="412"/>
      <c r="J590" s="412"/>
      <c r="K590" s="412"/>
      <c r="L590" s="412"/>
      <c r="M590" s="412"/>
      <c r="N590" s="412"/>
      <c r="O590" s="412"/>
      <c r="P590" s="412"/>
      <c r="Q590" s="412"/>
      <c r="R590" s="412"/>
      <c r="S590" s="412"/>
      <c r="T590" s="412"/>
      <c r="U590" s="412"/>
      <c r="V590" s="412"/>
      <c r="W590" s="412"/>
      <c r="X590" s="412"/>
      <c r="Y590" s="412"/>
      <c r="Z590" s="412"/>
    </row>
    <row r="591" spans="1:26" ht="12.75" x14ac:dyDescent="0.2">
      <c r="A591" s="412"/>
      <c r="B591" s="412"/>
      <c r="C591" s="412"/>
      <c r="D591" s="412"/>
      <c r="E591" s="412"/>
      <c r="F591" s="412"/>
      <c r="G591" s="412"/>
      <c r="H591" s="412"/>
      <c r="I591" s="412"/>
      <c r="J591" s="412"/>
      <c r="K591" s="412"/>
      <c r="L591" s="412"/>
      <c r="M591" s="412"/>
      <c r="N591" s="412"/>
      <c r="O591" s="412"/>
      <c r="P591" s="412"/>
      <c r="Q591" s="412"/>
      <c r="R591" s="412"/>
      <c r="S591" s="412"/>
      <c r="T591" s="412"/>
      <c r="U591" s="412"/>
      <c r="V591" s="412"/>
      <c r="W591" s="412"/>
      <c r="X591" s="412"/>
      <c r="Y591" s="412"/>
      <c r="Z591" s="412"/>
    </row>
    <row r="592" spans="1:26" ht="12.75" x14ac:dyDescent="0.2">
      <c r="A592" s="412"/>
      <c r="B592" s="412"/>
      <c r="C592" s="412"/>
      <c r="D592" s="412"/>
      <c r="E592" s="412"/>
      <c r="F592" s="412"/>
      <c r="G592" s="412"/>
      <c r="H592" s="412"/>
      <c r="I592" s="412"/>
      <c r="J592" s="412"/>
      <c r="K592" s="412"/>
      <c r="L592" s="412"/>
      <c r="M592" s="412"/>
      <c r="N592" s="412"/>
      <c r="O592" s="412"/>
      <c r="P592" s="412"/>
      <c r="Q592" s="412"/>
      <c r="R592" s="412"/>
      <c r="S592" s="412"/>
      <c r="T592" s="412"/>
      <c r="U592" s="412"/>
      <c r="V592" s="412"/>
      <c r="W592" s="412"/>
      <c r="X592" s="412"/>
      <c r="Y592" s="412"/>
      <c r="Z592" s="412"/>
    </row>
    <row r="593" spans="1:26" ht="12.75" x14ac:dyDescent="0.2">
      <c r="A593" s="412"/>
      <c r="B593" s="412"/>
      <c r="C593" s="412"/>
      <c r="D593" s="412"/>
      <c r="E593" s="412"/>
      <c r="F593" s="412"/>
      <c r="G593" s="412"/>
      <c r="H593" s="412"/>
      <c r="I593" s="412"/>
      <c r="J593" s="412"/>
      <c r="K593" s="412"/>
      <c r="L593" s="412"/>
      <c r="M593" s="412"/>
      <c r="N593" s="412"/>
      <c r="O593" s="412"/>
      <c r="P593" s="412"/>
      <c r="Q593" s="412"/>
      <c r="R593" s="412"/>
      <c r="S593" s="412"/>
      <c r="T593" s="412"/>
      <c r="U593" s="412"/>
      <c r="V593" s="412"/>
      <c r="W593" s="412"/>
      <c r="X593" s="412"/>
      <c r="Y593" s="412"/>
      <c r="Z593" s="412"/>
    </row>
    <row r="594" spans="1:26" ht="12.75" x14ac:dyDescent="0.2">
      <c r="A594" s="412"/>
      <c r="B594" s="412"/>
      <c r="C594" s="412"/>
      <c r="D594" s="412"/>
      <c r="E594" s="412"/>
      <c r="F594" s="412"/>
      <c r="G594" s="412"/>
      <c r="H594" s="412"/>
      <c r="I594" s="412"/>
      <c r="J594" s="412"/>
      <c r="K594" s="412"/>
      <c r="L594" s="412"/>
      <c r="M594" s="412"/>
      <c r="N594" s="412"/>
      <c r="O594" s="412"/>
      <c r="P594" s="412"/>
      <c r="Q594" s="412"/>
      <c r="R594" s="412"/>
      <c r="S594" s="412"/>
      <c r="T594" s="412"/>
      <c r="U594" s="412"/>
      <c r="V594" s="412"/>
      <c r="W594" s="412"/>
      <c r="X594" s="412"/>
      <c r="Y594" s="412"/>
      <c r="Z594" s="412"/>
    </row>
    <row r="595" spans="1:26" ht="12.75" x14ac:dyDescent="0.2">
      <c r="A595" s="412"/>
      <c r="B595" s="412"/>
      <c r="C595" s="412"/>
      <c r="D595" s="412"/>
      <c r="E595" s="412"/>
      <c r="F595" s="412"/>
      <c r="G595" s="412"/>
      <c r="H595" s="412"/>
      <c r="I595" s="412"/>
      <c r="J595" s="412"/>
      <c r="K595" s="412"/>
      <c r="L595" s="412"/>
      <c r="M595" s="412"/>
      <c r="N595" s="412"/>
      <c r="O595" s="412"/>
      <c r="P595" s="412"/>
      <c r="Q595" s="412"/>
      <c r="R595" s="412"/>
      <c r="S595" s="412"/>
      <c r="T595" s="412"/>
      <c r="U595" s="412"/>
      <c r="V595" s="412"/>
      <c r="W595" s="412"/>
      <c r="X595" s="412"/>
      <c r="Y595" s="412"/>
      <c r="Z595" s="412"/>
    </row>
    <row r="596" spans="1:26" ht="12.75" x14ac:dyDescent="0.2">
      <c r="A596" s="412"/>
      <c r="B596" s="412"/>
      <c r="C596" s="412"/>
      <c r="D596" s="412"/>
      <c r="E596" s="412"/>
      <c r="F596" s="412"/>
      <c r="G596" s="412"/>
      <c r="H596" s="412"/>
      <c r="I596" s="412"/>
      <c r="J596" s="412"/>
      <c r="K596" s="412"/>
      <c r="L596" s="412"/>
      <c r="M596" s="412"/>
      <c r="N596" s="412"/>
      <c r="O596" s="412"/>
      <c r="P596" s="412"/>
      <c r="Q596" s="412"/>
      <c r="R596" s="412"/>
      <c r="S596" s="412"/>
      <c r="T596" s="412"/>
      <c r="U596" s="412"/>
      <c r="V596" s="412"/>
      <c r="W596" s="412"/>
      <c r="X596" s="412"/>
      <c r="Y596" s="412"/>
      <c r="Z596" s="412"/>
    </row>
    <row r="597" spans="1:26" ht="12.75" x14ac:dyDescent="0.2">
      <c r="A597" s="412"/>
      <c r="B597" s="412"/>
      <c r="C597" s="412"/>
      <c r="D597" s="412"/>
      <c r="E597" s="412"/>
      <c r="F597" s="412"/>
      <c r="G597" s="412"/>
      <c r="H597" s="412"/>
      <c r="I597" s="412"/>
      <c r="J597" s="412"/>
      <c r="K597" s="412"/>
      <c r="L597" s="412"/>
      <c r="M597" s="412"/>
      <c r="N597" s="412"/>
      <c r="O597" s="412"/>
      <c r="P597" s="412"/>
      <c r="Q597" s="412"/>
      <c r="R597" s="412"/>
      <c r="S597" s="412"/>
      <c r="T597" s="412"/>
      <c r="U597" s="412"/>
      <c r="V597" s="412"/>
      <c r="W597" s="412"/>
      <c r="X597" s="412"/>
      <c r="Y597" s="412"/>
      <c r="Z597" s="412"/>
    </row>
    <row r="598" spans="1:26" ht="12.75" x14ac:dyDescent="0.2">
      <c r="A598" s="412"/>
      <c r="B598" s="412"/>
      <c r="C598" s="412"/>
      <c r="D598" s="412"/>
      <c r="E598" s="412"/>
      <c r="F598" s="412"/>
      <c r="G598" s="412"/>
      <c r="H598" s="412"/>
      <c r="I598" s="412"/>
      <c r="J598" s="412"/>
      <c r="K598" s="412"/>
      <c r="L598" s="412"/>
      <c r="M598" s="412"/>
      <c r="N598" s="412"/>
      <c r="O598" s="412"/>
      <c r="P598" s="412"/>
      <c r="Q598" s="412"/>
      <c r="R598" s="412"/>
      <c r="S598" s="412"/>
      <c r="T598" s="412"/>
      <c r="U598" s="412"/>
      <c r="V598" s="412"/>
      <c r="W598" s="412"/>
      <c r="X598" s="412"/>
      <c r="Y598" s="412"/>
      <c r="Z598" s="412"/>
    </row>
    <row r="599" spans="1:26" ht="12.75" x14ac:dyDescent="0.2">
      <c r="A599" s="412"/>
      <c r="B599" s="412"/>
      <c r="C599" s="412"/>
      <c r="D599" s="412"/>
      <c r="E599" s="412"/>
      <c r="F599" s="412"/>
      <c r="G599" s="412"/>
      <c r="H599" s="412"/>
      <c r="I599" s="412"/>
      <c r="J599" s="412"/>
      <c r="K599" s="412"/>
      <c r="L599" s="412"/>
      <c r="M599" s="412"/>
      <c r="N599" s="412"/>
      <c r="O599" s="412"/>
      <c r="P599" s="412"/>
      <c r="Q599" s="412"/>
      <c r="R599" s="412"/>
      <c r="S599" s="412"/>
      <c r="T599" s="412"/>
      <c r="U599" s="412"/>
      <c r="V599" s="412"/>
      <c r="W599" s="412"/>
      <c r="X599" s="412"/>
      <c r="Y599" s="412"/>
      <c r="Z599" s="412"/>
    </row>
    <row r="600" spans="1:26" ht="12.75" x14ac:dyDescent="0.2">
      <c r="A600" s="412"/>
      <c r="B600" s="412"/>
      <c r="C600" s="412"/>
      <c r="D600" s="412"/>
      <c r="E600" s="412"/>
      <c r="F600" s="412"/>
      <c r="G600" s="412"/>
      <c r="H600" s="412"/>
      <c r="I600" s="412"/>
      <c r="J600" s="412"/>
      <c r="K600" s="412"/>
      <c r="L600" s="412"/>
      <c r="M600" s="412"/>
      <c r="N600" s="412"/>
      <c r="O600" s="412"/>
      <c r="P600" s="412"/>
      <c r="Q600" s="412"/>
      <c r="R600" s="412"/>
      <c r="S600" s="412"/>
      <c r="T600" s="412"/>
      <c r="U600" s="412"/>
      <c r="V600" s="412"/>
      <c r="W600" s="412"/>
      <c r="X600" s="412"/>
      <c r="Y600" s="412"/>
      <c r="Z600" s="412"/>
    </row>
    <row r="601" spans="1:26" ht="12.75" x14ac:dyDescent="0.2">
      <c r="A601" s="412"/>
      <c r="B601" s="412"/>
      <c r="C601" s="412"/>
      <c r="D601" s="412"/>
      <c r="E601" s="412"/>
      <c r="F601" s="412"/>
      <c r="G601" s="412"/>
      <c r="H601" s="412"/>
      <c r="I601" s="412"/>
      <c r="J601" s="412"/>
      <c r="K601" s="412"/>
      <c r="L601" s="412"/>
      <c r="M601" s="412"/>
      <c r="N601" s="412"/>
      <c r="O601" s="412"/>
      <c r="P601" s="412"/>
      <c r="Q601" s="412"/>
      <c r="R601" s="412"/>
      <c r="S601" s="412"/>
      <c r="T601" s="412"/>
      <c r="U601" s="412"/>
      <c r="V601" s="412"/>
      <c r="W601" s="412"/>
      <c r="X601" s="412"/>
      <c r="Y601" s="412"/>
      <c r="Z601" s="412"/>
    </row>
    <row r="602" spans="1:26" ht="12.75" x14ac:dyDescent="0.2">
      <c r="A602" s="412"/>
      <c r="B602" s="412"/>
      <c r="C602" s="412"/>
      <c r="D602" s="412"/>
      <c r="E602" s="412"/>
      <c r="F602" s="412"/>
      <c r="G602" s="412"/>
      <c r="H602" s="412"/>
      <c r="I602" s="412"/>
      <c r="J602" s="412"/>
      <c r="K602" s="412"/>
      <c r="L602" s="412"/>
      <c r="M602" s="412"/>
      <c r="N602" s="412"/>
      <c r="O602" s="412"/>
      <c r="P602" s="412"/>
      <c r="Q602" s="412"/>
      <c r="R602" s="412"/>
      <c r="S602" s="412"/>
      <c r="T602" s="412"/>
      <c r="U602" s="412"/>
      <c r="V602" s="412"/>
      <c r="W602" s="412"/>
      <c r="X602" s="412"/>
      <c r="Y602" s="412"/>
      <c r="Z602" s="412"/>
    </row>
    <row r="603" spans="1:26" ht="12.75" x14ac:dyDescent="0.2">
      <c r="A603" s="412"/>
      <c r="B603" s="412"/>
      <c r="C603" s="412"/>
      <c r="D603" s="412"/>
      <c r="E603" s="412"/>
      <c r="F603" s="412"/>
      <c r="G603" s="412"/>
      <c r="H603" s="412"/>
      <c r="I603" s="412"/>
      <c r="J603" s="412"/>
      <c r="K603" s="412"/>
      <c r="L603" s="412"/>
      <c r="M603" s="412"/>
      <c r="N603" s="412"/>
      <c r="O603" s="412"/>
      <c r="P603" s="412"/>
      <c r="Q603" s="412"/>
      <c r="R603" s="412"/>
      <c r="S603" s="412"/>
      <c r="T603" s="412"/>
      <c r="U603" s="412"/>
      <c r="V603" s="412"/>
      <c r="W603" s="412"/>
      <c r="X603" s="412"/>
      <c r="Y603" s="412"/>
      <c r="Z603" s="412"/>
    </row>
    <row r="604" spans="1:26" ht="12.75" x14ac:dyDescent="0.2">
      <c r="A604" s="412"/>
      <c r="B604" s="412"/>
      <c r="C604" s="412"/>
      <c r="D604" s="412"/>
      <c r="E604" s="412"/>
      <c r="F604" s="412"/>
      <c r="G604" s="412"/>
      <c r="H604" s="412"/>
      <c r="I604" s="412"/>
      <c r="J604" s="412"/>
      <c r="K604" s="412"/>
      <c r="L604" s="412"/>
      <c r="M604" s="412"/>
      <c r="N604" s="412"/>
      <c r="O604" s="412"/>
      <c r="P604" s="412"/>
      <c r="Q604" s="412"/>
      <c r="R604" s="412"/>
      <c r="S604" s="412"/>
      <c r="T604" s="412"/>
      <c r="U604" s="412"/>
      <c r="V604" s="412"/>
      <c r="W604" s="412"/>
      <c r="X604" s="412"/>
      <c r="Y604" s="412"/>
      <c r="Z604" s="412"/>
    </row>
    <row r="605" spans="1:26" ht="12.75" x14ac:dyDescent="0.2">
      <c r="A605" s="412"/>
      <c r="B605" s="412"/>
      <c r="C605" s="412"/>
      <c r="D605" s="412"/>
      <c r="E605" s="412"/>
      <c r="F605" s="412"/>
      <c r="G605" s="412"/>
      <c r="H605" s="412"/>
      <c r="I605" s="412"/>
      <c r="J605" s="412"/>
      <c r="K605" s="412"/>
      <c r="L605" s="412"/>
      <c r="M605" s="412"/>
      <c r="N605" s="412"/>
      <c r="O605" s="412"/>
      <c r="P605" s="412"/>
      <c r="Q605" s="412"/>
      <c r="R605" s="412"/>
      <c r="S605" s="412"/>
      <c r="T605" s="412"/>
      <c r="U605" s="412"/>
      <c r="V605" s="412"/>
      <c r="W605" s="412"/>
      <c r="X605" s="412"/>
      <c r="Y605" s="412"/>
      <c r="Z605" s="412"/>
    </row>
    <row r="606" spans="1:26" ht="12.75" x14ac:dyDescent="0.2">
      <c r="A606" s="412"/>
      <c r="B606" s="412"/>
      <c r="C606" s="412"/>
      <c r="D606" s="412"/>
      <c r="E606" s="412"/>
      <c r="F606" s="412"/>
      <c r="G606" s="412"/>
      <c r="H606" s="412"/>
      <c r="I606" s="412"/>
      <c r="J606" s="412"/>
      <c r="K606" s="412"/>
      <c r="L606" s="412"/>
      <c r="M606" s="412"/>
      <c r="N606" s="412"/>
      <c r="O606" s="412"/>
      <c r="P606" s="412"/>
      <c r="Q606" s="412"/>
      <c r="R606" s="412"/>
      <c r="S606" s="412"/>
      <c r="T606" s="412"/>
      <c r="U606" s="412"/>
      <c r="V606" s="412"/>
      <c r="W606" s="412"/>
      <c r="X606" s="412"/>
      <c r="Y606" s="412"/>
      <c r="Z606" s="412"/>
    </row>
    <row r="607" spans="1:26" ht="12.75" x14ac:dyDescent="0.2">
      <c r="A607" s="412"/>
      <c r="B607" s="412"/>
      <c r="C607" s="412"/>
      <c r="D607" s="412"/>
      <c r="E607" s="412"/>
      <c r="F607" s="412"/>
      <c r="G607" s="412"/>
      <c r="H607" s="412"/>
      <c r="I607" s="412"/>
      <c r="J607" s="412"/>
      <c r="K607" s="412"/>
      <c r="L607" s="412"/>
      <c r="M607" s="412"/>
      <c r="N607" s="412"/>
      <c r="O607" s="412"/>
      <c r="P607" s="412"/>
      <c r="Q607" s="412"/>
      <c r="R607" s="412"/>
      <c r="S607" s="412"/>
      <c r="T607" s="412"/>
      <c r="U607" s="412"/>
      <c r="V607" s="412"/>
      <c r="W607" s="412"/>
      <c r="X607" s="412"/>
      <c r="Y607" s="412"/>
      <c r="Z607" s="412"/>
    </row>
    <row r="608" spans="1:26" ht="12.75" x14ac:dyDescent="0.2">
      <c r="A608" s="412"/>
      <c r="B608" s="412"/>
      <c r="C608" s="412"/>
      <c r="D608" s="412"/>
      <c r="E608" s="412"/>
      <c r="F608" s="412"/>
      <c r="G608" s="412"/>
      <c r="H608" s="412"/>
      <c r="I608" s="412"/>
      <c r="J608" s="412"/>
      <c r="K608" s="412"/>
      <c r="L608" s="412"/>
      <c r="M608" s="412"/>
      <c r="N608" s="412"/>
      <c r="O608" s="412"/>
      <c r="P608" s="412"/>
      <c r="Q608" s="412"/>
      <c r="R608" s="412"/>
      <c r="S608" s="412"/>
      <c r="T608" s="412"/>
      <c r="U608" s="412"/>
      <c r="V608" s="412"/>
      <c r="W608" s="412"/>
      <c r="X608" s="412"/>
      <c r="Y608" s="412"/>
      <c r="Z608" s="412"/>
    </row>
    <row r="609" spans="1:26" ht="12.75" x14ac:dyDescent="0.2">
      <c r="A609" s="412"/>
      <c r="B609" s="412"/>
      <c r="C609" s="412"/>
      <c r="D609" s="412"/>
      <c r="E609" s="412"/>
      <c r="F609" s="412"/>
      <c r="G609" s="412"/>
      <c r="H609" s="412"/>
      <c r="I609" s="412"/>
      <c r="J609" s="412"/>
      <c r="K609" s="412"/>
      <c r="L609" s="412"/>
      <c r="M609" s="412"/>
      <c r="N609" s="412"/>
      <c r="O609" s="412"/>
      <c r="P609" s="412"/>
      <c r="Q609" s="412"/>
      <c r="R609" s="412"/>
      <c r="S609" s="412"/>
      <c r="T609" s="412"/>
      <c r="U609" s="412"/>
      <c r="V609" s="412"/>
      <c r="W609" s="412"/>
      <c r="X609" s="412"/>
      <c r="Y609" s="412"/>
      <c r="Z609" s="412"/>
    </row>
    <row r="610" spans="1:26" ht="12.75" x14ac:dyDescent="0.2">
      <c r="A610" s="412"/>
      <c r="B610" s="412"/>
      <c r="C610" s="412"/>
      <c r="D610" s="412"/>
      <c r="E610" s="412"/>
      <c r="F610" s="412"/>
      <c r="G610" s="412"/>
      <c r="H610" s="412"/>
      <c r="I610" s="412"/>
      <c r="J610" s="412"/>
      <c r="K610" s="412"/>
      <c r="L610" s="412"/>
      <c r="M610" s="412"/>
      <c r="N610" s="412"/>
      <c r="O610" s="412"/>
      <c r="P610" s="412"/>
      <c r="Q610" s="412"/>
      <c r="R610" s="412"/>
      <c r="S610" s="412"/>
      <c r="T610" s="412"/>
      <c r="U610" s="412"/>
      <c r="V610" s="412"/>
      <c r="W610" s="412"/>
      <c r="X610" s="412"/>
      <c r="Y610" s="412"/>
      <c r="Z610" s="412"/>
    </row>
    <row r="611" spans="1:26" ht="12.75" x14ac:dyDescent="0.2">
      <c r="A611" s="412"/>
      <c r="B611" s="412"/>
      <c r="C611" s="412"/>
      <c r="D611" s="412"/>
      <c r="E611" s="412"/>
      <c r="F611" s="412"/>
      <c r="G611" s="412"/>
      <c r="H611" s="412"/>
      <c r="I611" s="412"/>
      <c r="J611" s="412"/>
      <c r="K611" s="412"/>
      <c r="L611" s="412"/>
      <c r="M611" s="412"/>
      <c r="N611" s="412"/>
      <c r="O611" s="412"/>
      <c r="P611" s="412"/>
      <c r="Q611" s="412"/>
      <c r="R611" s="412"/>
      <c r="S611" s="412"/>
      <c r="T611" s="412"/>
      <c r="U611" s="412"/>
      <c r="V611" s="412"/>
      <c r="W611" s="412"/>
      <c r="X611" s="412"/>
      <c r="Y611" s="412"/>
      <c r="Z611" s="412"/>
    </row>
    <row r="612" spans="1:26" ht="12.75" x14ac:dyDescent="0.2">
      <c r="A612" s="412"/>
      <c r="B612" s="412"/>
      <c r="C612" s="412"/>
      <c r="D612" s="412"/>
      <c r="E612" s="412"/>
      <c r="F612" s="412"/>
      <c r="G612" s="412"/>
      <c r="H612" s="412"/>
      <c r="I612" s="412"/>
      <c r="J612" s="412"/>
      <c r="K612" s="412"/>
      <c r="L612" s="412"/>
      <c r="M612" s="412"/>
      <c r="N612" s="412"/>
      <c r="O612" s="412"/>
      <c r="P612" s="412"/>
      <c r="Q612" s="412"/>
      <c r="R612" s="412"/>
      <c r="S612" s="412"/>
      <c r="T612" s="412"/>
      <c r="U612" s="412"/>
      <c r="V612" s="412"/>
      <c r="W612" s="412"/>
      <c r="X612" s="412"/>
      <c r="Y612" s="412"/>
      <c r="Z612" s="412"/>
    </row>
    <row r="613" spans="1:26" ht="12.75" x14ac:dyDescent="0.2">
      <c r="A613" s="412"/>
      <c r="B613" s="412"/>
      <c r="C613" s="412"/>
      <c r="D613" s="412"/>
      <c r="E613" s="412"/>
      <c r="F613" s="412"/>
      <c r="G613" s="412"/>
      <c r="H613" s="412"/>
      <c r="I613" s="412"/>
      <c r="J613" s="412"/>
      <c r="K613" s="412"/>
      <c r="L613" s="412"/>
      <c r="M613" s="412"/>
      <c r="N613" s="412"/>
      <c r="O613" s="412"/>
      <c r="P613" s="412"/>
      <c r="Q613" s="412"/>
      <c r="R613" s="412"/>
      <c r="S613" s="412"/>
      <c r="T613" s="412"/>
      <c r="U613" s="412"/>
      <c r="V613" s="412"/>
      <c r="W613" s="412"/>
      <c r="X613" s="412"/>
      <c r="Y613" s="412"/>
      <c r="Z613" s="412"/>
    </row>
    <row r="614" spans="1:26" ht="12.75" x14ac:dyDescent="0.2">
      <c r="A614" s="412"/>
      <c r="B614" s="412"/>
      <c r="C614" s="412"/>
      <c r="D614" s="412"/>
      <c r="E614" s="412"/>
      <c r="F614" s="412"/>
      <c r="G614" s="412"/>
      <c r="H614" s="412"/>
      <c r="I614" s="412"/>
      <c r="J614" s="412"/>
      <c r="K614" s="412"/>
      <c r="L614" s="412"/>
      <c r="M614" s="412"/>
      <c r="N614" s="412"/>
      <c r="O614" s="412"/>
      <c r="P614" s="412"/>
      <c r="Q614" s="412"/>
      <c r="R614" s="412"/>
      <c r="S614" s="412"/>
      <c r="T614" s="412"/>
      <c r="U614" s="412"/>
      <c r="V614" s="412"/>
      <c r="W614" s="412"/>
      <c r="X614" s="412"/>
      <c r="Y614" s="412"/>
      <c r="Z614" s="412"/>
    </row>
    <row r="615" spans="1:26" ht="12.75" x14ac:dyDescent="0.2">
      <c r="A615" s="412"/>
      <c r="B615" s="412"/>
      <c r="C615" s="412"/>
      <c r="D615" s="412"/>
      <c r="E615" s="412"/>
      <c r="F615" s="412"/>
      <c r="G615" s="412"/>
      <c r="H615" s="412"/>
      <c r="I615" s="412"/>
      <c r="J615" s="412"/>
      <c r="K615" s="412"/>
      <c r="L615" s="412"/>
      <c r="M615" s="412"/>
      <c r="N615" s="412"/>
      <c r="O615" s="412"/>
      <c r="P615" s="412"/>
      <c r="Q615" s="412"/>
      <c r="R615" s="412"/>
      <c r="S615" s="412"/>
      <c r="T615" s="412"/>
      <c r="U615" s="412"/>
      <c r="V615" s="412"/>
      <c r="W615" s="412"/>
      <c r="X615" s="412"/>
      <c r="Y615" s="412"/>
      <c r="Z615" s="412"/>
    </row>
    <row r="616" spans="1:26" ht="12.75" x14ac:dyDescent="0.2">
      <c r="A616" s="412"/>
      <c r="B616" s="412"/>
      <c r="C616" s="412"/>
      <c r="D616" s="412"/>
      <c r="E616" s="412"/>
      <c r="F616" s="412"/>
      <c r="G616" s="412"/>
      <c r="H616" s="412"/>
      <c r="I616" s="412"/>
      <c r="J616" s="412"/>
      <c r="K616" s="412"/>
      <c r="L616" s="412"/>
      <c r="M616" s="412"/>
      <c r="N616" s="412"/>
      <c r="O616" s="412"/>
      <c r="P616" s="412"/>
      <c r="Q616" s="412"/>
      <c r="R616" s="412"/>
      <c r="S616" s="412"/>
      <c r="T616" s="412"/>
      <c r="U616" s="412"/>
      <c r="V616" s="412"/>
      <c r="W616" s="412"/>
      <c r="X616" s="412"/>
      <c r="Y616" s="412"/>
      <c r="Z616" s="412"/>
    </row>
    <row r="617" spans="1:26" ht="12.75" x14ac:dyDescent="0.2">
      <c r="A617" s="412"/>
      <c r="B617" s="412"/>
      <c r="C617" s="412"/>
      <c r="D617" s="412"/>
      <c r="E617" s="412"/>
      <c r="F617" s="412"/>
      <c r="G617" s="412"/>
      <c r="H617" s="412"/>
      <c r="I617" s="412"/>
      <c r="J617" s="412"/>
      <c r="K617" s="412"/>
      <c r="L617" s="412"/>
      <c r="M617" s="412"/>
      <c r="N617" s="412"/>
      <c r="O617" s="412"/>
      <c r="P617" s="412"/>
      <c r="Q617" s="412"/>
      <c r="R617" s="412"/>
      <c r="S617" s="412"/>
      <c r="T617" s="412"/>
      <c r="U617" s="412"/>
      <c r="V617" s="412"/>
      <c r="W617" s="412"/>
      <c r="X617" s="412"/>
      <c r="Y617" s="412"/>
      <c r="Z617" s="412"/>
    </row>
    <row r="618" spans="1:26" ht="12.75" x14ac:dyDescent="0.2">
      <c r="A618" s="412"/>
      <c r="B618" s="412"/>
      <c r="C618" s="412"/>
      <c r="D618" s="412"/>
      <c r="E618" s="412"/>
      <c r="F618" s="412"/>
      <c r="G618" s="412"/>
      <c r="H618" s="412"/>
      <c r="I618" s="412"/>
      <c r="J618" s="412"/>
      <c r="K618" s="412"/>
      <c r="L618" s="412"/>
      <c r="M618" s="412"/>
      <c r="N618" s="412"/>
      <c r="O618" s="412"/>
      <c r="P618" s="412"/>
      <c r="Q618" s="412"/>
      <c r="R618" s="412"/>
      <c r="S618" s="412"/>
      <c r="T618" s="412"/>
      <c r="U618" s="412"/>
      <c r="V618" s="412"/>
      <c r="W618" s="412"/>
      <c r="X618" s="412"/>
      <c r="Y618" s="412"/>
      <c r="Z618" s="412"/>
    </row>
    <row r="619" spans="1:26" ht="12.75" x14ac:dyDescent="0.2">
      <c r="A619" s="412"/>
      <c r="B619" s="412"/>
      <c r="C619" s="412"/>
      <c r="D619" s="412"/>
      <c r="E619" s="412"/>
      <c r="F619" s="412"/>
      <c r="G619" s="412"/>
      <c r="H619" s="412"/>
      <c r="I619" s="412"/>
      <c r="J619" s="412"/>
      <c r="K619" s="412"/>
      <c r="L619" s="412"/>
      <c r="M619" s="412"/>
      <c r="N619" s="412"/>
      <c r="O619" s="412"/>
      <c r="P619" s="412"/>
      <c r="Q619" s="412"/>
      <c r="R619" s="412"/>
      <c r="S619" s="412"/>
      <c r="T619" s="412"/>
      <c r="U619" s="412"/>
      <c r="V619" s="412"/>
      <c r="W619" s="412"/>
      <c r="X619" s="412"/>
      <c r="Y619" s="412"/>
      <c r="Z619" s="412"/>
    </row>
    <row r="620" spans="1:26" ht="12.75" x14ac:dyDescent="0.2">
      <c r="A620" s="412"/>
      <c r="B620" s="412"/>
      <c r="C620" s="412"/>
      <c r="D620" s="412"/>
      <c r="E620" s="412"/>
      <c r="F620" s="412"/>
      <c r="G620" s="412"/>
      <c r="H620" s="412"/>
      <c r="I620" s="412"/>
      <c r="J620" s="412"/>
      <c r="K620" s="412"/>
      <c r="L620" s="412"/>
      <c r="M620" s="412"/>
      <c r="N620" s="412"/>
      <c r="O620" s="412"/>
      <c r="P620" s="412"/>
      <c r="Q620" s="412"/>
      <c r="R620" s="412"/>
      <c r="S620" s="412"/>
      <c r="T620" s="412"/>
      <c r="U620" s="412"/>
      <c r="V620" s="412"/>
      <c r="W620" s="412"/>
      <c r="X620" s="412"/>
      <c r="Y620" s="412"/>
      <c r="Z620" s="412"/>
    </row>
    <row r="621" spans="1:26" ht="12.75" x14ac:dyDescent="0.2">
      <c r="A621" s="412"/>
      <c r="B621" s="412"/>
      <c r="C621" s="412"/>
      <c r="D621" s="412"/>
      <c r="E621" s="412"/>
      <c r="F621" s="412"/>
      <c r="G621" s="412"/>
      <c r="H621" s="412"/>
      <c r="I621" s="412"/>
      <c r="J621" s="412"/>
      <c r="K621" s="412"/>
      <c r="L621" s="412"/>
      <c r="M621" s="412"/>
      <c r="N621" s="412"/>
      <c r="O621" s="412"/>
      <c r="P621" s="412"/>
      <c r="Q621" s="412"/>
      <c r="R621" s="412"/>
      <c r="S621" s="412"/>
      <c r="T621" s="412"/>
      <c r="U621" s="412"/>
      <c r="V621" s="412"/>
      <c r="W621" s="412"/>
      <c r="X621" s="412"/>
      <c r="Y621" s="412"/>
      <c r="Z621" s="412"/>
    </row>
    <row r="622" spans="1:26" ht="12.75" x14ac:dyDescent="0.2">
      <c r="A622" s="412"/>
      <c r="B622" s="412"/>
      <c r="C622" s="412"/>
      <c r="D622" s="412"/>
      <c r="E622" s="412"/>
      <c r="F622" s="412"/>
      <c r="G622" s="412"/>
      <c r="H622" s="412"/>
      <c r="I622" s="412"/>
      <c r="J622" s="412"/>
      <c r="K622" s="412"/>
      <c r="L622" s="412"/>
      <c r="M622" s="412"/>
      <c r="N622" s="412"/>
      <c r="O622" s="412"/>
      <c r="P622" s="412"/>
      <c r="Q622" s="412"/>
      <c r="R622" s="412"/>
      <c r="S622" s="412"/>
      <c r="T622" s="412"/>
      <c r="U622" s="412"/>
      <c r="V622" s="412"/>
      <c r="W622" s="412"/>
      <c r="X622" s="412"/>
      <c r="Y622" s="412"/>
      <c r="Z622" s="412"/>
    </row>
    <row r="623" spans="1:26" ht="12.75" x14ac:dyDescent="0.2">
      <c r="A623" s="412"/>
      <c r="B623" s="412"/>
      <c r="C623" s="412"/>
      <c r="D623" s="412"/>
      <c r="E623" s="412"/>
      <c r="F623" s="412"/>
      <c r="G623" s="412"/>
      <c r="H623" s="412"/>
      <c r="I623" s="412"/>
      <c r="J623" s="412"/>
      <c r="K623" s="412"/>
      <c r="L623" s="412"/>
      <c r="M623" s="412"/>
      <c r="N623" s="412"/>
      <c r="O623" s="412"/>
      <c r="P623" s="412"/>
      <c r="Q623" s="412"/>
      <c r="R623" s="412"/>
      <c r="S623" s="412"/>
      <c r="T623" s="412"/>
      <c r="U623" s="412"/>
      <c r="V623" s="412"/>
      <c r="W623" s="412"/>
      <c r="X623" s="412"/>
      <c r="Y623" s="412"/>
      <c r="Z623" s="412"/>
    </row>
    <row r="624" spans="1:26" ht="12.75" x14ac:dyDescent="0.2">
      <c r="A624" s="412"/>
      <c r="B624" s="412"/>
      <c r="C624" s="412"/>
      <c r="D624" s="412"/>
      <c r="E624" s="412"/>
      <c r="F624" s="412"/>
      <c r="G624" s="412"/>
      <c r="H624" s="412"/>
      <c r="I624" s="412"/>
      <c r="J624" s="412"/>
      <c r="K624" s="412"/>
      <c r="L624" s="412"/>
      <c r="M624" s="412"/>
      <c r="N624" s="412"/>
      <c r="O624" s="412"/>
      <c r="P624" s="412"/>
      <c r="Q624" s="412"/>
      <c r="R624" s="412"/>
      <c r="S624" s="412"/>
      <c r="T624" s="412"/>
      <c r="U624" s="412"/>
      <c r="V624" s="412"/>
      <c r="W624" s="412"/>
      <c r="X624" s="412"/>
      <c r="Y624" s="412"/>
      <c r="Z624" s="412"/>
    </row>
    <row r="625" spans="1:26" ht="12.75" x14ac:dyDescent="0.2">
      <c r="A625" s="412"/>
      <c r="B625" s="412"/>
      <c r="C625" s="412"/>
      <c r="D625" s="412"/>
      <c r="E625" s="412"/>
      <c r="F625" s="412"/>
      <c r="G625" s="412"/>
      <c r="H625" s="412"/>
      <c r="I625" s="412"/>
      <c r="J625" s="412"/>
      <c r="K625" s="412"/>
      <c r="L625" s="412"/>
      <c r="M625" s="412"/>
      <c r="N625" s="412"/>
      <c r="O625" s="412"/>
      <c r="P625" s="412"/>
      <c r="Q625" s="412"/>
      <c r="R625" s="412"/>
      <c r="S625" s="412"/>
      <c r="T625" s="412"/>
      <c r="U625" s="412"/>
      <c r="V625" s="412"/>
      <c r="W625" s="412"/>
      <c r="X625" s="412"/>
      <c r="Y625" s="412"/>
      <c r="Z625" s="412"/>
    </row>
    <row r="626" spans="1:26" ht="12.75" x14ac:dyDescent="0.2">
      <c r="A626" s="412"/>
      <c r="B626" s="412"/>
      <c r="C626" s="412"/>
      <c r="D626" s="412"/>
      <c r="E626" s="412"/>
      <c r="F626" s="412"/>
      <c r="G626" s="412"/>
      <c r="H626" s="412"/>
      <c r="I626" s="412"/>
      <c r="J626" s="412"/>
      <c r="K626" s="412"/>
      <c r="L626" s="412"/>
      <c r="M626" s="412"/>
      <c r="N626" s="412"/>
      <c r="O626" s="412"/>
      <c r="P626" s="412"/>
      <c r="Q626" s="412"/>
      <c r="R626" s="412"/>
      <c r="S626" s="412"/>
      <c r="T626" s="412"/>
      <c r="U626" s="412"/>
      <c r="V626" s="412"/>
      <c r="W626" s="412"/>
      <c r="X626" s="412"/>
      <c r="Y626" s="412"/>
      <c r="Z626" s="412"/>
    </row>
    <row r="627" spans="1:26" ht="12.75" x14ac:dyDescent="0.2">
      <c r="A627" s="412"/>
      <c r="B627" s="412"/>
      <c r="C627" s="412"/>
      <c r="D627" s="412"/>
      <c r="E627" s="412"/>
      <c r="F627" s="412"/>
      <c r="G627" s="412"/>
      <c r="H627" s="412"/>
      <c r="I627" s="412"/>
      <c r="J627" s="412"/>
      <c r="K627" s="412"/>
      <c r="L627" s="412"/>
      <c r="M627" s="412"/>
      <c r="N627" s="412"/>
      <c r="O627" s="412"/>
      <c r="P627" s="412"/>
      <c r="Q627" s="412"/>
      <c r="R627" s="412"/>
      <c r="S627" s="412"/>
      <c r="T627" s="412"/>
      <c r="U627" s="412"/>
      <c r="V627" s="412"/>
      <c r="W627" s="412"/>
      <c r="X627" s="412"/>
      <c r="Y627" s="412"/>
      <c r="Z627" s="412"/>
    </row>
    <row r="628" spans="1:26" ht="12.75" x14ac:dyDescent="0.2">
      <c r="A628" s="412"/>
      <c r="B628" s="412"/>
      <c r="C628" s="412"/>
      <c r="D628" s="412"/>
      <c r="E628" s="412"/>
      <c r="F628" s="412"/>
      <c r="G628" s="412"/>
      <c r="H628" s="412"/>
      <c r="I628" s="412"/>
      <c r="J628" s="412"/>
      <c r="K628" s="412"/>
      <c r="L628" s="412"/>
      <c r="M628" s="412"/>
      <c r="N628" s="412"/>
      <c r="O628" s="412"/>
      <c r="P628" s="412"/>
      <c r="Q628" s="412"/>
      <c r="R628" s="412"/>
      <c r="S628" s="412"/>
      <c r="T628" s="412"/>
      <c r="U628" s="412"/>
      <c r="V628" s="412"/>
      <c r="W628" s="412"/>
      <c r="X628" s="412"/>
      <c r="Y628" s="412"/>
      <c r="Z628" s="412"/>
    </row>
    <row r="629" spans="1:26" ht="12.75" x14ac:dyDescent="0.2">
      <c r="A629" s="412"/>
      <c r="B629" s="412"/>
      <c r="C629" s="412"/>
      <c r="D629" s="412"/>
      <c r="E629" s="412"/>
      <c r="F629" s="412"/>
      <c r="G629" s="412"/>
      <c r="H629" s="412"/>
      <c r="I629" s="412"/>
      <c r="J629" s="412"/>
      <c r="K629" s="412"/>
      <c r="L629" s="412"/>
      <c r="M629" s="412"/>
      <c r="N629" s="412"/>
      <c r="O629" s="412"/>
      <c r="P629" s="412"/>
      <c r="Q629" s="412"/>
      <c r="R629" s="412"/>
      <c r="S629" s="412"/>
      <c r="T629" s="412"/>
      <c r="U629" s="412"/>
      <c r="V629" s="412"/>
      <c r="W629" s="412"/>
      <c r="X629" s="412"/>
      <c r="Y629" s="412"/>
      <c r="Z629" s="412"/>
    </row>
    <row r="630" spans="1:26" ht="12.75" x14ac:dyDescent="0.2">
      <c r="A630" s="412"/>
      <c r="B630" s="412"/>
      <c r="C630" s="412"/>
      <c r="D630" s="412"/>
      <c r="E630" s="412"/>
      <c r="F630" s="412"/>
      <c r="G630" s="412"/>
      <c r="H630" s="412"/>
      <c r="I630" s="412"/>
      <c r="J630" s="412"/>
      <c r="K630" s="412"/>
      <c r="L630" s="412"/>
      <c r="M630" s="412"/>
      <c r="N630" s="412"/>
      <c r="O630" s="412"/>
      <c r="P630" s="412"/>
      <c r="Q630" s="412"/>
      <c r="R630" s="412"/>
      <c r="S630" s="412"/>
      <c r="T630" s="412"/>
      <c r="U630" s="412"/>
      <c r="V630" s="412"/>
      <c r="W630" s="412"/>
      <c r="X630" s="412"/>
      <c r="Y630" s="412"/>
      <c r="Z630" s="412"/>
    </row>
    <row r="631" spans="1:26" ht="12.75" x14ac:dyDescent="0.2">
      <c r="A631" s="412"/>
      <c r="B631" s="412"/>
      <c r="C631" s="412"/>
      <c r="D631" s="412"/>
      <c r="E631" s="412"/>
      <c r="F631" s="412"/>
      <c r="G631" s="412"/>
      <c r="H631" s="412"/>
      <c r="I631" s="412"/>
      <c r="J631" s="412"/>
      <c r="K631" s="412"/>
      <c r="L631" s="412"/>
      <c r="M631" s="412"/>
      <c r="N631" s="412"/>
      <c r="O631" s="412"/>
      <c r="P631" s="412"/>
      <c r="Q631" s="412"/>
      <c r="R631" s="412"/>
      <c r="S631" s="412"/>
      <c r="T631" s="412"/>
      <c r="U631" s="412"/>
      <c r="V631" s="412"/>
      <c r="W631" s="412"/>
      <c r="X631" s="412"/>
      <c r="Y631" s="412"/>
      <c r="Z631" s="412"/>
    </row>
    <row r="632" spans="1:26" ht="12.75" x14ac:dyDescent="0.2">
      <c r="A632" s="412"/>
      <c r="B632" s="412"/>
      <c r="C632" s="412"/>
      <c r="D632" s="412"/>
      <c r="E632" s="412"/>
      <c r="F632" s="412"/>
      <c r="G632" s="412"/>
      <c r="H632" s="412"/>
      <c r="I632" s="412"/>
      <c r="J632" s="412"/>
      <c r="K632" s="412"/>
      <c r="L632" s="412"/>
      <c r="M632" s="412"/>
      <c r="N632" s="412"/>
      <c r="O632" s="412"/>
      <c r="P632" s="412"/>
      <c r="Q632" s="412"/>
      <c r="R632" s="412"/>
      <c r="S632" s="412"/>
      <c r="T632" s="412"/>
      <c r="U632" s="412"/>
      <c r="V632" s="412"/>
      <c r="W632" s="412"/>
      <c r="X632" s="412"/>
      <c r="Y632" s="412"/>
      <c r="Z632" s="412"/>
    </row>
    <row r="633" spans="1:26" ht="12.75" x14ac:dyDescent="0.2">
      <c r="A633" s="412"/>
      <c r="B633" s="412"/>
      <c r="C633" s="412"/>
      <c r="D633" s="412"/>
      <c r="E633" s="412"/>
      <c r="F633" s="412"/>
      <c r="G633" s="412"/>
      <c r="H633" s="412"/>
      <c r="I633" s="412"/>
      <c r="J633" s="412"/>
      <c r="K633" s="412"/>
      <c r="L633" s="412"/>
      <c r="M633" s="412"/>
      <c r="N633" s="412"/>
      <c r="O633" s="412"/>
      <c r="P633" s="412"/>
      <c r="Q633" s="412"/>
      <c r="R633" s="412"/>
      <c r="S633" s="412"/>
      <c r="T633" s="412"/>
      <c r="U633" s="412"/>
      <c r="V633" s="412"/>
      <c r="W633" s="412"/>
      <c r="X633" s="412"/>
      <c r="Y633" s="412"/>
      <c r="Z633" s="412"/>
    </row>
    <row r="634" spans="1:26" ht="12.75" x14ac:dyDescent="0.2">
      <c r="A634" s="412"/>
      <c r="B634" s="412"/>
      <c r="C634" s="412"/>
      <c r="D634" s="412"/>
      <c r="E634" s="412"/>
      <c r="F634" s="412"/>
      <c r="G634" s="412"/>
      <c r="H634" s="412"/>
      <c r="I634" s="412"/>
      <c r="J634" s="412"/>
      <c r="K634" s="412"/>
      <c r="L634" s="412"/>
      <c r="M634" s="412"/>
      <c r="N634" s="412"/>
      <c r="O634" s="412"/>
      <c r="P634" s="412"/>
      <c r="Q634" s="412"/>
      <c r="R634" s="412"/>
      <c r="S634" s="412"/>
      <c r="T634" s="412"/>
      <c r="U634" s="412"/>
      <c r="V634" s="412"/>
      <c r="W634" s="412"/>
      <c r="X634" s="412"/>
      <c r="Y634" s="412"/>
      <c r="Z634" s="412"/>
    </row>
    <row r="635" spans="1:26" ht="12.75" x14ac:dyDescent="0.2">
      <c r="A635" s="412"/>
      <c r="B635" s="412"/>
      <c r="C635" s="412"/>
      <c r="D635" s="412"/>
      <c r="E635" s="412"/>
      <c r="F635" s="412"/>
      <c r="G635" s="412"/>
      <c r="H635" s="412"/>
      <c r="I635" s="412"/>
      <c r="J635" s="412"/>
      <c r="K635" s="412"/>
      <c r="L635" s="412"/>
      <c r="M635" s="412"/>
      <c r="N635" s="412"/>
      <c r="O635" s="412"/>
      <c r="P635" s="412"/>
      <c r="Q635" s="412"/>
      <c r="R635" s="412"/>
      <c r="S635" s="412"/>
      <c r="T635" s="412"/>
      <c r="U635" s="412"/>
      <c r="V635" s="412"/>
      <c r="W635" s="412"/>
      <c r="X635" s="412"/>
      <c r="Y635" s="412"/>
      <c r="Z635" s="412"/>
    </row>
    <row r="636" spans="1:26" ht="12.75" x14ac:dyDescent="0.2">
      <c r="A636" s="412"/>
      <c r="B636" s="412"/>
      <c r="C636" s="412"/>
      <c r="D636" s="412"/>
      <c r="E636" s="412"/>
      <c r="F636" s="412"/>
      <c r="G636" s="412"/>
      <c r="H636" s="412"/>
      <c r="I636" s="412"/>
      <c r="J636" s="412"/>
      <c r="K636" s="412"/>
      <c r="L636" s="412"/>
      <c r="M636" s="412"/>
      <c r="N636" s="412"/>
      <c r="O636" s="412"/>
      <c r="P636" s="412"/>
      <c r="Q636" s="412"/>
      <c r="R636" s="412"/>
      <c r="S636" s="412"/>
      <c r="T636" s="412"/>
      <c r="U636" s="412"/>
      <c r="V636" s="412"/>
      <c r="W636" s="412"/>
      <c r="X636" s="412"/>
      <c r="Y636" s="412"/>
      <c r="Z636" s="412"/>
    </row>
    <row r="637" spans="1:26" ht="12.75" x14ac:dyDescent="0.2">
      <c r="A637" s="412"/>
      <c r="B637" s="412"/>
      <c r="C637" s="412"/>
      <c r="D637" s="412"/>
      <c r="E637" s="412"/>
      <c r="F637" s="412"/>
      <c r="G637" s="412"/>
      <c r="H637" s="412"/>
      <c r="I637" s="412"/>
      <c r="J637" s="412"/>
      <c r="K637" s="412"/>
      <c r="L637" s="412"/>
      <c r="M637" s="412"/>
      <c r="N637" s="412"/>
      <c r="O637" s="412"/>
      <c r="P637" s="412"/>
      <c r="Q637" s="412"/>
      <c r="R637" s="412"/>
      <c r="S637" s="412"/>
      <c r="T637" s="412"/>
      <c r="U637" s="412"/>
      <c r="V637" s="412"/>
      <c r="W637" s="412"/>
      <c r="X637" s="412"/>
      <c r="Y637" s="412"/>
      <c r="Z637" s="412"/>
    </row>
    <row r="638" spans="1:26" ht="12.75" x14ac:dyDescent="0.2">
      <c r="A638" s="412"/>
      <c r="B638" s="412"/>
      <c r="C638" s="412"/>
      <c r="D638" s="412"/>
      <c r="E638" s="412"/>
      <c r="F638" s="412"/>
      <c r="G638" s="412"/>
      <c r="H638" s="412"/>
      <c r="I638" s="412"/>
      <c r="J638" s="412"/>
      <c r="K638" s="412"/>
      <c r="L638" s="412"/>
      <c r="M638" s="412"/>
      <c r="N638" s="412"/>
      <c r="O638" s="412"/>
      <c r="P638" s="412"/>
      <c r="Q638" s="412"/>
      <c r="R638" s="412"/>
      <c r="S638" s="412"/>
      <c r="T638" s="412"/>
      <c r="U638" s="412"/>
      <c r="V638" s="412"/>
      <c r="W638" s="412"/>
      <c r="X638" s="412"/>
      <c r="Y638" s="412"/>
      <c r="Z638" s="412"/>
    </row>
    <row r="639" spans="1:26" ht="12.75" x14ac:dyDescent="0.2">
      <c r="A639" s="412"/>
      <c r="B639" s="412"/>
      <c r="C639" s="412"/>
      <c r="D639" s="412"/>
      <c r="E639" s="412"/>
      <c r="F639" s="412"/>
      <c r="G639" s="412"/>
      <c r="H639" s="412"/>
      <c r="I639" s="412"/>
      <c r="J639" s="412"/>
      <c r="K639" s="412"/>
      <c r="L639" s="412"/>
      <c r="M639" s="412"/>
      <c r="N639" s="412"/>
      <c r="O639" s="412"/>
      <c r="P639" s="412"/>
      <c r="Q639" s="412"/>
      <c r="R639" s="412"/>
      <c r="S639" s="412"/>
      <c r="T639" s="412"/>
      <c r="U639" s="412"/>
      <c r="V639" s="412"/>
      <c r="W639" s="412"/>
      <c r="X639" s="412"/>
      <c r="Y639" s="412"/>
      <c r="Z639" s="412"/>
    </row>
    <row r="640" spans="1:26" ht="12.75" x14ac:dyDescent="0.2">
      <c r="A640" s="412"/>
      <c r="B640" s="412"/>
      <c r="C640" s="412"/>
      <c r="D640" s="412"/>
      <c r="E640" s="412"/>
      <c r="F640" s="412"/>
      <c r="G640" s="412"/>
      <c r="H640" s="412"/>
      <c r="I640" s="412"/>
      <c r="J640" s="412"/>
      <c r="K640" s="412"/>
      <c r="L640" s="412"/>
      <c r="M640" s="412"/>
      <c r="N640" s="412"/>
      <c r="O640" s="412"/>
      <c r="P640" s="412"/>
      <c r="Q640" s="412"/>
      <c r="R640" s="412"/>
      <c r="S640" s="412"/>
      <c r="T640" s="412"/>
      <c r="U640" s="412"/>
      <c r="V640" s="412"/>
      <c r="W640" s="412"/>
      <c r="X640" s="412"/>
      <c r="Y640" s="412"/>
      <c r="Z640" s="412"/>
    </row>
    <row r="641" spans="1:26" ht="12.75" x14ac:dyDescent="0.2">
      <c r="A641" s="412"/>
      <c r="B641" s="412"/>
      <c r="C641" s="412"/>
      <c r="D641" s="412"/>
      <c r="E641" s="412"/>
      <c r="F641" s="412"/>
      <c r="G641" s="412"/>
      <c r="H641" s="412"/>
      <c r="I641" s="412"/>
      <c r="J641" s="412"/>
      <c r="K641" s="412"/>
      <c r="L641" s="412"/>
      <c r="M641" s="412"/>
      <c r="N641" s="412"/>
      <c r="O641" s="412"/>
      <c r="P641" s="412"/>
      <c r="Q641" s="412"/>
      <c r="R641" s="412"/>
      <c r="S641" s="412"/>
      <c r="T641" s="412"/>
      <c r="U641" s="412"/>
      <c r="V641" s="412"/>
      <c r="W641" s="412"/>
      <c r="X641" s="412"/>
      <c r="Y641" s="412"/>
      <c r="Z641" s="412"/>
    </row>
    <row r="642" spans="1:26" ht="12.75" x14ac:dyDescent="0.2">
      <c r="A642" s="412"/>
      <c r="B642" s="412"/>
      <c r="C642" s="412"/>
      <c r="D642" s="412"/>
      <c r="E642" s="412"/>
      <c r="F642" s="412"/>
      <c r="G642" s="412"/>
      <c r="H642" s="412"/>
      <c r="I642" s="412"/>
      <c r="J642" s="412"/>
      <c r="K642" s="412"/>
      <c r="L642" s="412"/>
      <c r="M642" s="412"/>
      <c r="N642" s="412"/>
      <c r="O642" s="412"/>
      <c r="P642" s="412"/>
      <c r="Q642" s="412"/>
      <c r="R642" s="412"/>
      <c r="S642" s="412"/>
      <c r="T642" s="412"/>
      <c r="U642" s="412"/>
      <c r="V642" s="412"/>
      <c r="W642" s="412"/>
      <c r="X642" s="412"/>
      <c r="Y642" s="412"/>
      <c r="Z642" s="412"/>
    </row>
    <row r="643" spans="1:26" ht="12.75" x14ac:dyDescent="0.2">
      <c r="A643" s="412"/>
      <c r="B643" s="412"/>
      <c r="C643" s="412"/>
      <c r="D643" s="412"/>
      <c r="E643" s="412"/>
      <c r="F643" s="412"/>
      <c r="G643" s="412"/>
      <c r="H643" s="412"/>
      <c r="I643" s="412"/>
      <c r="J643" s="412"/>
      <c r="K643" s="412"/>
      <c r="L643" s="412"/>
      <c r="M643" s="412"/>
      <c r="N643" s="412"/>
      <c r="O643" s="412"/>
      <c r="P643" s="412"/>
      <c r="Q643" s="412"/>
      <c r="R643" s="412"/>
      <c r="S643" s="412"/>
      <c r="T643" s="412"/>
      <c r="U643" s="412"/>
      <c r="V643" s="412"/>
      <c r="W643" s="412"/>
      <c r="X643" s="412"/>
      <c r="Y643" s="412"/>
      <c r="Z643" s="412"/>
    </row>
    <row r="644" spans="1:26" ht="12.75" x14ac:dyDescent="0.2">
      <c r="A644" s="412"/>
      <c r="B644" s="412"/>
      <c r="C644" s="412"/>
      <c r="D644" s="412"/>
      <c r="E644" s="412"/>
      <c r="F644" s="412"/>
      <c r="G644" s="412"/>
      <c r="H644" s="412"/>
      <c r="I644" s="412"/>
      <c r="J644" s="412"/>
      <c r="K644" s="412"/>
      <c r="L644" s="412"/>
      <c r="M644" s="412"/>
      <c r="N644" s="412"/>
      <c r="O644" s="412"/>
      <c r="P644" s="412"/>
      <c r="Q644" s="412"/>
      <c r="R644" s="412"/>
      <c r="S644" s="412"/>
      <c r="T644" s="412"/>
      <c r="U644" s="412"/>
      <c r="V644" s="412"/>
      <c r="W644" s="412"/>
      <c r="X644" s="412"/>
      <c r="Y644" s="412"/>
      <c r="Z644" s="412"/>
    </row>
    <row r="645" spans="1:26" ht="12.75" x14ac:dyDescent="0.2">
      <c r="A645" s="412"/>
      <c r="B645" s="412"/>
      <c r="C645" s="412"/>
      <c r="D645" s="412"/>
      <c r="E645" s="412"/>
      <c r="F645" s="412"/>
      <c r="G645" s="412"/>
      <c r="H645" s="412"/>
      <c r="I645" s="412"/>
      <c r="J645" s="412"/>
      <c r="K645" s="412"/>
      <c r="L645" s="412"/>
      <c r="M645" s="412"/>
      <c r="N645" s="412"/>
      <c r="O645" s="412"/>
      <c r="P645" s="412"/>
      <c r="Q645" s="412"/>
      <c r="R645" s="412"/>
      <c r="S645" s="412"/>
      <c r="T645" s="412"/>
      <c r="U645" s="412"/>
      <c r="V645" s="412"/>
      <c r="W645" s="412"/>
      <c r="X645" s="412"/>
      <c r="Y645" s="412"/>
      <c r="Z645" s="412"/>
    </row>
    <row r="646" spans="1:26" ht="12.75" x14ac:dyDescent="0.2">
      <c r="A646" s="412"/>
      <c r="B646" s="412"/>
      <c r="C646" s="412"/>
      <c r="D646" s="412"/>
      <c r="E646" s="412"/>
      <c r="F646" s="412"/>
      <c r="G646" s="412"/>
      <c r="H646" s="412"/>
      <c r="I646" s="412"/>
      <c r="J646" s="412"/>
      <c r="K646" s="412"/>
      <c r="L646" s="412"/>
      <c r="M646" s="412"/>
      <c r="N646" s="412"/>
      <c r="O646" s="412"/>
      <c r="P646" s="412"/>
      <c r="Q646" s="412"/>
      <c r="R646" s="412"/>
      <c r="S646" s="412"/>
      <c r="T646" s="412"/>
      <c r="U646" s="412"/>
      <c r="V646" s="412"/>
      <c r="W646" s="412"/>
      <c r="X646" s="412"/>
      <c r="Y646" s="412"/>
      <c r="Z646" s="412"/>
    </row>
    <row r="647" spans="1:26" ht="12.75" x14ac:dyDescent="0.2">
      <c r="A647" s="412"/>
      <c r="B647" s="412"/>
      <c r="C647" s="412"/>
      <c r="D647" s="412"/>
      <c r="E647" s="412"/>
      <c r="F647" s="412"/>
      <c r="G647" s="412"/>
      <c r="H647" s="412"/>
      <c r="I647" s="412"/>
      <c r="J647" s="412"/>
      <c r="K647" s="412"/>
      <c r="L647" s="412"/>
      <c r="M647" s="412"/>
      <c r="N647" s="412"/>
      <c r="O647" s="412"/>
      <c r="P647" s="412"/>
      <c r="Q647" s="412"/>
      <c r="R647" s="412"/>
      <c r="S647" s="412"/>
      <c r="T647" s="412"/>
      <c r="U647" s="412"/>
      <c r="V647" s="412"/>
      <c r="W647" s="412"/>
      <c r="X647" s="412"/>
      <c r="Y647" s="412"/>
      <c r="Z647" s="412"/>
    </row>
    <row r="648" spans="1:26" ht="12.75" x14ac:dyDescent="0.2">
      <c r="A648" s="412"/>
      <c r="B648" s="412"/>
      <c r="C648" s="412"/>
      <c r="D648" s="412"/>
      <c r="E648" s="412"/>
      <c r="F648" s="412"/>
      <c r="G648" s="412"/>
      <c r="H648" s="412"/>
      <c r="I648" s="412"/>
      <c r="J648" s="412"/>
      <c r="K648" s="412"/>
      <c r="L648" s="412"/>
      <c r="M648" s="412"/>
      <c r="N648" s="412"/>
      <c r="O648" s="412"/>
      <c r="P648" s="412"/>
      <c r="Q648" s="412"/>
      <c r="R648" s="412"/>
      <c r="S648" s="412"/>
      <c r="T648" s="412"/>
      <c r="U648" s="412"/>
      <c r="V648" s="412"/>
      <c r="W648" s="412"/>
      <c r="X648" s="412"/>
      <c r="Y648" s="412"/>
      <c r="Z648" s="412"/>
    </row>
    <row r="649" spans="1:26" ht="12.75" x14ac:dyDescent="0.2">
      <c r="A649" s="412"/>
      <c r="B649" s="412"/>
      <c r="C649" s="412"/>
      <c r="D649" s="412"/>
      <c r="E649" s="412"/>
      <c r="F649" s="412"/>
      <c r="G649" s="412"/>
      <c r="H649" s="412"/>
      <c r="I649" s="412"/>
      <c r="J649" s="412"/>
      <c r="K649" s="412"/>
      <c r="L649" s="412"/>
      <c r="M649" s="412"/>
      <c r="N649" s="412"/>
      <c r="O649" s="412"/>
      <c r="P649" s="412"/>
      <c r="Q649" s="412"/>
      <c r="R649" s="412"/>
      <c r="S649" s="412"/>
      <c r="T649" s="412"/>
      <c r="U649" s="412"/>
      <c r="V649" s="412"/>
      <c r="W649" s="412"/>
      <c r="X649" s="412"/>
      <c r="Y649" s="412"/>
      <c r="Z649" s="412"/>
    </row>
    <row r="650" spans="1:26" ht="12.75" x14ac:dyDescent="0.2">
      <c r="A650" s="412"/>
      <c r="B650" s="412"/>
      <c r="C650" s="412"/>
      <c r="D650" s="412"/>
      <c r="E650" s="412"/>
      <c r="F650" s="412"/>
      <c r="G650" s="412"/>
      <c r="H650" s="412"/>
      <c r="I650" s="412"/>
      <c r="J650" s="412"/>
      <c r="K650" s="412"/>
      <c r="L650" s="412"/>
      <c r="M650" s="412"/>
      <c r="N650" s="412"/>
      <c r="O650" s="412"/>
      <c r="P650" s="412"/>
      <c r="Q650" s="412"/>
      <c r="R650" s="412"/>
      <c r="S650" s="412"/>
      <c r="T650" s="412"/>
      <c r="U650" s="412"/>
      <c r="V650" s="412"/>
      <c r="W650" s="412"/>
      <c r="X650" s="412"/>
      <c r="Y650" s="412"/>
      <c r="Z650" s="412"/>
    </row>
    <row r="651" spans="1:26" ht="12.75" x14ac:dyDescent="0.2">
      <c r="A651" s="412"/>
      <c r="B651" s="412"/>
      <c r="C651" s="412"/>
      <c r="D651" s="412"/>
      <c r="E651" s="412"/>
      <c r="F651" s="412"/>
      <c r="G651" s="412"/>
      <c r="H651" s="412"/>
      <c r="I651" s="412"/>
      <c r="J651" s="412"/>
      <c r="K651" s="412"/>
      <c r="L651" s="412"/>
      <c r="M651" s="412"/>
      <c r="N651" s="412"/>
      <c r="O651" s="412"/>
      <c r="P651" s="412"/>
      <c r="Q651" s="412"/>
      <c r="R651" s="412"/>
      <c r="S651" s="412"/>
      <c r="T651" s="412"/>
      <c r="U651" s="412"/>
      <c r="V651" s="412"/>
      <c r="W651" s="412"/>
      <c r="X651" s="412"/>
      <c r="Y651" s="412"/>
      <c r="Z651" s="412"/>
    </row>
    <row r="652" spans="1:26" ht="12.75" x14ac:dyDescent="0.2">
      <c r="A652" s="412"/>
      <c r="B652" s="412"/>
      <c r="C652" s="412"/>
      <c r="D652" s="412"/>
      <c r="E652" s="412"/>
      <c r="F652" s="412"/>
      <c r="G652" s="412"/>
      <c r="H652" s="412"/>
      <c r="I652" s="412"/>
      <c r="J652" s="412"/>
      <c r="K652" s="412"/>
      <c r="L652" s="412"/>
      <c r="M652" s="412"/>
      <c r="N652" s="412"/>
      <c r="O652" s="412"/>
      <c r="P652" s="412"/>
      <c r="Q652" s="412"/>
      <c r="R652" s="412"/>
      <c r="S652" s="412"/>
      <c r="T652" s="412"/>
      <c r="U652" s="412"/>
      <c r="V652" s="412"/>
      <c r="W652" s="412"/>
      <c r="X652" s="412"/>
      <c r="Y652" s="412"/>
      <c r="Z652" s="412"/>
    </row>
    <row r="653" spans="1:26" ht="12.75" x14ac:dyDescent="0.2">
      <c r="A653" s="412"/>
      <c r="B653" s="412"/>
      <c r="C653" s="412"/>
      <c r="D653" s="412"/>
      <c r="E653" s="412"/>
      <c r="F653" s="412"/>
      <c r="G653" s="412"/>
      <c r="H653" s="412"/>
      <c r="I653" s="412"/>
      <c r="J653" s="412"/>
      <c r="K653" s="412"/>
      <c r="L653" s="412"/>
      <c r="M653" s="412"/>
      <c r="N653" s="412"/>
      <c r="O653" s="412"/>
      <c r="P653" s="412"/>
      <c r="Q653" s="412"/>
      <c r="R653" s="412"/>
      <c r="S653" s="412"/>
      <c r="T653" s="412"/>
      <c r="U653" s="412"/>
      <c r="V653" s="412"/>
      <c r="W653" s="412"/>
      <c r="X653" s="412"/>
      <c r="Y653" s="412"/>
      <c r="Z653" s="412"/>
    </row>
    <row r="654" spans="1:26" ht="12.75" x14ac:dyDescent="0.2">
      <c r="A654" s="412"/>
      <c r="B654" s="412"/>
      <c r="C654" s="412"/>
      <c r="D654" s="412"/>
      <c r="E654" s="412"/>
      <c r="F654" s="412"/>
      <c r="G654" s="412"/>
      <c r="H654" s="412"/>
      <c r="I654" s="412"/>
      <c r="J654" s="412"/>
      <c r="K654" s="412"/>
      <c r="L654" s="412"/>
      <c r="M654" s="412"/>
      <c r="N654" s="412"/>
      <c r="O654" s="412"/>
      <c r="P654" s="412"/>
      <c r="Q654" s="412"/>
      <c r="R654" s="412"/>
      <c r="S654" s="412"/>
      <c r="T654" s="412"/>
      <c r="U654" s="412"/>
      <c r="V654" s="412"/>
      <c r="W654" s="412"/>
      <c r="X654" s="412"/>
      <c r="Y654" s="412"/>
      <c r="Z654" s="412"/>
    </row>
    <row r="655" spans="1:26" ht="12.75" x14ac:dyDescent="0.2">
      <c r="A655" s="412"/>
      <c r="B655" s="412"/>
      <c r="C655" s="412"/>
      <c r="D655" s="412"/>
      <c r="E655" s="412"/>
      <c r="F655" s="412"/>
      <c r="G655" s="412"/>
      <c r="H655" s="412"/>
      <c r="I655" s="412"/>
      <c r="J655" s="412"/>
      <c r="K655" s="412"/>
      <c r="L655" s="412"/>
      <c r="M655" s="412"/>
      <c r="N655" s="412"/>
      <c r="O655" s="412"/>
      <c r="P655" s="412"/>
      <c r="Q655" s="412"/>
      <c r="R655" s="412"/>
      <c r="S655" s="412"/>
      <c r="T655" s="412"/>
      <c r="U655" s="412"/>
      <c r="V655" s="412"/>
      <c r="W655" s="412"/>
      <c r="X655" s="412"/>
      <c r="Y655" s="412"/>
      <c r="Z655" s="412"/>
    </row>
    <row r="656" spans="1:26" ht="12.75" x14ac:dyDescent="0.2">
      <c r="A656" s="412"/>
      <c r="B656" s="412"/>
      <c r="C656" s="412"/>
      <c r="D656" s="412"/>
      <c r="E656" s="412"/>
      <c r="F656" s="412"/>
      <c r="G656" s="412"/>
      <c r="H656" s="412"/>
      <c r="I656" s="412"/>
      <c r="J656" s="412"/>
      <c r="K656" s="412"/>
      <c r="L656" s="412"/>
      <c r="M656" s="412"/>
      <c r="N656" s="412"/>
      <c r="O656" s="412"/>
      <c r="P656" s="412"/>
      <c r="Q656" s="412"/>
      <c r="R656" s="412"/>
      <c r="S656" s="412"/>
      <c r="T656" s="412"/>
      <c r="U656" s="412"/>
      <c r="V656" s="412"/>
      <c r="W656" s="412"/>
      <c r="X656" s="412"/>
      <c r="Y656" s="412"/>
      <c r="Z656" s="412"/>
    </row>
    <row r="657" spans="1:26" ht="12.75" x14ac:dyDescent="0.2">
      <c r="A657" s="412"/>
      <c r="B657" s="412"/>
      <c r="C657" s="412"/>
      <c r="D657" s="412"/>
      <c r="E657" s="412"/>
      <c r="F657" s="412"/>
      <c r="G657" s="412"/>
      <c r="H657" s="412"/>
      <c r="I657" s="412"/>
      <c r="J657" s="412"/>
      <c r="K657" s="412"/>
      <c r="L657" s="412"/>
      <c r="M657" s="412"/>
      <c r="N657" s="412"/>
      <c r="O657" s="412"/>
      <c r="P657" s="412"/>
      <c r="Q657" s="412"/>
      <c r="R657" s="412"/>
      <c r="S657" s="412"/>
      <c r="T657" s="412"/>
      <c r="U657" s="412"/>
      <c r="V657" s="412"/>
      <c r="W657" s="412"/>
      <c r="X657" s="412"/>
      <c r="Y657" s="412"/>
      <c r="Z657" s="412"/>
    </row>
    <row r="658" spans="1:26" ht="12.75" x14ac:dyDescent="0.2">
      <c r="A658" s="412"/>
      <c r="B658" s="412"/>
      <c r="C658" s="412"/>
      <c r="D658" s="412"/>
      <c r="E658" s="412"/>
      <c r="F658" s="412"/>
      <c r="G658" s="412"/>
      <c r="H658" s="412"/>
      <c r="I658" s="412"/>
      <c r="J658" s="412"/>
      <c r="K658" s="412"/>
      <c r="L658" s="412"/>
      <c r="M658" s="412"/>
      <c r="N658" s="412"/>
      <c r="O658" s="412"/>
      <c r="P658" s="412"/>
      <c r="Q658" s="412"/>
      <c r="R658" s="412"/>
      <c r="S658" s="412"/>
      <c r="T658" s="412"/>
      <c r="U658" s="412"/>
      <c r="V658" s="412"/>
      <c r="W658" s="412"/>
      <c r="X658" s="412"/>
      <c r="Y658" s="412"/>
      <c r="Z658" s="412"/>
    </row>
    <row r="659" spans="1:26" ht="12.75" x14ac:dyDescent="0.2">
      <c r="A659" s="412"/>
      <c r="B659" s="412"/>
      <c r="C659" s="412"/>
      <c r="D659" s="412"/>
      <c r="E659" s="412"/>
      <c r="F659" s="412"/>
      <c r="G659" s="412"/>
      <c r="H659" s="412"/>
      <c r="I659" s="412"/>
      <c r="J659" s="412"/>
      <c r="K659" s="412"/>
      <c r="L659" s="412"/>
      <c r="M659" s="412"/>
      <c r="N659" s="412"/>
      <c r="O659" s="412"/>
      <c r="P659" s="412"/>
      <c r="Q659" s="412"/>
      <c r="R659" s="412"/>
      <c r="S659" s="412"/>
      <c r="T659" s="412"/>
      <c r="U659" s="412"/>
      <c r="V659" s="412"/>
      <c r="W659" s="412"/>
      <c r="X659" s="412"/>
      <c r="Y659" s="412"/>
      <c r="Z659" s="412"/>
    </row>
    <row r="660" spans="1:26" ht="12.75" x14ac:dyDescent="0.2">
      <c r="A660" s="412"/>
      <c r="B660" s="412"/>
      <c r="C660" s="412"/>
      <c r="D660" s="412"/>
      <c r="E660" s="412"/>
      <c r="F660" s="412"/>
      <c r="G660" s="412"/>
      <c r="H660" s="412"/>
      <c r="I660" s="412"/>
      <c r="J660" s="412"/>
      <c r="K660" s="412"/>
      <c r="L660" s="412"/>
      <c r="M660" s="412"/>
      <c r="N660" s="412"/>
      <c r="O660" s="412"/>
      <c r="P660" s="412"/>
      <c r="Q660" s="412"/>
      <c r="R660" s="412"/>
      <c r="S660" s="412"/>
      <c r="T660" s="412"/>
      <c r="U660" s="412"/>
      <c r="V660" s="412"/>
      <c r="W660" s="412"/>
      <c r="X660" s="412"/>
      <c r="Y660" s="412"/>
      <c r="Z660" s="412"/>
    </row>
    <row r="661" spans="1:26" ht="12.75" x14ac:dyDescent="0.2">
      <c r="A661" s="412"/>
      <c r="B661" s="412"/>
      <c r="C661" s="412"/>
      <c r="D661" s="412"/>
      <c r="E661" s="412"/>
      <c r="F661" s="412"/>
      <c r="G661" s="412"/>
      <c r="H661" s="412"/>
      <c r="I661" s="412"/>
      <c r="J661" s="412"/>
      <c r="K661" s="412"/>
      <c r="L661" s="412"/>
      <c r="M661" s="412"/>
      <c r="N661" s="412"/>
      <c r="O661" s="412"/>
      <c r="P661" s="412"/>
      <c r="Q661" s="412"/>
      <c r="R661" s="412"/>
      <c r="S661" s="412"/>
      <c r="T661" s="412"/>
      <c r="U661" s="412"/>
      <c r="V661" s="412"/>
      <c r="W661" s="412"/>
      <c r="X661" s="412"/>
      <c r="Y661" s="412"/>
      <c r="Z661" s="412"/>
    </row>
    <row r="662" spans="1:26" ht="12.75" x14ac:dyDescent="0.2">
      <c r="A662" s="412"/>
      <c r="B662" s="412"/>
      <c r="C662" s="412"/>
      <c r="D662" s="412"/>
      <c r="E662" s="412"/>
      <c r="F662" s="412"/>
      <c r="G662" s="412"/>
      <c r="H662" s="412"/>
      <c r="I662" s="412"/>
      <c r="J662" s="412"/>
      <c r="K662" s="412"/>
      <c r="L662" s="412"/>
      <c r="M662" s="412"/>
      <c r="N662" s="412"/>
      <c r="O662" s="412"/>
      <c r="P662" s="412"/>
      <c r="Q662" s="412"/>
      <c r="R662" s="412"/>
      <c r="S662" s="412"/>
      <c r="T662" s="412"/>
      <c r="U662" s="412"/>
      <c r="V662" s="412"/>
      <c r="W662" s="412"/>
      <c r="X662" s="412"/>
      <c r="Y662" s="412"/>
      <c r="Z662" s="412"/>
    </row>
    <row r="663" spans="1:26" ht="12.75" x14ac:dyDescent="0.2">
      <c r="A663" s="412"/>
      <c r="B663" s="412"/>
      <c r="C663" s="412"/>
      <c r="D663" s="412"/>
      <c r="E663" s="412"/>
      <c r="F663" s="412"/>
      <c r="G663" s="412"/>
      <c r="H663" s="412"/>
      <c r="I663" s="412"/>
      <c r="J663" s="412"/>
      <c r="K663" s="412"/>
      <c r="L663" s="412"/>
      <c r="M663" s="412"/>
      <c r="N663" s="412"/>
      <c r="O663" s="412"/>
      <c r="P663" s="412"/>
      <c r="Q663" s="412"/>
      <c r="R663" s="412"/>
      <c r="S663" s="412"/>
      <c r="T663" s="412"/>
      <c r="U663" s="412"/>
      <c r="V663" s="412"/>
      <c r="W663" s="412"/>
      <c r="X663" s="412"/>
      <c r="Y663" s="412"/>
      <c r="Z663" s="412"/>
    </row>
    <row r="664" spans="1:26" ht="12.75" x14ac:dyDescent="0.2">
      <c r="A664" s="412"/>
      <c r="B664" s="412"/>
      <c r="C664" s="412"/>
      <c r="D664" s="412"/>
      <c r="E664" s="412"/>
      <c r="F664" s="412"/>
      <c r="G664" s="412"/>
      <c r="H664" s="412"/>
      <c r="I664" s="412"/>
      <c r="J664" s="412"/>
      <c r="K664" s="412"/>
      <c r="L664" s="412"/>
      <c r="M664" s="412"/>
      <c r="N664" s="412"/>
      <c r="O664" s="412"/>
      <c r="P664" s="412"/>
      <c r="Q664" s="412"/>
      <c r="R664" s="412"/>
      <c r="S664" s="412"/>
      <c r="T664" s="412"/>
      <c r="U664" s="412"/>
      <c r="V664" s="412"/>
      <c r="W664" s="412"/>
      <c r="X664" s="412"/>
      <c r="Y664" s="412"/>
      <c r="Z664" s="412"/>
    </row>
    <row r="665" spans="1:26" ht="12.75" x14ac:dyDescent="0.2">
      <c r="A665" s="412"/>
      <c r="B665" s="412"/>
      <c r="C665" s="412"/>
      <c r="D665" s="412"/>
      <c r="E665" s="412"/>
      <c r="F665" s="412"/>
      <c r="G665" s="412"/>
      <c r="H665" s="412"/>
      <c r="I665" s="412"/>
      <c r="J665" s="412"/>
      <c r="K665" s="412"/>
      <c r="L665" s="412"/>
      <c r="M665" s="412"/>
      <c r="N665" s="412"/>
      <c r="O665" s="412"/>
      <c r="P665" s="412"/>
      <c r="Q665" s="412"/>
      <c r="R665" s="412"/>
      <c r="S665" s="412"/>
      <c r="T665" s="412"/>
      <c r="U665" s="412"/>
      <c r="V665" s="412"/>
      <c r="W665" s="412"/>
      <c r="X665" s="412"/>
      <c r="Y665" s="412"/>
      <c r="Z665" s="412"/>
    </row>
    <row r="666" spans="1:26" ht="12.75" x14ac:dyDescent="0.2">
      <c r="A666" s="412"/>
      <c r="B666" s="412"/>
      <c r="C666" s="412"/>
      <c r="D666" s="412"/>
      <c r="E666" s="412"/>
      <c r="F666" s="412"/>
      <c r="G666" s="412"/>
      <c r="H666" s="412"/>
      <c r="I666" s="412"/>
      <c r="J666" s="412"/>
      <c r="K666" s="412"/>
      <c r="L666" s="412"/>
      <c r="M666" s="412"/>
      <c r="N666" s="412"/>
      <c r="O666" s="412"/>
      <c r="P666" s="412"/>
      <c r="Q666" s="412"/>
      <c r="R666" s="412"/>
      <c r="S666" s="412"/>
      <c r="T666" s="412"/>
      <c r="U666" s="412"/>
      <c r="V666" s="412"/>
      <c r="W666" s="412"/>
      <c r="X666" s="412"/>
      <c r="Y666" s="412"/>
      <c r="Z666" s="412"/>
    </row>
    <row r="667" spans="1:26" ht="12.75" x14ac:dyDescent="0.2">
      <c r="A667" s="412"/>
      <c r="B667" s="412"/>
      <c r="C667" s="412"/>
      <c r="D667" s="412"/>
      <c r="E667" s="412"/>
      <c r="F667" s="412"/>
      <c r="G667" s="412"/>
      <c r="H667" s="412"/>
      <c r="I667" s="412"/>
      <c r="J667" s="412"/>
      <c r="K667" s="412"/>
      <c r="L667" s="412"/>
      <c r="M667" s="412"/>
      <c r="N667" s="412"/>
      <c r="O667" s="412"/>
      <c r="P667" s="412"/>
      <c r="Q667" s="412"/>
      <c r="R667" s="412"/>
      <c r="S667" s="412"/>
      <c r="T667" s="412"/>
      <c r="U667" s="412"/>
      <c r="V667" s="412"/>
      <c r="W667" s="412"/>
      <c r="X667" s="412"/>
      <c r="Y667" s="412"/>
      <c r="Z667" s="412"/>
    </row>
    <row r="668" spans="1:26" ht="12.75" x14ac:dyDescent="0.2">
      <c r="A668" s="412"/>
      <c r="B668" s="412"/>
      <c r="C668" s="412"/>
      <c r="D668" s="412"/>
      <c r="E668" s="412"/>
      <c r="F668" s="412"/>
      <c r="G668" s="412"/>
      <c r="H668" s="412"/>
      <c r="I668" s="412"/>
      <c r="J668" s="412"/>
      <c r="K668" s="412"/>
      <c r="L668" s="412"/>
      <c r="M668" s="412"/>
      <c r="N668" s="412"/>
      <c r="O668" s="412"/>
      <c r="P668" s="412"/>
      <c r="Q668" s="412"/>
      <c r="R668" s="412"/>
      <c r="S668" s="412"/>
      <c r="T668" s="412"/>
      <c r="U668" s="412"/>
      <c r="V668" s="412"/>
      <c r="W668" s="412"/>
      <c r="X668" s="412"/>
      <c r="Y668" s="412"/>
      <c r="Z668" s="412"/>
    </row>
    <row r="669" spans="1:26" ht="12.75" x14ac:dyDescent="0.2">
      <c r="A669" s="412"/>
      <c r="B669" s="412"/>
      <c r="C669" s="412"/>
      <c r="D669" s="412"/>
      <c r="E669" s="412"/>
      <c r="F669" s="412"/>
      <c r="G669" s="412"/>
      <c r="H669" s="412"/>
      <c r="I669" s="412"/>
      <c r="J669" s="412"/>
      <c r="K669" s="412"/>
      <c r="L669" s="412"/>
      <c r="M669" s="412"/>
      <c r="N669" s="412"/>
      <c r="O669" s="412"/>
      <c r="P669" s="412"/>
      <c r="Q669" s="412"/>
      <c r="R669" s="412"/>
      <c r="S669" s="412"/>
      <c r="T669" s="412"/>
      <c r="U669" s="412"/>
      <c r="V669" s="412"/>
      <c r="W669" s="412"/>
      <c r="X669" s="412"/>
      <c r="Y669" s="412"/>
      <c r="Z669" s="412"/>
    </row>
    <row r="670" spans="1:26" ht="12.75" x14ac:dyDescent="0.2">
      <c r="A670" s="412"/>
      <c r="B670" s="412"/>
      <c r="C670" s="412"/>
      <c r="D670" s="412"/>
      <c r="E670" s="412"/>
      <c r="F670" s="412"/>
      <c r="G670" s="412"/>
      <c r="H670" s="412"/>
      <c r="I670" s="412"/>
      <c r="J670" s="412"/>
      <c r="K670" s="412"/>
      <c r="L670" s="412"/>
      <c r="M670" s="412"/>
      <c r="N670" s="412"/>
      <c r="O670" s="412"/>
      <c r="P670" s="412"/>
      <c r="Q670" s="412"/>
      <c r="R670" s="412"/>
      <c r="S670" s="412"/>
      <c r="T670" s="412"/>
      <c r="U670" s="412"/>
      <c r="V670" s="412"/>
      <c r="W670" s="412"/>
      <c r="X670" s="412"/>
      <c r="Y670" s="412"/>
      <c r="Z670" s="412"/>
    </row>
    <row r="671" spans="1:26" ht="12.75" x14ac:dyDescent="0.2">
      <c r="A671" s="412"/>
      <c r="B671" s="412"/>
      <c r="C671" s="412"/>
      <c r="D671" s="412"/>
      <c r="E671" s="412"/>
      <c r="F671" s="412"/>
      <c r="G671" s="412"/>
      <c r="H671" s="412"/>
      <c r="I671" s="412"/>
      <c r="J671" s="412"/>
      <c r="K671" s="412"/>
      <c r="L671" s="412"/>
      <c r="M671" s="412"/>
      <c r="N671" s="412"/>
      <c r="O671" s="412"/>
      <c r="P671" s="412"/>
      <c r="Q671" s="412"/>
      <c r="R671" s="412"/>
      <c r="S671" s="412"/>
      <c r="T671" s="412"/>
      <c r="U671" s="412"/>
      <c r="V671" s="412"/>
      <c r="W671" s="412"/>
      <c r="X671" s="412"/>
      <c r="Y671" s="412"/>
      <c r="Z671" s="412"/>
    </row>
    <row r="672" spans="1:26" ht="12.75" x14ac:dyDescent="0.2">
      <c r="A672" s="412"/>
      <c r="B672" s="412"/>
      <c r="C672" s="412"/>
      <c r="D672" s="412"/>
      <c r="E672" s="412"/>
      <c r="F672" s="412"/>
      <c r="G672" s="412"/>
      <c r="H672" s="412"/>
      <c r="I672" s="412"/>
      <c r="J672" s="412"/>
      <c r="K672" s="412"/>
      <c r="L672" s="412"/>
      <c r="M672" s="412"/>
      <c r="N672" s="412"/>
      <c r="O672" s="412"/>
      <c r="P672" s="412"/>
      <c r="Q672" s="412"/>
      <c r="R672" s="412"/>
      <c r="S672" s="412"/>
      <c r="T672" s="412"/>
      <c r="U672" s="412"/>
      <c r="V672" s="412"/>
      <c r="W672" s="412"/>
      <c r="X672" s="412"/>
      <c r="Y672" s="412"/>
      <c r="Z672" s="412"/>
    </row>
    <row r="673" spans="1:26" ht="12.75" x14ac:dyDescent="0.2">
      <c r="A673" s="412"/>
      <c r="B673" s="412"/>
      <c r="C673" s="412"/>
      <c r="D673" s="412"/>
      <c r="E673" s="412"/>
      <c r="F673" s="412"/>
      <c r="G673" s="412"/>
      <c r="H673" s="412"/>
      <c r="I673" s="412"/>
      <c r="J673" s="412"/>
      <c r="K673" s="412"/>
      <c r="L673" s="412"/>
      <c r="M673" s="412"/>
      <c r="N673" s="412"/>
      <c r="O673" s="412"/>
      <c r="P673" s="412"/>
      <c r="Q673" s="412"/>
      <c r="R673" s="412"/>
      <c r="S673" s="412"/>
      <c r="T673" s="412"/>
      <c r="U673" s="412"/>
      <c r="V673" s="412"/>
      <c r="W673" s="412"/>
      <c r="X673" s="412"/>
      <c r="Y673" s="412"/>
      <c r="Z673" s="412"/>
    </row>
    <row r="674" spans="1:26" ht="12.75" x14ac:dyDescent="0.2">
      <c r="A674" s="412"/>
      <c r="B674" s="412"/>
      <c r="C674" s="412"/>
      <c r="D674" s="412"/>
      <c r="E674" s="412"/>
      <c r="F674" s="412"/>
      <c r="G674" s="412"/>
      <c r="H674" s="412"/>
      <c r="I674" s="412"/>
      <c r="J674" s="412"/>
      <c r="K674" s="412"/>
      <c r="L674" s="412"/>
      <c r="M674" s="412"/>
      <c r="N674" s="412"/>
      <c r="O674" s="412"/>
      <c r="P674" s="412"/>
      <c r="Q674" s="412"/>
      <c r="R674" s="412"/>
      <c r="S674" s="412"/>
      <c r="T674" s="412"/>
      <c r="U674" s="412"/>
      <c r="V674" s="412"/>
      <c r="W674" s="412"/>
      <c r="X674" s="412"/>
      <c r="Y674" s="412"/>
      <c r="Z674" s="412"/>
    </row>
    <row r="675" spans="1:26" ht="12.75" x14ac:dyDescent="0.2">
      <c r="A675" s="412"/>
      <c r="B675" s="412"/>
      <c r="C675" s="412"/>
      <c r="D675" s="412"/>
      <c r="E675" s="412"/>
      <c r="F675" s="412"/>
      <c r="G675" s="412"/>
      <c r="H675" s="412"/>
      <c r="I675" s="412"/>
      <c r="J675" s="412"/>
      <c r="K675" s="412"/>
      <c r="L675" s="412"/>
      <c r="M675" s="412"/>
      <c r="N675" s="412"/>
      <c r="O675" s="412"/>
      <c r="P675" s="412"/>
      <c r="Q675" s="412"/>
      <c r="R675" s="412"/>
      <c r="S675" s="412"/>
      <c r="T675" s="412"/>
      <c r="U675" s="412"/>
      <c r="V675" s="412"/>
      <c r="W675" s="412"/>
      <c r="X675" s="412"/>
      <c r="Y675" s="412"/>
      <c r="Z675" s="412"/>
    </row>
    <row r="676" spans="1:26" ht="12.75" x14ac:dyDescent="0.2">
      <c r="A676" s="412"/>
      <c r="B676" s="412"/>
      <c r="C676" s="412"/>
      <c r="D676" s="412"/>
      <c r="E676" s="412"/>
      <c r="F676" s="412"/>
      <c r="G676" s="412"/>
      <c r="H676" s="412"/>
      <c r="I676" s="412"/>
      <c r="J676" s="412"/>
      <c r="K676" s="412"/>
      <c r="L676" s="412"/>
      <c r="M676" s="412"/>
      <c r="N676" s="412"/>
      <c r="O676" s="412"/>
      <c r="P676" s="412"/>
      <c r="Q676" s="412"/>
      <c r="R676" s="412"/>
      <c r="S676" s="412"/>
      <c r="T676" s="412"/>
      <c r="U676" s="412"/>
      <c r="V676" s="412"/>
      <c r="W676" s="412"/>
      <c r="X676" s="412"/>
      <c r="Y676" s="412"/>
      <c r="Z676" s="412"/>
    </row>
    <row r="677" spans="1:26" ht="12.75" x14ac:dyDescent="0.2">
      <c r="A677" s="412"/>
      <c r="B677" s="412"/>
      <c r="C677" s="412"/>
      <c r="D677" s="412"/>
      <c r="E677" s="412"/>
      <c r="F677" s="412"/>
      <c r="G677" s="412"/>
      <c r="H677" s="412"/>
      <c r="I677" s="412"/>
      <c r="J677" s="412"/>
      <c r="K677" s="412"/>
      <c r="L677" s="412"/>
      <c r="M677" s="412"/>
      <c r="N677" s="412"/>
      <c r="O677" s="412"/>
      <c r="P677" s="412"/>
      <c r="Q677" s="412"/>
      <c r="R677" s="412"/>
      <c r="S677" s="412"/>
      <c r="T677" s="412"/>
      <c r="U677" s="412"/>
      <c r="V677" s="412"/>
      <c r="W677" s="412"/>
      <c r="X677" s="412"/>
      <c r="Y677" s="412"/>
      <c r="Z677" s="412"/>
    </row>
    <row r="678" spans="1:26" ht="12.75" x14ac:dyDescent="0.2">
      <c r="A678" s="412"/>
      <c r="B678" s="412"/>
      <c r="C678" s="412"/>
      <c r="D678" s="412"/>
      <c r="E678" s="412"/>
      <c r="F678" s="412"/>
      <c r="G678" s="412"/>
      <c r="H678" s="412"/>
      <c r="I678" s="412"/>
      <c r="J678" s="412"/>
      <c r="K678" s="412"/>
      <c r="L678" s="412"/>
      <c r="M678" s="412"/>
      <c r="N678" s="412"/>
      <c r="O678" s="412"/>
      <c r="P678" s="412"/>
      <c r="Q678" s="412"/>
      <c r="R678" s="412"/>
      <c r="S678" s="412"/>
      <c r="T678" s="412"/>
      <c r="U678" s="412"/>
      <c r="V678" s="412"/>
      <c r="W678" s="412"/>
      <c r="X678" s="412"/>
      <c r="Y678" s="412"/>
      <c r="Z678" s="412"/>
    </row>
    <row r="679" spans="1:26" ht="12.75" x14ac:dyDescent="0.2">
      <c r="A679" s="412"/>
      <c r="B679" s="412"/>
      <c r="C679" s="412"/>
      <c r="D679" s="412"/>
      <c r="E679" s="412"/>
      <c r="F679" s="412"/>
      <c r="G679" s="412"/>
      <c r="H679" s="412"/>
      <c r="I679" s="412"/>
      <c r="J679" s="412"/>
      <c r="K679" s="412"/>
      <c r="L679" s="412"/>
      <c r="M679" s="412"/>
      <c r="N679" s="412"/>
      <c r="O679" s="412"/>
      <c r="P679" s="412"/>
      <c r="Q679" s="412"/>
      <c r="R679" s="412"/>
      <c r="S679" s="412"/>
      <c r="T679" s="412"/>
      <c r="U679" s="412"/>
      <c r="V679" s="412"/>
      <c r="W679" s="412"/>
      <c r="X679" s="412"/>
      <c r="Y679" s="412"/>
      <c r="Z679" s="412"/>
    </row>
    <row r="680" spans="1:26" ht="12.75" x14ac:dyDescent="0.2">
      <c r="A680" s="412"/>
      <c r="B680" s="412"/>
      <c r="C680" s="412"/>
      <c r="D680" s="412"/>
      <c r="E680" s="412"/>
      <c r="F680" s="412"/>
      <c r="G680" s="412"/>
      <c r="H680" s="412"/>
      <c r="I680" s="412"/>
      <c r="J680" s="412"/>
      <c r="K680" s="412"/>
      <c r="L680" s="412"/>
      <c r="M680" s="412"/>
      <c r="N680" s="412"/>
      <c r="O680" s="412"/>
      <c r="P680" s="412"/>
      <c r="Q680" s="412"/>
      <c r="R680" s="412"/>
      <c r="S680" s="412"/>
      <c r="T680" s="412"/>
      <c r="U680" s="412"/>
      <c r="V680" s="412"/>
      <c r="W680" s="412"/>
      <c r="X680" s="412"/>
      <c r="Y680" s="412"/>
      <c r="Z680" s="412"/>
    </row>
    <row r="681" spans="1:26" ht="12.75" x14ac:dyDescent="0.2">
      <c r="A681" s="412"/>
      <c r="B681" s="412"/>
      <c r="C681" s="412"/>
      <c r="D681" s="412"/>
      <c r="E681" s="412"/>
      <c r="F681" s="412"/>
      <c r="G681" s="412"/>
      <c r="H681" s="412"/>
      <c r="I681" s="412"/>
      <c r="J681" s="412"/>
      <c r="K681" s="412"/>
      <c r="L681" s="412"/>
      <c r="M681" s="412"/>
      <c r="N681" s="412"/>
      <c r="O681" s="412"/>
      <c r="P681" s="412"/>
      <c r="Q681" s="412"/>
      <c r="R681" s="412"/>
      <c r="S681" s="412"/>
      <c r="T681" s="412"/>
      <c r="U681" s="412"/>
      <c r="V681" s="412"/>
      <c r="W681" s="412"/>
      <c r="X681" s="412"/>
      <c r="Y681" s="412"/>
      <c r="Z681" s="412"/>
    </row>
    <row r="682" spans="1:26" ht="12.75" x14ac:dyDescent="0.2">
      <c r="A682" s="412"/>
      <c r="B682" s="412"/>
      <c r="C682" s="412"/>
      <c r="D682" s="412"/>
      <c r="E682" s="412"/>
      <c r="F682" s="412"/>
      <c r="G682" s="412"/>
      <c r="H682" s="412"/>
      <c r="I682" s="412"/>
      <c r="J682" s="412"/>
      <c r="K682" s="412"/>
      <c r="L682" s="412"/>
      <c r="M682" s="412"/>
      <c r="N682" s="412"/>
      <c r="O682" s="412"/>
      <c r="P682" s="412"/>
      <c r="Q682" s="412"/>
      <c r="R682" s="412"/>
      <c r="S682" s="412"/>
      <c r="T682" s="412"/>
      <c r="U682" s="412"/>
      <c r="V682" s="412"/>
      <c r="W682" s="412"/>
      <c r="X682" s="412"/>
      <c r="Y682" s="412"/>
      <c r="Z682" s="412"/>
    </row>
    <row r="683" spans="1:26" ht="12.75" x14ac:dyDescent="0.2">
      <c r="A683" s="412"/>
      <c r="B683" s="412"/>
      <c r="C683" s="412"/>
      <c r="D683" s="412"/>
      <c r="E683" s="412"/>
      <c r="F683" s="412"/>
      <c r="G683" s="412"/>
      <c r="H683" s="412"/>
      <c r="I683" s="412"/>
      <c r="J683" s="412"/>
      <c r="K683" s="412"/>
      <c r="L683" s="412"/>
      <c r="M683" s="412"/>
      <c r="N683" s="412"/>
      <c r="O683" s="412"/>
      <c r="P683" s="412"/>
      <c r="Q683" s="412"/>
      <c r="R683" s="412"/>
      <c r="S683" s="412"/>
      <c r="T683" s="412"/>
      <c r="U683" s="412"/>
      <c r="V683" s="412"/>
      <c r="W683" s="412"/>
      <c r="X683" s="412"/>
      <c r="Y683" s="412"/>
      <c r="Z683" s="412"/>
    </row>
    <row r="684" spans="1:26" ht="12.75" x14ac:dyDescent="0.2">
      <c r="A684" s="412"/>
      <c r="B684" s="412"/>
      <c r="C684" s="412"/>
      <c r="D684" s="412"/>
      <c r="E684" s="412"/>
      <c r="F684" s="412"/>
      <c r="G684" s="412"/>
      <c r="H684" s="412"/>
      <c r="I684" s="412"/>
      <c r="J684" s="412"/>
      <c r="K684" s="412"/>
      <c r="L684" s="412"/>
      <c r="M684" s="412"/>
      <c r="N684" s="412"/>
      <c r="O684" s="412"/>
      <c r="P684" s="412"/>
      <c r="Q684" s="412"/>
      <c r="R684" s="412"/>
      <c r="S684" s="412"/>
      <c r="T684" s="412"/>
      <c r="U684" s="412"/>
      <c r="V684" s="412"/>
      <c r="W684" s="412"/>
      <c r="X684" s="412"/>
      <c r="Y684" s="412"/>
      <c r="Z684" s="412"/>
    </row>
    <row r="685" spans="1:26" ht="12.75" x14ac:dyDescent="0.2">
      <c r="A685" s="412"/>
      <c r="B685" s="412"/>
      <c r="C685" s="412"/>
      <c r="D685" s="412"/>
      <c r="E685" s="412"/>
      <c r="F685" s="412"/>
      <c r="G685" s="412"/>
      <c r="H685" s="412"/>
      <c r="I685" s="412"/>
      <c r="J685" s="412"/>
      <c r="K685" s="412"/>
      <c r="L685" s="412"/>
      <c r="M685" s="412"/>
      <c r="N685" s="412"/>
      <c r="O685" s="412"/>
      <c r="P685" s="412"/>
      <c r="Q685" s="412"/>
      <c r="R685" s="412"/>
      <c r="S685" s="412"/>
      <c r="T685" s="412"/>
      <c r="U685" s="412"/>
      <c r="V685" s="412"/>
      <c r="W685" s="412"/>
      <c r="X685" s="412"/>
      <c r="Y685" s="412"/>
      <c r="Z685" s="412"/>
    </row>
    <row r="686" spans="1:26" ht="12.75" x14ac:dyDescent="0.2">
      <c r="A686" s="412"/>
      <c r="B686" s="412"/>
      <c r="C686" s="412"/>
      <c r="D686" s="412"/>
      <c r="E686" s="412"/>
      <c r="F686" s="412"/>
      <c r="G686" s="412"/>
      <c r="H686" s="412"/>
      <c r="I686" s="412"/>
      <c r="J686" s="412"/>
      <c r="K686" s="412"/>
      <c r="L686" s="412"/>
      <c r="M686" s="412"/>
      <c r="N686" s="412"/>
      <c r="O686" s="412"/>
      <c r="P686" s="412"/>
      <c r="Q686" s="412"/>
      <c r="R686" s="412"/>
      <c r="S686" s="412"/>
      <c r="T686" s="412"/>
      <c r="U686" s="412"/>
      <c r="V686" s="412"/>
      <c r="W686" s="412"/>
      <c r="X686" s="412"/>
      <c r="Y686" s="412"/>
      <c r="Z686" s="412"/>
    </row>
    <row r="687" spans="1:26" ht="12.75" x14ac:dyDescent="0.2">
      <c r="A687" s="412"/>
      <c r="B687" s="412"/>
      <c r="C687" s="412"/>
      <c r="D687" s="412"/>
      <c r="E687" s="412"/>
      <c r="F687" s="412"/>
      <c r="G687" s="412"/>
      <c r="H687" s="412"/>
      <c r="I687" s="412"/>
      <c r="J687" s="412"/>
      <c r="K687" s="412"/>
      <c r="L687" s="412"/>
      <c r="M687" s="412"/>
      <c r="N687" s="412"/>
      <c r="O687" s="412"/>
      <c r="P687" s="412"/>
      <c r="Q687" s="412"/>
      <c r="R687" s="412"/>
      <c r="S687" s="412"/>
      <c r="T687" s="412"/>
      <c r="U687" s="412"/>
      <c r="V687" s="412"/>
      <c r="W687" s="412"/>
      <c r="X687" s="412"/>
      <c r="Y687" s="412"/>
      <c r="Z687" s="412"/>
    </row>
    <row r="688" spans="1:26" ht="12.75" x14ac:dyDescent="0.2">
      <c r="A688" s="412"/>
      <c r="B688" s="412"/>
      <c r="C688" s="412"/>
      <c r="D688" s="412"/>
      <c r="E688" s="412"/>
      <c r="F688" s="412"/>
      <c r="G688" s="412"/>
      <c r="H688" s="412"/>
      <c r="I688" s="412"/>
      <c r="J688" s="412"/>
      <c r="K688" s="412"/>
      <c r="L688" s="412"/>
      <c r="M688" s="412"/>
      <c r="N688" s="412"/>
      <c r="O688" s="412"/>
      <c r="P688" s="412"/>
      <c r="Q688" s="412"/>
      <c r="R688" s="412"/>
      <c r="S688" s="412"/>
      <c r="T688" s="412"/>
      <c r="U688" s="412"/>
      <c r="V688" s="412"/>
      <c r="W688" s="412"/>
      <c r="X688" s="412"/>
      <c r="Y688" s="412"/>
      <c r="Z688" s="412"/>
    </row>
    <row r="689" spans="1:26" ht="12.75" x14ac:dyDescent="0.2">
      <c r="A689" s="412"/>
      <c r="B689" s="412"/>
      <c r="C689" s="412"/>
      <c r="D689" s="412"/>
      <c r="E689" s="412"/>
      <c r="F689" s="412"/>
      <c r="G689" s="412"/>
      <c r="H689" s="412"/>
      <c r="I689" s="412"/>
      <c r="J689" s="412"/>
      <c r="K689" s="412"/>
      <c r="L689" s="412"/>
      <c r="M689" s="412"/>
      <c r="N689" s="412"/>
      <c r="O689" s="412"/>
      <c r="P689" s="412"/>
      <c r="Q689" s="412"/>
      <c r="R689" s="412"/>
      <c r="S689" s="412"/>
      <c r="T689" s="412"/>
      <c r="U689" s="412"/>
      <c r="V689" s="412"/>
      <c r="W689" s="412"/>
      <c r="X689" s="412"/>
      <c r="Y689" s="412"/>
      <c r="Z689" s="412"/>
    </row>
    <row r="690" spans="1:26" ht="12.75" x14ac:dyDescent="0.2">
      <c r="A690" s="412"/>
      <c r="B690" s="412"/>
      <c r="C690" s="412"/>
      <c r="D690" s="412"/>
      <c r="E690" s="412"/>
      <c r="F690" s="412"/>
      <c r="G690" s="412"/>
      <c r="H690" s="412"/>
      <c r="I690" s="412"/>
      <c r="J690" s="412"/>
      <c r="K690" s="412"/>
      <c r="L690" s="412"/>
      <c r="M690" s="412"/>
      <c r="N690" s="412"/>
      <c r="O690" s="412"/>
      <c r="P690" s="412"/>
      <c r="Q690" s="412"/>
      <c r="R690" s="412"/>
      <c r="S690" s="412"/>
      <c r="T690" s="412"/>
      <c r="U690" s="412"/>
      <c r="V690" s="412"/>
      <c r="W690" s="412"/>
      <c r="X690" s="412"/>
      <c r="Y690" s="412"/>
      <c r="Z690" s="412"/>
    </row>
    <row r="691" spans="1:26" ht="12.75" x14ac:dyDescent="0.2">
      <c r="A691" s="412"/>
      <c r="B691" s="412"/>
      <c r="C691" s="412"/>
      <c r="D691" s="412"/>
      <c r="E691" s="412"/>
      <c r="F691" s="412"/>
      <c r="G691" s="412"/>
      <c r="H691" s="412"/>
      <c r="I691" s="412"/>
      <c r="J691" s="412"/>
      <c r="K691" s="412"/>
      <c r="L691" s="412"/>
      <c r="M691" s="412"/>
      <c r="N691" s="412"/>
      <c r="O691" s="412"/>
      <c r="P691" s="412"/>
      <c r="Q691" s="412"/>
      <c r="R691" s="412"/>
      <c r="S691" s="412"/>
      <c r="T691" s="412"/>
      <c r="U691" s="412"/>
      <c r="V691" s="412"/>
      <c r="W691" s="412"/>
      <c r="X691" s="412"/>
      <c r="Y691" s="412"/>
      <c r="Z691" s="412"/>
    </row>
    <row r="692" spans="1:26" ht="12.75" x14ac:dyDescent="0.2">
      <c r="A692" s="412"/>
      <c r="B692" s="412"/>
      <c r="C692" s="412"/>
      <c r="D692" s="412"/>
      <c r="E692" s="412"/>
      <c r="F692" s="412"/>
      <c r="G692" s="412"/>
      <c r="H692" s="412"/>
      <c r="I692" s="412"/>
      <c r="J692" s="412"/>
      <c r="K692" s="412"/>
      <c r="L692" s="412"/>
      <c r="M692" s="412"/>
      <c r="N692" s="412"/>
      <c r="O692" s="412"/>
      <c r="P692" s="412"/>
      <c r="Q692" s="412"/>
      <c r="R692" s="412"/>
      <c r="S692" s="412"/>
      <c r="T692" s="412"/>
      <c r="U692" s="412"/>
      <c r="V692" s="412"/>
      <c r="W692" s="412"/>
      <c r="X692" s="412"/>
      <c r="Y692" s="412"/>
      <c r="Z692" s="412"/>
    </row>
    <row r="693" spans="1:26" ht="12.75" x14ac:dyDescent="0.2">
      <c r="A693" s="412"/>
      <c r="B693" s="412"/>
      <c r="C693" s="412"/>
      <c r="D693" s="412"/>
      <c r="E693" s="412"/>
      <c r="F693" s="412"/>
      <c r="G693" s="412"/>
      <c r="H693" s="412"/>
      <c r="I693" s="412"/>
      <c r="J693" s="412"/>
      <c r="K693" s="412"/>
      <c r="L693" s="412"/>
      <c r="M693" s="412"/>
      <c r="N693" s="412"/>
      <c r="O693" s="412"/>
      <c r="P693" s="412"/>
      <c r="Q693" s="412"/>
      <c r="R693" s="412"/>
      <c r="S693" s="412"/>
      <c r="T693" s="412"/>
      <c r="U693" s="412"/>
      <c r="V693" s="412"/>
      <c r="W693" s="412"/>
      <c r="X693" s="412"/>
      <c r="Y693" s="412"/>
      <c r="Z693" s="412"/>
    </row>
    <row r="694" spans="1:26" ht="12.75" x14ac:dyDescent="0.2">
      <c r="A694" s="412"/>
      <c r="B694" s="412"/>
      <c r="C694" s="412"/>
      <c r="D694" s="412"/>
      <c r="E694" s="412"/>
      <c r="F694" s="412"/>
      <c r="G694" s="412"/>
      <c r="H694" s="412"/>
      <c r="I694" s="412"/>
      <c r="J694" s="412"/>
      <c r="K694" s="412"/>
      <c r="L694" s="412"/>
      <c r="M694" s="412"/>
      <c r="N694" s="412"/>
      <c r="O694" s="412"/>
      <c r="P694" s="412"/>
      <c r="Q694" s="412"/>
      <c r="R694" s="412"/>
      <c r="S694" s="412"/>
      <c r="T694" s="412"/>
      <c r="U694" s="412"/>
      <c r="V694" s="412"/>
      <c r="W694" s="412"/>
      <c r="X694" s="412"/>
      <c r="Y694" s="412"/>
      <c r="Z694" s="412"/>
    </row>
    <row r="695" spans="1:26" ht="12.75" x14ac:dyDescent="0.2">
      <c r="A695" s="412"/>
      <c r="B695" s="412"/>
      <c r="C695" s="412"/>
      <c r="D695" s="412"/>
      <c r="E695" s="412"/>
      <c r="F695" s="412"/>
      <c r="G695" s="412"/>
      <c r="H695" s="412"/>
      <c r="I695" s="412"/>
      <c r="J695" s="412"/>
      <c r="K695" s="412"/>
      <c r="L695" s="412"/>
      <c r="M695" s="412"/>
      <c r="N695" s="412"/>
      <c r="O695" s="412"/>
      <c r="P695" s="412"/>
      <c r="Q695" s="412"/>
      <c r="R695" s="412"/>
      <c r="S695" s="412"/>
      <c r="T695" s="412"/>
      <c r="U695" s="412"/>
      <c r="V695" s="412"/>
      <c r="W695" s="412"/>
      <c r="X695" s="412"/>
      <c r="Y695" s="412"/>
      <c r="Z695" s="412"/>
    </row>
    <row r="696" spans="1:26" ht="12.75" x14ac:dyDescent="0.2">
      <c r="A696" s="412"/>
      <c r="B696" s="412"/>
      <c r="C696" s="412"/>
      <c r="D696" s="412"/>
      <c r="E696" s="412"/>
      <c r="F696" s="412"/>
      <c r="G696" s="412"/>
      <c r="H696" s="412"/>
      <c r="I696" s="412"/>
      <c r="J696" s="412"/>
      <c r="K696" s="412"/>
      <c r="L696" s="412"/>
      <c r="M696" s="412"/>
      <c r="N696" s="412"/>
      <c r="O696" s="412"/>
      <c r="P696" s="412"/>
      <c r="Q696" s="412"/>
      <c r="R696" s="412"/>
      <c r="S696" s="412"/>
      <c r="T696" s="412"/>
      <c r="U696" s="412"/>
      <c r="V696" s="412"/>
      <c r="W696" s="412"/>
      <c r="X696" s="412"/>
      <c r="Y696" s="412"/>
      <c r="Z696" s="412"/>
    </row>
    <row r="697" spans="1:26" ht="12.75" x14ac:dyDescent="0.2">
      <c r="A697" s="412"/>
      <c r="B697" s="412"/>
      <c r="C697" s="412"/>
      <c r="D697" s="412"/>
      <c r="E697" s="412"/>
      <c r="F697" s="412"/>
      <c r="G697" s="412"/>
      <c r="H697" s="412"/>
      <c r="I697" s="412"/>
      <c r="J697" s="412"/>
      <c r="K697" s="412"/>
      <c r="L697" s="412"/>
      <c r="M697" s="412"/>
      <c r="N697" s="412"/>
      <c r="O697" s="412"/>
      <c r="P697" s="412"/>
      <c r="Q697" s="412"/>
      <c r="R697" s="412"/>
      <c r="S697" s="412"/>
      <c r="T697" s="412"/>
      <c r="U697" s="412"/>
      <c r="V697" s="412"/>
      <c r="W697" s="412"/>
      <c r="X697" s="412"/>
      <c r="Y697" s="412"/>
      <c r="Z697" s="412"/>
    </row>
    <row r="698" spans="1:26" ht="12.75" x14ac:dyDescent="0.2">
      <c r="A698" s="412"/>
      <c r="B698" s="412"/>
      <c r="C698" s="412"/>
      <c r="D698" s="412"/>
      <c r="E698" s="412"/>
      <c r="F698" s="412"/>
      <c r="G698" s="412"/>
      <c r="H698" s="412"/>
      <c r="I698" s="412"/>
      <c r="J698" s="412"/>
      <c r="K698" s="412"/>
      <c r="L698" s="412"/>
      <c r="M698" s="412"/>
      <c r="N698" s="412"/>
      <c r="O698" s="412"/>
      <c r="P698" s="412"/>
      <c r="Q698" s="412"/>
      <c r="R698" s="412"/>
      <c r="S698" s="412"/>
      <c r="T698" s="412"/>
      <c r="U698" s="412"/>
      <c r="V698" s="412"/>
      <c r="W698" s="412"/>
      <c r="X698" s="412"/>
      <c r="Y698" s="412"/>
      <c r="Z698" s="412"/>
    </row>
    <row r="699" spans="1:26" ht="12.75" x14ac:dyDescent="0.2">
      <c r="A699" s="412"/>
      <c r="B699" s="412"/>
      <c r="C699" s="412"/>
      <c r="D699" s="412"/>
      <c r="E699" s="412"/>
      <c r="F699" s="412"/>
      <c r="G699" s="412"/>
      <c r="H699" s="412"/>
      <c r="I699" s="412"/>
      <c r="J699" s="412"/>
      <c r="K699" s="412"/>
      <c r="L699" s="412"/>
      <c r="M699" s="412"/>
      <c r="N699" s="412"/>
      <c r="O699" s="412"/>
      <c r="P699" s="412"/>
      <c r="Q699" s="412"/>
      <c r="R699" s="412"/>
      <c r="S699" s="412"/>
      <c r="T699" s="412"/>
      <c r="U699" s="412"/>
      <c r="V699" s="412"/>
      <c r="W699" s="412"/>
      <c r="X699" s="412"/>
      <c r="Y699" s="412"/>
      <c r="Z699" s="412"/>
    </row>
    <row r="700" spans="1:26" ht="12.75" x14ac:dyDescent="0.2">
      <c r="A700" s="412"/>
      <c r="B700" s="412"/>
      <c r="C700" s="412"/>
      <c r="D700" s="412"/>
      <c r="E700" s="412"/>
      <c r="F700" s="412"/>
      <c r="G700" s="412"/>
      <c r="H700" s="412"/>
      <c r="I700" s="412"/>
      <c r="J700" s="412"/>
      <c r="K700" s="412"/>
      <c r="L700" s="412"/>
      <c r="M700" s="412"/>
      <c r="N700" s="412"/>
      <c r="O700" s="412"/>
      <c r="P700" s="412"/>
      <c r="Q700" s="412"/>
      <c r="R700" s="412"/>
      <c r="S700" s="412"/>
      <c r="T700" s="412"/>
      <c r="U700" s="412"/>
      <c r="V700" s="412"/>
      <c r="W700" s="412"/>
      <c r="X700" s="412"/>
      <c r="Y700" s="412"/>
      <c r="Z700" s="412"/>
    </row>
    <row r="701" spans="1:26" ht="12.75" x14ac:dyDescent="0.2">
      <c r="A701" s="412"/>
      <c r="B701" s="412"/>
      <c r="C701" s="412"/>
      <c r="D701" s="412"/>
      <c r="E701" s="412"/>
      <c r="F701" s="412"/>
      <c r="G701" s="412"/>
      <c r="H701" s="412"/>
      <c r="I701" s="412"/>
      <c r="J701" s="412"/>
      <c r="K701" s="412"/>
      <c r="L701" s="412"/>
      <c r="M701" s="412"/>
      <c r="N701" s="412"/>
      <c r="O701" s="412"/>
      <c r="P701" s="412"/>
      <c r="Q701" s="412"/>
      <c r="R701" s="412"/>
      <c r="S701" s="412"/>
      <c r="T701" s="412"/>
      <c r="U701" s="412"/>
      <c r="V701" s="412"/>
      <c r="W701" s="412"/>
      <c r="X701" s="412"/>
      <c r="Y701" s="412"/>
      <c r="Z701" s="412"/>
    </row>
    <row r="702" spans="1:26" ht="12.75" x14ac:dyDescent="0.2">
      <c r="A702" s="412"/>
      <c r="B702" s="412"/>
      <c r="C702" s="412"/>
      <c r="D702" s="412"/>
      <c r="E702" s="412"/>
      <c r="F702" s="412"/>
      <c r="G702" s="412"/>
      <c r="H702" s="412"/>
      <c r="I702" s="412"/>
      <c r="J702" s="412"/>
      <c r="K702" s="412"/>
      <c r="L702" s="412"/>
      <c r="M702" s="412"/>
      <c r="N702" s="412"/>
      <c r="O702" s="412"/>
      <c r="P702" s="412"/>
      <c r="Q702" s="412"/>
      <c r="R702" s="412"/>
      <c r="S702" s="412"/>
      <c r="T702" s="412"/>
      <c r="U702" s="412"/>
      <c r="V702" s="412"/>
      <c r="W702" s="412"/>
      <c r="X702" s="412"/>
      <c r="Y702" s="412"/>
      <c r="Z702" s="412"/>
    </row>
    <row r="703" spans="1:26" ht="12.75" x14ac:dyDescent="0.2">
      <c r="A703" s="412"/>
      <c r="B703" s="412"/>
      <c r="C703" s="412"/>
      <c r="D703" s="412"/>
      <c r="E703" s="412"/>
      <c r="F703" s="412"/>
      <c r="G703" s="412"/>
      <c r="H703" s="412"/>
      <c r="I703" s="412"/>
      <c r="J703" s="412"/>
      <c r="K703" s="412"/>
      <c r="L703" s="412"/>
      <c r="M703" s="412"/>
      <c r="N703" s="412"/>
      <c r="O703" s="412"/>
      <c r="P703" s="412"/>
      <c r="Q703" s="412"/>
      <c r="R703" s="412"/>
      <c r="S703" s="412"/>
      <c r="T703" s="412"/>
      <c r="U703" s="412"/>
      <c r="V703" s="412"/>
      <c r="W703" s="412"/>
      <c r="X703" s="412"/>
      <c r="Y703" s="412"/>
      <c r="Z703" s="412"/>
    </row>
    <row r="704" spans="1:26" ht="12.75" x14ac:dyDescent="0.2">
      <c r="A704" s="412"/>
      <c r="B704" s="412"/>
      <c r="C704" s="412"/>
      <c r="D704" s="412"/>
      <c r="E704" s="412"/>
      <c r="F704" s="412"/>
      <c r="G704" s="412"/>
      <c r="H704" s="412"/>
      <c r="I704" s="412"/>
      <c r="J704" s="412"/>
      <c r="K704" s="412"/>
      <c r="L704" s="412"/>
      <c r="M704" s="412"/>
      <c r="N704" s="412"/>
      <c r="O704" s="412"/>
      <c r="P704" s="412"/>
      <c r="Q704" s="412"/>
      <c r="R704" s="412"/>
      <c r="S704" s="412"/>
      <c r="T704" s="412"/>
      <c r="U704" s="412"/>
      <c r="V704" s="412"/>
      <c r="W704" s="412"/>
      <c r="X704" s="412"/>
      <c r="Y704" s="412"/>
      <c r="Z704" s="412"/>
    </row>
    <row r="705" spans="1:26" ht="12.75" x14ac:dyDescent="0.2">
      <c r="A705" s="412"/>
      <c r="B705" s="412"/>
      <c r="C705" s="412"/>
      <c r="D705" s="412"/>
      <c r="E705" s="412"/>
      <c r="F705" s="412"/>
      <c r="G705" s="412"/>
      <c r="H705" s="412"/>
      <c r="I705" s="412"/>
      <c r="J705" s="412"/>
      <c r="K705" s="412"/>
      <c r="L705" s="412"/>
      <c r="M705" s="412"/>
      <c r="N705" s="412"/>
      <c r="O705" s="412"/>
      <c r="P705" s="412"/>
      <c r="Q705" s="412"/>
      <c r="R705" s="412"/>
      <c r="S705" s="412"/>
      <c r="T705" s="412"/>
      <c r="U705" s="412"/>
      <c r="V705" s="412"/>
      <c r="W705" s="412"/>
      <c r="X705" s="412"/>
      <c r="Y705" s="412"/>
      <c r="Z705" s="412"/>
    </row>
    <row r="706" spans="1:26" ht="12.75" x14ac:dyDescent="0.2">
      <c r="A706" s="412"/>
      <c r="B706" s="412"/>
      <c r="C706" s="412"/>
      <c r="D706" s="412"/>
      <c r="E706" s="412"/>
      <c r="F706" s="412"/>
      <c r="G706" s="412"/>
      <c r="H706" s="412"/>
      <c r="I706" s="412"/>
      <c r="J706" s="412"/>
      <c r="K706" s="412"/>
      <c r="L706" s="412"/>
      <c r="M706" s="412"/>
      <c r="N706" s="412"/>
      <c r="O706" s="412"/>
      <c r="P706" s="412"/>
      <c r="Q706" s="412"/>
      <c r="R706" s="412"/>
      <c r="S706" s="412"/>
      <c r="T706" s="412"/>
      <c r="U706" s="412"/>
      <c r="V706" s="412"/>
      <c r="W706" s="412"/>
      <c r="X706" s="412"/>
      <c r="Y706" s="412"/>
      <c r="Z706" s="412"/>
    </row>
    <row r="707" spans="1:26" ht="12.75" x14ac:dyDescent="0.2">
      <c r="A707" s="412"/>
      <c r="B707" s="412"/>
      <c r="C707" s="412"/>
      <c r="D707" s="412"/>
      <c r="E707" s="412"/>
      <c r="F707" s="412"/>
      <c r="G707" s="412"/>
      <c r="H707" s="412"/>
      <c r="I707" s="412"/>
      <c r="J707" s="412"/>
      <c r="K707" s="412"/>
      <c r="L707" s="412"/>
      <c r="M707" s="412"/>
      <c r="N707" s="412"/>
      <c r="O707" s="412"/>
      <c r="P707" s="412"/>
      <c r="Q707" s="412"/>
      <c r="R707" s="412"/>
      <c r="S707" s="412"/>
      <c r="T707" s="412"/>
      <c r="U707" s="412"/>
      <c r="V707" s="412"/>
      <c r="W707" s="412"/>
      <c r="X707" s="412"/>
      <c r="Y707" s="412"/>
      <c r="Z707" s="412"/>
    </row>
    <row r="708" spans="1:26" ht="12.75" x14ac:dyDescent="0.2">
      <c r="A708" s="412"/>
      <c r="B708" s="412"/>
      <c r="C708" s="412"/>
      <c r="D708" s="412"/>
      <c r="E708" s="412"/>
      <c r="F708" s="412"/>
      <c r="G708" s="412"/>
      <c r="H708" s="412"/>
      <c r="I708" s="412"/>
      <c r="J708" s="412"/>
      <c r="K708" s="412"/>
      <c r="L708" s="412"/>
      <c r="M708" s="412"/>
      <c r="N708" s="412"/>
      <c r="O708" s="412"/>
      <c r="P708" s="412"/>
      <c r="Q708" s="412"/>
      <c r="R708" s="412"/>
      <c r="S708" s="412"/>
      <c r="T708" s="412"/>
      <c r="U708" s="412"/>
      <c r="V708" s="412"/>
      <c r="W708" s="412"/>
      <c r="X708" s="412"/>
      <c r="Y708" s="412"/>
      <c r="Z708" s="412"/>
    </row>
    <row r="709" spans="1:26" ht="12.75" x14ac:dyDescent="0.2">
      <c r="A709" s="412"/>
      <c r="B709" s="412"/>
      <c r="C709" s="412"/>
      <c r="D709" s="412"/>
      <c r="E709" s="412"/>
      <c r="F709" s="412"/>
      <c r="G709" s="412"/>
      <c r="H709" s="412"/>
      <c r="I709" s="412"/>
      <c r="J709" s="412"/>
      <c r="K709" s="412"/>
      <c r="L709" s="412"/>
      <c r="M709" s="412"/>
      <c r="N709" s="412"/>
      <c r="O709" s="412"/>
      <c r="P709" s="412"/>
      <c r="Q709" s="412"/>
      <c r="R709" s="412"/>
      <c r="S709" s="412"/>
      <c r="T709" s="412"/>
      <c r="U709" s="412"/>
      <c r="V709" s="412"/>
      <c r="W709" s="412"/>
      <c r="X709" s="412"/>
      <c r="Y709" s="412"/>
      <c r="Z709" s="412"/>
    </row>
    <row r="710" spans="1:26" ht="12.75" x14ac:dyDescent="0.2">
      <c r="A710" s="412"/>
      <c r="B710" s="412"/>
      <c r="C710" s="412"/>
      <c r="D710" s="412"/>
      <c r="E710" s="412"/>
      <c r="F710" s="412"/>
      <c r="G710" s="412"/>
      <c r="H710" s="412"/>
      <c r="I710" s="412"/>
      <c r="J710" s="412"/>
      <c r="K710" s="412"/>
      <c r="L710" s="412"/>
      <c r="M710" s="412"/>
      <c r="N710" s="412"/>
      <c r="O710" s="412"/>
      <c r="P710" s="412"/>
      <c r="Q710" s="412"/>
      <c r="R710" s="412"/>
      <c r="S710" s="412"/>
      <c r="T710" s="412"/>
      <c r="U710" s="412"/>
      <c r="V710" s="412"/>
      <c r="W710" s="412"/>
      <c r="X710" s="412"/>
      <c r="Y710" s="412"/>
      <c r="Z710" s="412"/>
    </row>
    <row r="711" spans="1:26" ht="12.75" x14ac:dyDescent="0.2">
      <c r="A711" s="412"/>
      <c r="B711" s="412"/>
      <c r="C711" s="412"/>
      <c r="D711" s="412"/>
      <c r="E711" s="412"/>
      <c r="F711" s="412"/>
      <c r="G711" s="412"/>
      <c r="H711" s="412"/>
      <c r="I711" s="412"/>
      <c r="J711" s="412"/>
      <c r="K711" s="412"/>
      <c r="L711" s="412"/>
      <c r="M711" s="412"/>
      <c r="N711" s="412"/>
      <c r="O711" s="412"/>
      <c r="P711" s="412"/>
      <c r="Q711" s="412"/>
      <c r="R711" s="412"/>
      <c r="S711" s="412"/>
      <c r="T711" s="412"/>
      <c r="U711" s="412"/>
      <c r="V711" s="412"/>
      <c r="W711" s="412"/>
      <c r="X711" s="412"/>
      <c r="Y711" s="412"/>
      <c r="Z711" s="412"/>
    </row>
    <row r="712" spans="1:26" ht="12.75" x14ac:dyDescent="0.2">
      <c r="A712" s="412"/>
      <c r="B712" s="412"/>
      <c r="C712" s="412"/>
      <c r="D712" s="412"/>
      <c r="E712" s="412"/>
      <c r="F712" s="412"/>
      <c r="G712" s="412"/>
      <c r="H712" s="412"/>
      <c r="I712" s="412"/>
      <c r="J712" s="412"/>
      <c r="K712" s="412"/>
      <c r="L712" s="412"/>
      <c r="M712" s="412"/>
      <c r="N712" s="412"/>
      <c r="O712" s="412"/>
      <c r="P712" s="412"/>
      <c r="Q712" s="412"/>
      <c r="R712" s="412"/>
      <c r="S712" s="412"/>
      <c r="T712" s="412"/>
      <c r="U712" s="412"/>
      <c r="V712" s="412"/>
      <c r="W712" s="412"/>
      <c r="X712" s="412"/>
      <c r="Y712" s="412"/>
      <c r="Z712" s="412"/>
    </row>
    <row r="713" spans="1:26" ht="12.75" x14ac:dyDescent="0.2">
      <c r="A713" s="412"/>
      <c r="B713" s="412"/>
      <c r="C713" s="412"/>
      <c r="D713" s="412"/>
      <c r="E713" s="412"/>
      <c r="F713" s="412"/>
      <c r="G713" s="412"/>
      <c r="H713" s="412"/>
      <c r="I713" s="412"/>
      <c r="J713" s="412"/>
      <c r="K713" s="412"/>
      <c r="L713" s="412"/>
      <c r="M713" s="412"/>
      <c r="N713" s="412"/>
      <c r="O713" s="412"/>
      <c r="P713" s="412"/>
      <c r="Q713" s="412"/>
      <c r="R713" s="412"/>
      <c r="S713" s="412"/>
      <c r="T713" s="412"/>
      <c r="U713" s="412"/>
      <c r="V713" s="412"/>
      <c r="W713" s="412"/>
      <c r="X713" s="412"/>
      <c r="Y713" s="412"/>
      <c r="Z713" s="412"/>
    </row>
    <row r="714" spans="1:26" ht="12.75" x14ac:dyDescent="0.2">
      <c r="A714" s="412"/>
      <c r="B714" s="412"/>
      <c r="C714" s="412"/>
      <c r="D714" s="412"/>
      <c r="E714" s="412"/>
      <c r="F714" s="412"/>
      <c r="G714" s="412"/>
      <c r="H714" s="412"/>
      <c r="I714" s="412"/>
      <c r="J714" s="412"/>
      <c r="K714" s="412"/>
      <c r="L714" s="412"/>
      <c r="M714" s="412"/>
      <c r="N714" s="412"/>
      <c r="O714" s="412"/>
      <c r="P714" s="412"/>
      <c r="Q714" s="412"/>
      <c r="R714" s="412"/>
      <c r="S714" s="412"/>
      <c r="T714" s="412"/>
      <c r="U714" s="412"/>
      <c r="V714" s="412"/>
      <c r="W714" s="412"/>
      <c r="X714" s="412"/>
      <c r="Y714" s="412"/>
      <c r="Z714" s="412"/>
    </row>
    <row r="715" spans="1:26" ht="12.75" x14ac:dyDescent="0.2">
      <c r="A715" s="412"/>
      <c r="B715" s="412"/>
      <c r="C715" s="412"/>
      <c r="D715" s="412"/>
      <c r="E715" s="412"/>
      <c r="F715" s="412"/>
      <c r="G715" s="412"/>
      <c r="H715" s="412"/>
      <c r="I715" s="412"/>
      <c r="J715" s="412"/>
      <c r="K715" s="412"/>
      <c r="L715" s="412"/>
      <c r="M715" s="412"/>
      <c r="N715" s="412"/>
      <c r="O715" s="412"/>
      <c r="P715" s="412"/>
      <c r="Q715" s="412"/>
      <c r="R715" s="412"/>
      <c r="S715" s="412"/>
      <c r="T715" s="412"/>
      <c r="U715" s="412"/>
      <c r="V715" s="412"/>
      <c r="W715" s="412"/>
      <c r="X715" s="412"/>
      <c r="Y715" s="412"/>
      <c r="Z715" s="412"/>
    </row>
    <row r="716" spans="1:26" ht="12.75" x14ac:dyDescent="0.2">
      <c r="A716" s="412"/>
      <c r="B716" s="412"/>
      <c r="C716" s="412"/>
      <c r="D716" s="412"/>
      <c r="E716" s="412"/>
      <c r="F716" s="412"/>
      <c r="G716" s="412"/>
      <c r="H716" s="412"/>
      <c r="I716" s="412"/>
      <c r="J716" s="412"/>
      <c r="K716" s="412"/>
      <c r="L716" s="412"/>
      <c r="M716" s="412"/>
      <c r="N716" s="412"/>
      <c r="O716" s="412"/>
      <c r="P716" s="412"/>
      <c r="Q716" s="412"/>
      <c r="R716" s="412"/>
      <c r="S716" s="412"/>
      <c r="T716" s="412"/>
      <c r="U716" s="412"/>
      <c r="V716" s="412"/>
      <c r="W716" s="412"/>
      <c r="X716" s="412"/>
      <c r="Y716" s="412"/>
      <c r="Z716" s="412"/>
    </row>
    <row r="717" spans="1:26" ht="12.75" x14ac:dyDescent="0.2">
      <c r="A717" s="412"/>
      <c r="B717" s="412"/>
      <c r="C717" s="412"/>
      <c r="D717" s="412"/>
      <c r="E717" s="412"/>
      <c r="F717" s="412"/>
      <c r="G717" s="412"/>
      <c r="H717" s="412"/>
      <c r="I717" s="412"/>
      <c r="J717" s="412"/>
      <c r="K717" s="412"/>
      <c r="L717" s="412"/>
      <c r="M717" s="412"/>
      <c r="N717" s="412"/>
      <c r="O717" s="412"/>
      <c r="P717" s="412"/>
      <c r="Q717" s="412"/>
      <c r="R717" s="412"/>
      <c r="S717" s="412"/>
      <c r="T717" s="412"/>
      <c r="U717" s="412"/>
      <c r="V717" s="412"/>
      <c r="W717" s="412"/>
      <c r="X717" s="412"/>
      <c r="Y717" s="412"/>
      <c r="Z717" s="412"/>
    </row>
    <row r="718" spans="1:26" ht="12.75" x14ac:dyDescent="0.2">
      <c r="A718" s="412"/>
      <c r="B718" s="412"/>
      <c r="C718" s="412"/>
      <c r="D718" s="412"/>
      <c r="E718" s="412"/>
      <c r="F718" s="412"/>
      <c r="G718" s="412"/>
      <c r="H718" s="412"/>
      <c r="I718" s="412"/>
      <c r="J718" s="412"/>
      <c r="K718" s="412"/>
      <c r="L718" s="412"/>
      <c r="M718" s="412"/>
      <c r="N718" s="412"/>
      <c r="O718" s="412"/>
      <c r="P718" s="412"/>
      <c r="Q718" s="412"/>
      <c r="R718" s="412"/>
      <c r="S718" s="412"/>
      <c r="T718" s="412"/>
      <c r="U718" s="412"/>
      <c r="V718" s="412"/>
      <c r="W718" s="412"/>
      <c r="X718" s="412"/>
      <c r="Y718" s="412"/>
      <c r="Z718" s="412"/>
    </row>
    <row r="719" spans="1:26" ht="12.75" x14ac:dyDescent="0.2">
      <c r="A719" s="412"/>
      <c r="B719" s="412"/>
      <c r="C719" s="412"/>
      <c r="D719" s="412"/>
      <c r="E719" s="412"/>
      <c r="F719" s="412"/>
      <c r="G719" s="412"/>
      <c r="H719" s="412"/>
      <c r="I719" s="412"/>
      <c r="J719" s="412"/>
      <c r="K719" s="412"/>
      <c r="L719" s="412"/>
      <c r="M719" s="412"/>
      <c r="N719" s="412"/>
      <c r="O719" s="412"/>
      <c r="P719" s="412"/>
      <c r="Q719" s="412"/>
      <c r="R719" s="412"/>
      <c r="S719" s="412"/>
      <c r="T719" s="412"/>
      <c r="U719" s="412"/>
      <c r="V719" s="412"/>
      <c r="W719" s="412"/>
      <c r="X719" s="412"/>
      <c r="Y719" s="412"/>
      <c r="Z719" s="412"/>
    </row>
    <row r="720" spans="1:26" ht="12.75" x14ac:dyDescent="0.2">
      <c r="A720" s="412"/>
      <c r="B720" s="412"/>
      <c r="C720" s="412"/>
      <c r="D720" s="412"/>
      <c r="E720" s="412"/>
      <c r="F720" s="412"/>
      <c r="G720" s="412"/>
      <c r="H720" s="412"/>
      <c r="I720" s="412"/>
      <c r="J720" s="412"/>
      <c r="K720" s="412"/>
      <c r="L720" s="412"/>
      <c r="M720" s="412"/>
      <c r="N720" s="412"/>
      <c r="O720" s="412"/>
      <c r="P720" s="412"/>
      <c r="Q720" s="412"/>
      <c r="R720" s="412"/>
      <c r="S720" s="412"/>
      <c r="T720" s="412"/>
      <c r="U720" s="412"/>
      <c r="V720" s="412"/>
      <c r="W720" s="412"/>
      <c r="X720" s="412"/>
      <c r="Y720" s="412"/>
      <c r="Z720" s="412"/>
    </row>
    <row r="721" spans="1:26" ht="12.75" x14ac:dyDescent="0.2">
      <c r="A721" s="412"/>
      <c r="B721" s="412"/>
      <c r="C721" s="412"/>
      <c r="D721" s="412"/>
      <c r="E721" s="412"/>
      <c r="F721" s="412"/>
      <c r="G721" s="412"/>
      <c r="H721" s="412"/>
      <c r="I721" s="412"/>
      <c r="J721" s="412"/>
      <c r="K721" s="412"/>
      <c r="L721" s="412"/>
      <c r="M721" s="412"/>
      <c r="N721" s="412"/>
      <c r="O721" s="412"/>
      <c r="P721" s="412"/>
      <c r="Q721" s="412"/>
      <c r="R721" s="412"/>
      <c r="S721" s="412"/>
      <c r="T721" s="412"/>
      <c r="U721" s="412"/>
      <c r="V721" s="412"/>
      <c r="W721" s="412"/>
      <c r="X721" s="412"/>
      <c r="Y721" s="412"/>
      <c r="Z721" s="412"/>
    </row>
    <row r="722" spans="1:26" ht="12.75" x14ac:dyDescent="0.2">
      <c r="A722" s="412"/>
      <c r="B722" s="412"/>
      <c r="C722" s="412"/>
      <c r="D722" s="412"/>
      <c r="E722" s="412"/>
      <c r="F722" s="412"/>
      <c r="G722" s="412"/>
      <c r="H722" s="412"/>
      <c r="I722" s="412"/>
      <c r="J722" s="412"/>
      <c r="K722" s="412"/>
      <c r="L722" s="412"/>
      <c r="M722" s="412"/>
      <c r="N722" s="412"/>
      <c r="O722" s="412"/>
      <c r="P722" s="412"/>
      <c r="Q722" s="412"/>
      <c r="R722" s="412"/>
      <c r="S722" s="412"/>
      <c r="T722" s="412"/>
      <c r="U722" s="412"/>
      <c r="V722" s="412"/>
      <c r="W722" s="412"/>
      <c r="X722" s="412"/>
      <c r="Y722" s="412"/>
      <c r="Z722" s="412"/>
    </row>
    <row r="723" spans="1:26" ht="12.75" x14ac:dyDescent="0.2">
      <c r="A723" s="412"/>
      <c r="B723" s="412"/>
      <c r="C723" s="412"/>
      <c r="D723" s="412"/>
      <c r="E723" s="412"/>
      <c r="F723" s="412"/>
      <c r="G723" s="412"/>
      <c r="H723" s="412"/>
      <c r="I723" s="412"/>
      <c r="J723" s="412"/>
      <c r="K723" s="412"/>
      <c r="L723" s="412"/>
      <c r="M723" s="412"/>
      <c r="N723" s="412"/>
      <c r="O723" s="412"/>
      <c r="P723" s="412"/>
      <c r="Q723" s="412"/>
      <c r="R723" s="412"/>
      <c r="S723" s="412"/>
      <c r="T723" s="412"/>
      <c r="U723" s="412"/>
      <c r="V723" s="412"/>
      <c r="W723" s="412"/>
      <c r="X723" s="412"/>
      <c r="Y723" s="412"/>
      <c r="Z723" s="412"/>
    </row>
    <row r="724" spans="1:26" ht="12.75" x14ac:dyDescent="0.2">
      <c r="A724" s="412"/>
      <c r="B724" s="412"/>
      <c r="C724" s="412"/>
      <c r="D724" s="412"/>
      <c r="E724" s="412"/>
      <c r="F724" s="412"/>
      <c r="G724" s="412"/>
      <c r="H724" s="412"/>
      <c r="I724" s="412"/>
      <c r="J724" s="412"/>
      <c r="K724" s="412"/>
      <c r="L724" s="412"/>
      <c r="M724" s="412"/>
      <c r="N724" s="412"/>
      <c r="O724" s="412"/>
      <c r="P724" s="412"/>
      <c r="Q724" s="412"/>
      <c r="R724" s="412"/>
      <c r="S724" s="412"/>
      <c r="T724" s="412"/>
      <c r="U724" s="412"/>
      <c r="V724" s="412"/>
      <c r="W724" s="412"/>
      <c r="X724" s="412"/>
      <c r="Y724" s="412"/>
      <c r="Z724" s="412"/>
    </row>
    <row r="725" spans="1:26" ht="12.75" x14ac:dyDescent="0.2">
      <c r="A725" s="412"/>
      <c r="B725" s="412"/>
      <c r="C725" s="412"/>
      <c r="D725" s="412"/>
      <c r="E725" s="412"/>
      <c r="F725" s="412"/>
      <c r="G725" s="412"/>
      <c r="H725" s="412"/>
      <c r="I725" s="412"/>
      <c r="J725" s="412"/>
      <c r="K725" s="412"/>
      <c r="L725" s="412"/>
      <c r="M725" s="412"/>
      <c r="N725" s="412"/>
      <c r="O725" s="412"/>
      <c r="P725" s="412"/>
      <c r="Q725" s="412"/>
      <c r="R725" s="412"/>
      <c r="S725" s="412"/>
      <c r="T725" s="412"/>
      <c r="U725" s="412"/>
      <c r="V725" s="412"/>
      <c r="W725" s="412"/>
      <c r="X725" s="412"/>
      <c r="Y725" s="412"/>
      <c r="Z725" s="412"/>
    </row>
    <row r="726" spans="1:26" ht="12.75" x14ac:dyDescent="0.2">
      <c r="A726" s="412"/>
      <c r="B726" s="412"/>
      <c r="C726" s="412"/>
      <c r="D726" s="412"/>
      <c r="E726" s="412"/>
      <c r="F726" s="412"/>
      <c r="G726" s="412"/>
      <c r="H726" s="412"/>
      <c r="I726" s="412"/>
      <c r="J726" s="412"/>
      <c r="K726" s="412"/>
      <c r="L726" s="412"/>
      <c r="M726" s="412"/>
      <c r="N726" s="412"/>
      <c r="O726" s="412"/>
      <c r="P726" s="412"/>
      <c r="Q726" s="412"/>
      <c r="R726" s="412"/>
      <c r="S726" s="412"/>
      <c r="T726" s="412"/>
      <c r="U726" s="412"/>
      <c r="V726" s="412"/>
      <c r="W726" s="412"/>
      <c r="X726" s="412"/>
      <c r="Y726" s="412"/>
      <c r="Z726" s="412"/>
    </row>
    <row r="727" spans="1:26" ht="12.75" x14ac:dyDescent="0.2">
      <c r="A727" s="412"/>
      <c r="B727" s="412"/>
      <c r="C727" s="412"/>
      <c r="D727" s="412"/>
      <c r="E727" s="412"/>
      <c r="F727" s="412"/>
      <c r="G727" s="412"/>
      <c r="H727" s="412"/>
      <c r="I727" s="412"/>
      <c r="J727" s="412"/>
      <c r="K727" s="412"/>
      <c r="L727" s="412"/>
      <c r="M727" s="412"/>
      <c r="N727" s="412"/>
      <c r="O727" s="412"/>
      <c r="P727" s="412"/>
      <c r="Q727" s="412"/>
      <c r="R727" s="412"/>
      <c r="S727" s="412"/>
      <c r="T727" s="412"/>
      <c r="U727" s="412"/>
      <c r="V727" s="412"/>
      <c r="W727" s="412"/>
      <c r="X727" s="412"/>
      <c r="Y727" s="412"/>
      <c r="Z727" s="412"/>
    </row>
    <row r="728" spans="1:26" ht="12.75" x14ac:dyDescent="0.2">
      <c r="A728" s="412"/>
      <c r="B728" s="412"/>
      <c r="C728" s="412"/>
      <c r="D728" s="412"/>
      <c r="E728" s="412"/>
      <c r="F728" s="412"/>
      <c r="G728" s="412"/>
      <c r="H728" s="412"/>
      <c r="I728" s="412"/>
      <c r="J728" s="412"/>
      <c r="K728" s="412"/>
      <c r="L728" s="412"/>
      <c r="M728" s="412"/>
      <c r="N728" s="412"/>
      <c r="O728" s="412"/>
      <c r="P728" s="412"/>
      <c r="Q728" s="412"/>
      <c r="R728" s="412"/>
      <c r="S728" s="412"/>
      <c r="T728" s="412"/>
      <c r="U728" s="412"/>
      <c r="V728" s="412"/>
      <c r="W728" s="412"/>
      <c r="X728" s="412"/>
      <c r="Y728" s="412"/>
      <c r="Z728" s="412"/>
    </row>
    <row r="729" spans="1:26" ht="12.75" x14ac:dyDescent="0.2">
      <c r="A729" s="412"/>
      <c r="B729" s="412"/>
      <c r="C729" s="412"/>
      <c r="D729" s="412"/>
      <c r="E729" s="412"/>
      <c r="F729" s="412"/>
      <c r="G729" s="412"/>
      <c r="H729" s="412"/>
      <c r="I729" s="412"/>
      <c r="J729" s="412"/>
      <c r="K729" s="412"/>
      <c r="L729" s="412"/>
      <c r="M729" s="412"/>
      <c r="N729" s="412"/>
      <c r="O729" s="412"/>
      <c r="P729" s="412"/>
      <c r="Q729" s="412"/>
      <c r="R729" s="412"/>
      <c r="S729" s="412"/>
      <c r="T729" s="412"/>
      <c r="U729" s="412"/>
      <c r="V729" s="412"/>
      <c r="W729" s="412"/>
      <c r="X729" s="412"/>
      <c r="Y729" s="412"/>
      <c r="Z729" s="412"/>
    </row>
    <row r="730" spans="1:26" ht="12.75" x14ac:dyDescent="0.2">
      <c r="A730" s="412"/>
      <c r="B730" s="412"/>
      <c r="C730" s="412"/>
      <c r="D730" s="412"/>
      <c r="E730" s="412"/>
      <c r="F730" s="412"/>
      <c r="G730" s="412"/>
      <c r="H730" s="412"/>
      <c r="I730" s="412"/>
      <c r="J730" s="412"/>
      <c r="K730" s="412"/>
      <c r="L730" s="412"/>
      <c r="M730" s="412"/>
      <c r="N730" s="412"/>
      <c r="O730" s="412"/>
      <c r="P730" s="412"/>
      <c r="Q730" s="412"/>
      <c r="R730" s="412"/>
      <c r="S730" s="412"/>
      <c r="T730" s="412"/>
      <c r="U730" s="412"/>
      <c r="V730" s="412"/>
      <c r="W730" s="412"/>
      <c r="X730" s="412"/>
      <c r="Y730" s="412"/>
      <c r="Z730" s="412"/>
    </row>
    <row r="731" spans="1:26" ht="12.75" x14ac:dyDescent="0.2">
      <c r="A731" s="412"/>
      <c r="B731" s="412"/>
      <c r="C731" s="412"/>
      <c r="D731" s="412"/>
      <c r="E731" s="412"/>
      <c r="F731" s="412"/>
      <c r="G731" s="412"/>
      <c r="H731" s="412"/>
      <c r="I731" s="412"/>
      <c r="J731" s="412"/>
      <c r="K731" s="412"/>
      <c r="L731" s="412"/>
      <c r="M731" s="412"/>
      <c r="N731" s="412"/>
      <c r="O731" s="412"/>
      <c r="P731" s="412"/>
      <c r="Q731" s="412"/>
      <c r="R731" s="412"/>
      <c r="S731" s="412"/>
      <c r="T731" s="412"/>
      <c r="U731" s="412"/>
      <c r="V731" s="412"/>
      <c r="W731" s="412"/>
      <c r="X731" s="412"/>
      <c r="Y731" s="412"/>
      <c r="Z731" s="412"/>
    </row>
    <row r="732" spans="1:26" ht="12.75" x14ac:dyDescent="0.2">
      <c r="A732" s="412"/>
      <c r="B732" s="412"/>
      <c r="C732" s="412"/>
      <c r="D732" s="412"/>
      <c r="E732" s="412"/>
      <c r="F732" s="412"/>
      <c r="G732" s="412"/>
      <c r="H732" s="412"/>
      <c r="I732" s="412"/>
      <c r="J732" s="412"/>
      <c r="K732" s="412"/>
      <c r="L732" s="412"/>
      <c r="M732" s="412"/>
      <c r="N732" s="412"/>
      <c r="O732" s="412"/>
      <c r="P732" s="412"/>
      <c r="Q732" s="412"/>
      <c r="R732" s="412"/>
      <c r="S732" s="412"/>
      <c r="T732" s="412"/>
      <c r="U732" s="412"/>
      <c r="V732" s="412"/>
      <c r="W732" s="412"/>
      <c r="X732" s="412"/>
      <c r="Y732" s="412"/>
      <c r="Z732" s="412"/>
    </row>
    <row r="733" spans="1:26" ht="12.75" x14ac:dyDescent="0.2">
      <c r="A733" s="412"/>
      <c r="B733" s="412"/>
      <c r="C733" s="412"/>
      <c r="D733" s="412"/>
      <c r="E733" s="412"/>
      <c r="F733" s="412"/>
      <c r="G733" s="412"/>
      <c r="H733" s="412"/>
      <c r="I733" s="412"/>
      <c r="J733" s="412"/>
      <c r="K733" s="412"/>
      <c r="L733" s="412"/>
      <c r="M733" s="412"/>
      <c r="N733" s="412"/>
      <c r="O733" s="412"/>
      <c r="P733" s="412"/>
      <c r="Q733" s="412"/>
      <c r="R733" s="412"/>
      <c r="S733" s="412"/>
      <c r="T733" s="412"/>
      <c r="U733" s="412"/>
      <c r="V733" s="412"/>
      <c r="W733" s="412"/>
      <c r="X733" s="412"/>
      <c r="Y733" s="412"/>
      <c r="Z733" s="412"/>
    </row>
    <row r="734" spans="1:26" ht="12.75" x14ac:dyDescent="0.2">
      <c r="A734" s="412"/>
      <c r="B734" s="412"/>
      <c r="C734" s="412"/>
      <c r="D734" s="412"/>
      <c r="E734" s="412"/>
      <c r="F734" s="412"/>
      <c r="G734" s="412"/>
      <c r="H734" s="412"/>
      <c r="I734" s="412"/>
      <c r="J734" s="412"/>
      <c r="K734" s="412"/>
      <c r="L734" s="412"/>
      <c r="M734" s="412"/>
      <c r="N734" s="412"/>
      <c r="O734" s="412"/>
      <c r="P734" s="412"/>
      <c r="Q734" s="412"/>
      <c r="R734" s="412"/>
      <c r="S734" s="412"/>
      <c r="T734" s="412"/>
      <c r="U734" s="412"/>
      <c r="V734" s="412"/>
      <c r="W734" s="412"/>
      <c r="X734" s="412"/>
      <c r="Y734" s="412"/>
      <c r="Z734" s="412"/>
    </row>
    <row r="735" spans="1:26" ht="12.75" x14ac:dyDescent="0.2">
      <c r="A735" s="412"/>
      <c r="B735" s="412"/>
      <c r="C735" s="412"/>
      <c r="D735" s="412"/>
      <c r="E735" s="412"/>
      <c r="F735" s="412"/>
      <c r="G735" s="412"/>
      <c r="H735" s="412"/>
      <c r="I735" s="412"/>
      <c r="J735" s="412"/>
      <c r="K735" s="412"/>
      <c r="L735" s="412"/>
      <c r="M735" s="412"/>
      <c r="N735" s="412"/>
      <c r="O735" s="412"/>
      <c r="P735" s="412"/>
      <c r="Q735" s="412"/>
      <c r="R735" s="412"/>
      <c r="S735" s="412"/>
      <c r="T735" s="412"/>
      <c r="U735" s="412"/>
      <c r="V735" s="412"/>
      <c r="W735" s="412"/>
      <c r="X735" s="412"/>
      <c r="Y735" s="412"/>
      <c r="Z735" s="412"/>
    </row>
    <row r="736" spans="1:26" ht="12.75" x14ac:dyDescent="0.2">
      <c r="A736" s="412"/>
      <c r="B736" s="412"/>
      <c r="C736" s="412"/>
      <c r="D736" s="412"/>
      <c r="E736" s="412"/>
      <c r="F736" s="412"/>
      <c r="G736" s="412"/>
      <c r="H736" s="412"/>
      <c r="I736" s="412"/>
      <c r="J736" s="412"/>
      <c r="K736" s="412"/>
      <c r="L736" s="412"/>
      <c r="M736" s="412"/>
      <c r="N736" s="412"/>
      <c r="O736" s="412"/>
      <c r="P736" s="412"/>
      <c r="Q736" s="412"/>
      <c r="R736" s="412"/>
      <c r="S736" s="412"/>
      <c r="T736" s="412"/>
      <c r="U736" s="412"/>
      <c r="V736" s="412"/>
      <c r="W736" s="412"/>
      <c r="X736" s="412"/>
      <c r="Y736" s="412"/>
      <c r="Z736" s="412"/>
    </row>
    <row r="737" spans="1:26" ht="12.75" x14ac:dyDescent="0.2">
      <c r="A737" s="412"/>
      <c r="B737" s="412"/>
      <c r="C737" s="412"/>
      <c r="D737" s="412"/>
      <c r="E737" s="412"/>
      <c r="F737" s="412"/>
      <c r="G737" s="412"/>
      <c r="H737" s="412"/>
      <c r="I737" s="412"/>
      <c r="J737" s="412"/>
      <c r="K737" s="412"/>
      <c r="L737" s="412"/>
      <c r="M737" s="412"/>
      <c r="N737" s="412"/>
      <c r="O737" s="412"/>
      <c r="P737" s="412"/>
      <c r="Q737" s="412"/>
      <c r="R737" s="412"/>
      <c r="S737" s="412"/>
      <c r="T737" s="412"/>
      <c r="U737" s="412"/>
      <c r="V737" s="412"/>
      <c r="W737" s="412"/>
      <c r="X737" s="412"/>
      <c r="Y737" s="412"/>
      <c r="Z737" s="412"/>
    </row>
    <row r="738" spans="1:26" ht="12.75" x14ac:dyDescent="0.2">
      <c r="A738" s="412"/>
      <c r="B738" s="412"/>
      <c r="C738" s="412"/>
      <c r="D738" s="412"/>
      <c r="E738" s="412"/>
      <c r="F738" s="412"/>
      <c r="G738" s="412"/>
      <c r="H738" s="412"/>
      <c r="I738" s="412"/>
      <c r="J738" s="412"/>
      <c r="K738" s="412"/>
      <c r="L738" s="412"/>
      <c r="M738" s="412"/>
      <c r="N738" s="412"/>
      <c r="O738" s="412"/>
      <c r="P738" s="412"/>
      <c r="Q738" s="412"/>
      <c r="R738" s="412"/>
      <c r="S738" s="412"/>
      <c r="T738" s="412"/>
      <c r="U738" s="412"/>
      <c r="V738" s="412"/>
      <c r="W738" s="412"/>
      <c r="X738" s="412"/>
      <c r="Y738" s="412"/>
      <c r="Z738" s="412"/>
    </row>
    <row r="739" spans="1:26" ht="12.75" x14ac:dyDescent="0.2">
      <c r="A739" s="412"/>
      <c r="B739" s="412"/>
      <c r="C739" s="412"/>
      <c r="D739" s="412"/>
      <c r="E739" s="412"/>
      <c r="F739" s="412"/>
      <c r="G739" s="412"/>
      <c r="H739" s="412"/>
      <c r="I739" s="412"/>
      <c r="J739" s="412"/>
      <c r="K739" s="412"/>
      <c r="L739" s="412"/>
      <c r="M739" s="412"/>
      <c r="N739" s="412"/>
      <c r="O739" s="412"/>
      <c r="P739" s="412"/>
      <c r="Q739" s="412"/>
      <c r="R739" s="412"/>
      <c r="S739" s="412"/>
      <c r="T739" s="412"/>
      <c r="U739" s="412"/>
      <c r="V739" s="412"/>
      <c r="W739" s="412"/>
      <c r="X739" s="412"/>
      <c r="Y739" s="412"/>
      <c r="Z739" s="412"/>
    </row>
    <row r="740" spans="1:26" ht="12.75" x14ac:dyDescent="0.2">
      <c r="A740" s="412"/>
      <c r="B740" s="412"/>
      <c r="C740" s="412"/>
      <c r="D740" s="412"/>
      <c r="E740" s="412"/>
      <c r="F740" s="412"/>
      <c r="G740" s="412"/>
      <c r="H740" s="412"/>
      <c r="I740" s="412"/>
      <c r="J740" s="412"/>
      <c r="K740" s="412"/>
      <c r="L740" s="412"/>
      <c r="M740" s="412"/>
      <c r="N740" s="412"/>
      <c r="O740" s="412"/>
      <c r="P740" s="412"/>
      <c r="Q740" s="412"/>
      <c r="R740" s="412"/>
      <c r="S740" s="412"/>
      <c r="T740" s="412"/>
      <c r="U740" s="412"/>
      <c r="V740" s="412"/>
      <c r="W740" s="412"/>
      <c r="X740" s="412"/>
      <c r="Y740" s="412"/>
      <c r="Z740" s="412"/>
    </row>
    <row r="741" spans="1:26" ht="12.75" x14ac:dyDescent="0.2">
      <c r="A741" s="412"/>
      <c r="B741" s="412"/>
      <c r="C741" s="412"/>
      <c r="D741" s="412"/>
      <c r="E741" s="412"/>
      <c r="F741" s="412"/>
      <c r="G741" s="412"/>
      <c r="H741" s="412"/>
      <c r="I741" s="412"/>
      <c r="J741" s="412"/>
      <c r="K741" s="412"/>
      <c r="L741" s="412"/>
      <c r="M741" s="412"/>
      <c r="N741" s="412"/>
      <c r="O741" s="412"/>
      <c r="P741" s="412"/>
      <c r="Q741" s="412"/>
      <c r="R741" s="412"/>
      <c r="S741" s="412"/>
      <c r="T741" s="412"/>
      <c r="U741" s="412"/>
      <c r="V741" s="412"/>
      <c r="W741" s="412"/>
      <c r="X741" s="412"/>
      <c r="Y741" s="412"/>
      <c r="Z741" s="412"/>
    </row>
    <row r="742" spans="1:26" ht="12.75" x14ac:dyDescent="0.2">
      <c r="A742" s="412"/>
      <c r="B742" s="412"/>
      <c r="C742" s="412"/>
      <c r="D742" s="412"/>
      <c r="E742" s="412"/>
      <c r="F742" s="412"/>
      <c r="G742" s="412"/>
      <c r="H742" s="412"/>
      <c r="I742" s="412"/>
      <c r="J742" s="412"/>
      <c r="K742" s="412"/>
      <c r="L742" s="412"/>
      <c r="M742" s="412"/>
      <c r="N742" s="412"/>
      <c r="O742" s="412"/>
      <c r="P742" s="412"/>
      <c r="Q742" s="412"/>
      <c r="R742" s="412"/>
      <c r="S742" s="412"/>
      <c r="T742" s="412"/>
      <c r="U742" s="412"/>
      <c r="V742" s="412"/>
      <c r="W742" s="412"/>
      <c r="X742" s="412"/>
      <c r="Y742" s="412"/>
      <c r="Z742" s="412"/>
    </row>
    <row r="743" spans="1:26" ht="12.75" x14ac:dyDescent="0.2">
      <c r="A743" s="412"/>
      <c r="B743" s="412"/>
      <c r="C743" s="412"/>
      <c r="D743" s="412"/>
      <c r="E743" s="412"/>
      <c r="F743" s="412"/>
      <c r="G743" s="412"/>
      <c r="H743" s="412"/>
      <c r="I743" s="412"/>
      <c r="J743" s="412"/>
      <c r="K743" s="412"/>
      <c r="L743" s="412"/>
      <c r="M743" s="412"/>
      <c r="N743" s="412"/>
      <c r="O743" s="412"/>
      <c r="P743" s="412"/>
      <c r="Q743" s="412"/>
      <c r="R743" s="412"/>
      <c r="S743" s="412"/>
      <c r="T743" s="412"/>
      <c r="U743" s="412"/>
      <c r="V743" s="412"/>
      <c r="W743" s="412"/>
      <c r="X743" s="412"/>
      <c r="Y743" s="412"/>
      <c r="Z743" s="412"/>
    </row>
    <row r="744" spans="1:26" ht="12.75" x14ac:dyDescent="0.2">
      <c r="A744" s="412"/>
      <c r="B744" s="412"/>
      <c r="C744" s="412"/>
      <c r="D744" s="412"/>
      <c r="E744" s="412"/>
      <c r="F744" s="412"/>
      <c r="G744" s="412"/>
      <c r="H744" s="412"/>
      <c r="I744" s="412"/>
      <c r="J744" s="412"/>
      <c r="K744" s="412"/>
      <c r="L744" s="412"/>
      <c r="M744" s="412"/>
      <c r="N744" s="412"/>
      <c r="O744" s="412"/>
      <c r="P744" s="412"/>
      <c r="Q744" s="412"/>
      <c r="R744" s="412"/>
      <c r="S744" s="412"/>
      <c r="T744" s="412"/>
      <c r="U744" s="412"/>
      <c r="V744" s="412"/>
      <c r="W744" s="412"/>
      <c r="X744" s="412"/>
      <c r="Y744" s="412"/>
      <c r="Z744" s="412"/>
    </row>
    <row r="745" spans="1:26" ht="12.75" x14ac:dyDescent="0.2">
      <c r="A745" s="412"/>
      <c r="B745" s="412"/>
      <c r="C745" s="412"/>
      <c r="D745" s="412"/>
      <c r="E745" s="412"/>
      <c r="F745" s="412"/>
      <c r="G745" s="412"/>
      <c r="H745" s="412"/>
      <c r="I745" s="412"/>
      <c r="J745" s="412"/>
      <c r="K745" s="412"/>
      <c r="L745" s="412"/>
      <c r="M745" s="412"/>
      <c r="N745" s="412"/>
      <c r="O745" s="412"/>
      <c r="P745" s="412"/>
      <c r="Q745" s="412"/>
      <c r="R745" s="412"/>
      <c r="S745" s="412"/>
      <c r="T745" s="412"/>
      <c r="U745" s="412"/>
      <c r="V745" s="412"/>
      <c r="W745" s="412"/>
      <c r="X745" s="412"/>
      <c r="Y745" s="412"/>
      <c r="Z745" s="412"/>
    </row>
    <row r="746" spans="1:26" ht="12.75" x14ac:dyDescent="0.2">
      <c r="A746" s="412"/>
      <c r="B746" s="412"/>
      <c r="C746" s="412"/>
      <c r="D746" s="412"/>
      <c r="E746" s="412"/>
      <c r="F746" s="412"/>
      <c r="G746" s="412"/>
      <c r="H746" s="412"/>
      <c r="I746" s="412"/>
      <c r="J746" s="412"/>
      <c r="K746" s="412"/>
      <c r="L746" s="412"/>
      <c r="M746" s="412"/>
      <c r="N746" s="412"/>
      <c r="O746" s="412"/>
      <c r="P746" s="412"/>
      <c r="Q746" s="412"/>
      <c r="R746" s="412"/>
      <c r="S746" s="412"/>
      <c r="T746" s="412"/>
      <c r="U746" s="412"/>
      <c r="V746" s="412"/>
      <c r="W746" s="412"/>
      <c r="X746" s="412"/>
      <c r="Y746" s="412"/>
      <c r="Z746" s="412"/>
    </row>
    <row r="747" spans="1:26" ht="12.75" x14ac:dyDescent="0.2">
      <c r="A747" s="412"/>
      <c r="B747" s="412"/>
      <c r="C747" s="412"/>
      <c r="D747" s="412"/>
      <c r="E747" s="412"/>
      <c r="F747" s="412"/>
      <c r="G747" s="412"/>
      <c r="H747" s="412"/>
      <c r="I747" s="412"/>
      <c r="J747" s="412"/>
      <c r="K747" s="412"/>
      <c r="L747" s="412"/>
      <c r="M747" s="412"/>
      <c r="N747" s="412"/>
      <c r="O747" s="412"/>
      <c r="P747" s="412"/>
      <c r="Q747" s="412"/>
      <c r="R747" s="412"/>
      <c r="S747" s="412"/>
      <c r="T747" s="412"/>
      <c r="U747" s="412"/>
      <c r="V747" s="412"/>
      <c r="W747" s="412"/>
      <c r="X747" s="412"/>
      <c r="Y747" s="412"/>
      <c r="Z747" s="412"/>
    </row>
    <row r="748" spans="1:26" ht="12.75" x14ac:dyDescent="0.2">
      <c r="A748" s="412"/>
      <c r="B748" s="412"/>
      <c r="C748" s="412"/>
      <c r="D748" s="412"/>
      <c r="E748" s="412"/>
      <c r="F748" s="412"/>
      <c r="G748" s="412"/>
      <c r="H748" s="412"/>
      <c r="I748" s="412"/>
      <c r="J748" s="412"/>
      <c r="K748" s="412"/>
      <c r="L748" s="412"/>
      <c r="M748" s="412"/>
      <c r="N748" s="412"/>
      <c r="O748" s="412"/>
      <c r="P748" s="412"/>
      <c r="Q748" s="412"/>
      <c r="R748" s="412"/>
      <c r="S748" s="412"/>
      <c r="T748" s="412"/>
      <c r="U748" s="412"/>
      <c r="V748" s="412"/>
      <c r="W748" s="412"/>
      <c r="X748" s="412"/>
      <c r="Y748" s="412"/>
      <c r="Z748" s="412"/>
    </row>
    <row r="749" spans="1:26" ht="12.75" x14ac:dyDescent="0.2">
      <c r="A749" s="412"/>
      <c r="B749" s="412"/>
      <c r="C749" s="412"/>
      <c r="D749" s="412"/>
      <c r="E749" s="412"/>
      <c r="F749" s="412"/>
      <c r="G749" s="412"/>
      <c r="H749" s="412"/>
      <c r="I749" s="412"/>
      <c r="J749" s="412"/>
      <c r="K749" s="412"/>
      <c r="L749" s="412"/>
      <c r="M749" s="412"/>
      <c r="N749" s="412"/>
      <c r="O749" s="412"/>
      <c r="P749" s="412"/>
      <c r="Q749" s="412"/>
      <c r="R749" s="412"/>
      <c r="S749" s="412"/>
      <c r="T749" s="412"/>
      <c r="U749" s="412"/>
      <c r="V749" s="412"/>
      <c r="W749" s="412"/>
      <c r="X749" s="412"/>
      <c r="Y749" s="412"/>
      <c r="Z749" s="412"/>
    </row>
    <row r="750" spans="1:26" ht="12.75" x14ac:dyDescent="0.2">
      <c r="A750" s="412"/>
      <c r="B750" s="412"/>
      <c r="C750" s="412"/>
      <c r="D750" s="412"/>
      <c r="E750" s="412"/>
      <c r="F750" s="412"/>
      <c r="G750" s="412"/>
      <c r="H750" s="412"/>
      <c r="I750" s="412"/>
      <c r="J750" s="412"/>
      <c r="K750" s="412"/>
      <c r="L750" s="412"/>
      <c r="M750" s="412"/>
      <c r="N750" s="412"/>
      <c r="O750" s="412"/>
      <c r="P750" s="412"/>
      <c r="Q750" s="412"/>
      <c r="R750" s="412"/>
      <c r="S750" s="412"/>
      <c r="T750" s="412"/>
      <c r="U750" s="412"/>
      <c r="V750" s="412"/>
      <c r="W750" s="412"/>
      <c r="X750" s="412"/>
      <c r="Y750" s="412"/>
      <c r="Z750" s="412"/>
    </row>
    <row r="751" spans="1:26" ht="12.75" x14ac:dyDescent="0.2">
      <c r="A751" s="412"/>
      <c r="B751" s="412"/>
      <c r="C751" s="412"/>
      <c r="D751" s="412"/>
      <c r="E751" s="412"/>
      <c r="F751" s="412"/>
      <c r="G751" s="412"/>
      <c r="H751" s="412"/>
      <c r="I751" s="412"/>
      <c r="J751" s="412"/>
      <c r="K751" s="412"/>
      <c r="L751" s="412"/>
      <c r="M751" s="412"/>
      <c r="N751" s="412"/>
      <c r="O751" s="412"/>
      <c r="P751" s="412"/>
      <c r="Q751" s="412"/>
      <c r="R751" s="412"/>
      <c r="S751" s="412"/>
      <c r="T751" s="412"/>
      <c r="U751" s="412"/>
      <c r="V751" s="412"/>
      <c r="W751" s="412"/>
      <c r="X751" s="412"/>
      <c r="Y751" s="412"/>
      <c r="Z751" s="412"/>
    </row>
    <row r="752" spans="1:26" ht="12.75" x14ac:dyDescent="0.2">
      <c r="A752" s="412"/>
      <c r="B752" s="412"/>
      <c r="C752" s="412"/>
      <c r="D752" s="412"/>
      <c r="E752" s="412"/>
      <c r="F752" s="412"/>
      <c r="G752" s="412"/>
      <c r="H752" s="412"/>
      <c r="I752" s="412"/>
      <c r="J752" s="412"/>
      <c r="K752" s="412"/>
      <c r="L752" s="412"/>
      <c r="M752" s="412"/>
      <c r="N752" s="412"/>
      <c r="O752" s="412"/>
      <c r="P752" s="412"/>
      <c r="Q752" s="412"/>
      <c r="R752" s="412"/>
      <c r="S752" s="412"/>
      <c r="T752" s="412"/>
      <c r="U752" s="412"/>
      <c r="V752" s="412"/>
      <c r="W752" s="412"/>
      <c r="X752" s="412"/>
      <c r="Y752" s="412"/>
      <c r="Z752" s="412"/>
    </row>
    <row r="753" spans="1:26" ht="12.75" x14ac:dyDescent="0.2">
      <c r="A753" s="412"/>
      <c r="B753" s="412"/>
      <c r="C753" s="412"/>
      <c r="D753" s="412"/>
      <c r="E753" s="412"/>
      <c r="F753" s="412"/>
      <c r="G753" s="412"/>
      <c r="H753" s="412"/>
      <c r="I753" s="412"/>
      <c r="J753" s="412"/>
      <c r="K753" s="412"/>
      <c r="L753" s="412"/>
      <c r="M753" s="412"/>
      <c r="N753" s="412"/>
      <c r="O753" s="412"/>
      <c r="P753" s="412"/>
      <c r="Q753" s="412"/>
      <c r="R753" s="412"/>
      <c r="S753" s="412"/>
      <c r="T753" s="412"/>
      <c r="U753" s="412"/>
      <c r="V753" s="412"/>
      <c r="W753" s="412"/>
      <c r="X753" s="412"/>
      <c r="Y753" s="412"/>
      <c r="Z753" s="412"/>
    </row>
    <row r="754" spans="1:26" ht="12.75" x14ac:dyDescent="0.2">
      <c r="A754" s="412"/>
      <c r="B754" s="412"/>
      <c r="C754" s="412"/>
      <c r="D754" s="412"/>
      <c r="E754" s="412"/>
      <c r="F754" s="412"/>
      <c r="G754" s="412"/>
      <c r="H754" s="412"/>
      <c r="I754" s="412"/>
      <c r="J754" s="412"/>
      <c r="K754" s="412"/>
      <c r="L754" s="412"/>
      <c r="M754" s="412"/>
      <c r="N754" s="412"/>
      <c r="O754" s="412"/>
      <c r="P754" s="412"/>
      <c r="Q754" s="412"/>
      <c r="R754" s="412"/>
      <c r="S754" s="412"/>
      <c r="T754" s="412"/>
      <c r="U754" s="412"/>
      <c r="V754" s="412"/>
      <c r="W754" s="412"/>
      <c r="X754" s="412"/>
      <c r="Y754" s="412"/>
      <c r="Z754" s="412"/>
    </row>
    <row r="755" spans="1:26" ht="12.75" x14ac:dyDescent="0.2">
      <c r="A755" s="412"/>
      <c r="B755" s="412"/>
      <c r="C755" s="412"/>
      <c r="D755" s="412"/>
      <c r="E755" s="412"/>
      <c r="F755" s="412"/>
      <c r="G755" s="412"/>
      <c r="H755" s="412"/>
      <c r="I755" s="412"/>
      <c r="J755" s="412"/>
      <c r="K755" s="412"/>
      <c r="L755" s="412"/>
      <c r="M755" s="412"/>
      <c r="N755" s="412"/>
      <c r="O755" s="412"/>
      <c r="P755" s="412"/>
      <c r="Q755" s="412"/>
      <c r="R755" s="412"/>
      <c r="S755" s="412"/>
      <c r="T755" s="412"/>
      <c r="U755" s="412"/>
      <c r="V755" s="412"/>
      <c r="W755" s="412"/>
      <c r="X755" s="412"/>
      <c r="Y755" s="412"/>
      <c r="Z755" s="412"/>
    </row>
    <row r="756" spans="1:26" ht="12.75" x14ac:dyDescent="0.2">
      <c r="A756" s="412"/>
      <c r="B756" s="412"/>
      <c r="C756" s="412"/>
      <c r="D756" s="412"/>
      <c r="E756" s="412"/>
      <c r="F756" s="412"/>
      <c r="G756" s="412"/>
      <c r="H756" s="412"/>
      <c r="I756" s="412"/>
      <c r="J756" s="412"/>
      <c r="K756" s="412"/>
      <c r="L756" s="412"/>
      <c r="M756" s="412"/>
      <c r="N756" s="412"/>
      <c r="O756" s="412"/>
      <c r="P756" s="412"/>
      <c r="Q756" s="412"/>
      <c r="R756" s="412"/>
      <c r="S756" s="412"/>
      <c r="T756" s="412"/>
      <c r="U756" s="412"/>
      <c r="V756" s="412"/>
      <c r="W756" s="412"/>
      <c r="X756" s="412"/>
      <c r="Y756" s="412"/>
      <c r="Z756" s="412"/>
    </row>
    <row r="757" spans="1:26" ht="12.75" x14ac:dyDescent="0.2">
      <c r="A757" s="412"/>
      <c r="B757" s="412"/>
      <c r="C757" s="412"/>
      <c r="D757" s="412"/>
      <c r="E757" s="412"/>
      <c r="F757" s="412"/>
      <c r="G757" s="412"/>
      <c r="H757" s="412"/>
      <c r="I757" s="412"/>
      <c r="J757" s="412"/>
      <c r="K757" s="412"/>
      <c r="L757" s="412"/>
      <c r="M757" s="412"/>
      <c r="N757" s="412"/>
      <c r="O757" s="412"/>
      <c r="P757" s="412"/>
      <c r="Q757" s="412"/>
      <c r="R757" s="412"/>
      <c r="S757" s="412"/>
      <c r="T757" s="412"/>
      <c r="U757" s="412"/>
      <c r="V757" s="412"/>
      <c r="W757" s="412"/>
      <c r="X757" s="412"/>
      <c r="Y757" s="412"/>
      <c r="Z757" s="412"/>
    </row>
    <row r="758" spans="1:26" ht="12.75" x14ac:dyDescent="0.2">
      <c r="A758" s="412"/>
      <c r="B758" s="412"/>
      <c r="C758" s="412"/>
      <c r="D758" s="412"/>
      <c r="E758" s="412"/>
      <c r="F758" s="412"/>
      <c r="G758" s="412"/>
      <c r="H758" s="412"/>
      <c r="I758" s="412"/>
      <c r="J758" s="412"/>
      <c r="K758" s="412"/>
      <c r="L758" s="412"/>
      <c r="M758" s="412"/>
      <c r="N758" s="412"/>
      <c r="O758" s="412"/>
      <c r="P758" s="412"/>
      <c r="Q758" s="412"/>
      <c r="R758" s="412"/>
      <c r="S758" s="412"/>
      <c r="T758" s="412"/>
      <c r="U758" s="412"/>
      <c r="V758" s="412"/>
      <c r="W758" s="412"/>
      <c r="X758" s="412"/>
      <c r="Y758" s="412"/>
      <c r="Z758" s="412"/>
    </row>
    <row r="759" spans="1:26" ht="12.75" x14ac:dyDescent="0.2">
      <c r="A759" s="412"/>
      <c r="B759" s="412"/>
      <c r="C759" s="412"/>
      <c r="D759" s="412"/>
      <c r="E759" s="412"/>
      <c r="F759" s="412"/>
      <c r="G759" s="412"/>
      <c r="H759" s="412"/>
      <c r="I759" s="412"/>
      <c r="J759" s="412"/>
      <c r="K759" s="412"/>
      <c r="L759" s="412"/>
      <c r="M759" s="412"/>
      <c r="N759" s="412"/>
      <c r="O759" s="412"/>
      <c r="P759" s="412"/>
      <c r="Q759" s="412"/>
      <c r="R759" s="412"/>
      <c r="S759" s="412"/>
      <c r="T759" s="412"/>
      <c r="U759" s="412"/>
      <c r="V759" s="412"/>
      <c r="W759" s="412"/>
      <c r="X759" s="412"/>
      <c r="Y759" s="412"/>
      <c r="Z759" s="412"/>
    </row>
    <row r="760" spans="1:26" ht="12.75" x14ac:dyDescent="0.2">
      <c r="A760" s="412"/>
      <c r="B760" s="412"/>
      <c r="C760" s="412"/>
      <c r="D760" s="412"/>
      <c r="E760" s="412"/>
      <c r="F760" s="412"/>
      <c r="G760" s="412"/>
      <c r="H760" s="412"/>
      <c r="I760" s="412"/>
      <c r="J760" s="412"/>
      <c r="K760" s="412"/>
      <c r="L760" s="412"/>
      <c r="M760" s="412"/>
      <c r="N760" s="412"/>
      <c r="O760" s="412"/>
      <c r="P760" s="412"/>
      <c r="Q760" s="412"/>
      <c r="R760" s="412"/>
      <c r="S760" s="412"/>
      <c r="T760" s="412"/>
      <c r="U760" s="412"/>
      <c r="V760" s="412"/>
      <c r="W760" s="412"/>
      <c r="X760" s="412"/>
      <c r="Y760" s="412"/>
      <c r="Z760" s="412"/>
    </row>
    <row r="761" spans="1:26" ht="12.75" x14ac:dyDescent="0.2">
      <c r="A761" s="412"/>
      <c r="B761" s="412"/>
      <c r="C761" s="412"/>
      <c r="D761" s="412"/>
      <c r="E761" s="412"/>
      <c r="F761" s="412"/>
      <c r="G761" s="412"/>
      <c r="H761" s="412"/>
      <c r="I761" s="412"/>
      <c r="J761" s="412"/>
      <c r="K761" s="412"/>
      <c r="L761" s="412"/>
      <c r="M761" s="412"/>
      <c r="N761" s="412"/>
      <c r="O761" s="412"/>
      <c r="P761" s="412"/>
      <c r="Q761" s="412"/>
      <c r="R761" s="412"/>
      <c r="S761" s="412"/>
      <c r="T761" s="412"/>
      <c r="U761" s="412"/>
      <c r="V761" s="412"/>
      <c r="W761" s="412"/>
      <c r="X761" s="412"/>
      <c r="Y761" s="412"/>
      <c r="Z761" s="412"/>
    </row>
    <row r="762" spans="1:26" ht="12.75" x14ac:dyDescent="0.2">
      <c r="A762" s="412"/>
      <c r="B762" s="412"/>
      <c r="C762" s="412"/>
      <c r="D762" s="412"/>
      <c r="E762" s="412"/>
      <c r="F762" s="412"/>
      <c r="G762" s="412"/>
      <c r="H762" s="412"/>
      <c r="I762" s="412"/>
      <c r="J762" s="412"/>
      <c r="K762" s="412"/>
      <c r="L762" s="412"/>
      <c r="M762" s="412"/>
      <c r="N762" s="412"/>
      <c r="O762" s="412"/>
      <c r="P762" s="412"/>
      <c r="Q762" s="412"/>
      <c r="R762" s="412"/>
      <c r="S762" s="412"/>
      <c r="T762" s="412"/>
      <c r="U762" s="412"/>
      <c r="V762" s="412"/>
      <c r="W762" s="412"/>
      <c r="X762" s="412"/>
      <c r="Y762" s="412"/>
      <c r="Z762" s="412"/>
    </row>
    <row r="763" spans="1:26" ht="12.75" x14ac:dyDescent="0.2">
      <c r="A763" s="412"/>
      <c r="B763" s="412"/>
      <c r="C763" s="412"/>
      <c r="D763" s="412"/>
      <c r="E763" s="412"/>
      <c r="F763" s="412"/>
      <c r="G763" s="412"/>
      <c r="H763" s="412"/>
      <c r="I763" s="412"/>
      <c r="J763" s="412"/>
      <c r="K763" s="412"/>
      <c r="L763" s="412"/>
      <c r="M763" s="412"/>
      <c r="N763" s="412"/>
      <c r="O763" s="412"/>
      <c r="P763" s="412"/>
      <c r="Q763" s="412"/>
      <c r="R763" s="412"/>
      <c r="S763" s="412"/>
      <c r="T763" s="412"/>
      <c r="U763" s="412"/>
      <c r="V763" s="412"/>
      <c r="W763" s="412"/>
      <c r="X763" s="412"/>
      <c r="Y763" s="412"/>
      <c r="Z763" s="412"/>
    </row>
    <row r="764" spans="1:26" ht="12.75" x14ac:dyDescent="0.2">
      <c r="A764" s="412"/>
      <c r="B764" s="412"/>
      <c r="C764" s="412"/>
      <c r="D764" s="412"/>
      <c r="E764" s="412"/>
      <c r="F764" s="412"/>
      <c r="G764" s="412"/>
      <c r="H764" s="412"/>
      <c r="I764" s="412"/>
      <c r="J764" s="412"/>
      <c r="K764" s="412"/>
      <c r="L764" s="412"/>
      <c r="M764" s="412"/>
      <c r="N764" s="412"/>
      <c r="O764" s="412"/>
      <c r="P764" s="412"/>
      <c r="Q764" s="412"/>
      <c r="R764" s="412"/>
      <c r="S764" s="412"/>
      <c r="T764" s="412"/>
      <c r="U764" s="412"/>
      <c r="V764" s="412"/>
      <c r="W764" s="412"/>
      <c r="X764" s="412"/>
      <c r="Y764" s="412"/>
      <c r="Z764" s="412"/>
    </row>
    <row r="765" spans="1:26" ht="12.75" x14ac:dyDescent="0.2">
      <c r="A765" s="412"/>
      <c r="B765" s="412"/>
      <c r="C765" s="412"/>
      <c r="D765" s="412"/>
      <c r="E765" s="412"/>
      <c r="F765" s="412"/>
      <c r="G765" s="412"/>
      <c r="H765" s="412"/>
      <c r="I765" s="412"/>
      <c r="J765" s="412"/>
      <c r="K765" s="412"/>
      <c r="L765" s="412"/>
      <c r="M765" s="412"/>
      <c r="N765" s="412"/>
      <c r="O765" s="412"/>
      <c r="P765" s="412"/>
      <c r="Q765" s="412"/>
      <c r="R765" s="412"/>
      <c r="S765" s="412"/>
      <c r="T765" s="412"/>
      <c r="U765" s="412"/>
      <c r="V765" s="412"/>
      <c r="W765" s="412"/>
      <c r="X765" s="412"/>
      <c r="Y765" s="412"/>
      <c r="Z765" s="412"/>
    </row>
    <row r="766" spans="1:26" ht="12.75" x14ac:dyDescent="0.2">
      <c r="A766" s="412"/>
      <c r="B766" s="412"/>
      <c r="C766" s="412"/>
      <c r="D766" s="412"/>
      <c r="E766" s="412"/>
      <c r="F766" s="412"/>
      <c r="G766" s="412"/>
      <c r="H766" s="412"/>
      <c r="I766" s="412"/>
      <c r="J766" s="412"/>
      <c r="K766" s="412"/>
      <c r="L766" s="412"/>
      <c r="M766" s="412"/>
      <c r="N766" s="412"/>
      <c r="O766" s="412"/>
      <c r="P766" s="412"/>
      <c r="Q766" s="412"/>
      <c r="R766" s="412"/>
      <c r="S766" s="412"/>
      <c r="T766" s="412"/>
      <c r="U766" s="412"/>
      <c r="V766" s="412"/>
      <c r="W766" s="412"/>
      <c r="X766" s="412"/>
      <c r="Y766" s="412"/>
      <c r="Z766" s="412"/>
    </row>
    <row r="767" spans="1:26" ht="12.75" x14ac:dyDescent="0.2">
      <c r="A767" s="412"/>
      <c r="B767" s="412"/>
      <c r="C767" s="412"/>
      <c r="D767" s="412"/>
      <c r="E767" s="412"/>
      <c r="F767" s="412"/>
      <c r="G767" s="412"/>
      <c r="H767" s="412"/>
      <c r="I767" s="412"/>
      <c r="J767" s="412"/>
      <c r="K767" s="412"/>
      <c r="L767" s="412"/>
      <c r="M767" s="412"/>
      <c r="N767" s="412"/>
      <c r="O767" s="412"/>
      <c r="P767" s="412"/>
      <c r="Q767" s="412"/>
      <c r="R767" s="412"/>
      <c r="S767" s="412"/>
      <c r="T767" s="412"/>
      <c r="U767" s="412"/>
      <c r="V767" s="412"/>
      <c r="W767" s="412"/>
      <c r="X767" s="412"/>
      <c r="Y767" s="412"/>
      <c r="Z767" s="412"/>
    </row>
    <row r="768" spans="1:26" ht="12.75" x14ac:dyDescent="0.2">
      <c r="A768" s="412"/>
      <c r="B768" s="412"/>
      <c r="C768" s="412"/>
      <c r="D768" s="412"/>
      <c r="E768" s="412"/>
      <c r="F768" s="412"/>
      <c r="G768" s="412"/>
      <c r="H768" s="412"/>
      <c r="I768" s="412"/>
      <c r="J768" s="412"/>
      <c r="K768" s="412"/>
      <c r="L768" s="412"/>
      <c r="M768" s="412"/>
      <c r="N768" s="412"/>
      <c r="O768" s="412"/>
      <c r="P768" s="412"/>
      <c r="Q768" s="412"/>
      <c r="R768" s="412"/>
      <c r="S768" s="412"/>
      <c r="T768" s="412"/>
      <c r="U768" s="412"/>
      <c r="V768" s="412"/>
      <c r="W768" s="412"/>
      <c r="X768" s="412"/>
      <c r="Y768" s="412"/>
      <c r="Z768" s="412"/>
    </row>
    <row r="769" spans="1:26" ht="12.75" x14ac:dyDescent="0.2">
      <c r="A769" s="412"/>
      <c r="B769" s="412"/>
      <c r="C769" s="412"/>
      <c r="D769" s="412"/>
      <c r="E769" s="412"/>
      <c r="F769" s="412"/>
      <c r="G769" s="412"/>
      <c r="H769" s="412"/>
      <c r="I769" s="412"/>
      <c r="J769" s="412"/>
      <c r="K769" s="412"/>
      <c r="L769" s="412"/>
      <c r="M769" s="412"/>
      <c r="N769" s="412"/>
      <c r="O769" s="412"/>
      <c r="P769" s="412"/>
      <c r="Q769" s="412"/>
      <c r="R769" s="412"/>
      <c r="S769" s="412"/>
      <c r="T769" s="412"/>
      <c r="U769" s="412"/>
      <c r="V769" s="412"/>
      <c r="W769" s="412"/>
      <c r="X769" s="412"/>
      <c r="Y769" s="412"/>
      <c r="Z769" s="412"/>
    </row>
    <row r="770" spans="1:26" ht="12.75" x14ac:dyDescent="0.2">
      <c r="A770" s="412"/>
      <c r="B770" s="412"/>
      <c r="C770" s="412"/>
      <c r="D770" s="412"/>
      <c r="E770" s="412"/>
      <c r="F770" s="412"/>
      <c r="G770" s="412"/>
      <c r="H770" s="412"/>
      <c r="I770" s="412"/>
      <c r="J770" s="412"/>
      <c r="K770" s="412"/>
      <c r="L770" s="412"/>
      <c r="M770" s="412"/>
      <c r="N770" s="412"/>
      <c r="O770" s="412"/>
      <c r="P770" s="412"/>
      <c r="Q770" s="412"/>
      <c r="R770" s="412"/>
      <c r="S770" s="412"/>
      <c r="T770" s="412"/>
      <c r="U770" s="412"/>
      <c r="V770" s="412"/>
      <c r="W770" s="412"/>
      <c r="X770" s="412"/>
      <c r="Y770" s="412"/>
      <c r="Z770" s="412"/>
    </row>
    <row r="771" spans="1:26" ht="12.75" x14ac:dyDescent="0.2">
      <c r="A771" s="412"/>
      <c r="B771" s="412"/>
      <c r="C771" s="412"/>
      <c r="D771" s="412"/>
      <c r="E771" s="412"/>
      <c r="F771" s="412"/>
      <c r="G771" s="412"/>
      <c r="H771" s="412"/>
      <c r="I771" s="412"/>
      <c r="J771" s="412"/>
      <c r="K771" s="412"/>
      <c r="L771" s="412"/>
      <c r="M771" s="412"/>
      <c r="N771" s="412"/>
      <c r="O771" s="412"/>
      <c r="P771" s="412"/>
      <c r="Q771" s="412"/>
      <c r="R771" s="412"/>
      <c r="S771" s="412"/>
      <c r="T771" s="412"/>
      <c r="U771" s="412"/>
      <c r="V771" s="412"/>
      <c r="W771" s="412"/>
      <c r="X771" s="412"/>
      <c r="Y771" s="412"/>
      <c r="Z771" s="412"/>
    </row>
    <row r="772" spans="1:26" ht="12.75" x14ac:dyDescent="0.2">
      <c r="A772" s="412"/>
      <c r="B772" s="412"/>
      <c r="C772" s="412"/>
      <c r="D772" s="412"/>
      <c r="E772" s="412"/>
      <c r="F772" s="412"/>
      <c r="G772" s="412"/>
      <c r="H772" s="412"/>
      <c r="I772" s="412"/>
      <c r="J772" s="412"/>
      <c r="K772" s="412"/>
      <c r="L772" s="412"/>
      <c r="M772" s="412"/>
      <c r="N772" s="412"/>
      <c r="O772" s="412"/>
      <c r="P772" s="412"/>
      <c r="Q772" s="412"/>
      <c r="R772" s="412"/>
      <c r="S772" s="412"/>
      <c r="T772" s="412"/>
      <c r="U772" s="412"/>
      <c r="V772" s="412"/>
      <c r="W772" s="412"/>
      <c r="X772" s="412"/>
      <c r="Y772" s="412"/>
      <c r="Z772" s="412"/>
    </row>
    <row r="773" spans="1:26" ht="12.75" x14ac:dyDescent="0.2">
      <c r="A773" s="412"/>
      <c r="B773" s="412"/>
      <c r="C773" s="412"/>
      <c r="D773" s="412"/>
      <c r="E773" s="412"/>
      <c r="F773" s="412"/>
      <c r="G773" s="412"/>
      <c r="H773" s="412"/>
      <c r="I773" s="412"/>
      <c r="J773" s="412"/>
      <c r="K773" s="412"/>
      <c r="L773" s="412"/>
      <c r="M773" s="412"/>
      <c r="N773" s="412"/>
      <c r="O773" s="412"/>
      <c r="P773" s="412"/>
      <c r="Q773" s="412"/>
      <c r="R773" s="412"/>
      <c r="S773" s="412"/>
      <c r="T773" s="412"/>
      <c r="U773" s="412"/>
      <c r="V773" s="412"/>
      <c r="W773" s="412"/>
      <c r="X773" s="412"/>
      <c r="Y773" s="412"/>
      <c r="Z773" s="412"/>
    </row>
    <row r="774" spans="1:26" ht="12.75" x14ac:dyDescent="0.2">
      <c r="A774" s="412"/>
      <c r="B774" s="412"/>
      <c r="C774" s="412"/>
      <c r="D774" s="412"/>
      <c r="E774" s="412"/>
      <c r="F774" s="412"/>
      <c r="G774" s="412"/>
      <c r="H774" s="412"/>
      <c r="I774" s="412"/>
      <c r="J774" s="412"/>
      <c r="K774" s="412"/>
      <c r="L774" s="412"/>
      <c r="M774" s="412"/>
      <c r="N774" s="412"/>
      <c r="O774" s="412"/>
      <c r="P774" s="412"/>
      <c r="Q774" s="412"/>
      <c r="R774" s="412"/>
      <c r="S774" s="412"/>
      <c r="T774" s="412"/>
      <c r="U774" s="412"/>
      <c r="V774" s="412"/>
      <c r="W774" s="412"/>
      <c r="X774" s="412"/>
      <c r="Y774" s="412"/>
      <c r="Z774" s="412"/>
    </row>
    <row r="775" spans="1:26" ht="12.75" x14ac:dyDescent="0.2">
      <c r="A775" s="412"/>
      <c r="B775" s="412"/>
      <c r="C775" s="412"/>
      <c r="D775" s="412"/>
      <c r="E775" s="412"/>
      <c r="F775" s="412"/>
      <c r="G775" s="412"/>
      <c r="H775" s="412"/>
      <c r="I775" s="412"/>
      <c r="J775" s="412"/>
      <c r="K775" s="412"/>
      <c r="L775" s="412"/>
      <c r="M775" s="412"/>
      <c r="N775" s="412"/>
      <c r="O775" s="412"/>
      <c r="P775" s="412"/>
      <c r="Q775" s="412"/>
      <c r="R775" s="412"/>
      <c r="S775" s="412"/>
      <c r="T775" s="412"/>
      <c r="U775" s="412"/>
      <c r="V775" s="412"/>
      <c r="W775" s="412"/>
      <c r="X775" s="412"/>
      <c r="Y775" s="412"/>
      <c r="Z775" s="412"/>
    </row>
    <row r="776" spans="1:26" ht="12.75" x14ac:dyDescent="0.2">
      <c r="A776" s="412"/>
      <c r="B776" s="412"/>
      <c r="C776" s="412"/>
      <c r="D776" s="412"/>
      <c r="E776" s="412"/>
      <c r="F776" s="412"/>
      <c r="G776" s="412"/>
      <c r="H776" s="412"/>
      <c r="I776" s="412"/>
      <c r="J776" s="412"/>
      <c r="K776" s="412"/>
      <c r="L776" s="412"/>
      <c r="M776" s="412"/>
      <c r="N776" s="412"/>
      <c r="O776" s="412"/>
      <c r="P776" s="412"/>
      <c r="Q776" s="412"/>
      <c r="R776" s="412"/>
      <c r="S776" s="412"/>
      <c r="T776" s="412"/>
      <c r="U776" s="412"/>
      <c r="V776" s="412"/>
      <c r="W776" s="412"/>
      <c r="X776" s="412"/>
      <c r="Y776" s="412"/>
      <c r="Z776" s="412"/>
    </row>
    <row r="777" spans="1:26" ht="12.75" x14ac:dyDescent="0.2">
      <c r="A777" s="412"/>
      <c r="B777" s="412"/>
      <c r="C777" s="412"/>
      <c r="D777" s="412"/>
      <c r="E777" s="412"/>
      <c r="F777" s="412"/>
      <c r="G777" s="412"/>
      <c r="H777" s="412"/>
      <c r="I777" s="412"/>
      <c r="J777" s="412"/>
      <c r="K777" s="412"/>
      <c r="L777" s="412"/>
      <c r="M777" s="412"/>
      <c r="N777" s="412"/>
      <c r="O777" s="412"/>
      <c r="P777" s="412"/>
      <c r="Q777" s="412"/>
      <c r="R777" s="412"/>
      <c r="S777" s="412"/>
      <c r="T777" s="412"/>
      <c r="U777" s="412"/>
      <c r="V777" s="412"/>
      <c r="W777" s="412"/>
      <c r="X777" s="412"/>
      <c r="Y777" s="412"/>
      <c r="Z777" s="412"/>
    </row>
    <row r="778" spans="1:26" ht="12.75" x14ac:dyDescent="0.2">
      <c r="A778" s="412"/>
      <c r="B778" s="412"/>
      <c r="C778" s="412"/>
      <c r="D778" s="412"/>
      <c r="E778" s="412"/>
      <c r="F778" s="412"/>
      <c r="G778" s="412"/>
      <c r="H778" s="412"/>
      <c r="I778" s="412"/>
      <c r="J778" s="412"/>
      <c r="K778" s="412"/>
      <c r="L778" s="412"/>
      <c r="M778" s="412"/>
      <c r="N778" s="412"/>
      <c r="O778" s="412"/>
      <c r="P778" s="412"/>
      <c r="Q778" s="412"/>
      <c r="R778" s="412"/>
      <c r="S778" s="412"/>
      <c r="T778" s="412"/>
      <c r="U778" s="412"/>
      <c r="V778" s="412"/>
      <c r="W778" s="412"/>
      <c r="X778" s="412"/>
      <c r="Y778" s="412"/>
      <c r="Z778" s="412"/>
    </row>
    <row r="779" spans="1:26" ht="12.75" x14ac:dyDescent="0.2">
      <c r="A779" s="412"/>
      <c r="B779" s="412"/>
      <c r="C779" s="412"/>
      <c r="D779" s="412"/>
      <c r="E779" s="412"/>
      <c r="F779" s="412"/>
      <c r="G779" s="412"/>
      <c r="H779" s="412"/>
      <c r="I779" s="412"/>
      <c r="J779" s="412"/>
      <c r="K779" s="412"/>
      <c r="L779" s="412"/>
      <c r="M779" s="412"/>
      <c r="N779" s="412"/>
      <c r="O779" s="412"/>
      <c r="P779" s="412"/>
      <c r="Q779" s="412"/>
      <c r="R779" s="412"/>
      <c r="S779" s="412"/>
      <c r="T779" s="412"/>
      <c r="U779" s="412"/>
      <c r="V779" s="412"/>
      <c r="W779" s="412"/>
      <c r="X779" s="412"/>
      <c r="Y779" s="412"/>
      <c r="Z779" s="412"/>
    </row>
    <row r="780" spans="1:26" ht="12.75" x14ac:dyDescent="0.2">
      <c r="A780" s="412"/>
      <c r="B780" s="412"/>
      <c r="C780" s="412"/>
      <c r="D780" s="412"/>
      <c r="E780" s="412"/>
      <c r="F780" s="412"/>
      <c r="G780" s="412"/>
      <c r="H780" s="412"/>
      <c r="I780" s="412"/>
      <c r="J780" s="412"/>
      <c r="K780" s="412"/>
      <c r="L780" s="412"/>
      <c r="M780" s="412"/>
      <c r="N780" s="412"/>
      <c r="O780" s="412"/>
      <c r="P780" s="412"/>
      <c r="Q780" s="412"/>
      <c r="R780" s="412"/>
      <c r="S780" s="412"/>
      <c r="T780" s="412"/>
      <c r="U780" s="412"/>
      <c r="V780" s="412"/>
      <c r="W780" s="412"/>
      <c r="X780" s="412"/>
      <c r="Y780" s="412"/>
      <c r="Z780" s="412"/>
    </row>
    <row r="781" spans="1:26" ht="12.75" x14ac:dyDescent="0.2">
      <c r="A781" s="412"/>
      <c r="B781" s="412"/>
      <c r="C781" s="412"/>
      <c r="D781" s="412"/>
      <c r="E781" s="412"/>
      <c r="F781" s="412"/>
      <c r="G781" s="412"/>
      <c r="H781" s="412"/>
      <c r="I781" s="412"/>
      <c r="J781" s="412"/>
      <c r="K781" s="412"/>
      <c r="L781" s="412"/>
      <c r="M781" s="412"/>
      <c r="N781" s="412"/>
      <c r="O781" s="412"/>
      <c r="P781" s="412"/>
      <c r="Q781" s="412"/>
      <c r="R781" s="412"/>
      <c r="S781" s="412"/>
      <c r="T781" s="412"/>
      <c r="U781" s="412"/>
      <c r="V781" s="412"/>
      <c r="W781" s="412"/>
      <c r="X781" s="412"/>
      <c r="Y781" s="412"/>
      <c r="Z781" s="412"/>
    </row>
    <row r="782" spans="1:26" ht="12.75" x14ac:dyDescent="0.2">
      <c r="A782" s="412"/>
      <c r="B782" s="412"/>
      <c r="C782" s="412"/>
      <c r="D782" s="412"/>
      <c r="E782" s="412"/>
      <c r="F782" s="412"/>
      <c r="G782" s="412"/>
      <c r="H782" s="412"/>
      <c r="I782" s="412"/>
      <c r="J782" s="412"/>
      <c r="K782" s="412"/>
      <c r="L782" s="412"/>
      <c r="M782" s="412"/>
      <c r="N782" s="412"/>
      <c r="O782" s="412"/>
      <c r="P782" s="412"/>
      <c r="Q782" s="412"/>
      <c r="R782" s="412"/>
      <c r="S782" s="412"/>
      <c r="T782" s="412"/>
      <c r="U782" s="412"/>
      <c r="V782" s="412"/>
      <c r="W782" s="412"/>
      <c r="X782" s="412"/>
      <c r="Y782" s="412"/>
      <c r="Z782" s="412"/>
    </row>
    <row r="783" spans="1:26" ht="12.75" x14ac:dyDescent="0.2">
      <c r="A783" s="412"/>
      <c r="B783" s="412"/>
      <c r="C783" s="412"/>
      <c r="D783" s="412"/>
      <c r="E783" s="412"/>
      <c r="F783" s="412"/>
      <c r="G783" s="412"/>
      <c r="H783" s="412"/>
      <c r="I783" s="412"/>
      <c r="J783" s="412"/>
      <c r="K783" s="412"/>
      <c r="L783" s="412"/>
      <c r="M783" s="412"/>
      <c r="N783" s="412"/>
      <c r="O783" s="412"/>
      <c r="P783" s="412"/>
      <c r="Q783" s="412"/>
      <c r="R783" s="412"/>
      <c r="S783" s="412"/>
      <c r="T783" s="412"/>
      <c r="U783" s="412"/>
      <c r="V783" s="412"/>
      <c r="W783" s="412"/>
      <c r="X783" s="412"/>
      <c r="Y783" s="412"/>
      <c r="Z783" s="412"/>
    </row>
    <row r="784" spans="1:26" ht="12.75" x14ac:dyDescent="0.2">
      <c r="A784" s="412"/>
      <c r="B784" s="412"/>
      <c r="C784" s="412"/>
      <c r="D784" s="412"/>
      <c r="E784" s="412"/>
      <c r="F784" s="412"/>
      <c r="G784" s="412"/>
      <c r="H784" s="412"/>
      <c r="I784" s="412"/>
      <c r="J784" s="412"/>
      <c r="K784" s="412"/>
      <c r="L784" s="412"/>
      <c r="M784" s="412"/>
      <c r="N784" s="412"/>
      <c r="O784" s="412"/>
      <c r="P784" s="412"/>
      <c r="Q784" s="412"/>
      <c r="R784" s="412"/>
      <c r="S784" s="412"/>
      <c r="T784" s="412"/>
      <c r="U784" s="412"/>
      <c r="V784" s="412"/>
      <c r="W784" s="412"/>
      <c r="X784" s="412"/>
      <c r="Y784" s="412"/>
      <c r="Z784" s="412"/>
    </row>
    <row r="785" spans="1:26" ht="12.75" x14ac:dyDescent="0.2">
      <c r="A785" s="412"/>
      <c r="B785" s="412"/>
      <c r="C785" s="412"/>
      <c r="D785" s="412"/>
      <c r="E785" s="412"/>
      <c r="F785" s="412"/>
      <c r="G785" s="412"/>
      <c r="H785" s="412"/>
      <c r="I785" s="412"/>
      <c r="J785" s="412"/>
      <c r="K785" s="412"/>
      <c r="L785" s="412"/>
      <c r="M785" s="412"/>
      <c r="N785" s="412"/>
      <c r="O785" s="412"/>
      <c r="P785" s="412"/>
      <c r="Q785" s="412"/>
      <c r="R785" s="412"/>
      <c r="S785" s="412"/>
      <c r="T785" s="412"/>
      <c r="U785" s="412"/>
      <c r="V785" s="412"/>
      <c r="W785" s="412"/>
      <c r="X785" s="412"/>
      <c r="Y785" s="412"/>
      <c r="Z785" s="412"/>
    </row>
    <row r="786" spans="1:26" ht="12.75" x14ac:dyDescent="0.2">
      <c r="A786" s="412"/>
      <c r="B786" s="412"/>
      <c r="C786" s="412"/>
      <c r="D786" s="412"/>
      <c r="E786" s="412"/>
      <c r="F786" s="412"/>
      <c r="G786" s="412"/>
      <c r="H786" s="412"/>
      <c r="I786" s="412"/>
      <c r="J786" s="412"/>
      <c r="K786" s="412"/>
      <c r="L786" s="412"/>
      <c r="M786" s="412"/>
      <c r="N786" s="412"/>
      <c r="O786" s="412"/>
      <c r="P786" s="412"/>
      <c r="Q786" s="412"/>
      <c r="R786" s="412"/>
      <c r="S786" s="412"/>
      <c r="T786" s="412"/>
      <c r="U786" s="412"/>
      <c r="V786" s="412"/>
      <c r="W786" s="412"/>
      <c r="X786" s="412"/>
      <c r="Y786" s="412"/>
      <c r="Z786" s="412"/>
    </row>
    <row r="787" spans="1:26" ht="12.75" x14ac:dyDescent="0.2">
      <c r="A787" s="412"/>
      <c r="B787" s="412"/>
      <c r="C787" s="412"/>
      <c r="D787" s="412"/>
      <c r="E787" s="412"/>
      <c r="F787" s="412"/>
      <c r="G787" s="412"/>
      <c r="H787" s="412"/>
      <c r="I787" s="412"/>
      <c r="J787" s="412"/>
      <c r="K787" s="412"/>
      <c r="L787" s="412"/>
      <c r="M787" s="412"/>
      <c r="N787" s="412"/>
      <c r="O787" s="412"/>
      <c r="P787" s="412"/>
      <c r="Q787" s="412"/>
      <c r="R787" s="412"/>
      <c r="S787" s="412"/>
      <c r="T787" s="412"/>
      <c r="U787" s="412"/>
      <c r="V787" s="412"/>
      <c r="W787" s="412"/>
      <c r="X787" s="412"/>
      <c r="Y787" s="412"/>
      <c r="Z787" s="412"/>
    </row>
    <row r="788" spans="1:26" ht="12.75" x14ac:dyDescent="0.2">
      <c r="A788" s="412"/>
      <c r="B788" s="412"/>
      <c r="C788" s="412"/>
      <c r="D788" s="412"/>
      <c r="E788" s="412"/>
      <c r="F788" s="412"/>
      <c r="G788" s="412"/>
      <c r="H788" s="412"/>
      <c r="I788" s="412"/>
      <c r="J788" s="412"/>
      <c r="K788" s="412"/>
      <c r="L788" s="412"/>
      <c r="M788" s="412"/>
      <c r="N788" s="412"/>
      <c r="O788" s="412"/>
      <c r="P788" s="412"/>
      <c r="Q788" s="412"/>
      <c r="R788" s="412"/>
      <c r="S788" s="412"/>
      <c r="T788" s="412"/>
      <c r="U788" s="412"/>
      <c r="V788" s="412"/>
      <c r="W788" s="412"/>
      <c r="X788" s="412"/>
      <c r="Y788" s="412"/>
      <c r="Z788" s="412"/>
    </row>
    <row r="789" spans="1:26" ht="12.75" x14ac:dyDescent="0.2">
      <c r="A789" s="412"/>
      <c r="B789" s="412"/>
      <c r="C789" s="412"/>
      <c r="D789" s="412"/>
      <c r="E789" s="412"/>
      <c r="F789" s="412"/>
      <c r="G789" s="412"/>
      <c r="H789" s="412"/>
      <c r="I789" s="412"/>
      <c r="J789" s="412"/>
      <c r="K789" s="412"/>
      <c r="L789" s="412"/>
      <c r="M789" s="412"/>
      <c r="N789" s="412"/>
      <c r="O789" s="412"/>
      <c r="P789" s="412"/>
      <c r="Q789" s="412"/>
      <c r="R789" s="412"/>
      <c r="S789" s="412"/>
      <c r="T789" s="412"/>
      <c r="U789" s="412"/>
      <c r="V789" s="412"/>
      <c r="W789" s="412"/>
      <c r="X789" s="412"/>
      <c r="Y789" s="412"/>
      <c r="Z789" s="412"/>
    </row>
    <row r="790" spans="1:26" ht="12.75" x14ac:dyDescent="0.2">
      <c r="A790" s="412"/>
      <c r="B790" s="412"/>
      <c r="C790" s="412"/>
      <c r="D790" s="412"/>
      <c r="E790" s="412"/>
      <c r="F790" s="412"/>
      <c r="G790" s="412"/>
      <c r="H790" s="412"/>
      <c r="I790" s="412"/>
      <c r="J790" s="412"/>
      <c r="K790" s="412"/>
      <c r="L790" s="412"/>
      <c r="M790" s="412"/>
      <c r="N790" s="412"/>
      <c r="O790" s="412"/>
      <c r="P790" s="412"/>
      <c r="Q790" s="412"/>
      <c r="R790" s="412"/>
      <c r="S790" s="412"/>
      <c r="T790" s="412"/>
      <c r="U790" s="412"/>
      <c r="V790" s="412"/>
      <c r="W790" s="412"/>
      <c r="X790" s="412"/>
      <c r="Y790" s="412"/>
      <c r="Z790" s="412"/>
    </row>
    <row r="791" spans="1:26" ht="12.75" x14ac:dyDescent="0.2">
      <c r="A791" s="412"/>
      <c r="B791" s="412"/>
      <c r="C791" s="412"/>
      <c r="D791" s="412"/>
      <c r="E791" s="412"/>
      <c r="F791" s="412"/>
      <c r="G791" s="412"/>
      <c r="H791" s="412"/>
      <c r="I791" s="412"/>
      <c r="J791" s="412"/>
      <c r="K791" s="412"/>
      <c r="L791" s="412"/>
      <c r="M791" s="412"/>
      <c r="N791" s="412"/>
      <c r="O791" s="412"/>
      <c r="P791" s="412"/>
      <c r="Q791" s="412"/>
      <c r="R791" s="412"/>
      <c r="S791" s="412"/>
      <c r="T791" s="412"/>
      <c r="U791" s="412"/>
      <c r="V791" s="412"/>
      <c r="W791" s="412"/>
      <c r="X791" s="412"/>
      <c r="Y791" s="412"/>
      <c r="Z791" s="412"/>
    </row>
    <row r="792" spans="1:26" ht="12.75" x14ac:dyDescent="0.2">
      <c r="A792" s="412"/>
      <c r="B792" s="412"/>
      <c r="C792" s="412"/>
      <c r="D792" s="412"/>
      <c r="E792" s="412"/>
      <c r="F792" s="412"/>
      <c r="G792" s="412"/>
      <c r="H792" s="412"/>
      <c r="I792" s="412"/>
      <c r="J792" s="412"/>
      <c r="K792" s="412"/>
      <c r="L792" s="412"/>
      <c r="M792" s="412"/>
      <c r="N792" s="412"/>
      <c r="O792" s="412"/>
      <c r="P792" s="412"/>
      <c r="Q792" s="412"/>
      <c r="R792" s="412"/>
      <c r="S792" s="412"/>
      <c r="T792" s="412"/>
      <c r="U792" s="412"/>
      <c r="V792" s="412"/>
      <c r="W792" s="412"/>
      <c r="X792" s="412"/>
      <c r="Y792" s="412"/>
      <c r="Z792" s="412"/>
    </row>
    <row r="793" spans="1:26" ht="12.75" x14ac:dyDescent="0.2">
      <c r="A793" s="412"/>
      <c r="B793" s="412"/>
      <c r="C793" s="412"/>
      <c r="D793" s="412"/>
      <c r="E793" s="412"/>
      <c r="F793" s="412"/>
      <c r="G793" s="412"/>
      <c r="H793" s="412"/>
      <c r="I793" s="412"/>
      <c r="J793" s="412"/>
      <c r="K793" s="412"/>
      <c r="L793" s="412"/>
      <c r="M793" s="412"/>
      <c r="N793" s="412"/>
      <c r="O793" s="412"/>
      <c r="P793" s="412"/>
      <c r="Q793" s="412"/>
      <c r="R793" s="412"/>
      <c r="S793" s="412"/>
      <c r="T793" s="412"/>
      <c r="U793" s="412"/>
      <c r="V793" s="412"/>
      <c r="W793" s="412"/>
      <c r="X793" s="412"/>
      <c r="Y793" s="412"/>
      <c r="Z793" s="412"/>
    </row>
    <row r="794" spans="1:26" ht="12.75" x14ac:dyDescent="0.2">
      <c r="A794" s="412"/>
      <c r="B794" s="412"/>
      <c r="C794" s="412"/>
      <c r="D794" s="412"/>
      <c r="E794" s="412"/>
      <c r="F794" s="412"/>
      <c r="G794" s="412"/>
      <c r="H794" s="412"/>
      <c r="I794" s="412"/>
      <c r="J794" s="412"/>
      <c r="K794" s="412"/>
      <c r="L794" s="412"/>
      <c r="M794" s="412"/>
      <c r="N794" s="412"/>
      <c r="O794" s="412"/>
      <c r="P794" s="412"/>
      <c r="Q794" s="412"/>
      <c r="R794" s="412"/>
      <c r="S794" s="412"/>
      <c r="T794" s="412"/>
      <c r="U794" s="412"/>
      <c r="V794" s="412"/>
      <c r="W794" s="412"/>
      <c r="X794" s="412"/>
      <c r="Y794" s="412"/>
      <c r="Z794" s="412"/>
    </row>
    <row r="795" spans="1:26" ht="12.75" x14ac:dyDescent="0.2">
      <c r="A795" s="412"/>
      <c r="B795" s="412"/>
      <c r="C795" s="412"/>
      <c r="D795" s="412"/>
      <c r="E795" s="412"/>
      <c r="F795" s="412"/>
      <c r="G795" s="412"/>
      <c r="H795" s="412"/>
      <c r="I795" s="412"/>
      <c r="J795" s="412"/>
      <c r="K795" s="412"/>
      <c r="L795" s="412"/>
      <c r="M795" s="412"/>
      <c r="N795" s="412"/>
      <c r="O795" s="412"/>
      <c r="P795" s="412"/>
      <c r="Q795" s="412"/>
      <c r="R795" s="412"/>
      <c r="S795" s="412"/>
      <c r="T795" s="412"/>
      <c r="U795" s="412"/>
      <c r="V795" s="412"/>
      <c r="W795" s="412"/>
      <c r="X795" s="412"/>
      <c r="Y795" s="412"/>
      <c r="Z795" s="412"/>
    </row>
    <row r="796" spans="1:26" ht="12.75" x14ac:dyDescent="0.2">
      <c r="A796" s="412"/>
      <c r="B796" s="412"/>
      <c r="C796" s="412"/>
      <c r="D796" s="412"/>
      <c r="E796" s="412"/>
      <c r="F796" s="412"/>
      <c r="G796" s="412"/>
      <c r="H796" s="412"/>
      <c r="I796" s="412"/>
      <c r="J796" s="412"/>
      <c r="K796" s="412"/>
      <c r="L796" s="412"/>
      <c r="M796" s="412"/>
      <c r="N796" s="412"/>
      <c r="O796" s="412"/>
      <c r="P796" s="412"/>
      <c r="Q796" s="412"/>
      <c r="R796" s="412"/>
      <c r="S796" s="412"/>
      <c r="T796" s="412"/>
      <c r="U796" s="412"/>
      <c r="V796" s="412"/>
      <c r="W796" s="412"/>
      <c r="X796" s="412"/>
      <c r="Y796" s="412"/>
      <c r="Z796" s="412"/>
    </row>
    <row r="797" spans="1:26" ht="12.75" x14ac:dyDescent="0.2">
      <c r="A797" s="412"/>
      <c r="B797" s="412"/>
      <c r="C797" s="412"/>
      <c r="D797" s="412"/>
      <c r="E797" s="412"/>
      <c r="F797" s="412"/>
      <c r="G797" s="412"/>
      <c r="H797" s="412"/>
      <c r="I797" s="412"/>
      <c r="J797" s="412"/>
      <c r="K797" s="412"/>
      <c r="L797" s="412"/>
      <c r="M797" s="412"/>
      <c r="N797" s="412"/>
      <c r="O797" s="412"/>
      <c r="P797" s="412"/>
      <c r="Q797" s="412"/>
      <c r="R797" s="412"/>
      <c r="S797" s="412"/>
      <c r="T797" s="412"/>
      <c r="U797" s="412"/>
      <c r="V797" s="412"/>
      <c r="W797" s="412"/>
      <c r="X797" s="412"/>
      <c r="Y797" s="412"/>
      <c r="Z797" s="412"/>
    </row>
    <row r="798" spans="1:26" ht="12.75" x14ac:dyDescent="0.2">
      <c r="A798" s="412"/>
      <c r="B798" s="412"/>
      <c r="C798" s="412"/>
      <c r="D798" s="412"/>
      <c r="E798" s="412"/>
      <c r="F798" s="412"/>
      <c r="G798" s="412"/>
      <c r="H798" s="412"/>
      <c r="I798" s="412"/>
      <c r="J798" s="412"/>
      <c r="K798" s="412"/>
      <c r="L798" s="412"/>
      <c r="M798" s="412"/>
      <c r="N798" s="412"/>
      <c r="O798" s="412"/>
      <c r="P798" s="412"/>
      <c r="Q798" s="412"/>
      <c r="R798" s="412"/>
      <c r="S798" s="412"/>
      <c r="T798" s="412"/>
      <c r="U798" s="412"/>
      <c r="V798" s="412"/>
      <c r="W798" s="412"/>
      <c r="X798" s="412"/>
      <c r="Y798" s="412"/>
      <c r="Z798" s="412"/>
    </row>
    <row r="799" spans="1:26" ht="12.75" x14ac:dyDescent="0.2">
      <c r="A799" s="412"/>
      <c r="B799" s="412"/>
      <c r="C799" s="412"/>
      <c r="D799" s="412"/>
      <c r="E799" s="412"/>
      <c r="F799" s="412"/>
      <c r="G799" s="412"/>
      <c r="H799" s="412"/>
      <c r="I799" s="412"/>
      <c r="J799" s="412"/>
      <c r="K799" s="412"/>
      <c r="L799" s="412"/>
      <c r="M799" s="412"/>
      <c r="N799" s="412"/>
      <c r="O799" s="412"/>
      <c r="P799" s="412"/>
      <c r="Q799" s="412"/>
      <c r="R799" s="412"/>
      <c r="S799" s="412"/>
      <c r="T799" s="412"/>
      <c r="U799" s="412"/>
      <c r="V799" s="412"/>
      <c r="W799" s="412"/>
      <c r="X799" s="412"/>
      <c r="Y799" s="412"/>
      <c r="Z799" s="412"/>
    </row>
    <row r="800" spans="1:26" ht="12.75" x14ac:dyDescent="0.2">
      <c r="A800" s="412"/>
      <c r="B800" s="412"/>
      <c r="C800" s="412"/>
      <c r="D800" s="412"/>
      <c r="E800" s="412"/>
      <c r="F800" s="412"/>
      <c r="G800" s="412"/>
      <c r="H800" s="412"/>
      <c r="I800" s="412"/>
      <c r="J800" s="412"/>
      <c r="K800" s="412"/>
      <c r="L800" s="412"/>
      <c r="M800" s="412"/>
      <c r="N800" s="412"/>
      <c r="O800" s="412"/>
      <c r="P800" s="412"/>
      <c r="Q800" s="412"/>
      <c r="R800" s="412"/>
      <c r="S800" s="412"/>
      <c r="T800" s="412"/>
      <c r="U800" s="412"/>
      <c r="V800" s="412"/>
      <c r="W800" s="412"/>
      <c r="X800" s="412"/>
      <c r="Y800" s="412"/>
      <c r="Z800" s="412"/>
    </row>
    <row r="801" spans="1:26" ht="12.75" x14ac:dyDescent="0.2">
      <c r="A801" s="412"/>
      <c r="B801" s="412"/>
      <c r="C801" s="412"/>
      <c r="D801" s="412"/>
      <c r="E801" s="412"/>
      <c r="F801" s="412"/>
      <c r="G801" s="412"/>
      <c r="H801" s="412"/>
      <c r="I801" s="412"/>
      <c r="J801" s="412"/>
      <c r="K801" s="412"/>
      <c r="L801" s="412"/>
      <c r="M801" s="412"/>
      <c r="N801" s="412"/>
      <c r="O801" s="412"/>
      <c r="P801" s="412"/>
      <c r="Q801" s="412"/>
      <c r="R801" s="412"/>
      <c r="S801" s="412"/>
      <c r="T801" s="412"/>
      <c r="U801" s="412"/>
      <c r="V801" s="412"/>
      <c r="W801" s="412"/>
      <c r="X801" s="412"/>
      <c r="Y801" s="412"/>
      <c r="Z801" s="412"/>
    </row>
    <row r="802" spans="1:26" ht="12.75" x14ac:dyDescent="0.2">
      <c r="A802" s="412"/>
      <c r="B802" s="412"/>
      <c r="C802" s="412"/>
      <c r="D802" s="412"/>
      <c r="E802" s="412"/>
      <c r="F802" s="412"/>
      <c r="G802" s="412"/>
      <c r="H802" s="412"/>
      <c r="I802" s="412"/>
      <c r="J802" s="412"/>
      <c r="K802" s="412"/>
      <c r="L802" s="412"/>
      <c r="M802" s="412"/>
      <c r="N802" s="412"/>
      <c r="O802" s="412"/>
      <c r="P802" s="412"/>
      <c r="Q802" s="412"/>
      <c r="R802" s="412"/>
      <c r="S802" s="412"/>
      <c r="T802" s="412"/>
      <c r="U802" s="412"/>
      <c r="V802" s="412"/>
      <c r="W802" s="412"/>
      <c r="X802" s="412"/>
      <c r="Y802" s="412"/>
      <c r="Z802" s="412"/>
    </row>
    <row r="803" spans="1:26" ht="12.75" x14ac:dyDescent="0.2">
      <c r="A803" s="412"/>
      <c r="B803" s="412"/>
      <c r="C803" s="412"/>
      <c r="D803" s="412"/>
      <c r="E803" s="412"/>
      <c r="F803" s="412"/>
      <c r="G803" s="412"/>
      <c r="H803" s="412"/>
      <c r="I803" s="412"/>
      <c r="J803" s="412"/>
      <c r="K803" s="412"/>
      <c r="L803" s="412"/>
      <c r="M803" s="412"/>
      <c r="N803" s="412"/>
      <c r="O803" s="412"/>
      <c r="P803" s="412"/>
      <c r="Q803" s="412"/>
      <c r="R803" s="412"/>
      <c r="S803" s="412"/>
      <c r="T803" s="412"/>
      <c r="U803" s="412"/>
      <c r="V803" s="412"/>
      <c r="W803" s="412"/>
      <c r="X803" s="412"/>
      <c r="Y803" s="412"/>
      <c r="Z803" s="412"/>
    </row>
    <row r="804" spans="1:26" ht="12.75" x14ac:dyDescent="0.2">
      <c r="A804" s="412"/>
      <c r="B804" s="412"/>
      <c r="C804" s="412"/>
      <c r="D804" s="412"/>
      <c r="E804" s="412"/>
      <c r="F804" s="412"/>
      <c r="G804" s="412"/>
      <c r="H804" s="412"/>
      <c r="I804" s="412"/>
      <c r="J804" s="412"/>
      <c r="K804" s="412"/>
      <c r="L804" s="412"/>
      <c r="M804" s="412"/>
      <c r="N804" s="412"/>
      <c r="O804" s="412"/>
      <c r="P804" s="412"/>
      <c r="Q804" s="412"/>
      <c r="R804" s="412"/>
      <c r="S804" s="412"/>
      <c r="T804" s="412"/>
      <c r="U804" s="412"/>
      <c r="V804" s="412"/>
      <c r="W804" s="412"/>
      <c r="X804" s="412"/>
      <c r="Y804" s="412"/>
      <c r="Z804" s="412"/>
    </row>
    <row r="805" spans="1:26" ht="12.75" x14ac:dyDescent="0.2">
      <c r="A805" s="412"/>
      <c r="B805" s="412"/>
      <c r="C805" s="412"/>
      <c r="D805" s="412"/>
      <c r="E805" s="412"/>
      <c r="F805" s="412"/>
      <c r="G805" s="412"/>
      <c r="H805" s="412"/>
      <c r="I805" s="412"/>
      <c r="J805" s="412"/>
      <c r="K805" s="412"/>
      <c r="L805" s="412"/>
      <c r="M805" s="412"/>
      <c r="N805" s="412"/>
      <c r="O805" s="412"/>
      <c r="P805" s="412"/>
      <c r="Q805" s="412"/>
      <c r="R805" s="412"/>
      <c r="S805" s="412"/>
      <c r="T805" s="412"/>
      <c r="U805" s="412"/>
      <c r="V805" s="412"/>
      <c r="W805" s="412"/>
      <c r="X805" s="412"/>
      <c r="Y805" s="412"/>
      <c r="Z805" s="412"/>
    </row>
    <row r="806" spans="1:26" ht="12.75" x14ac:dyDescent="0.2">
      <c r="A806" s="412"/>
      <c r="B806" s="412"/>
      <c r="C806" s="412"/>
      <c r="D806" s="412"/>
      <c r="E806" s="412"/>
      <c r="F806" s="412"/>
      <c r="G806" s="412"/>
      <c r="H806" s="412"/>
      <c r="I806" s="412"/>
      <c r="J806" s="412"/>
      <c r="K806" s="412"/>
      <c r="L806" s="412"/>
      <c r="M806" s="412"/>
      <c r="N806" s="412"/>
      <c r="O806" s="412"/>
      <c r="P806" s="412"/>
      <c r="Q806" s="412"/>
      <c r="R806" s="412"/>
      <c r="S806" s="412"/>
      <c r="T806" s="412"/>
      <c r="U806" s="412"/>
      <c r="V806" s="412"/>
      <c r="W806" s="412"/>
      <c r="X806" s="412"/>
      <c r="Y806" s="412"/>
      <c r="Z806" s="412"/>
    </row>
    <row r="807" spans="1:26" ht="12.75" x14ac:dyDescent="0.2">
      <c r="A807" s="412"/>
      <c r="B807" s="412"/>
      <c r="C807" s="412"/>
      <c r="D807" s="412"/>
      <c r="E807" s="412"/>
      <c r="F807" s="412"/>
      <c r="G807" s="412"/>
      <c r="H807" s="412"/>
      <c r="I807" s="412"/>
      <c r="J807" s="412"/>
      <c r="K807" s="412"/>
      <c r="L807" s="412"/>
      <c r="M807" s="412"/>
      <c r="N807" s="412"/>
      <c r="O807" s="412"/>
      <c r="P807" s="412"/>
      <c r="Q807" s="412"/>
      <c r="R807" s="412"/>
      <c r="S807" s="412"/>
      <c r="T807" s="412"/>
      <c r="U807" s="412"/>
      <c r="V807" s="412"/>
      <c r="W807" s="412"/>
      <c r="X807" s="412"/>
      <c r="Y807" s="412"/>
      <c r="Z807" s="412"/>
    </row>
    <row r="808" spans="1:26" ht="12.75" x14ac:dyDescent="0.2">
      <c r="A808" s="412"/>
      <c r="B808" s="412"/>
      <c r="C808" s="412"/>
      <c r="D808" s="412"/>
      <c r="E808" s="412"/>
      <c r="F808" s="412"/>
      <c r="G808" s="412"/>
      <c r="H808" s="412"/>
      <c r="I808" s="412"/>
      <c r="J808" s="412"/>
      <c r="K808" s="412"/>
      <c r="L808" s="412"/>
      <c r="M808" s="412"/>
      <c r="N808" s="412"/>
      <c r="O808" s="412"/>
      <c r="P808" s="412"/>
      <c r="Q808" s="412"/>
      <c r="R808" s="412"/>
      <c r="S808" s="412"/>
      <c r="T808" s="412"/>
      <c r="U808" s="412"/>
      <c r="V808" s="412"/>
      <c r="W808" s="412"/>
      <c r="X808" s="412"/>
      <c r="Y808" s="412"/>
      <c r="Z808" s="412"/>
    </row>
    <row r="809" spans="1:26" ht="12.75" x14ac:dyDescent="0.2">
      <c r="A809" s="412"/>
      <c r="B809" s="412"/>
      <c r="C809" s="412"/>
      <c r="D809" s="412"/>
      <c r="E809" s="412"/>
      <c r="F809" s="412"/>
      <c r="G809" s="412"/>
      <c r="H809" s="412"/>
      <c r="I809" s="412"/>
      <c r="J809" s="412"/>
      <c r="K809" s="412"/>
      <c r="L809" s="412"/>
      <c r="M809" s="412"/>
      <c r="N809" s="412"/>
      <c r="O809" s="412"/>
      <c r="P809" s="412"/>
      <c r="Q809" s="412"/>
      <c r="R809" s="412"/>
      <c r="S809" s="412"/>
      <c r="T809" s="412"/>
      <c r="U809" s="412"/>
      <c r="V809" s="412"/>
      <c r="W809" s="412"/>
      <c r="X809" s="412"/>
      <c r="Y809" s="412"/>
      <c r="Z809" s="412"/>
    </row>
    <row r="810" spans="1:26" ht="12.75" x14ac:dyDescent="0.2">
      <c r="A810" s="412"/>
      <c r="B810" s="412"/>
      <c r="C810" s="412"/>
      <c r="D810" s="412"/>
      <c r="E810" s="412"/>
      <c r="F810" s="412"/>
      <c r="G810" s="412"/>
      <c r="H810" s="412"/>
      <c r="I810" s="412"/>
      <c r="J810" s="412"/>
      <c r="K810" s="412"/>
      <c r="L810" s="412"/>
      <c r="M810" s="412"/>
      <c r="N810" s="412"/>
      <c r="O810" s="412"/>
      <c r="P810" s="412"/>
      <c r="Q810" s="412"/>
      <c r="R810" s="412"/>
      <c r="S810" s="412"/>
      <c r="T810" s="412"/>
      <c r="U810" s="412"/>
      <c r="V810" s="412"/>
      <c r="W810" s="412"/>
      <c r="X810" s="412"/>
      <c r="Y810" s="412"/>
      <c r="Z810" s="412"/>
    </row>
    <row r="811" spans="1:26" ht="12.75" x14ac:dyDescent="0.2">
      <c r="A811" s="412"/>
      <c r="B811" s="412"/>
      <c r="C811" s="412"/>
      <c r="D811" s="412"/>
      <c r="E811" s="412"/>
      <c r="F811" s="412"/>
      <c r="G811" s="412"/>
      <c r="H811" s="412"/>
      <c r="I811" s="412"/>
      <c r="J811" s="412"/>
      <c r="K811" s="412"/>
      <c r="L811" s="412"/>
      <c r="M811" s="412"/>
      <c r="N811" s="412"/>
      <c r="O811" s="412"/>
      <c r="P811" s="412"/>
      <c r="Q811" s="412"/>
      <c r="R811" s="412"/>
      <c r="S811" s="412"/>
      <c r="T811" s="412"/>
      <c r="U811" s="412"/>
      <c r="V811" s="412"/>
      <c r="W811" s="412"/>
      <c r="X811" s="412"/>
      <c r="Y811" s="412"/>
      <c r="Z811" s="412"/>
    </row>
    <row r="812" spans="1:26" ht="12.75" x14ac:dyDescent="0.2">
      <c r="A812" s="412"/>
      <c r="B812" s="412"/>
      <c r="C812" s="412"/>
      <c r="D812" s="412"/>
      <c r="E812" s="412"/>
      <c r="F812" s="412"/>
      <c r="G812" s="412"/>
      <c r="H812" s="412"/>
      <c r="I812" s="412"/>
      <c r="J812" s="412"/>
      <c r="K812" s="412"/>
      <c r="L812" s="412"/>
      <c r="M812" s="412"/>
      <c r="N812" s="412"/>
      <c r="O812" s="412"/>
      <c r="P812" s="412"/>
      <c r="Q812" s="412"/>
      <c r="R812" s="412"/>
      <c r="S812" s="412"/>
      <c r="T812" s="412"/>
      <c r="U812" s="412"/>
      <c r="V812" s="412"/>
      <c r="W812" s="412"/>
      <c r="X812" s="412"/>
      <c r="Y812" s="412"/>
      <c r="Z812" s="412"/>
    </row>
    <row r="813" spans="1:26" ht="12.75" x14ac:dyDescent="0.2">
      <c r="A813" s="412"/>
      <c r="B813" s="412"/>
      <c r="C813" s="412"/>
      <c r="D813" s="412"/>
      <c r="E813" s="412"/>
      <c r="F813" s="412"/>
      <c r="G813" s="412"/>
      <c r="H813" s="412"/>
      <c r="I813" s="412"/>
      <c r="J813" s="412"/>
      <c r="K813" s="412"/>
      <c r="L813" s="412"/>
      <c r="M813" s="412"/>
      <c r="N813" s="412"/>
      <c r="O813" s="412"/>
      <c r="P813" s="412"/>
      <c r="Q813" s="412"/>
      <c r="R813" s="412"/>
      <c r="S813" s="412"/>
      <c r="T813" s="412"/>
      <c r="U813" s="412"/>
      <c r="V813" s="412"/>
      <c r="W813" s="412"/>
      <c r="X813" s="412"/>
      <c r="Y813" s="412"/>
      <c r="Z813" s="412"/>
    </row>
    <row r="814" spans="1:26" ht="12.75" x14ac:dyDescent="0.2">
      <c r="A814" s="412"/>
      <c r="B814" s="412"/>
      <c r="C814" s="412"/>
      <c r="D814" s="412"/>
      <c r="E814" s="412"/>
      <c r="F814" s="412"/>
      <c r="G814" s="412"/>
      <c r="H814" s="412"/>
      <c r="I814" s="412"/>
      <c r="J814" s="412"/>
      <c r="K814" s="412"/>
      <c r="L814" s="412"/>
      <c r="M814" s="412"/>
      <c r="N814" s="412"/>
      <c r="O814" s="412"/>
      <c r="P814" s="412"/>
      <c r="Q814" s="412"/>
      <c r="R814" s="412"/>
      <c r="S814" s="412"/>
      <c r="T814" s="412"/>
      <c r="U814" s="412"/>
      <c r="V814" s="412"/>
      <c r="W814" s="412"/>
      <c r="X814" s="412"/>
      <c r="Y814" s="412"/>
      <c r="Z814" s="412"/>
    </row>
    <row r="815" spans="1:26" ht="12.75" x14ac:dyDescent="0.2">
      <c r="A815" s="412"/>
      <c r="B815" s="412"/>
      <c r="C815" s="412"/>
      <c r="D815" s="412"/>
      <c r="E815" s="412"/>
      <c r="F815" s="412"/>
      <c r="G815" s="412"/>
      <c r="H815" s="412"/>
      <c r="I815" s="412"/>
      <c r="J815" s="412"/>
      <c r="K815" s="412"/>
      <c r="L815" s="412"/>
      <c r="M815" s="412"/>
      <c r="N815" s="412"/>
      <c r="O815" s="412"/>
      <c r="P815" s="412"/>
      <c r="Q815" s="412"/>
      <c r="R815" s="412"/>
      <c r="S815" s="412"/>
      <c r="T815" s="412"/>
      <c r="U815" s="412"/>
      <c r="V815" s="412"/>
      <c r="W815" s="412"/>
      <c r="X815" s="412"/>
      <c r="Y815" s="412"/>
      <c r="Z815" s="412"/>
    </row>
    <row r="816" spans="1:26" ht="12.75" x14ac:dyDescent="0.2">
      <c r="A816" s="412"/>
      <c r="B816" s="412"/>
      <c r="C816" s="412"/>
      <c r="D816" s="412"/>
      <c r="E816" s="412"/>
      <c r="F816" s="412"/>
      <c r="G816" s="412"/>
      <c r="H816" s="412"/>
      <c r="I816" s="412"/>
      <c r="J816" s="412"/>
      <c r="K816" s="412"/>
      <c r="L816" s="412"/>
      <c r="M816" s="412"/>
      <c r="N816" s="412"/>
      <c r="O816" s="412"/>
      <c r="P816" s="412"/>
      <c r="Q816" s="412"/>
      <c r="R816" s="412"/>
      <c r="S816" s="412"/>
      <c r="T816" s="412"/>
      <c r="U816" s="412"/>
      <c r="V816" s="412"/>
      <c r="W816" s="412"/>
      <c r="X816" s="412"/>
      <c r="Y816" s="412"/>
      <c r="Z816" s="412"/>
    </row>
    <row r="817" spans="1:26" ht="12.75" x14ac:dyDescent="0.2">
      <c r="A817" s="412"/>
      <c r="B817" s="412"/>
      <c r="C817" s="412"/>
      <c r="D817" s="412"/>
      <c r="E817" s="412"/>
      <c r="F817" s="412"/>
      <c r="G817" s="412"/>
      <c r="H817" s="412"/>
      <c r="I817" s="412"/>
      <c r="J817" s="412"/>
      <c r="K817" s="412"/>
      <c r="L817" s="412"/>
      <c r="M817" s="412"/>
      <c r="N817" s="412"/>
      <c r="O817" s="412"/>
      <c r="P817" s="412"/>
      <c r="Q817" s="412"/>
      <c r="R817" s="412"/>
      <c r="S817" s="412"/>
      <c r="T817" s="412"/>
      <c r="U817" s="412"/>
      <c r="V817" s="412"/>
      <c r="W817" s="412"/>
      <c r="X817" s="412"/>
      <c r="Y817" s="412"/>
      <c r="Z817" s="412"/>
    </row>
    <row r="818" spans="1:26" ht="12.75" x14ac:dyDescent="0.2">
      <c r="A818" s="412"/>
      <c r="B818" s="412"/>
      <c r="C818" s="412"/>
      <c r="D818" s="412"/>
      <c r="E818" s="412"/>
      <c r="F818" s="412"/>
      <c r="G818" s="412"/>
      <c r="H818" s="412"/>
      <c r="I818" s="412"/>
      <c r="J818" s="412"/>
      <c r="K818" s="412"/>
      <c r="L818" s="412"/>
      <c r="M818" s="412"/>
      <c r="N818" s="412"/>
      <c r="O818" s="412"/>
      <c r="P818" s="412"/>
      <c r="Q818" s="412"/>
      <c r="R818" s="412"/>
      <c r="S818" s="412"/>
      <c r="T818" s="412"/>
      <c r="U818" s="412"/>
      <c r="V818" s="412"/>
      <c r="W818" s="412"/>
      <c r="X818" s="412"/>
      <c r="Y818" s="412"/>
      <c r="Z818" s="412"/>
    </row>
    <row r="819" spans="1:26" ht="12.75" x14ac:dyDescent="0.2">
      <c r="A819" s="412"/>
      <c r="B819" s="412"/>
      <c r="C819" s="412"/>
      <c r="D819" s="412"/>
      <c r="E819" s="412"/>
      <c r="F819" s="412"/>
      <c r="G819" s="412"/>
      <c r="H819" s="412"/>
      <c r="I819" s="412"/>
      <c r="J819" s="412"/>
      <c r="K819" s="412"/>
      <c r="L819" s="412"/>
      <c r="M819" s="412"/>
      <c r="N819" s="412"/>
      <c r="O819" s="412"/>
      <c r="P819" s="412"/>
      <c r="Q819" s="412"/>
      <c r="R819" s="412"/>
      <c r="S819" s="412"/>
      <c r="T819" s="412"/>
      <c r="U819" s="412"/>
      <c r="V819" s="412"/>
      <c r="W819" s="412"/>
      <c r="X819" s="412"/>
      <c r="Y819" s="412"/>
      <c r="Z819" s="412"/>
    </row>
    <row r="820" spans="1:26" ht="12.75" x14ac:dyDescent="0.2">
      <c r="A820" s="412"/>
      <c r="B820" s="412"/>
      <c r="C820" s="412"/>
      <c r="D820" s="412"/>
      <c r="E820" s="412"/>
      <c r="F820" s="412"/>
      <c r="G820" s="412"/>
      <c r="H820" s="412"/>
      <c r="I820" s="412"/>
      <c r="J820" s="412"/>
      <c r="K820" s="412"/>
      <c r="L820" s="412"/>
      <c r="M820" s="412"/>
      <c r="N820" s="412"/>
      <c r="O820" s="412"/>
      <c r="P820" s="412"/>
      <c r="Q820" s="412"/>
      <c r="R820" s="412"/>
      <c r="S820" s="412"/>
      <c r="T820" s="412"/>
      <c r="U820" s="412"/>
      <c r="V820" s="412"/>
      <c r="W820" s="412"/>
      <c r="X820" s="412"/>
      <c r="Y820" s="412"/>
      <c r="Z820" s="412"/>
    </row>
    <row r="821" spans="1:26" ht="12.75" x14ac:dyDescent="0.2">
      <c r="A821" s="412"/>
      <c r="B821" s="412"/>
      <c r="C821" s="412"/>
      <c r="D821" s="412"/>
      <c r="E821" s="412"/>
      <c r="F821" s="412"/>
      <c r="G821" s="412"/>
      <c r="H821" s="412"/>
      <c r="I821" s="412"/>
      <c r="J821" s="412"/>
      <c r="K821" s="412"/>
      <c r="L821" s="412"/>
      <c r="M821" s="412"/>
      <c r="N821" s="412"/>
      <c r="O821" s="412"/>
      <c r="P821" s="412"/>
      <c r="Q821" s="412"/>
      <c r="R821" s="412"/>
      <c r="S821" s="412"/>
      <c r="T821" s="412"/>
      <c r="U821" s="412"/>
      <c r="V821" s="412"/>
      <c r="W821" s="412"/>
      <c r="X821" s="412"/>
      <c r="Y821" s="412"/>
      <c r="Z821" s="412"/>
    </row>
    <row r="822" spans="1:26" ht="12.75" x14ac:dyDescent="0.2">
      <c r="A822" s="412"/>
      <c r="B822" s="412"/>
      <c r="C822" s="412"/>
      <c r="D822" s="412"/>
      <c r="E822" s="412"/>
      <c r="F822" s="412"/>
      <c r="G822" s="412"/>
      <c r="H822" s="412"/>
      <c r="I822" s="412"/>
      <c r="J822" s="412"/>
      <c r="K822" s="412"/>
      <c r="L822" s="412"/>
      <c r="M822" s="412"/>
      <c r="N822" s="412"/>
      <c r="O822" s="412"/>
      <c r="P822" s="412"/>
      <c r="Q822" s="412"/>
      <c r="R822" s="412"/>
      <c r="S822" s="412"/>
      <c r="T822" s="412"/>
      <c r="U822" s="412"/>
      <c r="V822" s="412"/>
      <c r="W822" s="412"/>
      <c r="X822" s="412"/>
      <c r="Y822" s="412"/>
      <c r="Z822" s="412"/>
    </row>
    <row r="823" spans="1:26" ht="12.75" x14ac:dyDescent="0.2">
      <c r="A823" s="412"/>
      <c r="B823" s="412"/>
      <c r="C823" s="412"/>
      <c r="D823" s="412"/>
      <c r="E823" s="412"/>
      <c r="F823" s="412"/>
      <c r="G823" s="412"/>
      <c r="H823" s="412"/>
      <c r="I823" s="412"/>
      <c r="J823" s="412"/>
      <c r="K823" s="412"/>
      <c r="L823" s="412"/>
      <c r="M823" s="412"/>
      <c r="N823" s="412"/>
      <c r="O823" s="412"/>
      <c r="P823" s="412"/>
      <c r="Q823" s="412"/>
      <c r="R823" s="412"/>
      <c r="S823" s="412"/>
      <c r="T823" s="412"/>
      <c r="U823" s="412"/>
      <c r="V823" s="412"/>
      <c r="W823" s="412"/>
      <c r="X823" s="412"/>
      <c r="Y823" s="412"/>
      <c r="Z823" s="412"/>
    </row>
    <row r="824" spans="1:26" ht="12.75" x14ac:dyDescent="0.2">
      <c r="A824" s="412"/>
      <c r="B824" s="412"/>
      <c r="C824" s="412"/>
      <c r="D824" s="412"/>
      <c r="E824" s="412"/>
      <c r="F824" s="412"/>
      <c r="G824" s="412"/>
      <c r="H824" s="412"/>
      <c r="I824" s="412"/>
      <c r="J824" s="412"/>
      <c r="K824" s="412"/>
      <c r="L824" s="412"/>
      <c r="M824" s="412"/>
      <c r="N824" s="412"/>
      <c r="O824" s="412"/>
      <c r="P824" s="412"/>
      <c r="Q824" s="412"/>
      <c r="R824" s="412"/>
      <c r="S824" s="412"/>
      <c r="T824" s="412"/>
      <c r="U824" s="412"/>
      <c r="V824" s="412"/>
      <c r="W824" s="412"/>
      <c r="X824" s="412"/>
      <c r="Y824" s="412"/>
      <c r="Z824" s="412"/>
    </row>
    <row r="825" spans="1:26" ht="12.75" x14ac:dyDescent="0.2">
      <c r="A825" s="412"/>
      <c r="B825" s="412"/>
      <c r="C825" s="412"/>
      <c r="D825" s="412"/>
      <c r="E825" s="412"/>
      <c r="F825" s="412"/>
      <c r="G825" s="412"/>
      <c r="H825" s="412"/>
      <c r="I825" s="412"/>
      <c r="J825" s="412"/>
      <c r="K825" s="412"/>
      <c r="L825" s="412"/>
      <c r="M825" s="412"/>
      <c r="N825" s="412"/>
      <c r="O825" s="412"/>
      <c r="P825" s="412"/>
      <c r="Q825" s="412"/>
      <c r="R825" s="412"/>
      <c r="S825" s="412"/>
      <c r="T825" s="412"/>
      <c r="U825" s="412"/>
      <c r="V825" s="412"/>
      <c r="W825" s="412"/>
      <c r="X825" s="412"/>
      <c r="Y825" s="412"/>
      <c r="Z825" s="412"/>
    </row>
    <row r="826" spans="1:26" ht="12.75" x14ac:dyDescent="0.2">
      <c r="A826" s="412"/>
      <c r="B826" s="412"/>
      <c r="C826" s="412"/>
      <c r="D826" s="412"/>
      <c r="E826" s="412"/>
      <c r="F826" s="412"/>
      <c r="G826" s="412"/>
      <c r="H826" s="412"/>
      <c r="I826" s="412"/>
      <c r="J826" s="412"/>
      <c r="K826" s="412"/>
      <c r="L826" s="412"/>
      <c r="M826" s="412"/>
      <c r="N826" s="412"/>
      <c r="O826" s="412"/>
      <c r="P826" s="412"/>
      <c r="Q826" s="412"/>
      <c r="R826" s="412"/>
      <c r="S826" s="412"/>
      <c r="T826" s="412"/>
      <c r="U826" s="412"/>
      <c r="V826" s="412"/>
      <c r="W826" s="412"/>
      <c r="X826" s="412"/>
      <c r="Y826" s="412"/>
      <c r="Z826" s="412"/>
    </row>
    <row r="827" spans="1:26" ht="12.75" x14ac:dyDescent="0.2">
      <c r="A827" s="412"/>
      <c r="B827" s="412"/>
      <c r="C827" s="412"/>
      <c r="D827" s="412"/>
      <c r="E827" s="412"/>
      <c r="F827" s="412"/>
      <c r="G827" s="412"/>
      <c r="H827" s="412"/>
      <c r="I827" s="412"/>
      <c r="J827" s="412"/>
      <c r="K827" s="412"/>
      <c r="L827" s="412"/>
      <c r="M827" s="412"/>
      <c r="N827" s="412"/>
      <c r="O827" s="412"/>
      <c r="P827" s="412"/>
      <c r="Q827" s="412"/>
      <c r="R827" s="412"/>
      <c r="S827" s="412"/>
      <c r="T827" s="412"/>
      <c r="U827" s="412"/>
      <c r="V827" s="412"/>
      <c r="W827" s="412"/>
      <c r="X827" s="412"/>
      <c r="Y827" s="412"/>
      <c r="Z827" s="412"/>
    </row>
    <row r="828" spans="1:26" ht="12.75" x14ac:dyDescent="0.2">
      <c r="A828" s="412"/>
      <c r="B828" s="412"/>
      <c r="C828" s="412"/>
      <c r="D828" s="412"/>
      <c r="E828" s="412"/>
      <c r="F828" s="412"/>
      <c r="G828" s="412"/>
      <c r="H828" s="412"/>
      <c r="I828" s="412"/>
      <c r="J828" s="412"/>
      <c r="K828" s="412"/>
      <c r="L828" s="412"/>
      <c r="M828" s="412"/>
      <c r="N828" s="412"/>
      <c r="O828" s="412"/>
      <c r="P828" s="412"/>
      <c r="Q828" s="412"/>
      <c r="R828" s="412"/>
      <c r="S828" s="412"/>
      <c r="T828" s="412"/>
      <c r="U828" s="412"/>
      <c r="V828" s="412"/>
      <c r="W828" s="412"/>
      <c r="X828" s="412"/>
      <c r="Y828" s="412"/>
      <c r="Z828" s="412"/>
    </row>
    <row r="829" spans="1:26" ht="12.75" x14ac:dyDescent="0.2">
      <c r="A829" s="412"/>
      <c r="B829" s="412"/>
      <c r="C829" s="412"/>
      <c r="D829" s="412"/>
      <c r="E829" s="412"/>
      <c r="F829" s="412"/>
      <c r="G829" s="412"/>
      <c r="H829" s="412"/>
      <c r="I829" s="412"/>
      <c r="J829" s="412"/>
      <c r="K829" s="412"/>
      <c r="L829" s="412"/>
      <c r="M829" s="412"/>
      <c r="N829" s="412"/>
      <c r="O829" s="412"/>
      <c r="P829" s="412"/>
      <c r="Q829" s="412"/>
      <c r="R829" s="412"/>
      <c r="S829" s="412"/>
      <c r="T829" s="412"/>
      <c r="U829" s="412"/>
      <c r="V829" s="412"/>
      <c r="W829" s="412"/>
      <c r="X829" s="412"/>
      <c r="Y829" s="412"/>
      <c r="Z829" s="412"/>
    </row>
    <row r="830" spans="1:26" ht="12.75" x14ac:dyDescent="0.2">
      <c r="A830" s="412"/>
      <c r="B830" s="412"/>
      <c r="C830" s="412"/>
      <c r="D830" s="412"/>
      <c r="E830" s="412"/>
      <c r="F830" s="412"/>
      <c r="G830" s="412"/>
      <c r="H830" s="412"/>
      <c r="I830" s="412"/>
      <c r="J830" s="412"/>
      <c r="K830" s="412"/>
      <c r="L830" s="412"/>
      <c r="M830" s="412"/>
      <c r="N830" s="412"/>
      <c r="O830" s="412"/>
      <c r="P830" s="412"/>
      <c r="Q830" s="412"/>
      <c r="R830" s="412"/>
      <c r="S830" s="412"/>
      <c r="T830" s="412"/>
      <c r="U830" s="412"/>
      <c r="V830" s="412"/>
      <c r="W830" s="412"/>
      <c r="X830" s="412"/>
      <c r="Y830" s="412"/>
      <c r="Z830" s="412"/>
    </row>
    <row r="831" spans="1:26" ht="12.75" x14ac:dyDescent="0.2">
      <c r="A831" s="412"/>
      <c r="B831" s="412"/>
      <c r="C831" s="412"/>
      <c r="D831" s="412"/>
      <c r="E831" s="412"/>
      <c r="F831" s="412"/>
      <c r="G831" s="412"/>
      <c r="H831" s="412"/>
      <c r="I831" s="412"/>
      <c r="J831" s="412"/>
      <c r="K831" s="412"/>
      <c r="L831" s="412"/>
      <c r="M831" s="412"/>
      <c r="N831" s="412"/>
      <c r="O831" s="412"/>
      <c r="P831" s="412"/>
      <c r="Q831" s="412"/>
      <c r="R831" s="412"/>
      <c r="S831" s="412"/>
      <c r="T831" s="412"/>
      <c r="U831" s="412"/>
      <c r="V831" s="412"/>
      <c r="W831" s="412"/>
      <c r="X831" s="412"/>
      <c r="Y831" s="412"/>
      <c r="Z831" s="412"/>
    </row>
    <row r="832" spans="1:26" ht="12.75" x14ac:dyDescent="0.2">
      <c r="A832" s="412"/>
      <c r="B832" s="412"/>
      <c r="C832" s="412"/>
      <c r="D832" s="412"/>
      <c r="E832" s="412"/>
      <c r="F832" s="412"/>
      <c r="G832" s="412"/>
      <c r="H832" s="412"/>
      <c r="I832" s="412"/>
      <c r="J832" s="412"/>
      <c r="K832" s="412"/>
      <c r="L832" s="412"/>
      <c r="M832" s="412"/>
      <c r="N832" s="412"/>
      <c r="O832" s="412"/>
      <c r="P832" s="412"/>
      <c r="Q832" s="412"/>
      <c r="R832" s="412"/>
      <c r="S832" s="412"/>
      <c r="T832" s="412"/>
      <c r="U832" s="412"/>
      <c r="V832" s="412"/>
      <c r="W832" s="412"/>
      <c r="X832" s="412"/>
      <c r="Y832" s="412"/>
      <c r="Z832" s="412"/>
    </row>
    <row r="833" spans="1:26" ht="12.75" x14ac:dyDescent="0.2">
      <c r="A833" s="412"/>
      <c r="B833" s="412"/>
      <c r="C833" s="412"/>
      <c r="D833" s="412"/>
      <c r="E833" s="412"/>
      <c r="F833" s="412"/>
      <c r="G833" s="412"/>
      <c r="H833" s="412"/>
      <c r="I833" s="412"/>
      <c r="J833" s="412"/>
      <c r="K833" s="412"/>
      <c r="L833" s="412"/>
      <c r="M833" s="412"/>
      <c r="N833" s="412"/>
      <c r="O833" s="412"/>
      <c r="P833" s="412"/>
      <c r="Q833" s="412"/>
      <c r="R833" s="412"/>
      <c r="S833" s="412"/>
      <c r="T833" s="412"/>
      <c r="U833" s="412"/>
      <c r="V833" s="412"/>
      <c r="W833" s="412"/>
      <c r="X833" s="412"/>
      <c r="Y833" s="412"/>
      <c r="Z833" s="412"/>
    </row>
    <row r="834" spans="1:26" ht="12.75" x14ac:dyDescent="0.2">
      <c r="A834" s="412"/>
      <c r="B834" s="412"/>
      <c r="C834" s="412"/>
      <c r="D834" s="412"/>
      <c r="E834" s="412"/>
      <c r="F834" s="412"/>
      <c r="G834" s="412"/>
      <c r="H834" s="412"/>
      <c r="I834" s="412"/>
      <c r="J834" s="412"/>
      <c r="K834" s="412"/>
      <c r="L834" s="412"/>
      <c r="M834" s="412"/>
      <c r="N834" s="412"/>
      <c r="O834" s="412"/>
      <c r="P834" s="412"/>
      <c r="Q834" s="412"/>
      <c r="R834" s="412"/>
      <c r="S834" s="412"/>
      <c r="T834" s="412"/>
      <c r="U834" s="412"/>
      <c r="V834" s="412"/>
      <c r="W834" s="412"/>
      <c r="X834" s="412"/>
      <c r="Y834" s="412"/>
      <c r="Z834" s="412"/>
    </row>
    <row r="835" spans="1:26" ht="12.75" x14ac:dyDescent="0.2">
      <c r="A835" s="412"/>
      <c r="B835" s="412"/>
      <c r="C835" s="412"/>
      <c r="D835" s="412"/>
      <c r="E835" s="412"/>
      <c r="F835" s="412"/>
      <c r="G835" s="412"/>
      <c r="H835" s="412"/>
      <c r="I835" s="412"/>
      <c r="J835" s="412"/>
      <c r="K835" s="412"/>
      <c r="L835" s="412"/>
      <c r="M835" s="412"/>
      <c r="N835" s="412"/>
      <c r="O835" s="412"/>
      <c r="P835" s="412"/>
      <c r="Q835" s="412"/>
      <c r="R835" s="412"/>
      <c r="S835" s="412"/>
      <c r="T835" s="412"/>
      <c r="U835" s="412"/>
      <c r="V835" s="412"/>
      <c r="W835" s="412"/>
      <c r="X835" s="412"/>
      <c r="Y835" s="412"/>
      <c r="Z835" s="412"/>
    </row>
    <row r="836" spans="1:26" ht="12.75" x14ac:dyDescent="0.2">
      <c r="A836" s="412"/>
      <c r="B836" s="412"/>
      <c r="C836" s="412"/>
      <c r="D836" s="412"/>
      <c r="E836" s="412"/>
      <c r="F836" s="412"/>
      <c r="G836" s="412"/>
      <c r="H836" s="412"/>
      <c r="I836" s="412"/>
      <c r="J836" s="412"/>
      <c r="K836" s="412"/>
      <c r="L836" s="412"/>
      <c r="M836" s="412"/>
      <c r="N836" s="412"/>
      <c r="O836" s="412"/>
      <c r="P836" s="412"/>
      <c r="Q836" s="412"/>
      <c r="R836" s="412"/>
      <c r="S836" s="412"/>
      <c r="T836" s="412"/>
      <c r="U836" s="412"/>
      <c r="V836" s="412"/>
      <c r="W836" s="412"/>
      <c r="X836" s="412"/>
      <c r="Y836" s="412"/>
      <c r="Z836" s="412"/>
    </row>
    <row r="837" spans="1:26" ht="12.75" x14ac:dyDescent="0.2">
      <c r="A837" s="412"/>
      <c r="B837" s="412"/>
      <c r="C837" s="412"/>
      <c r="D837" s="412"/>
      <c r="E837" s="412"/>
      <c r="F837" s="412"/>
      <c r="G837" s="412"/>
      <c r="H837" s="412"/>
      <c r="I837" s="412"/>
      <c r="J837" s="412"/>
      <c r="K837" s="412"/>
      <c r="L837" s="412"/>
      <c r="M837" s="412"/>
      <c r="N837" s="412"/>
      <c r="O837" s="412"/>
      <c r="P837" s="412"/>
      <c r="Q837" s="412"/>
      <c r="R837" s="412"/>
      <c r="S837" s="412"/>
      <c r="T837" s="412"/>
      <c r="U837" s="412"/>
      <c r="V837" s="412"/>
      <c r="W837" s="412"/>
      <c r="X837" s="412"/>
      <c r="Y837" s="412"/>
      <c r="Z837" s="412"/>
    </row>
    <row r="838" spans="1:26" ht="12.75" x14ac:dyDescent="0.2">
      <c r="A838" s="412"/>
      <c r="B838" s="412"/>
      <c r="C838" s="412"/>
      <c r="D838" s="412"/>
      <c r="E838" s="412"/>
      <c r="F838" s="412"/>
      <c r="G838" s="412"/>
      <c r="H838" s="412"/>
      <c r="I838" s="412"/>
      <c r="J838" s="412"/>
      <c r="K838" s="412"/>
      <c r="L838" s="412"/>
      <c r="M838" s="412"/>
      <c r="N838" s="412"/>
      <c r="O838" s="412"/>
      <c r="P838" s="412"/>
      <c r="Q838" s="412"/>
      <c r="R838" s="412"/>
      <c r="S838" s="412"/>
      <c r="T838" s="412"/>
      <c r="U838" s="412"/>
      <c r="V838" s="412"/>
      <c r="W838" s="412"/>
      <c r="X838" s="412"/>
      <c r="Y838" s="412"/>
      <c r="Z838" s="412"/>
    </row>
    <row r="839" spans="1:26" ht="12.75" x14ac:dyDescent="0.2">
      <c r="A839" s="412"/>
      <c r="B839" s="412"/>
      <c r="C839" s="412"/>
      <c r="D839" s="412"/>
      <c r="E839" s="412"/>
      <c r="F839" s="412"/>
      <c r="G839" s="412"/>
      <c r="H839" s="412"/>
      <c r="I839" s="412"/>
      <c r="J839" s="412"/>
      <c r="K839" s="412"/>
      <c r="L839" s="412"/>
      <c r="M839" s="412"/>
      <c r="N839" s="412"/>
      <c r="O839" s="412"/>
      <c r="P839" s="412"/>
      <c r="Q839" s="412"/>
      <c r="R839" s="412"/>
      <c r="S839" s="412"/>
      <c r="T839" s="412"/>
      <c r="U839" s="412"/>
      <c r="V839" s="412"/>
      <c r="W839" s="412"/>
      <c r="X839" s="412"/>
      <c r="Y839" s="412"/>
      <c r="Z839" s="412"/>
    </row>
    <row r="840" spans="1:26" ht="12.75" x14ac:dyDescent="0.2">
      <c r="A840" s="412"/>
      <c r="B840" s="412"/>
      <c r="C840" s="412"/>
      <c r="D840" s="412"/>
      <c r="E840" s="412"/>
      <c r="F840" s="412"/>
      <c r="G840" s="412"/>
      <c r="H840" s="412"/>
      <c r="I840" s="412"/>
      <c r="J840" s="412"/>
      <c r="K840" s="412"/>
      <c r="L840" s="412"/>
      <c r="M840" s="412"/>
      <c r="N840" s="412"/>
      <c r="O840" s="412"/>
      <c r="P840" s="412"/>
      <c r="Q840" s="412"/>
      <c r="R840" s="412"/>
      <c r="S840" s="412"/>
      <c r="T840" s="412"/>
      <c r="U840" s="412"/>
      <c r="V840" s="412"/>
      <c r="W840" s="412"/>
      <c r="X840" s="412"/>
      <c r="Y840" s="412"/>
      <c r="Z840" s="412"/>
    </row>
    <row r="841" spans="1:26" ht="12.75" x14ac:dyDescent="0.2">
      <c r="A841" s="412"/>
      <c r="B841" s="412"/>
      <c r="C841" s="412"/>
      <c r="D841" s="412"/>
      <c r="E841" s="412"/>
      <c r="F841" s="412"/>
      <c r="G841" s="412"/>
      <c r="H841" s="412"/>
      <c r="I841" s="412"/>
      <c r="J841" s="412"/>
      <c r="K841" s="412"/>
      <c r="L841" s="412"/>
      <c r="M841" s="412"/>
      <c r="N841" s="412"/>
      <c r="O841" s="412"/>
      <c r="P841" s="412"/>
      <c r="Q841" s="412"/>
      <c r="R841" s="412"/>
      <c r="S841" s="412"/>
      <c r="T841" s="412"/>
      <c r="U841" s="412"/>
      <c r="V841" s="412"/>
      <c r="W841" s="412"/>
      <c r="X841" s="412"/>
      <c r="Y841" s="412"/>
      <c r="Z841" s="412"/>
    </row>
    <row r="842" spans="1:26" ht="12.75" x14ac:dyDescent="0.2">
      <c r="A842" s="412"/>
      <c r="B842" s="412"/>
      <c r="C842" s="412"/>
      <c r="D842" s="412"/>
      <c r="E842" s="412"/>
      <c r="F842" s="412"/>
      <c r="G842" s="412"/>
      <c r="H842" s="412"/>
      <c r="I842" s="412"/>
      <c r="J842" s="412"/>
      <c r="K842" s="412"/>
      <c r="L842" s="412"/>
      <c r="M842" s="412"/>
      <c r="N842" s="412"/>
      <c r="O842" s="412"/>
      <c r="P842" s="412"/>
      <c r="Q842" s="412"/>
      <c r="R842" s="412"/>
      <c r="S842" s="412"/>
      <c r="T842" s="412"/>
      <c r="U842" s="412"/>
      <c r="V842" s="412"/>
      <c r="W842" s="412"/>
      <c r="X842" s="412"/>
      <c r="Y842" s="412"/>
      <c r="Z842" s="412"/>
    </row>
    <row r="843" spans="1:26" ht="12.75" x14ac:dyDescent="0.2">
      <c r="A843" s="412"/>
      <c r="B843" s="412"/>
      <c r="C843" s="412"/>
      <c r="D843" s="412"/>
      <c r="E843" s="412"/>
      <c r="F843" s="412"/>
      <c r="G843" s="412"/>
      <c r="H843" s="412"/>
      <c r="I843" s="412"/>
      <c r="J843" s="412"/>
      <c r="K843" s="412"/>
      <c r="L843" s="412"/>
      <c r="M843" s="412"/>
      <c r="N843" s="412"/>
      <c r="O843" s="412"/>
      <c r="P843" s="412"/>
      <c r="Q843" s="412"/>
      <c r="R843" s="412"/>
      <c r="S843" s="412"/>
      <c r="T843" s="412"/>
      <c r="U843" s="412"/>
      <c r="V843" s="412"/>
      <c r="W843" s="412"/>
      <c r="X843" s="412"/>
      <c r="Y843" s="412"/>
      <c r="Z843" s="412"/>
    </row>
    <row r="844" spans="1:26" ht="12.75" x14ac:dyDescent="0.2">
      <c r="A844" s="412"/>
      <c r="B844" s="412"/>
      <c r="C844" s="412"/>
      <c r="D844" s="412"/>
      <c r="E844" s="412"/>
      <c r="F844" s="412"/>
      <c r="G844" s="412"/>
      <c r="H844" s="412"/>
      <c r="I844" s="412"/>
      <c r="J844" s="412"/>
      <c r="K844" s="412"/>
      <c r="L844" s="412"/>
      <c r="M844" s="412"/>
      <c r="N844" s="412"/>
      <c r="O844" s="412"/>
      <c r="P844" s="412"/>
      <c r="Q844" s="412"/>
      <c r="R844" s="412"/>
      <c r="S844" s="412"/>
      <c r="T844" s="412"/>
      <c r="U844" s="412"/>
      <c r="V844" s="412"/>
      <c r="W844" s="412"/>
      <c r="X844" s="412"/>
      <c r="Y844" s="412"/>
      <c r="Z844" s="412"/>
    </row>
    <row r="845" spans="1:26" ht="12.75" x14ac:dyDescent="0.2">
      <c r="A845" s="412"/>
      <c r="B845" s="412"/>
      <c r="C845" s="412"/>
      <c r="D845" s="412"/>
      <c r="E845" s="412"/>
      <c r="F845" s="412"/>
      <c r="G845" s="412"/>
      <c r="H845" s="412"/>
      <c r="I845" s="412"/>
      <c r="J845" s="412"/>
      <c r="K845" s="412"/>
      <c r="L845" s="412"/>
      <c r="M845" s="412"/>
      <c r="N845" s="412"/>
      <c r="O845" s="412"/>
      <c r="P845" s="412"/>
      <c r="Q845" s="412"/>
      <c r="R845" s="412"/>
      <c r="S845" s="412"/>
      <c r="T845" s="412"/>
      <c r="U845" s="412"/>
      <c r="V845" s="412"/>
      <c r="W845" s="412"/>
      <c r="X845" s="412"/>
      <c r="Y845" s="412"/>
      <c r="Z845" s="412"/>
    </row>
    <row r="846" spans="1:26" ht="12.75" x14ac:dyDescent="0.2">
      <c r="A846" s="412"/>
      <c r="B846" s="412"/>
      <c r="C846" s="412"/>
      <c r="D846" s="412"/>
      <c r="E846" s="412"/>
      <c r="F846" s="412"/>
      <c r="G846" s="412"/>
      <c r="H846" s="412"/>
      <c r="I846" s="412"/>
      <c r="J846" s="412"/>
      <c r="K846" s="412"/>
      <c r="L846" s="412"/>
      <c r="M846" s="412"/>
      <c r="N846" s="412"/>
      <c r="O846" s="412"/>
      <c r="P846" s="412"/>
      <c r="Q846" s="412"/>
      <c r="R846" s="412"/>
      <c r="S846" s="412"/>
      <c r="T846" s="412"/>
      <c r="U846" s="412"/>
      <c r="V846" s="412"/>
      <c r="W846" s="412"/>
      <c r="X846" s="412"/>
      <c r="Y846" s="412"/>
      <c r="Z846" s="412"/>
    </row>
    <row r="847" spans="1:26" ht="12.75" x14ac:dyDescent="0.2">
      <c r="A847" s="412"/>
      <c r="B847" s="412"/>
      <c r="C847" s="412"/>
      <c r="D847" s="412"/>
      <c r="E847" s="412"/>
      <c r="F847" s="412"/>
      <c r="G847" s="412"/>
      <c r="H847" s="412"/>
      <c r="I847" s="412"/>
      <c r="J847" s="412"/>
      <c r="K847" s="412"/>
      <c r="L847" s="412"/>
      <c r="M847" s="412"/>
      <c r="N847" s="412"/>
      <c r="O847" s="412"/>
      <c r="P847" s="412"/>
      <c r="Q847" s="412"/>
      <c r="R847" s="412"/>
      <c r="S847" s="412"/>
      <c r="T847" s="412"/>
      <c r="U847" s="412"/>
      <c r="V847" s="412"/>
      <c r="W847" s="412"/>
      <c r="X847" s="412"/>
      <c r="Y847" s="412"/>
      <c r="Z847" s="412"/>
    </row>
    <row r="848" spans="1:26" ht="12.75" x14ac:dyDescent="0.2">
      <c r="A848" s="412"/>
      <c r="B848" s="412"/>
      <c r="C848" s="412"/>
      <c r="D848" s="412"/>
      <c r="E848" s="412"/>
      <c r="F848" s="412"/>
      <c r="G848" s="412"/>
      <c r="H848" s="412"/>
      <c r="I848" s="412"/>
      <c r="J848" s="412"/>
      <c r="K848" s="412"/>
      <c r="L848" s="412"/>
      <c r="M848" s="412"/>
      <c r="N848" s="412"/>
      <c r="O848" s="412"/>
      <c r="P848" s="412"/>
      <c r="Q848" s="412"/>
      <c r="R848" s="412"/>
      <c r="S848" s="412"/>
      <c r="T848" s="412"/>
      <c r="U848" s="412"/>
      <c r="V848" s="412"/>
      <c r="W848" s="412"/>
      <c r="X848" s="412"/>
      <c r="Y848" s="412"/>
      <c r="Z848" s="412"/>
    </row>
    <row r="849" spans="1:26" ht="12.75" x14ac:dyDescent="0.2">
      <c r="A849" s="412"/>
      <c r="B849" s="412"/>
      <c r="C849" s="412"/>
      <c r="D849" s="412"/>
      <c r="E849" s="412"/>
      <c r="F849" s="412"/>
      <c r="G849" s="412"/>
      <c r="H849" s="412"/>
      <c r="I849" s="412"/>
      <c r="J849" s="412"/>
      <c r="K849" s="412"/>
      <c r="L849" s="412"/>
      <c r="M849" s="412"/>
      <c r="N849" s="412"/>
      <c r="O849" s="412"/>
      <c r="P849" s="412"/>
      <c r="Q849" s="412"/>
      <c r="R849" s="412"/>
      <c r="S849" s="412"/>
      <c r="T849" s="412"/>
      <c r="U849" s="412"/>
      <c r="V849" s="412"/>
      <c r="W849" s="412"/>
      <c r="X849" s="412"/>
      <c r="Y849" s="412"/>
      <c r="Z849" s="412"/>
    </row>
    <row r="850" spans="1:26" ht="12.75" x14ac:dyDescent="0.2">
      <c r="A850" s="412"/>
      <c r="B850" s="412"/>
      <c r="C850" s="412"/>
      <c r="D850" s="412"/>
      <c r="E850" s="412"/>
      <c r="F850" s="412"/>
      <c r="G850" s="412"/>
      <c r="H850" s="412"/>
      <c r="I850" s="412"/>
      <c r="J850" s="412"/>
      <c r="K850" s="412"/>
      <c r="L850" s="412"/>
      <c r="M850" s="412"/>
      <c r="N850" s="412"/>
      <c r="O850" s="412"/>
      <c r="P850" s="412"/>
      <c r="Q850" s="412"/>
      <c r="R850" s="412"/>
      <c r="S850" s="412"/>
      <c r="T850" s="412"/>
      <c r="U850" s="412"/>
      <c r="V850" s="412"/>
      <c r="W850" s="412"/>
      <c r="X850" s="412"/>
      <c r="Y850" s="412"/>
      <c r="Z850" s="412"/>
    </row>
    <row r="851" spans="1:26" ht="12.75" x14ac:dyDescent="0.2">
      <c r="A851" s="412"/>
      <c r="B851" s="412"/>
      <c r="C851" s="412"/>
      <c r="D851" s="412"/>
      <c r="E851" s="412"/>
      <c r="F851" s="412"/>
      <c r="G851" s="412"/>
      <c r="H851" s="412"/>
      <c r="I851" s="412"/>
      <c r="J851" s="412"/>
      <c r="K851" s="412"/>
      <c r="L851" s="412"/>
      <c r="M851" s="412"/>
      <c r="N851" s="412"/>
      <c r="O851" s="412"/>
      <c r="P851" s="412"/>
      <c r="Q851" s="412"/>
      <c r="R851" s="412"/>
      <c r="S851" s="412"/>
      <c r="T851" s="412"/>
      <c r="U851" s="412"/>
      <c r="V851" s="412"/>
      <c r="W851" s="412"/>
      <c r="X851" s="412"/>
      <c r="Y851" s="412"/>
      <c r="Z851" s="412"/>
    </row>
    <row r="852" spans="1:26" ht="12.75" x14ac:dyDescent="0.2">
      <c r="A852" s="412"/>
      <c r="B852" s="412"/>
      <c r="C852" s="412"/>
      <c r="D852" s="412"/>
      <c r="E852" s="412"/>
      <c r="F852" s="412"/>
      <c r="G852" s="412"/>
      <c r="H852" s="412"/>
      <c r="I852" s="412"/>
      <c r="J852" s="412"/>
      <c r="K852" s="412"/>
      <c r="L852" s="412"/>
      <c r="M852" s="412"/>
      <c r="N852" s="412"/>
      <c r="O852" s="412"/>
      <c r="P852" s="412"/>
      <c r="Q852" s="412"/>
      <c r="R852" s="412"/>
      <c r="S852" s="412"/>
      <c r="T852" s="412"/>
      <c r="U852" s="412"/>
      <c r="V852" s="412"/>
      <c r="W852" s="412"/>
      <c r="X852" s="412"/>
      <c r="Y852" s="412"/>
      <c r="Z852" s="412"/>
    </row>
    <row r="853" spans="1:26" ht="12.75" x14ac:dyDescent="0.2">
      <c r="A853" s="412"/>
      <c r="B853" s="412"/>
      <c r="C853" s="412"/>
      <c r="D853" s="412"/>
      <c r="E853" s="412"/>
      <c r="F853" s="412"/>
      <c r="G853" s="412"/>
      <c r="H853" s="412"/>
      <c r="I853" s="412"/>
      <c r="J853" s="412"/>
      <c r="K853" s="412"/>
      <c r="L853" s="412"/>
      <c r="M853" s="412"/>
      <c r="N853" s="412"/>
      <c r="O853" s="412"/>
      <c r="P853" s="412"/>
      <c r="Q853" s="412"/>
      <c r="R853" s="412"/>
      <c r="S853" s="412"/>
      <c r="T853" s="412"/>
      <c r="U853" s="412"/>
      <c r="V853" s="412"/>
      <c r="W853" s="412"/>
      <c r="X853" s="412"/>
      <c r="Y853" s="412"/>
      <c r="Z853" s="412"/>
    </row>
    <row r="854" spans="1:26" ht="12.75" x14ac:dyDescent="0.2">
      <c r="A854" s="412"/>
      <c r="B854" s="412"/>
      <c r="C854" s="412"/>
      <c r="D854" s="412"/>
      <c r="E854" s="412"/>
      <c r="F854" s="412"/>
      <c r="G854" s="412"/>
      <c r="H854" s="412"/>
      <c r="I854" s="412"/>
      <c r="J854" s="412"/>
      <c r="K854" s="412"/>
      <c r="L854" s="412"/>
      <c r="M854" s="412"/>
      <c r="N854" s="412"/>
      <c r="O854" s="412"/>
      <c r="P854" s="412"/>
      <c r="Q854" s="412"/>
      <c r="R854" s="412"/>
      <c r="S854" s="412"/>
      <c r="T854" s="412"/>
      <c r="U854" s="412"/>
      <c r="V854" s="412"/>
      <c r="W854" s="412"/>
      <c r="X854" s="412"/>
      <c r="Y854" s="412"/>
      <c r="Z854" s="412"/>
    </row>
    <row r="855" spans="1:26" ht="12.75" x14ac:dyDescent="0.2">
      <c r="A855" s="412"/>
      <c r="B855" s="412"/>
      <c r="C855" s="412"/>
      <c r="D855" s="412"/>
      <c r="E855" s="412"/>
      <c r="F855" s="412"/>
      <c r="G855" s="412"/>
      <c r="H855" s="412"/>
      <c r="I855" s="412"/>
      <c r="J855" s="412"/>
      <c r="K855" s="412"/>
      <c r="L855" s="412"/>
      <c r="M855" s="412"/>
      <c r="N855" s="412"/>
      <c r="O855" s="412"/>
      <c r="P855" s="412"/>
      <c r="Q855" s="412"/>
      <c r="R855" s="412"/>
      <c r="S855" s="412"/>
      <c r="T855" s="412"/>
      <c r="U855" s="412"/>
      <c r="V855" s="412"/>
      <c r="W855" s="412"/>
      <c r="X855" s="412"/>
      <c r="Y855" s="412"/>
      <c r="Z855" s="412"/>
    </row>
    <row r="856" spans="1:26" ht="12.75" x14ac:dyDescent="0.2">
      <c r="A856" s="412"/>
      <c r="B856" s="412"/>
      <c r="C856" s="412"/>
      <c r="D856" s="412"/>
      <c r="E856" s="412"/>
      <c r="F856" s="412"/>
      <c r="G856" s="412"/>
      <c r="H856" s="412"/>
      <c r="I856" s="412"/>
      <c r="J856" s="412"/>
      <c r="K856" s="412"/>
      <c r="L856" s="412"/>
      <c r="M856" s="412"/>
      <c r="N856" s="412"/>
      <c r="O856" s="412"/>
      <c r="P856" s="412"/>
      <c r="Q856" s="412"/>
      <c r="R856" s="412"/>
      <c r="S856" s="412"/>
      <c r="T856" s="412"/>
      <c r="U856" s="412"/>
      <c r="V856" s="412"/>
      <c r="W856" s="412"/>
      <c r="X856" s="412"/>
      <c r="Y856" s="412"/>
      <c r="Z856" s="412"/>
    </row>
    <row r="857" spans="1:26" ht="12.75" x14ac:dyDescent="0.2">
      <c r="A857" s="412"/>
      <c r="B857" s="412"/>
      <c r="C857" s="412"/>
      <c r="D857" s="412"/>
      <c r="E857" s="412"/>
      <c r="F857" s="412"/>
      <c r="G857" s="412"/>
      <c r="H857" s="412"/>
      <c r="I857" s="412"/>
      <c r="J857" s="412"/>
      <c r="K857" s="412"/>
      <c r="L857" s="412"/>
      <c r="M857" s="412"/>
      <c r="N857" s="412"/>
      <c r="O857" s="412"/>
      <c r="P857" s="412"/>
      <c r="Q857" s="412"/>
      <c r="R857" s="412"/>
      <c r="S857" s="412"/>
      <c r="T857" s="412"/>
      <c r="U857" s="412"/>
      <c r="V857" s="412"/>
      <c r="W857" s="412"/>
      <c r="X857" s="412"/>
      <c r="Y857" s="412"/>
      <c r="Z857" s="412"/>
    </row>
    <row r="858" spans="1:26" ht="12.75" x14ac:dyDescent="0.2">
      <c r="A858" s="412"/>
      <c r="B858" s="412"/>
      <c r="C858" s="412"/>
      <c r="D858" s="412"/>
      <c r="E858" s="412"/>
      <c r="F858" s="412"/>
      <c r="G858" s="412"/>
      <c r="H858" s="412"/>
      <c r="I858" s="412"/>
      <c r="J858" s="412"/>
      <c r="K858" s="412"/>
      <c r="L858" s="412"/>
      <c r="M858" s="412"/>
      <c r="N858" s="412"/>
      <c r="O858" s="412"/>
      <c r="P858" s="412"/>
      <c r="Q858" s="412"/>
      <c r="R858" s="412"/>
      <c r="S858" s="412"/>
      <c r="T858" s="412"/>
      <c r="U858" s="412"/>
      <c r="V858" s="412"/>
      <c r="W858" s="412"/>
      <c r="X858" s="412"/>
      <c r="Y858" s="412"/>
      <c r="Z858" s="412"/>
    </row>
    <row r="859" spans="1:26" ht="12.75" x14ac:dyDescent="0.2">
      <c r="A859" s="412"/>
      <c r="B859" s="412"/>
      <c r="C859" s="412"/>
      <c r="D859" s="412"/>
      <c r="E859" s="412"/>
      <c r="F859" s="412"/>
      <c r="G859" s="412"/>
      <c r="H859" s="412"/>
      <c r="I859" s="412"/>
      <c r="J859" s="412"/>
      <c r="K859" s="412"/>
      <c r="L859" s="412"/>
      <c r="M859" s="412"/>
      <c r="N859" s="412"/>
      <c r="O859" s="412"/>
      <c r="P859" s="412"/>
      <c r="Q859" s="412"/>
      <c r="R859" s="412"/>
      <c r="S859" s="412"/>
      <c r="T859" s="412"/>
      <c r="U859" s="412"/>
      <c r="V859" s="412"/>
      <c r="W859" s="412"/>
      <c r="X859" s="412"/>
      <c r="Y859" s="412"/>
      <c r="Z859" s="412"/>
    </row>
    <row r="860" spans="1:26" ht="12.75" x14ac:dyDescent="0.2">
      <c r="A860" s="412"/>
      <c r="B860" s="412"/>
      <c r="C860" s="412"/>
      <c r="D860" s="412"/>
      <c r="E860" s="412"/>
      <c r="F860" s="412"/>
      <c r="G860" s="412"/>
      <c r="H860" s="412"/>
      <c r="I860" s="412"/>
      <c r="J860" s="412"/>
      <c r="K860" s="412"/>
      <c r="L860" s="412"/>
      <c r="M860" s="412"/>
      <c r="N860" s="412"/>
      <c r="O860" s="412"/>
      <c r="P860" s="412"/>
      <c r="Q860" s="412"/>
      <c r="R860" s="412"/>
      <c r="S860" s="412"/>
      <c r="T860" s="412"/>
      <c r="U860" s="412"/>
      <c r="V860" s="412"/>
      <c r="W860" s="412"/>
      <c r="X860" s="412"/>
      <c r="Y860" s="412"/>
      <c r="Z860" s="412"/>
    </row>
    <row r="861" spans="1:26" ht="12.75" x14ac:dyDescent="0.2">
      <c r="A861" s="412"/>
      <c r="B861" s="412"/>
      <c r="C861" s="412"/>
      <c r="D861" s="412"/>
      <c r="E861" s="412"/>
      <c r="F861" s="412"/>
      <c r="G861" s="412"/>
      <c r="H861" s="412"/>
      <c r="I861" s="412"/>
      <c r="J861" s="412"/>
      <c r="K861" s="412"/>
      <c r="L861" s="412"/>
      <c r="M861" s="412"/>
      <c r="N861" s="412"/>
      <c r="O861" s="412"/>
      <c r="P861" s="412"/>
      <c r="Q861" s="412"/>
      <c r="R861" s="412"/>
      <c r="S861" s="412"/>
      <c r="T861" s="412"/>
      <c r="U861" s="412"/>
      <c r="V861" s="412"/>
      <c r="W861" s="412"/>
      <c r="X861" s="412"/>
      <c r="Y861" s="412"/>
      <c r="Z861" s="412"/>
    </row>
    <row r="862" spans="1:26" ht="12.75" x14ac:dyDescent="0.2">
      <c r="A862" s="412"/>
      <c r="B862" s="412"/>
      <c r="C862" s="412"/>
      <c r="D862" s="412"/>
      <c r="E862" s="412"/>
      <c r="F862" s="412"/>
      <c r="G862" s="412"/>
      <c r="H862" s="412"/>
      <c r="I862" s="412"/>
      <c r="J862" s="412"/>
      <c r="K862" s="412"/>
      <c r="L862" s="412"/>
      <c r="M862" s="412"/>
      <c r="N862" s="412"/>
      <c r="O862" s="412"/>
      <c r="P862" s="412"/>
      <c r="Q862" s="412"/>
      <c r="R862" s="412"/>
      <c r="S862" s="412"/>
      <c r="T862" s="412"/>
      <c r="U862" s="412"/>
      <c r="V862" s="412"/>
      <c r="W862" s="412"/>
      <c r="X862" s="412"/>
      <c r="Y862" s="412"/>
      <c r="Z862" s="412"/>
    </row>
    <row r="863" spans="1:26" ht="12.75" x14ac:dyDescent="0.2">
      <c r="A863" s="412"/>
      <c r="B863" s="412"/>
      <c r="C863" s="412"/>
      <c r="D863" s="412"/>
      <c r="E863" s="412"/>
      <c r="F863" s="412"/>
      <c r="G863" s="412"/>
      <c r="H863" s="412"/>
      <c r="I863" s="412"/>
      <c r="J863" s="412"/>
      <c r="K863" s="412"/>
      <c r="L863" s="412"/>
      <c r="M863" s="412"/>
      <c r="N863" s="412"/>
      <c r="O863" s="412"/>
      <c r="P863" s="412"/>
      <c r="Q863" s="412"/>
      <c r="R863" s="412"/>
      <c r="S863" s="412"/>
      <c r="T863" s="412"/>
      <c r="U863" s="412"/>
      <c r="V863" s="412"/>
      <c r="W863" s="412"/>
      <c r="X863" s="412"/>
      <c r="Y863" s="412"/>
      <c r="Z863" s="412"/>
    </row>
    <row r="864" spans="1:26" ht="12.75" x14ac:dyDescent="0.2">
      <c r="A864" s="412"/>
      <c r="B864" s="412"/>
      <c r="C864" s="412"/>
      <c r="D864" s="412"/>
      <c r="E864" s="412"/>
      <c r="F864" s="412"/>
      <c r="G864" s="412"/>
      <c r="H864" s="412"/>
      <c r="I864" s="412"/>
      <c r="J864" s="412"/>
      <c r="K864" s="412"/>
      <c r="L864" s="412"/>
      <c r="M864" s="412"/>
      <c r="N864" s="412"/>
      <c r="O864" s="412"/>
      <c r="P864" s="412"/>
      <c r="Q864" s="412"/>
      <c r="R864" s="412"/>
      <c r="S864" s="412"/>
      <c r="T864" s="412"/>
      <c r="U864" s="412"/>
      <c r="V864" s="412"/>
      <c r="W864" s="412"/>
      <c r="X864" s="412"/>
      <c r="Y864" s="412"/>
      <c r="Z864" s="412"/>
    </row>
    <row r="865" spans="1:26" ht="12.75" x14ac:dyDescent="0.2">
      <c r="A865" s="412"/>
      <c r="B865" s="412"/>
      <c r="C865" s="412"/>
      <c r="D865" s="412"/>
      <c r="E865" s="412"/>
      <c r="F865" s="412"/>
      <c r="G865" s="412"/>
      <c r="H865" s="412"/>
      <c r="I865" s="412"/>
      <c r="J865" s="412"/>
      <c r="K865" s="412"/>
      <c r="L865" s="412"/>
      <c r="M865" s="412"/>
      <c r="N865" s="412"/>
      <c r="O865" s="412"/>
      <c r="P865" s="412"/>
      <c r="Q865" s="412"/>
      <c r="R865" s="412"/>
      <c r="S865" s="412"/>
      <c r="T865" s="412"/>
      <c r="U865" s="412"/>
      <c r="V865" s="412"/>
      <c r="W865" s="412"/>
      <c r="X865" s="412"/>
      <c r="Y865" s="412"/>
      <c r="Z865" s="412"/>
    </row>
    <row r="866" spans="1:26" ht="12.75" x14ac:dyDescent="0.2">
      <c r="A866" s="412"/>
      <c r="B866" s="412"/>
      <c r="C866" s="412"/>
      <c r="D866" s="412"/>
      <c r="E866" s="412"/>
      <c r="F866" s="412"/>
      <c r="G866" s="412"/>
      <c r="H866" s="412"/>
      <c r="I866" s="412"/>
      <c r="J866" s="412"/>
      <c r="K866" s="412"/>
      <c r="L866" s="412"/>
      <c r="M866" s="412"/>
      <c r="N866" s="412"/>
      <c r="O866" s="412"/>
      <c r="P866" s="412"/>
      <c r="Q866" s="412"/>
      <c r="R866" s="412"/>
      <c r="S866" s="412"/>
      <c r="T866" s="412"/>
      <c r="U866" s="412"/>
      <c r="V866" s="412"/>
      <c r="W866" s="412"/>
      <c r="X866" s="412"/>
      <c r="Y866" s="412"/>
      <c r="Z866" s="412"/>
    </row>
    <row r="867" spans="1:26" ht="12.75" x14ac:dyDescent="0.2">
      <c r="A867" s="412"/>
      <c r="B867" s="412"/>
      <c r="C867" s="412"/>
      <c r="D867" s="412"/>
      <c r="E867" s="412"/>
      <c r="F867" s="412"/>
      <c r="G867" s="412"/>
      <c r="H867" s="412"/>
      <c r="I867" s="412"/>
      <c r="J867" s="412"/>
      <c r="K867" s="412"/>
      <c r="L867" s="412"/>
      <c r="M867" s="412"/>
      <c r="N867" s="412"/>
      <c r="O867" s="412"/>
      <c r="P867" s="412"/>
      <c r="Q867" s="412"/>
      <c r="R867" s="412"/>
      <c r="S867" s="412"/>
      <c r="T867" s="412"/>
      <c r="U867" s="412"/>
      <c r="V867" s="412"/>
      <c r="W867" s="412"/>
      <c r="X867" s="412"/>
      <c r="Y867" s="412"/>
      <c r="Z867" s="412"/>
    </row>
    <row r="868" spans="1:26" ht="12.75" x14ac:dyDescent="0.2">
      <c r="A868" s="412"/>
      <c r="B868" s="412"/>
      <c r="C868" s="412"/>
      <c r="D868" s="412"/>
      <c r="E868" s="412"/>
      <c r="F868" s="412"/>
      <c r="G868" s="412"/>
      <c r="H868" s="412"/>
      <c r="I868" s="412"/>
      <c r="J868" s="412"/>
      <c r="K868" s="412"/>
      <c r="L868" s="412"/>
      <c r="M868" s="412"/>
      <c r="N868" s="412"/>
      <c r="O868" s="412"/>
      <c r="P868" s="412"/>
      <c r="Q868" s="412"/>
      <c r="R868" s="412"/>
      <c r="S868" s="412"/>
      <c r="T868" s="412"/>
      <c r="U868" s="412"/>
      <c r="V868" s="412"/>
      <c r="W868" s="412"/>
      <c r="X868" s="412"/>
      <c r="Y868" s="412"/>
      <c r="Z868" s="412"/>
    </row>
    <row r="869" spans="1:26" ht="12.75" x14ac:dyDescent="0.2">
      <c r="A869" s="412"/>
      <c r="B869" s="412"/>
      <c r="C869" s="412"/>
      <c r="D869" s="412"/>
      <c r="E869" s="412"/>
      <c r="F869" s="412"/>
      <c r="G869" s="412"/>
      <c r="H869" s="412"/>
      <c r="I869" s="412"/>
      <c r="J869" s="412"/>
      <c r="K869" s="412"/>
      <c r="L869" s="412"/>
      <c r="M869" s="412"/>
      <c r="N869" s="412"/>
      <c r="O869" s="412"/>
      <c r="P869" s="412"/>
      <c r="Q869" s="412"/>
      <c r="R869" s="412"/>
      <c r="S869" s="412"/>
      <c r="T869" s="412"/>
      <c r="U869" s="412"/>
      <c r="V869" s="412"/>
      <c r="W869" s="412"/>
      <c r="X869" s="412"/>
      <c r="Y869" s="412"/>
      <c r="Z869" s="412"/>
    </row>
    <row r="870" spans="1:26" ht="12.75" x14ac:dyDescent="0.2">
      <c r="A870" s="412"/>
      <c r="B870" s="412"/>
      <c r="C870" s="412"/>
      <c r="D870" s="412"/>
      <c r="E870" s="412"/>
      <c r="F870" s="412"/>
      <c r="G870" s="412"/>
      <c r="H870" s="412"/>
      <c r="I870" s="412"/>
      <c r="J870" s="412"/>
      <c r="K870" s="412"/>
      <c r="L870" s="412"/>
      <c r="M870" s="412"/>
      <c r="N870" s="412"/>
      <c r="O870" s="412"/>
      <c r="P870" s="412"/>
      <c r="Q870" s="412"/>
      <c r="R870" s="412"/>
      <c r="S870" s="412"/>
      <c r="T870" s="412"/>
      <c r="U870" s="412"/>
      <c r="V870" s="412"/>
      <c r="W870" s="412"/>
      <c r="X870" s="412"/>
      <c r="Y870" s="412"/>
      <c r="Z870" s="412"/>
    </row>
    <row r="871" spans="1:26" ht="12.75" x14ac:dyDescent="0.2">
      <c r="A871" s="412"/>
      <c r="B871" s="412"/>
      <c r="C871" s="412"/>
      <c r="D871" s="412"/>
      <c r="E871" s="412"/>
      <c r="F871" s="412"/>
      <c r="G871" s="412"/>
      <c r="H871" s="412"/>
      <c r="I871" s="412"/>
      <c r="J871" s="412"/>
      <c r="K871" s="412"/>
      <c r="L871" s="412"/>
      <c r="M871" s="412"/>
      <c r="N871" s="412"/>
      <c r="O871" s="412"/>
      <c r="P871" s="412"/>
      <c r="Q871" s="412"/>
      <c r="R871" s="412"/>
      <c r="S871" s="412"/>
      <c r="T871" s="412"/>
      <c r="U871" s="412"/>
      <c r="V871" s="412"/>
      <c r="W871" s="412"/>
      <c r="X871" s="412"/>
      <c r="Y871" s="412"/>
      <c r="Z871" s="412"/>
    </row>
    <row r="872" spans="1:26" ht="12.75" x14ac:dyDescent="0.2">
      <c r="A872" s="412"/>
      <c r="B872" s="412"/>
      <c r="C872" s="412"/>
      <c r="D872" s="412"/>
      <c r="E872" s="412"/>
      <c r="F872" s="412"/>
      <c r="G872" s="412"/>
      <c r="H872" s="412"/>
      <c r="I872" s="412"/>
      <c r="J872" s="412"/>
      <c r="K872" s="412"/>
      <c r="L872" s="412"/>
      <c r="M872" s="412"/>
      <c r="N872" s="412"/>
      <c r="O872" s="412"/>
      <c r="P872" s="412"/>
      <c r="Q872" s="412"/>
      <c r="R872" s="412"/>
      <c r="S872" s="412"/>
      <c r="T872" s="412"/>
      <c r="U872" s="412"/>
      <c r="V872" s="412"/>
      <c r="W872" s="412"/>
      <c r="X872" s="412"/>
      <c r="Y872" s="412"/>
      <c r="Z872" s="412"/>
    </row>
    <row r="873" spans="1:26" ht="12.75" x14ac:dyDescent="0.2">
      <c r="A873" s="412"/>
      <c r="B873" s="412"/>
      <c r="C873" s="412"/>
      <c r="D873" s="412"/>
      <c r="E873" s="412"/>
      <c r="F873" s="412"/>
      <c r="G873" s="412"/>
      <c r="H873" s="412"/>
      <c r="I873" s="412"/>
      <c r="J873" s="412"/>
      <c r="K873" s="412"/>
      <c r="L873" s="412"/>
      <c r="M873" s="412"/>
      <c r="N873" s="412"/>
      <c r="O873" s="412"/>
      <c r="P873" s="412"/>
      <c r="Q873" s="412"/>
      <c r="R873" s="412"/>
      <c r="S873" s="412"/>
      <c r="T873" s="412"/>
      <c r="U873" s="412"/>
      <c r="V873" s="412"/>
      <c r="W873" s="412"/>
      <c r="X873" s="412"/>
      <c r="Y873" s="412"/>
      <c r="Z873" s="412"/>
    </row>
    <row r="874" spans="1:26" ht="12.75" x14ac:dyDescent="0.2">
      <c r="A874" s="412"/>
      <c r="B874" s="412"/>
      <c r="C874" s="412"/>
      <c r="D874" s="412"/>
      <c r="E874" s="412"/>
      <c r="F874" s="412"/>
      <c r="G874" s="412"/>
      <c r="H874" s="412"/>
      <c r="I874" s="412"/>
      <c r="J874" s="412"/>
      <c r="K874" s="412"/>
      <c r="L874" s="412"/>
      <c r="M874" s="412"/>
      <c r="N874" s="412"/>
      <c r="O874" s="412"/>
      <c r="P874" s="412"/>
      <c r="Q874" s="412"/>
      <c r="R874" s="412"/>
      <c r="S874" s="412"/>
      <c r="T874" s="412"/>
      <c r="U874" s="412"/>
      <c r="V874" s="412"/>
      <c r="W874" s="412"/>
      <c r="X874" s="412"/>
      <c r="Y874" s="412"/>
      <c r="Z874" s="412"/>
    </row>
    <row r="875" spans="1:26" ht="12.75" x14ac:dyDescent="0.2">
      <c r="A875" s="412"/>
      <c r="B875" s="412"/>
      <c r="C875" s="412"/>
      <c r="D875" s="412"/>
      <c r="E875" s="412"/>
      <c r="F875" s="412"/>
      <c r="G875" s="412"/>
      <c r="H875" s="412"/>
      <c r="I875" s="412"/>
      <c r="J875" s="412"/>
      <c r="K875" s="412"/>
      <c r="L875" s="412"/>
      <c r="M875" s="412"/>
      <c r="N875" s="412"/>
      <c r="O875" s="412"/>
      <c r="P875" s="412"/>
      <c r="Q875" s="412"/>
      <c r="R875" s="412"/>
      <c r="S875" s="412"/>
      <c r="T875" s="412"/>
      <c r="U875" s="412"/>
      <c r="V875" s="412"/>
      <c r="W875" s="412"/>
      <c r="X875" s="412"/>
      <c r="Y875" s="412"/>
      <c r="Z875" s="412"/>
    </row>
    <row r="876" spans="1:26" ht="12.75" x14ac:dyDescent="0.2">
      <c r="A876" s="412"/>
      <c r="B876" s="412"/>
      <c r="C876" s="412"/>
      <c r="D876" s="412"/>
      <c r="E876" s="412"/>
      <c r="F876" s="412"/>
      <c r="G876" s="412"/>
      <c r="H876" s="412"/>
      <c r="I876" s="412"/>
      <c r="J876" s="412"/>
      <c r="K876" s="412"/>
      <c r="L876" s="412"/>
      <c r="M876" s="412"/>
      <c r="N876" s="412"/>
      <c r="O876" s="412"/>
      <c r="P876" s="412"/>
      <c r="Q876" s="412"/>
      <c r="R876" s="412"/>
      <c r="S876" s="412"/>
      <c r="T876" s="412"/>
      <c r="U876" s="412"/>
      <c r="V876" s="412"/>
      <c r="W876" s="412"/>
      <c r="X876" s="412"/>
      <c r="Y876" s="412"/>
      <c r="Z876" s="412"/>
    </row>
    <row r="877" spans="1:26" ht="12.75" x14ac:dyDescent="0.2">
      <c r="A877" s="412"/>
      <c r="B877" s="412"/>
      <c r="C877" s="412"/>
      <c r="D877" s="412"/>
      <c r="E877" s="412"/>
      <c r="F877" s="412"/>
      <c r="G877" s="412"/>
      <c r="H877" s="412"/>
      <c r="I877" s="412"/>
      <c r="J877" s="412"/>
      <c r="K877" s="412"/>
      <c r="L877" s="412"/>
      <c r="M877" s="412"/>
      <c r="N877" s="412"/>
      <c r="O877" s="412"/>
      <c r="P877" s="412"/>
      <c r="Q877" s="412"/>
      <c r="R877" s="412"/>
      <c r="S877" s="412"/>
      <c r="T877" s="412"/>
      <c r="U877" s="412"/>
      <c r="V877" s="412"/>
      <c r="W877" s="412"/>
      <c r="X877" s="412"/>
      <c r="Y877" s="412"/>
      <c r="Z877" s="412"/>
    </row>
    <row r="878" spans="1:26" ht="12.75" x14ac:dyDescent="0.2">
      <c r="A878" s="412"/>
      <c r="B878" s="412"/>
      <c r="C878" s="412"/>
      <c r="D878" s="412"/>
      <c r="E878" s="412"/>
      <c r="F878" s="412"/>
      <c r="G878" s="412"/>
      <c r="H878" s="412"/>
      <c r="I878" s="412"/>
      <c r="J878" s="412"/>
      <c r="K878" s="412"/>
      <c r="L878" s="412"/>
      <c r="M878" s="412"/>
      <c r="N878" s="412"/>
      <c r="O878" s="412"/>
      <c r="P878" s="412"/>
      <c r="Q878" s="412"/>
      <c r="R878" s="412"/>
      <c r="S878" s="412"/>
      <c r="T878" s="412"/>
      <c r="U878" s="412"/>
      <c r="V878" s="412"/>
      <c r="W878" s="412"/>
      <c r="X878" s="412"/>
      <c r="Y878" s="412"/>
      <c r="Z878" s="412"/>
    </row>
    <row r="879" spans="1:26" ht="12.75" x14ac:dyDescent="0.2">
      <c r="A879" s="412"/>
      <c r="B879" s="412"/>
      <c r="C879" s="412"/>
      <c r="D879" s="412"/>
      <c r="E879" s="412"/>
      <c r="F879" s="412"/>
      <c r="G879" s="412"/>
      <c r="H879" s="412"/>
      <c r="I879" s="412"/>
      <c r="J879" s="412"/>
      <c r="K879" s="412"/>
      <c r="L879" s="412"/>
      <c r="M879" s="412"/>
      <c r="N879" s="412"/>
      <c r="O879" s="412"/>
      <c r="P879" s="412"/>
      <c r="Q879" s="412"/>
      <c r="R879" s="412"/>
      <c r="S879" s="412"/>
      <c r="T879" s="412"/>
      <c r="U879" s="412"/>
      <c r="V879" s="412"/>
      <c r="W879" s="412"/>
      <c r="X879" s="412"/>
      <c r="Y879" s="412"/>
      <c r="Z879" s="412"/>
    </row>
    <row r="880" spans="1:26" ht="12.75" x14ac:dyDescent="0.2">
      <c r="A880" s="412"/>
      <c r="B880" s="412"/>
      <c r="C880" s="412"/>
      <c r="D880" s="412"/>
      <c r="E880" s="412"/>
      <c r="F880" s="412"/>
      <c r="G880" s="412"/>
      <c r="H880" s="412"/>
      <c r="I880" s="412"/>
      <c r="J880" s="412"/>
      <c r="K880" s="412"/>
      <c r="L880" s="412"/>
      <c r="M880" s="412"/>
      <c r="N880" s="412"/>
      <c r="O880" s="412"/>
      <c r="P880" s="412"/>
      <c r="Q880" s="412"/>
      <c r="R880" s="412"/>
      <c r="S880" s="412"/>
      <c r="T880" s="412"/>
      <c r="U880" s="412"/>
      <c r="V880" s="412"/>
      <c r="W880" s="412"/>
      <c r="X880" s="412"/>
      <c r="Y880" s="412"/>
      <c r="Z880" s="412"/>
    </row>
    <row r="881" spans="1:26" ht="12.75" x14ac:dyDescent="0.2">
      <c r="A881" s="412"/>
      <c r="B881" s="412"/>
      <c r="C881" s="412"/>
      <c r="D881" s="412"/>
      <c r="E881" s="412"/>
      <c r="F881" s="412"/>
      <c r="G881" s="412"/>
      <c r="H881" s="412"/>
      <c r="I881" s="412"/>
      <c r="J881" s="412"/>
      <c r="K881" s="412"/>
      <c r="L881" s="412"/>
      <c r="M881" s="412"/>
      <c r="N881" s="412"/>
      <c r="O881" s="412"/>
      <c r="P881" s="412"/>
      <c r="Q881" s="412"/>
      <c r="R881" s="412"/>
      <c r="S881" s="412"/>
      <c r="T881" s="412"/>
      <c r="U881" s="412"/>
      <c r="V881" s="412"/>
      <c r="W881" s="412"/>
      <c r="X881" s="412"/>
      <c r="Y881" s="412"/>
      <c r="Z881" s="412"/>
    </row>
    <row r="882" spans="1:26" ht="12.75" x14ac:dyDescent="0.2">
      <c r="A882" s="412"/>
      <c r="B882" s="412"/>
      <c r="C882" s="412"/>
      <c r="D882" s="412"/>
      <c r="E882" s="412"/>
      <c r="F882" s="412"/>
      <c r="G882" s="412"/>
      <c r="H882" s="412"/>
      <c r="I882" s="412"/>
      <c r="J882" s="412"/>
      <c r="K882" s="412"/>
      <c r="L882" s="412"/>
      <c r="M882" s="412"/>
      <c r="N882" s="412"/>
      <c r="O882" s="412"/>
      <c r="P882" s="412"/>
      <c r="Q882" s="412"/>
      <c r="R882" s="412"/>
      <c r="S882" s="412"/>
      <c r="T882" s="412"/>
      <c r="U882" s="412"/>
      <c r="V882" s="412"/>
      <c r="W882" s="412"/>
      <c r="X882" s="412"/>
      <c r="Y882" s="412"/>
      <c r="Z882" s="412"/>
    </row>
    <row r="883" spans="1:26" ht="12.75" x14ac:dyDescent="0.2">
      <c r="A883" s="412"/>
      <c r="B883" s="412"/>
      <c r="C883" s="412"/>
      <c r="D883" s="412"/>
      <c r="E883" s="412"/>
      <c r="F883" s="412"/>
      <c r="G883" s="412"/>
      <c r="H883" s="412"/>
      <c r="I883" s="412"/>
      <c r="J883" s="412"/>
      <c r="K883" s="412"/>
      <c r="L883" s="412"/>
      <c r="M883" s="412"/>
      <c r="N883" s="412"/>
      <c r="O883" s="412"/>
      <c r="P883" s="412"/>
      <c r="Q883" s="412"/>
      <c r="R883" s="412"/>
      <c r="S883" s="412"/>
      <c r="T883" s="412"/>
      <c r="U883" s="412"/>
      <c r="V883" s="412"/>
      <c r="W883" s="412"/>
      <c r="X883" s="412"/>
      <c r="Y883" s="412"/>
      <c r="Z883" s="412"/>
    </row>
    <row r="884" spans="1:26" ht="12.75" x14ac:dyDescent="0.2">
      <c r="A884" s="412"/>
      <c r="B884" s="412"/>
      <c r="C884" s="412"/>
      <c r="D884" s="412"/>
      <c r="E884" s="412"/>
      <c r="F884" s="412"/>
      <c r="G884" s="412"/>
      <c r="H884" s="412"/>
      <c r="I884" s="412"/>
      <c r="J884" s="412"/>
      <c r="K884" s="412"/>
      <c r="L884" s="412"/>
      <c r="M884" s="412"/>
      <c r="N884" s="412"/>
      <c r="O884" s="412"/>
      <c r="P884" s="412"/>
      <c r="Q884" s="412"/>
      <c r="R884" s="412"/>
      <c r="S884" s="412"/>
      <c r="T884" s="412"/>
      <c r="U884" s="412"/>
      <c r="V884" s="412"/>
      <c r="W884" s="412"/>
      <c r="X884" s="412"/>
      <c r="Y884" s="412"/>
      <c r="Z884" s="412"/>
    </row>
    <row r="885" spans="1:26" ht="12.75" x14ac:dyDescent="0.2">
      <c r="A885" s="412"/>
      <c r="B885" s="412"/>
      <c r="C885" s="412"/>
      <c r="D885" s="412"/>
      <c r="E885" s="412"/>
      <c r="F885" s="412"/>
      <c r="G885" s="412"/>
      <c r="H885" s="412"/>
      <c r="I885" s="412"/>
      <c r="J885" s="412"/>
      <c r="K885" s="412"/>
      <c r="L885" s="412"/>
      <c r="M885" s="412"/>
      <c r="N885" s="412"/>
      <c r="O885" s="412"/>
      <c r="P885" s="412"/>
      <c r="Q885" s="412"/>
      <c r="R885" s="412"/>
      <c r="S885" s="412"/>
      <c r="T885" s="412"/>
      <c r="U885" s="412"/>
      <c r="V885" s="412"/>
      <c r="W885" s="412"/>
      <c r="X885" s="412"/>
      <c r="Y885" s="412"/>
      <c r="Z885" s="412"/>
    </row>
    <row r="886" spans="1:26" ht="12.75" x14ac:dyDescent="0.2">
      <c r="A886" s="412"/>
      <c r="B886" s="412"/>
      <c r="C886" s="412"/>
      <c r="D886" s="412"/>
      <c r="E886" s="412"/>
      <c r="F886" s="412"/>
      <c r="G886" s="412"/>
      <c r="H886" s="412"/>
      <c r="I886" s="412"/>
      <c r="J886" s="412"/>
      <c r="K886" s="412"/>
      <c r="L886" s="412"/>
      <c r="M886" s="412"/>
      <c r="N886" s="412"/>
      <c r="O886" s="412"/>
      <c r="P886" s="412"/>
      <c r="Q886" s="412"/>
      <c r="R886" s="412"/>
      <c r="S886" s="412"/>
      <c r="T886" s="412"/>
      <c r="U886" s="412"/>
      <c r="V886" s="412"/>
      <c r="W886" s="412"/>
      <c r="X886" s="412"/>
      <c r="Y886" s="412"/>
      <c r="Z886" s="412"/>
    </row>
    <row r="887" spans="1:26" ht="12.75" x14ac:dyDescent="0.2">
      <c r="A887" s="412"/>
      <c r="B887" s="412"/>
      <c r="C887" s="412"/>
      <c r="D887" s="412"/>
      <c r="E887" s="412"/>
      <c r="F887" s="412"/>
      <c r="G887" s="412"/>
      <c r="H887" s="412"/>
      <c r="I887" s="412"/>
      <c r="J887" s="412"/>
      <c r="K887" s="412"/>
      <c r="L887" s="412"/>
      <c r="M887" s="412"/>
      <c r="N887" s="412"/>
      <c r="O887" s="412"/>
      <c r="P887" s="412"/>
      <c r="Q887" s="412"/>
      <c r="R887" s="412"/>
      <c r="S887" s="412"/>
      <c r="T887" s="412"/>
      <c r="U887" s="412"/>
      <c r="V887" s="412"/>
      <c r="W887" s="412"/>
      <c r="X887" s="412"/>
      <c r="Y887" s="412"/>
      <c r="Z887" s="412"/>
    </row>
    <row r="888" spans="1:26" ht="12.75" x14ac:dyDescent="0.2">
      <c r="A888" s="412"/>
      <c r="B888" s="412"/>
      <c r="C888" s="412"/>
      <c r="D888" s="412"/>
      <c r="E888" s="412"/>
      <c r="F888" s="412"/>
      <c r="G888" s="412"/>
      <c r="H888" s="412"/>
      <c r="I888" s="412"/>
      <c r="J888" s="412"/>
      <c r="K888" s="412"/>
      <c r="L888" s="412"/>
      <c r="M888" s="412"/>
      <c r="N888" s="412"/>
      <c r="O888" s="412"/>
      <c r="P888" s="412"/>
      <c r="Q888" s="412"/>
      <c r="R888" s="412"/>
      <c r="S888" s="412"/>
      <c r="T888" s="412"/>
      <c r="U888" s="412"/>
      <c r="V888" s="412"/>
      <c r="W888" s="412"/>
      <c r="X888" s="412"/>
      <c r="Y888" s="412"/>
      <c r="Z888" s="412"/>
    </row>
    <row r="889" spans="1:26" ht="12.75" x14ac:dyDescent="0.2">
      <c r="A889" s="412"/>
      <c r="B889" s="412"/>
      <c r="C889" s="412"/>
      <c r="D889" s="412"/>
      <c r="E889" s="412"/>
      <c r="F889" s="412"/>
      <c r="G889" s="412"/>
      <c r="H889" s="412"/>
      <c r="I889" s="412"/>
      <c r="J889" s="412"/>
      <c r="K889" s="412"/>
      <c r="L889" s="412"/>
      <c r="M889" s="412"/>
      <c r="N889" s="412"/>
      <c r="O889" s="412"/>
      <c r="P889" s="412"/>
      <c r="Q889" s="412"/>
      <c r="R889" s="412"/>
      <c r="S889" s="412"/>
      <c r="T889" s="412"/>
      <c r="U889" s="412"/>
      <c r="V889" s="412"/>
      <c r="W889" s="412"/>
      <c r="X889" s="412"/>
      <c r="Y889" s="412"/>
      <c r="Z889" s="412"/>
    </row>
    <row r="890" spans="1:26" ht="12.75" x14ac:dyDescent="0.2">
      <c r="A890" s="412"/>
      <c r="B890" s="412"/>
      <c r="C890" s="412"/>
      <c r="D890" s="412"/>
      <c r="E890" s="412"/>
      <c r="F890" s="412"/>
      <c r="G890" s="412"/>
      <c r="H890" s="412"/>
      <c r="I890" s="412"/>
      <c r="J890" s="412"/>
      <c r="K890" s="412"/>
      <c r="L890" s="412"/>
      <c r="M890" s="412"/>
      <c r="N890" s="412"/>
      <c r="O890" s="412"/>
      <c r="P890" s="412"/>
      <c r="Q890" s="412"/>
      <c r="R890" s="412"/>
      <c r="S890" s="412"/>
      <c r="T890" s="412"/>
      <c r="U890" s="412"/>
      <c r="V890" s="412"/>
      <c r="W890" s="412"/>
      <c r="X890" s="412"/>
      <c r="Y890" s="412"/>
      <c r="Z890" s="412"/>
    </row>
    <row r="891" spans="1:26" ht="12.75" x14ac:dyDescent="0.2">
      <c r="A891" s="412"/>
      <c r="B891" s="412"/>
      <c r="C891" s="412"/>
      <c r="D891" s="412"/>
      <c r="E891" s="412"/>
      <c r="F891" s="412"/>
      <c r="G891" s="412"/>
      <c r="H891" s="412"/>
      <c r="I891" s="412"/>
      <c r="J891" s="412"/>
      <c r="K891" s="412"/>
      <c r="L891" s="412"/>
      <c r="M891" s="412"/>
      <c r="N891" s="412"/>
      <c r="O891" s="412"/>
      <c r="P891" s="412"/>
      <c r="Q891" s="412"/>
      <c r="R891" s="412"/>
      <c r="S891" s="412"/>
      <c r="T891" s="412"/>
      <c r="U891" s="412"/>
      <c r="V891" s="412"/>
      <c r="W891" s="412"/>
      <c r="X891" s="412"/>
      <c r="Y891" s="412"/>
      <c r="Z891" s="412"/>
    </row>
    <row r="892" spans="1:26" ht="12.75" x14ac:dyDescent="0.2">
      <c r="A892" s="412"/>
      <c r="B892" s="412"/>
      <c r="C892" s="412"/>
      <c r="D892" s="412"/>
      <c r="E892" s="412"/>
      <c r="F892" s="412"/>
      <c r="G892" s="412"/>
      <c r="H892" s="412"/>
      <c r="I892" s="412"/>
      <c r="J892" s="412"/>
      <c r="K892" s="412"/>
      <c r="L892" s="412"/>
      <c r="M892" s="412"/>
      <c r="N892" s="412"/>
      <c r="O892" s="412"/>
      <c r="P892" s="412"/>
      <c r="Q892" s="412"/>
      <c r="R892" s="412"/>
      <c r="S892" s="412"/>
      <c r="T892" s="412"/>
      <c r="U892" s="412"/>
      <c r="V892" s="412"/>
      <c r="W892" s="412"/>
      <c r="X892" s="412"/>
      <c r="Y892" s="412"/>
      <c r="Z892" s="412"/>
    </row>
    <row r="893" spans="1:26" ht="12.75" x14ac:dyDescent="0.2">
      <c r="A893" s="412"/>
      <c r="B893" s="412"/>
      <c r="C893" s="412"/>
      <c r="D893" s="412"/>
      <c r="E893" s="412"/>
      <c r="F893" s="412"/>
      <c r="G893" s="412"/>
      <c r="H893" s="412"/>
      <c r="I893" s="412"/>
      <c r="J893" s="412"/>
      <c r="K893" s="412"/>
      <c r="L893" s="412"/>
      <c r="M893" s="412"/>
      <c r="N893" s="412"/>
      <c r="O893" s="412"/>
      <c r="P893" s="412"/>
      <c r="Q893" s="412"/>
      <c r="R893" s="412"/>
      <c r="S893" s="412"/>
      <c r="T893" s="412"/>
      <c r="U893" s="412"/>
      <c r="V893" s="412"/>
      <c r="W893" s="412"/>
      <c r="X893" s="412"/>
      <c r="Y893" s="412"/>
      <c r="Z893" s="412"/>
    </row>
    <row r="894" spans="1:26" ht="12.75" x14ac:dyDescent="0.2">
      <c r="A894" s="412"/>
      <c r="B894" s="412"/>
      <c r="C894" s="412"/>
      <c r="D894" s="412"/>
      <c r="E894" s="412"/>
      <c r="F894" s="412"/>
      <c r="G894" s="412"/>
      <c r="H894" s="412"/>
      <c r="I894" s="412"/>
      <c r="J894" s="412"/>
      <c r="K894" s="412"/>
      <c r="L894" s="412"/>
      <c r="M894" s="412"/>
      <c r="N894" s="412"/>
      <c r="O894" s="412"/>
      <c r="P894" s="412"/>
      <c r="Q894" s="412"/>
      <c r="R894" s="412"/>
      <c r="S894" s="412"/>
      <c r="T894" s="412"/>
      <c r="U894" s="412"/>
      <c r="V894" s="412"/>
      <c r="W894" s="412"/>
      <c r="X894" s="412"/>
      <c r="Y894" s="412"/>
      <c r="Z894" s="412"/>
    </row>
    <row r="895" spans="1:26" ht="12.75" x14ac:dyDescent="0.2">
      <c r="A895" s="412"/>
      <c r="B895" s="412"/>
      <c r="C895" s="412"/>
      <c r="D895" s="412"/>
      <c r="E895" s="412"/>
      <c r="F895" s="412"/>
      <c r="G895" s="412"/>
      <c r="H895" s="412"/>
      <c r="I895" s="412"/>
      <c r="J895" s="412"/>
      <c r="K895" s="412"/>
      <c r="L895" s="412"/>
      <c r="M895" s="412"/>
      <c r="N895" s="412"/>
      <c r="O895" s="412"/>
      <c r="P895" s="412"/>
      <c r="Q895" s="412"/>
      <c r="R895" s="412"/>
      <c r="S895" s="412"/>
      <c r="T895" s="412"/>
      <c r="U895" s="412"/>
      <c r="V895" s="412"/>
      <c r="W895" s="412"/>
      <c r="X895" s="412"/>
      <c r="Y895" s="412"/>
      <c r="Z895" s="412"/>
    </row>
    <row r="896" spans="1:26" ht="12.75" x14ac:dyDescent="0.2">
      <c r="A896" s="412"/>
      <c r="B896" s="412"/>
      <c r="C896" s="412"/>
      <c r="D896" s="412"/>
      <c r="E896" s="412"/>
      <c r="F896" s="412"/>
      <c r="G896" s="412"/>
      <c r="H896" s="412"/>
      <c r="I896" s="412"/>
      <c r="J896" s="412"/>
      <c r="K896" s="412"/>
      <c r="L896" s="412"/>
      <c r="M896" s="412"/>
      <c r="N896" s="412"/>
      <c r="O896" s="412"/>
      <c r="P896" s="412"/>
      <c r="Q896" s="412"/>
      <c r="R896" s="412"/>
      <c r="S896" s="412"/>
      <c r="T896" s="412"/>
      <c r="U896" s="412"/>
      <c r="V896" s="412"/>
      <c r="W896" s="412"/>
      <c r="X896" s="412"/>
      <c r="Y896" s="412"/>
      <c r="Z896" s="412"/>
    </row>
    <row r="897" spans="1:26" ht="12.75" x14ac:dyDescent="0.2">
      <c r="A897" s="412"/>
      <c r="B897" s="412"/>
      <c r="C897" s="412"/>
      <c r="D897" s="412"/>
      <c r="E897" s="412"/>
      <c r="F897" s="412"/>
      <c r="G897" s="412"/>
      <c r="H897" s="412"/>
      <c r="I897" s="412"/>
      <c r="J897" s="412"/>
      <c r="K897" s="412"/>
      <c r="L897" s="412"/>
      <c r="M897" s="412"/>
      <c r="N897" s="412"/>
      <c r="O897" s="412"/>
      <c r="P897" s="412"/>
      <c r="Q897" s="412"/>
      <c r="R897" s="412"/>
      <c r="S897" s="412"/>
      <c r="T897" s="412"/>
      <c r="U897" s="412"/>
      <c r="V897" s="412"/>
      <c r="W897" s="412"/>
      <c r="X897" s="412"/>
      <c r="Y897" s="412"/>
      <c r="Z897" s="412"/>
    </row>
    <row r="898" spans="1:26" ht="12.75" x14ac:dyDescent="0.2">
      <c r="A898" s="412"/>
      <c r="B898" s="412"/>
      <c r="C898" s="412"/>
      <c r="D898" s="412"/>
      <c r="E898" s="412"/>
      <c r="F898" s="412"/>
      <c r="G898" s="412"/>
      <c r="H898" s="412"/>
      <c r="I898" s="412"/>
      <c r="J898" s="412"/>
      <c r="K898" s="412"/>
      <c r="L898" s="412"/>
      <c r="M898" s="412"/>
      <c r="N898" s="412"/>
      <c r="O898" s="412"/>
      <c r="P898" s="412"/>
      <c r="Q898" s="412"/>
      <c r="R898" s="412"/>
      <c r="S898" s="412"/>
      <c r="T898" s="412"/>
      <c r="U898" s="412"/>
      <c r="V898" s="412"/>
      <c r="W898" s="412"/>
      <c r="X898" s="412"/>
      <c r="Y898" s="412"/>
      <c r="Z898" s="412"/>
    </row>
    <row r="899" spans="1:26" ht="12.75" x14ac:dyDescent="0.2">
      <c r="A899" s="412"/>
      <c r="B899" s="412"/>
      <c r="C899" s="412"/>
      <c r="D899" s="412"/>
      <c r="E899" s="412"/>
      <c r="F899" s="412"/>
      <c r="G899" s="412"/>
      <c r="H899" s="412"/>
      <c r="I899" s="412"/>
      <c r="J899" s="412"/>
      <c r="K899" s="412"/>
      <c r="L899" s="412"/>
      <c r="M899" s="412"/>
      <c r="N899" s="412"/>
      <c r="O899" s="412"/>
      <c r="P899" s="412"/>
      <c r="Q899" s="412"/>
      <c r="R899" s="412"/>
      <c r="S899" s="412"/>
      <c r="T899" s="412"/>
      <c r="U899" s="412"/>
      <c r="V899" s="412"/>
      <c r="W899" s="412"/>
      <c r="X899" s="412"/>
      <c r="Y899" s="412"/>
      <c r="Z899" s="412"/>
    </row>
    <row r="900" spans="1:26" ht="12.75" x14ac:dyDescent="0.2">
      <c r="A900" s="412"/>
      <c r="B900" s="412"/>
      <c r="C900" s="412"/>
      <c r="D900" s="412"/>
      <c r="E900" s="412"/>
      <c r="F900" s="412"/>
      <c r="G900" s="412"/>
      <c r="H900" s="412"/>
      <c r="I900" s="412"/>
      <c r="J900" s="412"/>
      <c r="K900" s="412"/>
      <c r="L900" s="412"/>
      <c r="M900" s="412"/>
      <c r="N900" s="412"/>
      <c r="O900" s="412"/>
      <c r="P900" s="412"/>
      <c r="Q900" s="412"/>
      <c r="R900" s="412"/>
      <c r="S900" s="412"/>
      <c r="T900" s="412"/>
      <c r="U900" s="412"/>
      <c r="V900" s="412"/>
      <c r="W900" s="412"/>
      <c r="X900" s="412"/>
      <c r="Y900" s="412"/>
      <c r="Z900" s="412"/>
    </row>
    <row r="901" spans="1:26" ht="12.75" x14ac:dyDescent="0.2">
      <c r="A901" s="412"/>
      <c r="B901" s="412"/>
      <c r="C901" s="412"/>
      <c r="D901" s="412"/>
      <c r="E901" s="412"/>
      <c r="F901" s="412"/>
      <c r="G901" s="412"/>
      <c r="H901" s="412"/>
      <c r="I901" s="412"/>
      <c r="J901" s="412"/>
      <c r="K901" s="412"/>
      <c r="L901" s="412"/>
      <c r="M901" s="412"/>
      <c r="N901" s="412"/>
      <c r="O901" s="412"/>
      <c r="P901" s="412"/>
      <c r="Q901" s="412"/>
      <c r="R901" s="412"/>
      <c r="S901" s="412"/>
      <c r="T901" s="412"/>
      <c r="U901" s="412"/>
      <c r="V901" s="412"/>
      <c r="W901" s="412"/>
      <c r="X901" s="412"/>
      <c r="Y901" s="412"/>
      <c r="Z901" s="412"/>
    </row>
    <row r="902" spans="1:26" ht="12.75" x14ac:dyDescent="0.2">
      <c r="A902" s="412"/>
      <c r="B902" s="412"/>
      <c r="C902" s="412"/>
      <c r="D902" s="412"/>
      <c r="E902" s="412"/>
      <c r="F902" s="412"/>
      <c r="G902" s="412"/>
      <c r="H902" s="412"/>
      <c r="I902" s="412"/>
      <c r="J902" s="412"/>
      <c r="K902" s="412"/>
      <c r="L902" s="412"/>
      <c r="M902" s="412"/>
      <c r="N902" s="412"/>
      <c r="O902" s="412"/>
      <c r="P902" s="412"/>
      <c r="Q902" s="412"/>
      <c r="R902" s="412"/>
      <c r="S902" s="412"/>
      <c r="T902" s="412"/>
      <c r="U902" s="412"/>
      <c r="V902" s="412"/>
      <c r="W902" s="412"/>
      <c r="X902" s="412"/>
      <c r="Y902" s="412"/>
      <c r="Z902" s="412"/>
    </row>
    <row r="903" spans="1:26" ht="12.75" x14ac:dyDescent="0.2">
      <c r="A903" s="412"/>
      <c r="B903" s="412"/>
      <c r="C903" s="412"/>
      <c r="D903" s="412"/>
      <c r="E903" s="412"/>
      <c r="F903" s="412"/>
      <c r="G903" s="412"/>
      <c r="H903" s="412"/>
      <c r="I903" s="412"/>
      <c r="J903" s="412"/>
      <c r="K903" s="412"/>
      <c r="L903" s="412"/>
      <c r="M903" s="412"/>
      <c r="N903" s="412"/>
      <c r="O903" s="412"/>
      <c r="P903" s="412"/>
      <c r="Q903" s="412"/>
      <c r="R903" s="412"/>
      <c r="S903" s="412"/>
      <c r="T903" s="412"/>
      <c r="U903" s="412"/>
      <c r="V903" s="412"/>
      <c r="W903" s="412"/>
      <c r="X903" s="412"/>
      <c r="Y903" s="412"/>
      <c r="Z903" s="412"/>
    </row>
    <row r="904" spans="1:26" ht="12.75" x14ac:dyDescent="0.2">
      <c r="A904" s="412"/>
      <c r="B904" s="412"/>
      <c r="C904" s="412"/>
      <c r="D904" s="412"/>
      <c r="E904" s="412"/>
      <c r="F904" s="412"/>
      <c r="G904" s="412"/>
      <c r="H904" s="412"/>
      <c r="I904" s="412"/>
      <c r="J904" s="412"/>
      <c r="K904" s="412"/>
      <c r="L904" s="412"/>
      <c r="M904" s="412"/>
      <c r="N904" s="412"/>
      <c r="O904" s="412"/>
      <c r="P904" s="412"/>
      <c r="Q904" s="412"/>
      <c r="R904" s="412"/>
      <c r="S904" s="412"/>
      <c r="T904" s="412"/>
      <c r="U904" s="412"/>
      <c r="V904" s="412"/>
      <c r="W904" s="412"/>
      <c r="X904" s="412"/>
      <c r="Y904" s="412"/>
      <c r="Z904" s="412"/>
    </row>
    <row r="905" spans="1:26" ht="12.75" x14ac:dyDescent="0.2">
      <c r="A905" s="412"/>
      <c r="B905" s="412"/>
      <c r="C905" s="412"/>
      <c r="D905" s="412"/>
      <c r="E905" s="412"/>
      <c r="F905" s="412"/>
      <c r="G905" s="412"/>
      <c r="H905" s="412"/>
      <c r="I905" s="412"/>
      <c r="J905" s="412"/>
      <c r="K905" s="412"/>
      <c r="L905" s="412"/>
      <c r="M905" s="412"/>
      <c r="N905" s="412"/>
      <c r="O905" s="412"/>
      <c r="P905" s="412"/>
      <c r="Q905" s="412"/>
      <c r="R905" s="412"/>
      <c r="S905" s="412"/>
      <c r="T905" s="412"/>
      <c r="U905" s="412"/>
      <c r="V905" s="412"/>
      <c r="W905" s="412"/>
      <c r="X905" s="412"/>
      <c r="Y905" s="412"/>
      <c r="Z905" s="412"/>
    </row>
    <row r="906" spans="1:26" ht="12.75" x14ac:dyDescent="0.2">
      <c r="A906" s="412"/>
      <c r="B906" s="412"/>
      <c r="C906" s="412"/>
      <c r="D906" s="412"/>
      <c r="E906" s="412"/>
      <c r="F906" s="412"/>
      <c r="G906" s="412"/>
      <c r="H906" s="412"/>
      <c r="I906" s="412"/>
      <c r="J906" s="412"/>
      <c r="K906" s="412"/>
      <c r="L906" s="412"/>
      <c r="M906" s="412"/>
      <c r="N906" s="412"/>
      <c r="O906" s="412"/>
      <c r="P906" s="412"/>
      <c r="Q906" s="412"/>
      <c r="R906" s="412"/>
      <c r="S906" s="412"/>
      <c r="T906" s="412"/>
      <c r="U906" s="412"/>
      <c r="V906" s="412"/>
      <c r="W906" s="412"/>
      <c r="X906" s="412"/>
      <c r="Y906" s="412"/>
      <c r="Z906" s="412"/>
    </row>
    <row r="907" spans="1:26" ht="12.75" x14ac:dyDescent="0.2">
      <c r="A907" s="412"/>
      <c r="B907" s="412"/>
      <c r="C907" s="412"/>
      <c r="D907" s="412"/>
      <c r="E907" s="412"/>
      <c r="F907" s="412"/>
      <c r="G907" s="412"/>
      <c r="H907" s="412"/>
      <c r="I907" s="412"/>
      <c r="J907" s="412"/>
      <c r="K907" s="412"/>
      <c r="L907" s="412"/>
      <c r="M907" s="412"/>
      <c r="N907" s="412"/>
      <c r="O907" s="412"/>
      <c r="P907" s="412"/>
      <c r="Q907" s="412"/>
      <c r="R907" s="412"/>
      <c r="S907" s="412"/>
      <c r="T907" s="412"/>
      <c r="U907" s="412"/>
      <c r="V907" s="412"/>
      <c r="W907" s="412"/>
      <c r="X907" s="412"/>
      <c r="Y907" s="412"/>
      <c r="Z907" s="412"/>
    </row>
    <row r="908" spans="1:26" ht="12.75" x14ac:dyDescent="0.2">
      <c r="A908" s="412"/>
      <c r="B908" s="412"/>
      <c r="C908" s="412"/>
      <c r="D908" s="412"/>
      <c r="E908" s="412"/>
      <c r="F908" s="412"/>
      <c r="G908" s="412"/>
      <c r="H908" s="412"/>
      <c r="I908" s="412"/>
      <c r="J908" s="412"/>
      <c r="K908" s="412"/>
      <c r="L908" s="412"/>
      <c r="M908" s="412"/>
      <c r="N908" s="412"/>
      <c r="O908" s="412"/>
      <c r="P908" s="412"/>
      <c r="Q908" s="412"/>
      <c r="R908" s="412"/>
      <c r="S908" s="412"/>
      <c r="T908" s="412"/>
      <c r="U908" s="412"/>
      <c r="V908" s="412"/>
      <c r="W908" s="412"/>
      <c r="X908" s="412"/>
      <c r="Y908" s="412"/>
      <c r="Z908" s="412"/>
    </row>
    <row r="909" spans="1:26" ht="12.75" x14ac:dyDescent="0.2">
      <c r="A909" s="412"/>
      <c r="B909" s="412"/>
      <c r="C909" s="412"/>
      <c r="D909" s="412"/>
      <c r="E909" s="412"/>
      <c r="F909" s="412"/>
      <c r="G909" s="412"/>
      <c r="H909" s="412"/>
      <c r="I909" s="412"/>
      <c r="J909" s="412"/>
      <c r="K909" s="412"/>
      <c r="L909" s="412"/>
      <c r="M909" s="412"/>
      <c r="N909" s="412"/>
      <c r="O909" s="412"/>
      <c r="P909" s="412"/>
      <c r="Q909" s="412"/>
      <c r="R909" s="412"/>
      <c r="S909" s="412"/>
      <c r="T909" s="412"/>
      <c r="U909" s="412"/>
      <c r="V909" s="412"/>
      <c r="W909" s="412"/>
      <c r="X909" s="412"/>
      <c r="Y909" s="412"/>
      <c r="Z909" s="412"/>
    </row>
    <row r="910" spans="1:26" ht="12.75" x14ac:dyDescent="0.2">
      <c r="A910" s="412"/>
      <c r="B910" s="412"/>
      <c r="C910" s="412"/>
      <c r="D910" s="412"/>
      <c r="E910" s="412"/>
      <c r="F910" s="412"/>
      <c r="G910" s="412"/>
      <c r="H910" s="412"/>
      <c r="I910" s="412"/>
      <c r="J910" s="412"/>
      <c r="K910" s="412"/>
      <c r="L910" s="412"/>
      <c r="M910" s="412"/>
      <c r="N910" s="412"/>
      <c r="O910" s="412"/>
      <c r="P910" s="412"/>
      <c r="Q910" s="412"/>
      <c r="R910" s="412"/>
      <c r="S910" s="412"/>
      <c r="T910" s="412"/>
      <c r="U910" s="412"/>
      <c r="V910" s="412"/>
      <c r="W910" s="412"/>
      <c r="X910" s="412"/>
      <c r="Y910" s="412"/>
      <c r="Z910" s="412"/>
    </row>
    <row r="911" spans="1:26" ht="12.75" x14ac:dyDescent="0.2">
      <c r="A911" s="412"/>
      <c r="B911" s="412"/>
      <c r="C911" s="412"/>
      <c r="D911" s="412"/>
      <c r="E911" s="412"/>
      <c r="F911" s="412"/>
      <c r="G911" s="412"/>
      <c r="H911" s="412"/>
      <c r="I911" s="412"/>
      <c r="J911" s="412"/>
      <c r="K911" s="412"/>
      <c r="L911" s="412"/>
      <c r="M911" s="412"/>
      <c r="N911" s="412"/>
      <c r="O911" s="412"/>
      <c r="P911" s="412"/>
      <c r="Q911" s="412"/>
      <c r="R911" s="412"/>
      <c r="S911" s="412"/>
      <c r="T911" s="412"/>
      <c r="U911" s="412"/>
      <c r="V911" s="412"/>
      <c r="W911" s="412"/>
      <c r="X911" s="412"/>
      <c r="Y911" s="412"/>
      <c r="Z911" s="412"/>
    </row>
    <row r="912" spans="1:26" ht="12.75" x14ac:dyDescent="0.2">
      <c r="A912" s="412"/>
      <c r="B912" s="412"/>
      <c r="C912" s="412"/>
      <c r="D912" s="412"/>
      <c r="E912" s="412"/>
      <c r="F912" s="412"/>
      <c r="G912" s="412"/>
      <c r="H912" s="412"/>
      <c r="I912" s="412"/>
      <c r="J912" s="412"/>
      <c r="K912" s="412"/>
      <c r="L912" s="412"/>
      <c r="M912" s="412"/>
      <c r="N912" s="412"/>
      <c r="O912" s="412"/>
      <c r="P912" s="412"/>
      <c r="Q912" s="412"/>
      <c r="R912" s="412"/>
      <c r="S912" s="412"/>
      <c r="T912" s="412"/>
      <c r="U912" s="412"/>
      <c r="V912" s="412"/>
      <c r="W912" s="412"/>
      <c r="X912" s="412"/>
      <c r="Y912" s="412"/>
      <c r="Z912" s="412"/>
    </row>
    <row r="913" spans="1:26" ht="12.75" x14ac:dyDescent="0.2">
      <c r="A913" s="412"/>
      <c r="B913" s="412"/>
      <c r="C913" s="412"/>
      <c r="D913" s="412"/>
      <c r="E913" s="412"/>
      <c r="F913" s="412"/>
      <c r="G913" s="412"/>
      <c r="H913" s="412"/>
      <c r="I913" s="412"/>
      <c r="J913" s="412"/>
      <c r="K913" s="412"/>
      <c r="L913" s="412"/>
      <c r="M913" s="412"/>
      <c r="N913" s="412"/>
      <c r="O913" s="412"/>
      <c r="P913" s="412"/>
      <c r="Q913" s="412"/>
      <c r="R913" s="412"/>
      <c r="S913" s="412"/>
      <c r="T913" s="412"/>
      <c r="U913" s="412"/>
      <c r="V913" s="412"/>
      <c r="W913" s="412"/>
      <c r="X913" s="412"/>
      <c r="Y913" s="412"/>
      <c r="Z913" s="412"/>
    </row>
    <row r="914" spans="1:26" ht="12.75" x14ac:dyDescent="0.2">
      <c r="A914" s="412"/>
      <c r="B914" s="412"/>
      <c r="C914" s="412"/>
      <c r="D914" s="412"/>
      <c r="E914" s="412"/>
      <c r="F914" s="412"/>
      <c r="G914" s="412"/>
      <c r="H914" s="412"/>
      <c r="I914" s="412"/>
      <c r="J914" s="412"/>
      <c r="K914" s="412"/>
      <c r="L914" s="412"/>
      <c r="M914" s="412"/>
      <c r="N914" s="412"/>
      <c r="O914" s="412"/>
      <c r="P914" s="412"/>
      <c r="Q914" s="412"/>
      <c r="R914" s="412"/>
      <c r="S914" s="412"/>
      <c r="T914" s="412"/>
      <c r="U914" s="412"/>
      <c r="V914" s="412"/>
      <c r="W914" s="412"/>
      <c r="X914" s="412"/>
      <c r="Y914" s="412"/>
      <c r="Z914" s="412"/>
    </row>
    <row r="915" spans="1:26" ht="12.75" x14ac:dyDescent="0.2">
      <c r="A915" s="412"/>
      <c r="B915" s="412"/>
      <c r="C915" s="412"/>
      <c r="D915" s="412"/>
      <c r="E915" s="412"/>
      <c r="F915" s="412"/>
      <c r="G915" s="412"/>
      <c r="H915" s="412"/>
      <c r="I915" s="412"/>
      <c r="J915" s="412"/>
      <c r="K915" s="412"/>
      <c r="L915" s="412"/>
      <c r="M915" s="412"/>
      <c r="N915" s="412"/>
      <c r="O915" s="412"/>
      <c r="P915" s="412"/>
      <c r="Q915" s="412"/>
      <c r="R915" s="412"/>
      <c r="S915" s="412"/>
      <c r="T915" s="412"/>
      <c r="U915" s="412"/>
      <c r="V915" s="412"/>
      <c r="W915" s="412"/>
      <c r="X915" s="412"/>
      <c r="Y915" s="412"/>
      <c r="Z915" s="412"/>
    </row>
    <row r="916" spans="1:26" ht="12.75" x14ac:dyDescent="0.2">
      <c r="A916" s="412"/>
      <c r="B916" s="412"/>
      <c r="C916" s="412"/>
      <c r="D916" s="412"/>
      <c r="E916" s="412"/>
      <c r="F916" s="412"/>
      <c r="G916" s="412"/>
      <c r="H916" s="412"/>
      <c r="I916" s="412"/>
      <c r="J916" s="412"/>
      <c r="K916" s="412"/>
      <c r="L916" s="412"/>
      <c r="M916" s="412"/>
      <c r="N916" s="412"/>
      <c r="O916" s="412"/>
      <c r="P916" s="412"/>
      <c r="Q916" s="412"/>
      <c r="R916" s="412"/>
      <c r="S916" s="412"/>
      <c r="T916" s="412"/>
      <c r="U916" s="412"/>
      <c r="V916" s="412"/>
      <c r="W916" s="412"/>
      <c r="X916" s="412"/>
      <c r="Y916" s="412"/>
      <c r="Z916" s="412"/>
    </row>
    <row r="917" spans="1:26" ht="12.75" x14ac:dyDescent="0.2">
      <c r="A917" s="412"/>
      <c r="B917" s="412"/>
      <c r="C917" s="412"/>
      <c r="D917" s="412"/>
      <c r="E917" s="412"/>
      <c r="F917" s="412"/>
      <c r="G917" s="412"/>
      <c r="H917" s="412"/>
      <c r="I917" s="412"/>
      <c r="J917" s="412"/>
      <c r="K917" s="412"/>
      <c r="L917" s="412"/>
      <c r="M917" s="412"/>
      <c r="N917" s="412"/>
      <c r="O917" s="412"/>
      <c r="P917" s="412"/>
      <c r="Q917" s="412"/>
      <c r="R917" s="412"/>
      <c r="S917" s="412"/>
      <c r="T917" s="412"/>
      <c r="U917" s="412"/>
      <c r="V917" s="412"/>
      <c r="W917" s="412"/>
      <c r="X917" s="412"/>
      <c r="Y917" s="412"/>
      <c r="Z917" s="412"/>
    </row>
    <row r="918" spans="1:26" ht="12.75" x14ac:dyDescent="0.2">
      <c r="A918" s="412"/>
      <c r="B918" s="412"/>
      <c r="C918" s="412"/>
      <c r="D918" s="412"/>
      <c r="E918" s="412"/>
      <c r="F918" s="412"/>
      <c r="G918" s="412"/>
      <c r="H918" s="412"/>
      <c r="I918" s="412"/>
      <c r="J918" s="412"/>
      <c r="K918" s="412"/>
      <c r="L918" s="412"/>
      <c r="M918" s="412"/>
      <c r="N918" s="412"/>
      <c r="O918" s="412"/>
      <c r="P918" s="412"/>
      <c r="Q918" s="412"/>
      <c r="R918" s="412"/>
      <c r="S918" s="412"/>
      <c r="T918" s="412"/>
      <c r="U918" s="412"/>
      <c r="V918" s="412"/>
      <c r="W918" s="412"/>
      <c r="X918" s="412"/>
      <c r="Y918" s="412"/>
      <c r="Z918" s="412"/>
    </row>
    <row r="919" spans="1:26" ht="12.75" x14ac:dyDescent="0.2">
      <c r="A919" s="412"/>
      <c r="B919" s="412"/>
      <c r="C919" s="412"/>
      <c r="D919" s="412"/>
      <c r="E919" s="412"/>
      <c r="F919" s="412"/>
      <c r="G919" s="412"/>
      <c r="H919" s="412"/>
      <c r="I919" s="412"/>
      <c r="J919" s="412"/>
      <c r="K919" s="412"/>
      <c r="L919" s="412"/>
      <c r="M919" s="412"/>
      <c r="N919" s="412"/>
      <c r="O919" s="412"/>
      <c r="P919" s="412"/>
      <c r="Q919" s="412"/>
      <c r="R919" s="412"/>
      <c r="S919" s="412"/>
      <c r="T919" s="412"/>
      <c r="U919" s="412"/>
      <c r="V919" s="412"/>
      <c r="W919" s="412"/>
      <c r="X919" s="412"/>
      <c r="Y919" s="412"/>
      <c r="Z919" s="412"/>
    </row>
    <row r="920" spans="1:26" ht="12.75" x14ac:dyDescent="0.2">
      <c r="A920" s="412"/>
      <c r="B920" s="412"/>
      <c r="C920" s="412"/>
      <c r="D920" s="412"/>
      <c r="E920" s="412"/>
      <c r="F920" s="412"/>
      <c r="G920" s="412"/>
      <c r="H920" s="412"/>
      <c r="I920" s="412"/>
      <c r="J920" s="412"/>
      <c r="K920" s="412"/>
      <c r="L920" s="412"/>
      <c r="M920" s="412"/>
      <c r="N920" s="412"/>
      <c r="O920" s="412"/>
      <c r="P920" s="412"/>
      <c r="Q920" s="412"/>
      <c r="R920" s="412"/>
      <c r="S920" s="412"/>
      <c r="T920" s="412"/>
      <c r="U920" s="412"/>
      <c r="V920" s="412"/>
      <c r="W920" s="412"/>
      <c r="X920" s="412"/>
      <c r="Y920" s="412"/>
      <c r="Z920" s="412"/>
    </row>
    <row r="921" spans="1:26" ht="12.75" x14ac:dyDescent="0.2">
      <c r="A921" s="412"/>
      <c r="B921" s="412"/>
      <c r="C921" s="412"/>
      <c r="D921" s="412"/>
      <c r="E921" s="412"/>
      <c r="F921" s="412"/>
      <c r="G921" s="412"/>
      <c r="H921" s="412"/>
      <c r="I921" s="412"/>
      <c r="J921" s="412"/>
      <c r="K921" s="412"/>
      <c r="L921" s="412"/>
      <c r="M921" s="412"/>
      <c r="N921" s="412"/>
      <c r="O921" s="412"/>
      <c r="P921" s="412"/>
      <c r="Q921" s="412"/>
      <c r="R921" s="412"/>
      <c r="S921" s="412"/>
      <c r="T921" s="412"/>
      <c r="U921" s="412"/>
      <c r="V921" s="412"/>
      <c r="W921" s="412"/>
      <c r="X921" s="412"/>
      <c r="Y921" s="412"/>
      <c r="Z921" s="412"/>
    </row>
    <row r="922" spans="1:26" ht="12.75" x14ac:dyDescent="0.2">
      <c r="A922" s="412"/>
      <c r="B922" s="412"/>
      <c r="C922" s="412"/>
      <c r="D922" s="412"/>
      <c r="E922" s="412"/>
      <c r="F922" s="412"/>
      <c r="G922" s="412"/>
      <c r="H922" s="412"/>
      <c r="I922" s="412"/>
      <c r="J922" s="412"/>
      <c r="K922" s="412"/>
      <c r="L922" s="412"/>
      <c r="M922" s="412"/>
      <c r="N922" s="412"/>
      <c r="O922" s="412"/>
      <c r="P922" s="412"/>
      <c r="Q922" s="412"/>
      <c r="R922" s="412"/>
      <c r="S922" s="412"/>
      <c r="T922" s="412"/>
      <c r="U922" s="412"/>
      <c r="V922" s="412"/>
      <c r="W922" s="412"/>
      <c r="X922" s="412"/>
      <c r="Y922" s="412"/>
      <c r="Z922" s="412"/>
    </row>
    <row r="923" spans="1:26" ht="12.75" x14ac:dyDescent="0.2">
      <c r="A923" s="412"/>
      <c r="B923" s="412"/>
      <c r="C923" s="412"/>
      <c r="D923" s="412"/>
      <c r="E923" s="412"/>
      <c r="F923" s="412"/>
      <c r="G923" s="412"/>
      <c r="H923" s="412"/>
      <c r="I923" s="412"/>
      <c r="J923" s="412"/>
      <c r="K923" s="412"/>
      <c r="L923" s="412"/>
      <c r="M923" s="412"/>
      <c r="N923" s="412"/>
      <c r="O923" s="412"/>
      <c r="P923" s="412"/>
      <c r="Q923" s="412"/>
      <c r="R923" s="412"/>
      <c r="S923" s="412"/>
      <c r="T923" s="412"/>
      <c r="U923" s="412"/>
      <c r="V923" s="412"/>
      <c r="W923" s="412"/>
      <c r="X923" s="412"/>
      <c r="Y923" s="412"/>
      <c r="Z923" s="412"/>
    </row>
    <row r="924" spans="1:26" ht="12.75" x14ac:dyDescent="0.2">
      <c r="A924" s="412"/>
      <c r="B924" s="412"/>
      <c r="C924" s="412"/>
      <c r="D924" s="412"/>
      <c r="E924" s="412"/>
      <c r="F924" s="412"/>
      <c r="G924" s="412"/>
      <c r="H924" s="412"/>
      <c r="I924" s="412"/>
      <c r="J924" s="412"/>
      <c r="K924" s="412"/>
      <c r="L924" s="412"/>
      <c r="M924" s="412"/>
      <c r="N924" s="412"/>
      <c r="O924" s="412"/>
      <c r="P924" s="412"/>
      <c r="Q924" s="412"/>
      <c r="R924" s="412"/>
      <c r="S924" s="412"/>
      <c r="T924" s="412"/>
      <c r="U924" s="412"/>
      <c r="V924" s="412"/>
      <c r="W924" s="412"/>
      <c r="X924" s="412"/>
      <c r="Y924" s="412"/>
      <c r="Z924" s="412"/>
    </row>
    <row r="925" spans="1:26" ht="12.75" x14ac:dyDescent="0.2">
      <c r="A925" s="412"/>
      <c r="B925" s="412"/>
      <c r="C925" s="412"/>
      <c r="D925" s="412"/>
      <c r="E925" s="412"/>
      <c r="F925" s="412"/>
      <c r="G925" s="412"/>
      <c r="H925" s="412"/>
      <c r="I925" s="412"/>
      <c r="J925" s="412"/>
      <c r="K925" s="412"/>
      <c r="L925" s="412"/>
      <c r="M925" s="412"/>
      <c r="N925" s="412"/>
      <c r="O925" s="412"/>
      <c r="P925" s="412"/>
      <c r="Q925" s="412"/>
      <c r="R925" s="412"/>
      <c r="S925" s="412"/>
      <c r="T925" s="412"/>
      <c r="U925" s="412"/>
      <c r="V925" s="412"/>
      <c r="W925" s="412"/>
      <c r="X925" s="412"/>
      <c r="Y925" s="412"/>
      <c r="Z925" s="412"/>
    </row>
    <row r="926" spans="1:26" ht="12.75" x14ac:dyDescent="0.2">
      <c r="A926" s="412"/>
      <c r="B926" s="412"/>
      <c r="C926" s="412"/>
      <c r="D926" s="412"/>
      <c r="E926" s="412"/>
      <c r="F926" s="412"/>
      <c r="G926" s="412"/>
      <c r="H926" s="412"/>
      <c r="I926" s="412"/>
      <c r="J926" s="412"/>
      <c r="K926" s="412"/>
      <c r="L926" s="412"/>
      <c r="M926" s="412"/>
      <c r="N926" s="412"/>
      <c r="O926" s="412"/>
      <c r="P926" s="412"/>
      <c r="Q926" s="412"/>
      <c r="R926" s="412"/>
      <c r="S926" s="412"/>
      <c r="T926" s="412"/>
      <c r="U926" s="412"/>
      <c r="V926" s="412"/>
      <c r="W926" s="412"/>
      <c r="X926" s="412"/>
      <c r="Y926" s="412"/>
      <c r="Z926" s="412"/>
    </row>
    <row r="927" spans="1:26" ht="12.75" x14ac:dyDescent="0.2">
      <c r="A927" s="412"/>
      <c r="B927" s="412"/>
      <c r="C927" s="412"/>
      <c r="D927" s="412"/>
      <c r="E927" s="412"/>
      <c r="F927" s="412"/>
      <c r="G927" s="412"/>
      <c r="H927" s="412"/>
      <c r="I927" s="412"/>
      <c r="J927" s="412"/>
      <c r="K927" s="412"/>
      <c r="L927" s="412"/>
      <c r="M927" s="412"/>
      <c r="N927" s="412"/>
      <c r="O927" s="412"/>
      <c r="P927" s="412"/>
      <c r="Q927" s="412"/>
      <c r="R927" s="412"/>
      <c r="S927" s="412"/>
      <c r="T927" s="412"/>
      <c r="U927" s="412"/>
      <c r="V927" s="412"/>
      <c r="W927" s="412"/>
      <c r="X927" s="412"/>
      <c r="Y927" s="412"/>
      <c r="Z927" s="412"/>
    </row>
    <row r="928" spans="1:26" ht="12.75" x14ac:dyDescent="0.2">
      <c r="A928" s="412"/>
      <c r="B928" s="412"/>
      <c r="C928" s="412"/>
      <c r="D928" s="412"/>
      <c r="E928" s="412"/>
      <c r="F928" s="412"/>
      <c r="G928" s="412"/>
      <c r="H928" s="412"/>
      <c r="I928" s="412"/>
      <c r="J928" s="412"/>
      <c r="K928" s="412"/>
      <c r="L928" s="412"/>
      <c r="M928" s="412"/>
      <c r="N928" s="412"/>
      <c r="O928" s="412"/>
      <c r="P928" s="412"/>
      <c r="Q928" s="412"/>
      <c r="R928" s="412"/>
      <c r="S928" s="412"/>
      <c r="T928" s="412"/>
      <c r="U928" s="412"/>
      <c r="V928" s="412"/>
      <c r="W928" s="412"/>
      <c r="X928" s="412"/>
      <c r="Y928" s="412"/>
      <c r="Z928" s="412"/>
    </row>
    <row r="929" spans="1:26" ht="12.75" x14ac:dyDescent="0.2">
      <c r="A929" s="412"/>
      <c r="B929" s="412"/>
      <c r="C929" s="412"/>
      <c r="D929" s="412"/>
      <c r="E929" s="412"/>
      <c r="F929" s="412"/>
      <c r="G929" s="412"/>
      <c r="H929" s="412"/>
      <c r="I929" s="412"/>
      <c r="J929" s="412"/>
      <c r="K929" s="412"/>
      <c r="L929" s="412"/>
      <c r="M929" s="412"/>
      <c r="N929" s="412"/>
      <c r="O929" s="412"/>
      <c r="P929" s="412"/>
      <c r="Q929" s="412"/>
      <c r="R929" s="412"/>
      <c r="S929" s="412"/>
      <c r="T929" s="412"/>
      <c r="U929" s="412"/>
      <c r="V929" s="412"/>
      <c r="W929" s="412"/>
      <c r="X929" s="412"/>
      <c r="Y929" s="412"/>
      <c r="Z929" s="412"/>
    </row>
    <row r="930" spans="1:26" ht="12.75" x14ac:dyDescent="0.2">
      <c r="A930" s="412"/>
      <c r="B930" s="412"/>
      <c r="C930" s="412"/>
      <c r="D930" s="412"/>
      <c r="E930" s="412"/>
      <c r="F930" s="412"/>
      <c r="G930" s="412"/>
      <c r="H930" s="412"/>
      <c r="I930" s="412"/>
      <c r="J930" s="412"/>
      <c r="K930" s="412"/>
      <c r="L930" s="412"/>
      <c r="M930" s="412"/>
      <c r="N930" s="412"/>
      <c r="O930" s="412"/>
      <c r="P930" s="412"/>
      <c r="Q930" s="412"/>
      <c r="R930" s="412"/>
      <c r="S930" s="412"/>
      <c r="T930" s="412"/>
      <c r="U930" s="412"/>
      <c r="V930" s="412"/>
      <c r="W930" s="412"/>
      <c r="X930" s="412"/>
      <c r="Y930" s="412"/>
      <c r="Z930" s="412"/>
    </row>
    <row r="931" spans="1:26" ht="12.75" x14ac:dyDescent="0.2">
      <c r="A931" s="412"/>
      <c r="B931" s="412"/>
      <c r="C931" s="412"/>
      <c r="D931" s="412"/>
      <c r="E931" s="412"/>
      <c r="F931" s="412"/>
      <c r="G931" s="412"/>
      <c r="H931" s="412"/>
      <c r="I931" s="412"/>
      <c r="J931" s="412"/>
      <c r="K931" s="412"/>
      <c r="L931" s="412"/>
      <c r="M931" s="412"/>
      <c r="N931" s="412"/>
      <c r="O931" s="412"/>
      <c r="P931" s="412"/>
      <c r="Q931" s="412"/>
      <c r="R931" s="412"/>
      <c r="S931" s="412"/>
      <c r="T931" s="412"/>
      <c r="U931" s="412"/>
      <c r="V931" s="412"/>
      <c r="W931" s="412"/>
      <c r="X931" s="412"/>
      <c r="Y931" s="412"/>
      <c r="Z931" s="412"/>
    </row>
    <row r="932" spans="1:26" ht="12.75" x14ac:dyDescent="0.2">
      <c r="A932" s="412"/>
      <c r="B932" s="412"/>
      <c r="C932" s="412"/>
      <c r="D932" s="412"/>
      <c r="E932" s="412"/>
      <c r="F932" s="412"/>
      <c r="G932" s="412"/>
      <c r="H932" s="412"/>
      <c r="I932" s="412"/>
      <c r="J932" s="412"/>
      <c r="K932" s="412"/>
      <c r="L932" s="412"/>
      <c r="M932" s="412"/>
      <c r="N932" s="412"/>
      <c r="O932" s="412"/>
      <c r="P932" s="412"/>
      <c r="Q932" s="412"/>
      <c r="R932" s="412"/>
      <c r="S932" s="412"/>
      <c r="T932" s="412"/>
      <c r="U932" s="412"/>
      <c r="V932" s="412"/>
      <c r="W932" s="412"/>
      <c r="X932" s="412"/>
      <c r="Y932" s="412"/>
      <c r="Z932" s="412"/>
    </row>
    <row r="933" spans="1:26" ht="12.75" x14ac:dyDescent="0.2">
      <c r="A933" s="412"/>
      <c r="B933" s="412"/>
      <c r="C933" s="412"/>
      <c r="D933" s="412"/>
      <c r="E933" s="412"/>
      <c r="F933" s="412"/>
      <c r="G933" s="412"/>
      <c r="H933" s="412"/>
      <c r="I933" s="412"/>
      <c r="J933" s="412"/>
      <c r="K933" s="412"/>
      <c r="L933" s="412"/>
      <c r="M933" s="412"/>
      <c r="N933" s="412"/>
      <c r="O933" s="412"/>
      <c r="P933" s="412"/>
      <c r="Q933" s="412"/>
      <c r="R933" s="412"/>
      <c r="S933" s="412"/>
      <c r="T933" s="412"/>
      <c r="U933" s="412"/>
      <c r="V933" s="412"/>
      <c r="W933" s="412"/>
      <c r="X933" s="412"/>
      <c r="Y933" s="412"/>
      <c r="Z933" s="412"/>
    </row>
    <row r="934" spans="1:26" ht="12.75" x14ac:dyDescent="0.2">
      <c r="A934" s="412"/>
      <c r="B934" s="412"/>
      <c r="C934" s="412"/>
      <c r="D934" s="412"/>
      <c r="E934" s="412"/>
      <c r="F934" s="412"/>
      <c r="G934" s="412"/>
      <c r="H934" s="412"/>
      <c r="I934" s="412"/>
      <c r="J934" s="412"/>
      <c r="K934" s="412"/>
      <c r="L934" s="412"/>
      <c r="M934" s="412"/>
      <c r="N934" s="412"/>
      <c r="O934" s="412"/>
      <c r="P934" s="412"/>
      <c r="Q934" s="412"/>
      <c r="R934" s="412"/>
      <c r="S934" s="412"/>
      <c r="T934" s="412"/>
      <c r="U934" s="412"/>
      <c r="V934" s="412"/>
      <c r="W934" s="412"/>
      <c r="X934" s="412"/>
      <c r="Y934" s="412"/>
      <c r="Z934" s="412"/>
    </row>
    <row r="935" spans="1:26" ht="12.75" x14ac:dyDescent="0.2">
      <c r="A935" s="412"/>
      <c r="B935" s="412"/>
      <c r="C935" s="412"/>
      <c r="D935" s="412"/>
      <c r="E935" s="412"/>
      <c r="F935" s="412"/>
      <c r="G935" s="412"/>
      <c r="H935" s="412"/>
      <c r="I935" s="412"/>
      <c r="J935" s="412"/>
      <c r="K935" s="412"/>
      <c r="L935" s="412"/>
      <c r="M935" s="412"/>
      <c r="N935" s="412"/>
      <c r="O935" s="412"/>
      <c r="P935" s="412"/>
      <c r="Q935" s="412"/>
      <c r="R935" s="412"/>
      <c r="S935" s="412"/>
      <c r="T935" s="412"/>
      <c r="U935" s="412"/>
      <c r="V935" s="412"/>
      <c r="W935" s="412"/>
      <c r="X935" s="412"/>
      <c r="Y935" s="412"/>
      <c r="Z935" s="412"/>
    </row>
    <row r="936" spans="1:26" ht="12.75" x14ac:dyDescent="0.2">
      <c r="A936" s="412"/>
      <c r="B936" s="412"/>
      <c r="C936" s="412"/>
      <c r="D936" s="412"/>
      <c r="E936" s="412"/>
      <c r="F936" s="412"/>
      <c r="G936" s="412"/>
      <c r="H936" s="412"/>
      <c r="I936" s="412"/>
      <c r="J936" s="412"/>
      <c r="K936" s="412"/>
      <c r="L936" s="412"/>
      <c r="M936" s="412"/>
      <c r="N936" s="412"/>
      <c r="O936" s="412"/>
      <c r="P936" s="412"/>
      <c r="Q936" s="412"/>
      <c r="R936" s="412"/>
      <c r="S936" s="412"/>
      <c r="T936" s="412"/>
      <c r="U936" s="412"/>
      <c r="V936" s="412"/>
      <c r="W936" s="412"/>
      <c r="X936" s="412"/>
      <c r="Y936" s="412"/>
      <c r="Z936" s="412"/>
    </row>
    <row r="937" spans="1:26" ht="12.75" x14ac:dyDescent="0.2">
      <c r="A937" s="412"/>
      <c r="B937" s="412"/>
      <c r="C937" s="412"/>
      <c r="D937" s="412"/>
      <c r="E937" s="412"/>
      <c r="F937" s="412"/>
      <c r="G937" s="412"/>
      <c r="H937" s="412"/>
      <c r="I937" s="412"/>
      <c r="J937" s="412"/>
      <c r="K937" s="412"/>
      <c r="L937" s="412"/>
      <c r="M937" s="412"/>
      <c r="N937" s="412"/>
      <c r="O937" s="412"/>
      <c r="P937" s="412"/>
      <c r="Q937" s="412"/>
      <c r="R937" s="412"/>
      <c r="S937" s="412"/>
      <c r="T937" s="412"/>
      <c r="U937" s="412"/>
      <c r="V937" s="412"/>
      <c r="W937" s="412"/>
      <c r="X937" s="412"/>
      <c r="Y937" s="412"/>
      <c r="Z937" s="412"/>
    </row>
    <row r="938" spans="1:26" ht="12.75" x14ac:dyDescent="0.2">
      <c r="A938" s="412"/>
      <c r="B938" s="412"/>
      <c r="C938" s="412"/>
      <c r="D938" s="412"/>
      <c r="E938" s="412"/>
      <c r="F938" s="412"/>
      <c r="G938" s="412"/>
      <c r="H938" s="412"/>
      <c r="I938" s="412"/>
      <c r="J938" s="412"/>
      <c r="K938" s="412"/>
      <c r="L938" s="412"/>
      <c r="M938" s="412"/>
      <c r="N938" s="412"/>
      <c r="O938" s="412"/>
      <c r="P938" s="412"/>
      <c r="Q938" s="412"/>
      <c r="R938" s="412"/>
      <c r="S938" s="412"/>
      <c r="T938" s="412"/>
      <c r="U938" s="412"/>
      <c r="V938" s="412"/>
      <c r="W938" s="412"/>
      <c r="X938" s="412"/>
      <c r="Y938" s="412"/>
      <c r="Z938" s="412"/>
    </row>
    <row r="939" spans="1:26" ht="12.75" x14ac:dyDescent="0.2">
      <c r="A939" s="412"/>
      <c r="B939" s="412"/>
      <c r="C939" s="412"/>
      <c r="D939" s="412"/>
      <c r="E939" s="412"/>
      <c r="F939" s="412"/>
      <c r="G939" s="412"/>
      <c r="H939" s="412"/>
      <c r="I939" s="412"/>
      <c r="J939" s="412"/>
      <c r="K939" s="412"/>
      <c r="L939" s="412"/>
      <c r="M939" s="412"/>
      <c r="N939" s="412"/>
      <c r="O939" s="412"/>
      <c r="P939" s="412"/>
      <c r="Q939" s="412"/>
      <c r="R939" s="412"/>
      <c r="S939" s="412"/>
      <c r="T939" s="412"/>
      <c r="U939" s="412"/>
      <c r="V939" s="412"/>
      <c r="W939" s="412"/>
      <c r="X939" s="412"/>
      <c r="Y939" s="412"/>
      <c r="Z939" s="412"/>
    </row>
    <row r="940" spans="1:26" ht="12.75" x14ac:dyDescent="0.2">
      <c r="A940" s="412"/>
      <c r="B940" s="412"/>
      <c r="C940" s="412"/>
      <c r="D940" s="412"/>
      <c r="E940" s="412"/>
      <c r="F940" s="412"/>
      <c r="G940" s="412"/>
      <c r="H940" s="412"/>
      <c r="I940" s="412"/>
      <c r="J940" s="412"/>
      <c r="K940" s="412"/>
      <c r="L940" s="412"/>
      <c r="M940" s="412"/>
      <c r="N940" s="412"/>
      <c r="O940" s="412"/>
      <c r="P940" s="412"/>
      <c r="Q940" s="412"/>
      <c r="R940" s="412"/>
      <c r="S940" s="412"/>
      <c r="T940" s="412"/>
      <c r="U940" s="412"/>
      <c r="V940" s="412"/>
      <c r="W940" s="412"/>
      <c r="X940" s="412"/>
      <c r="Y940" s="412"/>
      <c r="Z940" s="412"/>
    </row>
    <row r="941" spans="1:26" ht="12.75" x14ac:dyDescent="0.2">
      <c r="A941" s="412"/>
      <c r="B941" s="412"/>
      <c r="C941" s="412"/>
      <c r="D941" s="412"/>
      <c r="E941" s="412"/>
      <c r="F941" s="412"/>
      <c r="G941" s="412"/>
      <c r="H941" s="412"/>
      <c r="I941" s="412"/>
      <c r="J941" s="412"/>
      <c r="K941" s="412"/>
      <c r="L941" s="412"/>
      <c r="M941" s="412"/>
      <c r="N941" s="412"/>
      <c r="O941" s="412"/>
      <c r="P941" s="412"/>
      <c r="Q941" s="412"/>
      <c r="R941" s="412"/>
      <c r="S941" s="412"/>
      <c r="T941" s="412"/>
      <c r="U941" s="412"/>
      <c r="V941" s="412"/>
      <c r="W941" s="412"/>
      <c r="X941" s="412"/>
      <c r="Y941" s="412"/>
      <c r="Z941" s="412"/>
    </row>
    <row r="942" spans="1:26" ht="12.75" x14ac:dyDescent="0.2">
      <c r="A942" s="412"/>
      <c r="B942" s="412"/>
      <c r="C942" s="412"/>
      <c r="D942" s="412"/>
      <c r="E942" s="412"/>
      <c r="F942" s="412"/>
      <c r="G942" s="412"/>
      <c r="H942" s="412"/>
      <c r="I942" s="412"/>
      <c r="J942" s="412"/>
      <c r="K942" s="412"/>
      <c r="L942" s="412"/>
      <c r="M942" s="412"/>
      <c r="N942" s="412"/>
      <c r="O942" s="412"/>
      <c r="P942" s="412"/>
      <c r="Q942" s="412"/>
      <c r="R942" s="412"/>
      <c r="S942" s="412"/>
      <c r="T942" s="412"/>
      <c r="U942" s="412"/>
      <c r="V942" s="412"/>
      <c r="W942" s="412"/>
      <c r="X942" s="412"/>
      <c r="Y942" s="412"/>
      <c r="Z942" s="412"/>
    </row>
    <row r="943" spans="1:26" ht="12.75" x14ac:dyDescent="0.2">
      <c r="A943" s="412"/>
      <c r="B943" s="412"/>
      <c r="C943" s="412"/>
      <c r="D943" s="412"/>
      <c r="E943" s="412"/>
      <c r="F943" s="412"/>
      <c r="G943" s="412"/>
      <c r="H943" s="412"/>
      <c r="I943" s="412"/>
      <c r="J943" s="412"/>
      <c r="K943" s="412"/>
      <c r="L943" s="412"/>
      <c r="M943" s="412"/>
      <c r="N943" s="412"/>
      <c r="O943" s="412"/>
      <c r="P943" s="412"/>
      <c r="Q943" s="412"/>
      <c r="R943" s="412"/>
      <c r="S943" s="412"/>
      <c r="T943" s="412"/>
      <c r="U943" s="412"/>
      <c r="V943" s="412"/>
      <c r="W943" s="412"/>
      <c r="X943" s="412"/>
      <c r="Y943" s="412"/>
      <c r="Z943" s="412"/>
    </row>
    <row r="944" spans="1:26" ht="12.75" x14ac:dyDescent="0.2">
      <c r="A944" s="412"/>
      <c r="B944" s="412"/>
      <c r="C944" s="412"/>
      <c r="D944" s="412"/>
      <c r="E944" s="412"/>
      <c r="F944" s="412"/>
      <c r="G944" s="412"/>
      <c r="H944" s="412"/>
      <c r="I944" s="412"/>
      <c r="J944" s="412"/>
      <c r="K944" s="412"/>
      <c r="L944" s="412"/>
      <c r="M944" s="412"/>
      <c r="N944" s="412"/>
      <c r="O944" s="412"/>
      <c r="P944" s="412"/>
      <c r="Q944" s="412"/>
      <c r="R944" s="412"/>
      <c r="S944" s="412"/>
      <c r="T944" s="412"/>
      <c r="U944" s="412"/>
      <c r="V944" s="412"/>
      <c r="W944" s="412"/>
      <c r="X944" s="412"/>
      <c r="Y944" s="412"/>
      <c r="Z944" s="412"/>
    </row>
    <row r="945" spans="1:26" ht="12.75" x14ac:dyDescent="0.2">
      <c r="A945" s="412"/>
      <c r="B945" s="412"/>
      <c r="C945" s="412"/>
      <c r="D945" s="412"/>
      <c r="E945" s="412"/>
      <c r="F945" s="412"/>
      <c r="G945" s="412"/>
      <c r="H945" s="412"/>
      <c r="I945" s="412"/>
      <c r="J945" s="412"/>
      <c r="K945" s="412"/>
      <c r="L945" s="412"/>
      <c r="M945" s="412"/>
      <c r="N945" s="412"/>
      <c r="O945" s="412"/>
      <c r="P945" s="412"/>
      <c r="Q945" s="412"/>
      <c r="R945" s="412"/>
      <c r="S945" s="412"/>
      <c r="T945" s="412"/>
      <c r="U945" s="412"/>
      <c r="V945" s="412"/>
      <c r="W945" s="412"/>
      <c r="X945" s="412"/>
      <c r="Y945" s="412"/>
      <c r="Z945" s="412"/>
    </row>
    <row r="946" spans="1:26" ht="12.75" x14ac:dyDescent="0.2">
      <c r="A946" s="412"/>
      <c r="B946" s="412"/>
      <c r="C946" s="412"/>
      <c r="D946" s="412"/>
      <c r="E946" s="412"/>
      <c r="F946" s="412"/>
      <c r="G946" s="412"/>
      <c r="H946" s="412"/>
      <c r="I946" s="412"/>
      <c r="J946" s="412"/>
      <c r="K946" s="412"/>
      <c r="L946" s="412"/>
      <c r="M946" s="412"/>
      <c r="N946" s="412"/>
      <c r="O946" s="412"/>
      <c r="P946" s="412"/>
      <c r="Q946" s="412"/>
      <c r="R946" s="412"/>
      <c r="S946" s="412"/>
      <c r="T946" s="412"/>
      <c r="U946" s="412"/>
      <c r="V946" s="412"/>
      <c r="W946" s="412"/>
      <c r="X946" s="412"/>
      <c r="Y946" s="412"/>
      <c r="Z946" s="412"/>
    </row>
    <row r="947" spans="1:26" ht="12.75" x14ac:dyDescent="0.2">
      <c r="A947" s="412"/>
      <c r="B947" s="412"/>
      <c r="C947" s="412"/>
      <c r="D947" s="412"/>
      <c r="E947" s="412"/>
      <c r="F947" s="412"/>
      <c r="G947" s="412"/>
      <c r="H947" s="412"/>
      <c r="I947" s="412"/>
      <c r="J947" s="412"/>
      <c r="K947" s="412"/>
      <c r="L947" s="412"/>
      <c r="M947" s="412"/>
      <c r="N947" s="412"/>
      <c r="O947" s="412"/>
      <c r="P947" s="412"/>
      <c r="Q947" s="412"/>
      <c r="R947" s="412"/>
      <c r="S947" s="412"/>
      <c r="T947" s="412"/>
      <c r="U947" s="412"/>
      <c r="V947" s="412"/>
      <c r="W947" s="412"/>
      <c r="X947" s="412"/>
      <c r="Y947" s="412"/>
      <c r="Z947" s="412"/>
    </row>
    <row r="948" spans="1:26" ht="12.75" x14ac:dyDescent="0.2">
      <c r="A948" s="412"/>
      <c r="B948" s="412"/>
      <c r="C948" s="412"/>
      <c r="D948" s="412"/>
      <c r="E948" s="412"/>
      <c r="F948" s="412"/>
      <c r="G948" s="412"/>
      <c r="H948" s="412"/>
      <c r="I948" s="412"/>
      <c r="J948" s="412"/>
      <c r="K948" s="412"/>
      <c r="L948" s="412"/>
      <c r="M948" s="412"/>
      <c r="N948" s="412"/>
      <c r="O948" s="412"/>
      <c r="P948" s="412"/>
      <c r="Q948" s="412"/>
      <c r="R948" s="412"/>
      <c r="S948" s="412"/>
      <c r="T948" s="412"/>
      <c r="U948" s="412"/>
      <c r="V948" s="412"/>
      <c r="W948" s="412"/>
      <c r="X948" s="412"/>
      <c r="Y948" s="412"/>
      <c r="Z948" s="412"/>
    </row>
    <row r="949" spans="1:26" ht="12.75" x14ac:dyDescent="0.2">
      <c r="A949" s="412"/>
      <c r="B949" s="412"/>
      <c r="C949" s="412"/>
      <c r="D949" s="412"/>
      <c r="E949" s="412"/>
      <c r="F949" s="412"/>
      <c r="G949" s="412"/>
      <c r="H949" s="412"/>
      <c r="I949" s="412"/>
      <c r="J949" s="412"/>
      <c r="K949" s="412"/>
      <c r="L949" s="412"/>
      <c r="M949" s="412"/>
      <c r="N949" s="412"/>
      <c r="O949" s="412"/>
      <c r="P949" s="412"/>
      <c r="Q949" s="412"/>
      <c r="R949" s="412"/>
      <c r="S949" s="412"/>
      <c r="T949" s="412"/>
      <c r="U949" s="412"/>
      <c r="V949" s="412"/>
      <c r="W949" s="412"/>
      <c r="X949" s="412"/>
      <c r="Y949" s="412"/>
      <c r="Z949" s="412"/>
    </row>
    <row r="950" spans="1:26" ht="12.75" x14ac:dyDescent="0.2">
      <c r="A950" s="412"/>
      <c r="B950" s="412"/>
      <c r="C950" s="412"/>
      <c r="D950" s="412"/>
      <c r="E950" s="412"/>
      <c r="F950" s="412"/>
      <c r="G950" s="412"/>
      <c r="H950" s="412"/>
      <c r="I950" s="412"/>
      <c r="J950" s="412"/>
      <c r="K950" s="412"/>
      <c r="L950" s="412"/>
      <c r="M950" s="412"/>
      <c r="N950" s="412"/>
      <c r="O950" s="412"/>
      <c r="P950" s="412"/>
      <c r="Q950" s="412"/>
      <c r="R950" s="412"/>
      <c r="S950" s="412"/>
      <c r="T950" s="412"/>
      <c r="U950" s="412"/>
      <c r="V950" s="412"/>
      <c r="W950" s="412"/>
      <c r="X950" s="412"/>
      <c r="Y950" s="412"/>
      <c r="Z950" s="412"/>
    </row>
    <row r="951" spans="1:26" ht="12.75" x14ac:dyDescent="0.2">
      <c r="A951" s="412"/>
      <c r="B951" s="412"/>
      <c r="C951" s="412"/>
      <c r="D951" s="412"/>
      <c r="E951" s="412"/>
      <c r="F951" s="412"/>
      <c r="G951" s="412"/>
      <c r="H951" s="412"/>
      <c r="I951" s="412"/>
      <c r="J951" s="412"/>
      <c r="K951" s="412"/>
      <c r="L951" s="412"/>
      <c r="M951" s="412"/>
      <c r="N951" s="412"/>
      <c r="O951" s="412"/>
      <c r="P951" s="412"/>
      <c r="Q951" s="412"/>
      <c r="R951" s="412"/>
      <c r="S951" s="412"/>
      <c r="T951" s="412"/>
      <c r="U951" s="412"/>
      <c r="V951" s="412"/>
      <c r="W951" s="412"/>
      <c r="X951" s="412"/>
      <c r="Y951" s="412"/>
      <c r="Z951" s="412"/>
    </row>
    <row r="952" spans="1:26" ht="12.75" x14ac:dyDescent="0.2">
      <c r="A952" s="412"/>
      <c r="B952" s="412"/>
      <c r="C952" s="412"/>
      <c r="D952" s="412"/>
      <c r="E952" s="412"/>
      <c r="F952" s="412"/>
      <c r="G952" s="412"/>
      <c r="H952" s="412"/>
      <c r="I952" s="412"/>
      <c r="J952" s="412"/>
      <c r="K952" s="412"/>
      <c r="L952" s="412"/>
      <c r="M952" s="412"/>
      <c r="N952" s="412"/>
      <c r="O952" s="412"/>
      <c r="P952" s="412"/>
      <c r="Q952" s="412"/>
      <c r="R952" s="412"/>
      <c r="S952" s="412"/>
      <c r="T952" s="412"/>
      <c r="U952" s="412"/>
      <c r="V952" s="412"/>
      <c r="W952" s="412"/>
      <c r="X952" s="412"/>
      <c r="Y952" s="412"/>
      <c r="Z952" s="412"/>
    </row>
    <row r="953" spans="1:26" ht="12.75" x14ac:dyDescent="0.2">
      <c r="A953" s="412"/>
      <c r="B953" s="412"/>
      <c r="C953" s="412"/>
      <c r="D953" s="412"/>
      <c r="E953" s="412"/>
      <c r="F953" s="412"/>
      <c r="G953" s="412"/>
      <c r="H953" s="412"/>
      <c r="I953" s="412"/>
      <c r="J953" s="412"/>
      <c r="K953" s="412"/>
      <c r="L953" s="412"/>
      <c r="M953" s="412"/>
      <c r="N953" s="412"/>
      <c r="O953" s="412"/>
      <c r="P953" s="412"/>
      <c r="Q953" s="412"/>
      <c r="R953" s="412"/>
      <c r="S953" s="412"/>
      <c r="T953" s="412"/>
      <c r="U953" s="412"/>
      <c r="V953" s="412"/>
      <c r="W953" s="412"/>
      <c r="X953" s="412"/>
      <c r="Y953" s="412"/>
      <c r="Z953" s="412"/>
    </row>
    <row r="954" spans="1:26" ht="12.75" x14ac:dyDescent="0.2">
      <c r="A954" s="412"/>
      <c r="B954" s="412"/>
      <c r="C954" s="412"/>
      <c r="D954" s="412"/>
      <c r="E954" s="412"/>
      <c r="F954" s="412"/>
      <c r="G954" s="412"/>
      <c r="H954" s="412"/>
      <c r="I954" s="412"/>
      <c r="J954" s="412"/>
      <c r="K954" s="412"/>
      <c r="L954" s="412"/>
      <c r="M954" s="412"/>
      <c r="N954" s="412"/>
      <c r="O954" s="412"/>
      <c r="P954" s="412"/>
      <c r="Q954" s="412"/>
      <c r="R954" s="412"/>
      <c r="S954" s="412"/>
      <c r="T954" s="412"/>
      <c r="U954" s="412"/>
      <c r="V954" s="412"/>
      <c r="W954" s="412"/>
      <c r="X954" s="412"/>
      <c r="Y954" s="412"/>
      <c r="Z954" s="412"/>
    </row>
    <row r="955" spans="1:26" ht="12.75" x14ac:dyDescent="0.2">
      <c r="A955" s="412"/>
      <c r="B955" s="412"/>
      <c r="C955" s="412"/>
      <c r="D955" s="412"/>
      <c r="E955" s="412"/>
      <c r="F955" s="412"/>
      <c r="G955" s="412"/>
      <c r="H955" s="412"/>
      <c r="I955" s="412"/>
      <c r="J955" s="412"/>
      <c r="K955" s="412"/>
      <c r="L955" s="412"/>
      <c r="M955" s="412"/>
      <c r="N955" s="412"/>
      <c r="O955" s="412"/>
      <c r="P955" s="412"/>
      <c r="Q955" s="412"/>
      <c r="R955" s="412"/>
      <c r="S955" s="412"/>
      <c r="T955" s="412"/>
      <c r="U955" s="412"/>
      <c r="V955" s="412"/>
      <c r="W955" s="412"/>
      <c r="X955" s="412"/>
      <c r="Y955" s="412"/>
      <c r="Z955" s="412"/>
    </row>
    <row r="956" spans="1:26" ht="12.75" x14ac:dyDescent="0.2">
      <c r="A956" s="412"/>
      <c r="B956" s="412"/>
      <c r="C956" s="412"/>
      <c r="D956" s="412"/>
      <c r="E956" s="412"/>
      <c r="F956" s="412"/>
      <c r="G956" s="412"/>
      <c r="H956" s="412"/>
      <c r="I956" s="412"/>
      <c r="J956" s="412"/>
      <c r="K956" s="412"/>
      <c r="L956" s="412"/>
      <c r="M956" s="412"/>
      <c r="N956" s="412"/>
      <c r="O956" s="412"/>
      <c r="P956" s="412"/>
      <c r="Q956" s="412"/>
      <c r="R956" s="412"/>
      <c r="S956" s="412"/>
      <c r="T956" s="412"/>
      <c r="U956" s="412"/>
      <c r="V956" s="412"/>
      <c r="W956" s="412"/>
      <c r="X956" s="412"/>
      <c r="Y956" s="412"/>
      <c r="Z956" s="412"/>
    </row>
    <row r="957" spans="1:26" ht="12.75" x14ac:dyDescent="0.2">
      <c r="A957" s="412"/>
      <c r="B957" s="412"/>
      <c r="C957" s="412"/>
      <c r="D957" s="412"/>
      <c r="E957" s="412"/>
      <c r="F957" s="412"/>
      <c r="G957" s="412"/>
      <c r="H957" s="412"/>
      <c r="I957" s="412"/>
      <c r="J957" s="412"/>
      <c r="K957" s="412"/>
      <c r="L957" s="412"/>
      <c r="M957" s="412"/>
      <c r="N957" s="412"/>
      <c r="O957" s="412"/>
      <c r="P957" s="412"/>
      <c r="Q957" s="412"/>
      <c r="R957" s="412"/>
      <c r="S957" s="412"/>
      <c r="T957" s="412"/>
      <c r="U957" s="412"/>
      <c r="V957" s="412"/>
      <c r="W957" s="412"/>
      <c r="X957" s="412"/>
      <c r="Y957" s="412"/>
      <c r="Z957" s="412"/>
    </row>
    <row r="958" spans="1:26" ht="12.75" x14ac:dyDescent="0.2">
      <c r="A958" s="412"/>
      <c r="B958" s="412"/>
      <c r="C958" s="412"/>
      <c r="D958" s="412"/>
      <c r="E958" s="412"/>
      <c r="F958" s="412"/>
      <c r="G958" s="412"/>
      <c r="H958" s="412"/>
      <c r="I958" s="412"/>
      <c r="J958" s="412"/>
      <c r="K958" s="412"/>
      <c r="L958" s="412"/>
      <c r="M958" s="412"/>
      <c r="N958" s="412"/>
      <c r="O958" s="412"/>
      <c r="P958" s="412"/>
      <c r="Q958" s="412"/>
      <c r="R958" s="412"/>
      <c r="S958" s="412"/>
      <c r="T958" s="412"/>
      <c r="U958" s="412"/>
      <c r="V958" s="412"/>
      <c r="W958" s="412"/>
      <c r="X958" s="412"/>
      <c r="Y958" s="412"/>
      <c r="Z958" s="412"/>
    </row>
    <row r="959" spans="1:26" ht="12.75" x14ac:dyDescent="0.2">
      <c r="A959" s="412"/>
      <c r="B959" s="412"/>
      <c r="C959" s="412"/>
      <c r="D959" s="412"/>
      <c r="E959" s="412"/>
      <c r="F959" s="412"/>
      <c r="G959" s="412"/>
      <c r="H959" s="412"/>
      <c r="I959" s="412"/>
      <c r="J959" s="412"/>
      <c r="K959" s="412"/>
      <c r="L959" s="412"/>
      <c r="M959" s="412"/>
      <c r="N959" s="412"/>
      <c r="O959" s="412"/>
      <c r="P959" s="412"/>
      <c r="Q959" s="412"/>
      <c r="R959" s="412"/>
      <c r="S959" s="412"/>
      <c r="T959" s="412"/>
      <c r="U959" s="412"/>
      <c r="V959" s="412"/>
      <c r="W959" s="412"/>
      <c r="X959" s="412"/>
      <c r="Y959" s="412"/>
      <c r="Z959" s="412"/>
    </row>
    <row r="960" spans="1:26" ht="12.75" x14ac:dyDescent="0.2">
      <c r="A960" s="412"/>
      <c r="B960" s="412"/>
      <c r="C960" s="412"/>
      <c r="D960" s="412"/>
      <c r="E960" s="412"/>
      <c r="F960" s="412"/>
      <c r="G960" s="412"/>
      <c r="H960" s="412"/>
      <c r="I960" s="412"/>
      <c r="J960" s="412"/>
      <c r="K960" s="412"/>
      <c r="L960" s="412"/>
      <c r="M960" s="412"/>
      <c r="N960" s="412"/>
      <c r="O960" s="412"/>
      <c r="P960" s="412"/>
      <c r="Q960" s="412"/>
      <c r="R960" s="412"/>
      <c r="S960" s="412"/>
      <c r="T960" s="412"/>
      <c r="U960" s="412"/>
      <c r="V960" s="412"/>
      <c r="W960" s="412"/>
      <c r="X960" s="412"/>
      <c r="Y960" s="412"/>
      <c r="Z960" s="412"/>
    </row>
    <row r="961" spans="1:26" ht="12.75" x14ac:dyDescent="0.2">
      <c r="A961" s="412"/>
      <c r="B961" s="412"/>
      <c r="C961" s="412"/>
      <c r="D961" s="412"/>
      <c r="E961" s="412"/>
      <c r="F961" s="412"/>
      <c r="G961" s="412"/>
      <c r="H961" s="412"/>
      <c r="I961" s="412"/>
      <c r="J961" s="412"/>
      <c r="K961" s="412"/>
      <c r="L961" s="412"/>
      <c r="M961" s="412"/>
      <c r="N961" s="412"/>
      <c r="O961" s="412"/>
      <c r="P961" s="412"/>
      <c r="Q961" s="412"/>
      <c r="R961" s="412"/>
      <c r="S961" s="412"/>
      <c r="T961" s="412"/>
      <c r="U961" s="412"/>
      <c r="V961" s="412"/>
      <c r="W961" s="412"/>
      <c r="X961" s="412"/>
      <c r="Y961" s="412"/>
      <c r="Z961" s="412"/>
    </row>
    <row r="962" spans="1:26" ht="12.75" x14ac:dyDescent="0.2">
      <c r="A962" s="412"/>
      <c r="B962" s="412"/>
      <c r="C962" s="412"/>
      <c r="D962" s="412"/>
      <c r="E962" s="412"/>
      <c r="F962" s="412"/>
      <c r="G962" s="412"/>
      <c r="H962" s="412"/>
      <c r="I962" s="412"/>
      <c r="J962" s="412"/>
      <c r="K962" s="412"/>
      <c r="L962" s="412"/>
      <c r="M962" s="412"/>
      <c r="N962" s="412"/>
      <c r="O962" s="412"/>
      <c r="P962" s="412"/>
      <c r="Q962" s="412"/>
      <c r="R962" s="412"/>
      <c r="S962" s="412"/>
      <c r="T962" s="412"/>
      <c r="U962" s="412"/>
      <c r="V962" s="412"/>
      <c r="W962" s="412"/>
      <c r="X962" s="412"/>
      <c r="Y962" s="412"/>
      <c r="Z962" s="412"/>
    </row>
    <row r="963" spans="1:26" ht="12.75" x14ac:dyDescent="0.2">
      <c r="A963" s="412"/>
      <c r="B963" s="412"/>
      <c r="C963" s="412"/>
      <c r="D963" s="412"/>
      <c r="E963" s="412"/>
      <c r="F963" s="412"/>
      <c r="G963" s="412"/>
      <c r="H963" s="412"/>
      <c r="I963" s="412"/>
      <c r="J963" s="412"/>
      <c r="K963" s="412"/>
      <c r="L963" s="412"/>
      <c r="M963" s="412"/>
      <c r="N963" s="412"/>
      <c r="O963" s="412"/>
      <c r="P963" s="412"/>
      <c r="Q963" s="412"/>
      <c r="R963" s="412"/>
      <c r="S963" s="412"/>
      <c r="T963" s="412"/>
      <c r="U963" s="412"/>
      <c r="V963" s="412"/>
      <c r="W963" s="412"/>
      <c r="X963" s="412"/>
      <c r="Y963" s="412"/>
      <c r="Z963" s="412"/>
    </row>
    <row r="964" spans="1:26" ht="12.75" x14ac:dyDescent="0.2">
      <c r="A964" s="412"/>
      <c r="B964" s="412"/>
      <c r="C964" s="412"/>
      <c r="D964" s="412"/>
      <c r="E964" s="412"/>
      <c r="F964" s="412"/>
      <c r="G964" s="412"/>
      <c r="H964" s="412"/>
      <c r="I964" s="412"/>
      <c r="J964" s="412"/>
      <c r="K964" s="412"/>
      <c r="L964" s="412"/>
      <c r="M964" s="412"/>
      <c r="N964" s="412"/>
      <c r="O964" s="412"/>
      <c r="P964" s="412"/>
      <c r="Q964" s="412"/>
      <c r="R964" s="412"/>
      <c r="S964" s="412"/>
      <c r="T964" s="412"/>
      <c r="U964" s="412"/>
      <c r="V964" s="412"/>
      <c r="W964" s="412"/>
      <c r="X964" s="412"/>
      <c r="Y964" s="412"/>
      <c r="Z964" s="412"/>
    </row>
    <row r="965" spans="1:26" ht="12.75" x14ac:dyDescent="0.2">
      <c r="A965" s="412"/>
      <c r="B965" s="412"/>
      <c r="C965" s="412"/>
      <c r="D965" s="412"/>
      <c r="E965" s="412"/>
      <c r="F965" s="412"/>
      <c r="G965" s="412"/>
      <c r="H965" s="412"/>
      <c r="I965" s="412"/>
      <c r="J965" s="412"/>
      <c r="K965" s="412"/>
      <c r="L965" s="412"/>
      <c r="M965" s="412"/>
      <c r="N965" s="412"/>
      <c r="O965" s="412"/>
      <c r="P965" s="412"/>
      <c r="Q965" s="412"/>
      <c r="R965" s="412"/>
      <c r="S965" s="412"/>
      <c r="T965" s="412"/>
      <c r="U965" s="412"/>
      <c r="V965" s="412"/>
      <c r="W965" s="412"/>
      <c r="X965" s="412"/>
      <c r="Y965" s="412"/>
      <c r="Z965" s="412"/>
    </row>
    <row r="966" spans="1:26" ht="12.75" x14ac:dyDescent="0.2">
      <c r="A966" s="412"/>
      <c r="B966" s="412"/>
      <c r="C966" s="412"/>
      <c r="D966" s="412"/>
      <c r="E966" s="412"/>
      <c r="F966" s="412"/>
      <c r="G966" s="412"/>
      <c r="H966" s="412"/>
      <c r="I966" s="412"/>
      <c r="J966" s="412"/>
      <c r="K966" s="412"/>
      <c r="L966" s="412"/>
      <c r="M966" s="412"/>
      <c r="N966" s="412"/>
      <c r="O966" s="412"/>
      <c r="P966" s="412"/>
      <c r="Q966" s="412"/>
      <c r="R966" s="412"/>
      <c r="S966" s="412"/>
      <c r="T966" s="412"/>
      <c r="U966" s="412"/>
      <c r="V966" s="412"/>
      <c r="W966" s="412"/>
      <c r="X966" s="412"/>
      <c r="Y966" s="412"/>
      <c r="Z966" s="412"/>
    </row>
    <row r="967" spans="1:26" ht="12.75" x14ac:dyDescent="0.2">
      <c r="A967" s="412"/>
      <c r="B967" s="412"/>
      <c r="C967" s="412"/>
      <c r="D967" s="412"/>
      <c r="E967" s="412"/>
      <c r="F967" s="412"/>
      <c r="G967" s="412"/>
      <c r="H967" s="412"/>
      <c r="I967" s="412"/>
      <c r="J967" s="412"/>
      <c r="K967" s="412"/>
      <c r="L967" s="412"/>
      <c r="M967" s="412"/>
      <c r="N967" s="412"/>
      <c r="O967" s="412"/>
      <c r="P967" s="412"/>
      <c r="Q967" s="412"/>
      <c r="R967" s="412"/>
      <c r="S967" s="412"/>
      <c r="T967" s="412"/>
      <c r="U967" s="412"/>
      <c r="V967" s="412"/>
      <c r="W967" s="412"/>
      <c r="X967" s="412"/>
      <c r="Y967" s="412"/>
      <c r="Z967" s="412"/>
    </row>
    <row r="968" spans="1:26" ht="12.75" x14ac:dyDescent="0.2">
      <c r="A968" s="412"/>
      <c r="B968" s="412"/>
      <c r="C968" s="412"/>
      <c r="D968" s="412"/>
      <c r="E968" s="412"/>
      <c r="F968" s="412"/>
      <c r="G968" s="412"/>
      <c r="H968" s="412"/>
      <c r="I968" s="412"/>
      <c r="J968" s="412"/>
      <c r="K968" s="412"/>
      <c r="L968" s="412"/>
      <c r="M968" s="412"/>
      <c r="N968" s="412"/>
      <c r="O968" s="412"/>
      <c r="P968" s="412"/>
      <c r="Q968" s="412"/>
      <c r="R968" s="412"/>
      <c r="S968" s="412"/>
      <c r="T968" s="412"/>
      <c r="U968" s="412"/>
      <c r="V968" s="412"/>
      <c r="W968" s="412"/>
      <c r="X968" s="412"/>
      <c r="Y968" s="412"/>
      <c r="Z968" s="412"/>
    </row>
    <row r="969" spans="1:26" ht="12.75" x14ac:dyDescent="0.2">
      <c r="A969" s="412"/>
      <c r="B969" s="412"/>
      <c r="C969" s="412"/>
      <c r="D969" s="412"/>
      <c r="E969" s="412"/>
      <c r="F969" s="412"/>
      <c r="G969" s="412"/>
      <c r="H969" s="412"/>
      <c r="I969" s="412"/>
      <c r="J969" s="412"/>
      <c r="K969" s="412"/>
      <c r="L969" s="412"/>
      <c r="M969" s="412"/>
      <c r="N969" s="412"/>
      <c r="O969" s="412"/>
      <c r="P969" s="412"/>
      <c r="Q969" s="412"/>
      <c r="R969" s="412"/>
      <c r="S969" s="412"/>
      <c r="T969" s="412"/>
      <c r="U969" s="412"/>
      <c r="V969" s="412"/>
      <c r="W969" s="412"/>
      <c r="X969" s="412"/>
      <c r="Y969" s="412"/>
      <c r="Z969" s="412"/>
    </row>
    <row r="970" spans="1:26" ht="12.75" x14ac:dyDescent="0.2">
      <c r="A970" s="412"/>
      <c r="B970" s="412"/>
      <c r="C970" s="412"/>
      <c r="D970" s="412"/>
      <c r="E970" s="412"/>
      <c r="F970" s="412"/>
      <c r="G970" s="412"/>
      <c r="H970" s="412"/>
      <c r="I970" s="412"/>
      <c r="J970" s="412"/>
      <c r="K970" s="412"/>
      <c r="L970" s="412"/>
      <c r="M970" s="412"/>
      <c r="N970" s="412"/>
      <c r="O970" s="412"/>
      <c r="P970" s="412"/>
      <c r="Q970" s="412"/>
      <c r="R970" s="412"/>
      <c r="S970" s="412"/>
      <c r="T970" s="412"/>
      <c r="U970" s="412"/>
      <c r="V970" s="412"/>
      <c r="W970" s="412"/>
      <c r="X970" s="412"/>
      <c r="Y970" s="412"/>
      <c r="Z970" s="412"/>
    </row>
    <row r="971" spans="1:26" ht="12.75" x14ac:dyDescent="0.2">
      <c r="A971" s="412"/>
      <c r="B971" s="412"/>
      <c r="C971" s="412"/>
      <c r="D971" s="412"/>
      <c r="E971" s="412"/>
      <c r="F971" s="412"/>
      <c r="G971" s="412"/>
      <c r="H971" s="412"/>
      <c r="I971" s="412"/>
      <c r="J971" s="412"/>
      <c r="K971" s="412"/>
      <c r="L971" s="412"/>
      <c r="M971" s="412"/>
      <c r="N971" s="412"/>
      <c r="O971" s="412"/>
      <c r="P971" s="412"/>
      <c r="Q971" s="412"/>
      <c r="R971" s="412"/>
      <c r="S971" s="412"/>
      <c r="T971" s="412"/>
      <c r="U971" s="412"/>
      <c r="V971" s="412"/>
      <c r="W971" s="412"/>
      <c r="X971" s="412"/>
      <c r="Y971" s="412"/>
      <c r="Z971" s="412"/>
    </row>
    <row r="972" spans="1:26" ht="12.75" x14ac:dyDescent="0.2">
      <c r="A972" s="412"/>
      <c r="B972" s="412"/>
      <c r="C972" s="412"/>
      <c r="D972" s="412"/>
      <c r="E972" s="412"/>
      <c r="F972" s="412"/>
      <c r="G972" s="412"/>
      <c r="H972" s="412"/>
      <c r="I972" s="412"/>
      <c r="J972" s="412"/>
      <c r="K972" s="412"/>
      <c r="L972" s="412"/>
      <c r="M972" s="412"/>
      <c r="N972" s="412"/>
      <c r="O972" s="412"/>
      <c r="P972" s="412"/>
      <c r="Q972" s="412"/>
      <c r="R972" s="412"/>
      <c r="S972" s="412"/>
      <c r="T972" s="412"/>
      <c r="U972" s="412"/>
      <c r="V972" s="412"/>
      <c r="W972" s="412"/>
      <c r="X972" s="412"/>
      <c r="Y972" s="412"/>
      <c r="Z972" s="412"/>
    </row>
    <row r="973" spans="1:26" ht="12.75" x14ac:dyDescent="0.2">
      <c r="A973" s="412"/>
      <c r="B973" s="412"/>
      <c r="C973" s="412"/>
      <c r="D973" s="412"/>
      <c r="E973" s="412"/>
      <c r="F973" s="412"/>
      <c r="G973" s="412"/>
      <c r="H973" s="412"/>
      <c r="I973" s="412"/>
      <c r="J973" s="412"/>
      <c r="K973" s="412"/>
      <c r="L973" s="412"/>
      <c r="M973" s="412"/>
      <c r="N973" s="412"/>
      <c r="O973" s="412"/>
      <c r="P973" s="412"/>
      <c r="Q973" s="412"/>
      <c r="R973" s="412"/>
      <c r="S973" s="412"/>
      <c r="T973" s="412"/>
      <c r="U973" s="412"/>
      <c r="V973" s="412"/>
      <c r="W973" s="412"/>
      <c r="X973" s="412"/>
      <c r="Y973" s="412"/>
      <c r="Z973" s="412"/>
    </row>
    <row r="974" spans="1:26" ht="12.75" x14ac:dyDescent="0.2">
      <c r="A974" s="412"/>
      <c r="B974" s="412"/>
      <c r="C974" s="412"/>
      <c r="D974" s="412"/>
      <c r="E974" s="412"/>
      <c r="F974" s="412"/>
      <c r="G974" s="412"/>
      <c r="H974" s="412"/>
      <c r="I974" s="412"/>
      <c r="J974" s="412"/>
      <c r="K974" s="412"/>
      <c r="L974" s="412"/>
      <c r="M974" s="412"/>
      <c r="N974" s="412"/>
      <c r="O974" s="412"/>
      <c r="P974" s="412"/>
      <c r="Q974" s="412"/>
      <c r="R974" s="412"/>
      <c r="S974" s="412"/>
      <c r="T974" s="412"/>
      <c r="U974" s="412"/>
      <c r="V974" s="412"/>
      <c r="W974" s="412"/>
      <c r="X974" s="412"/>
      <c r="Y974" s="412"/>
      <c r="Z974" s="412"/>
    </row>
    <row r="975" spans="1:26" ht="12.75" x14ac:dyDescent="0.2">
      <c r="A975" s="412"/>
      <c r="B975" s="412"/>
      <c r="C975" s="412"/>
      <c r="D975" s="412"/>
      <c r="E975" s="412"/>
      <c r="F975" s="412"/>
      <c r="G975" s="412"/>
      <c r="H975" s="412"/>
      <c r="I975" s="412"/>
      <c r="J975" s="412"/>
      <c r="K975" s="412"/>
      <c r="L975" s="412"/>
      <c r="M975" s="412"/>
      <c r="N975" s="412"/>
      <c r="O975" s="412"/>
      <c r="P975" s="412"/>
      <c r="Q975" s="412"/>
      <c r="R975" s="412"/>
      <c r="S975" s="412"/>
      <c r="T975" s="412"/>
      <c r="U975" s="412"/>
      <c r="V975" s="412"/>
      <c r="W975" s="412"/>
      <c r="X975" s="412"/>
      <c r="Y975" s="412"/>
      <c r="Z975" s="412"/>
    </row>
    <row r="976" spans="1:26" ht="12.75" x14ac:dyDescent="0.2">
      <c r="A976" s="412"/>
      <c r="B976" s="412"/>
      <c r="C976" s="412"/>
      <c r="D976" s="412"/>
      <c r="E976" s="412"/>
      <c r="F976" s="412"/>
      <c r="G976" s="412"/>
      <c r="H976" s="412"/>
      <c r="I976" s="412"/>
      <c r="J976" s="412"/>
      <c r="K976" s="412"/>
      <c r="L976" s="412"/>
      <c r="M976" s="412"/>
      <c r="N976" s="412"/>
      <c r="O976" s="412"/>
      <c r="P976" s="412"/>
      <c r="Q976" s="412"/>
      <c r="R976" s="412"/>
      <c r="S976" s="412"/>
      <c r="T976" s="412"/>
      <c r="U976" s="412"/>
      <c r="V976" s="412"/>
      <c r="W976" s="412"/>
      <c r="X976" s="412"/>
      <c r="Y976" s="412"/>
      <c r="Z976" s="412"/>
    </row>
    <row r="977" spans="1:26" ht="12.75" x14ac:dyDescent="0.2">
      <c r="A977" s="412"/>
      <c r="B977" s="412"/>
      <c r="C977" s="412"/>
      <c r="D977" s="412"/>
      <c r="E977" s="412"/>
      <c r="F977" s="412"/>
      <c r="G977" s="412"/>
      <c r="H977" s="412"/>
      <c r="I977" s="412"/>
      <c r="J977" s="412"/>
      <c r="K977" s="412"/>
      <c r="L977" s="412"/>
      <c r="M977" s="412"/>
      <c r="N977" s="412"/>
      <c r="O977" s="412"/>
      <c r="P977" s="412"/>
      <c r="Q977" s="412"/>
      <c r="R977" s="412"/>
      <c r="S977" s="412"/>
      <c r="T977" s="412"/>
      <c r="U977" s="412"/>
      <c r="V977" s="412"/>
      <c r="W977" s="412"/>
      <c r="X977" s="412"/>
      <c r="Y977" s="412"/>
      <c r="Z977" s="412"/>
    </row>
    <row r="978" spans="1:26" ht="12.75" x14ac:dyDescent="0.2">
      <c r="A978" s="412"/>
      <c r="B978" s="412"/>
      <c r="C978" s="412"/>
      <c r="D978" s="412"/>
      <c r="E978" s="412"/>
      <c r="F978" s="412"/>
      <c r="G978" s="412"/>
      <c r="H978" s="412"/>
      <c r="I978" s="412"/>
      <c r="J978" s="412"/>
      <c r="K978" s="412"/>
      <c r="L978" s="412"/>
      <c r="M978" s="412"/>
      <c r="N978" s="412"/>
      <c r="O978" s="412"/>
      <c r="P978" s="412"/>
      <c r="Q978" s="412"/>
      <c r="R978" s="412"/>
      <c r="S978" s="412"/>
      <c r="T978" s="412"/>
      <c r="U978" s="412"/>
      <c r="V978" s="412"/>
      <c r="W978" s="412"/>
      <c r="X978" s="412"/>
      <c r="Y978" s="412"/>
      <c r="Z978" s="412"/>
    </row>
    <row r="979" spans="1:26" ht="12.75" x14ac:dyDescent="0.2">
      <c r="A979" s="412"/>
      <c r="B979" s="412"/>
      <c r="C979" s="412"/>
      <c r="D979" s="412"/>
      <c r="E979" s="412"/>
      <c r="F979" s="412"/>
      <c r="G979" s="412"/>
      <c r="H979" s="412"/>
      <c r="I979" s="412"/>
      <c r="J979" s="412"/>
      <c r="K979" s="412"/>
      <c r="L979" s="412"/>
      <c r="M979" s="412"/>
      <c r="N979" s="412"/>
      <c r="O979" s="412"/>
      <c r="P979" s="412"/>
      <c r="Q979" s="412"/>
      <c r="R979" s="412"/>
      <c r="S979" s="412"/>
      <c r="T979" s="412"/>
      <c r="U979" s="412"/>
      <c r="V979" s="412"/>
      <c r="W979" s="412"/>
      <c r="X979" s="412"/>
      <c r="Y979" s="412"/>
      <c r="Z979" s="412"/>
    </row>
    <row r="980" spans="1:26" ht="12.75" x14ac:dyDescent="0.2">
      <c r="A980" s="412"/>
      <c r="B980" s="412"/>
      <c r="C980" s="412"/>
      <c r="D980" s="412"/>
      <c r="E980" s="412"/>
      <c r="F980" s="412"/>
      <c r="G980" s="412"/>
      <c r="H980" s="412"/>
      <c r="I980" s="412"/>
      <c r="J980" s="412"/>
      <c r="K980" s="412"/>
      <c r="L980" s="412"/>
      <c r="M980" s="412"/>
      <c r="N980" s="412"/>
      <c r="O980" s="412"/>
      <c r="P980" s="412"/>
      <c r="Q980" s="412"/>
      <c r="R980" s="412"/>
      <c r="S980" s="412"/>
      <c r="T980" s="412"/>
      <c r="U980" s="412"/>
      <c r="V980" s="412"/>
      <c r="W980" s="412"/>
      <c r="X980" s="412"/>
      <c r="Y980" s="412"/>
      <c r="Z980" s="412"/>
    </row>
    <row r="981" spans="1:26" ht="12.75" x14ac:dyDescent="0.2">
      <c r="A981" s="412"/>
      <c r="B981" s="412"/>
      <c r="C981" s="412"/>
      <c r="D981" s="412"/>
      <c r="E981" s="412"/>
      <c r="F981" s="412"/>
      <c r="G981" s="412"/>
      <c r="H981" s="412"/>
      <c r="I981" s="412"/>
      <c r="J981" s="412"/>
      <c r="K981" s="412"/>
      <c r="L981" s="412"/>
      <c r="M981" s="412"/>
      <c r="N981" s="412"/>
      <c r="O981" s="412"/>
      <c r="P981" s="412"/>
      <c r="Q981" s="412"/>
      <c r="R981" s="412"/>
      <c r="S981" s="412"/>
      <c r="T981" s="412"/>
      <c r="U981" s="412"/>
      <c r="V981" s="412"/>
      <c r="W981" s="412"/>
      <c r="X981" s="412"/>
      <c r="Y981" s="412"/>
      <c r="Z981" s="412"/>
    </row>
    <row r="982" spans="1:26" ht="12.75" x14ac:dyDescent="0.2">
      <c r="A982" s="412"/>
      <c r="B982" s="412"/>
      <c r="C982" s="412"/>
      <c r="D982" s="412"/>
      <c r="E982" s="412"/>
      <c r="F982" s="412"/>
      <c r="G982" s="412"/>
      <c r="H982" s="412"/>
      <c r="I982" s="412"/>
      <c r="J982" s="412"/>
      <c r="K982" s="412"/>
      <c r="L982" s="412"/>
      <c r="M982" s="412"/>
      <c r="N982" s="412"/>
      <c r="O982" s="412"/>
      <c r="P982" s="412"/>
      <c r="Q982" s="412"/>
      <c r="R982" s="412"/>
      <c r="S982" s="412"/>
      <c r="T982" s="412"/>
      <c r="U982" s="412"/>
      <c r="V982" s="412"/>
      <c r="W982" s="412"/>
      <c r="X982" s="412"/>
      <c r="Y982" s="412"/>
      <c r="Z982" s="412"/>
    </row>
    <row r="983" spans="1:26" ht="12.75" x14ac:dyDescent="0.2">
      <c r="A983" s="412"/>
      <c r="B983" s="412"/>
      <c r="C983" s="412"/>
      <c r="D983" s="412"/>
      <c r="E983" s="412"/>
      <c r="F983" s="412"/>
      <c r="G983" s="412"/>
      <c r="H983" s="412"/>
      <c r="I983" s="412"/>
      <c r="J983" s="412"/>
      <c r="K983" s="412"/>
      <c r="L983" s="412"/>
      <c r="M983" s="412"/>
      <c r="N983" s="412"/>
      <c r="O983" s="412"/>
      <c r="P983" s="412"/>
      <c r="Q983" s="412"/>
      <c r="R983" s="412"/>
      <c r="S983" s="412"/>
      <c r="T983" s="412"/>
      <c r="U983" s="412"/>
      <c r="V983" s="412"/>
      <c r="W983" s="412"/>
      <c r="X983" s="412"/>
      <c r="Y983" s="412"/>
      <c r="Z983" s="412"/>
    </row>
    <row r="984" spans="1:26" ht="12.75" x14ac:dyDescent="0.2">
      <c r="A984" s="412"/>
      <c r="B984" s="412"/>
      <c r="C984" s="412"/>
      <c r="D984" s="412"/>
      <c r="E984" s="412"/>
      <c r="F984" s="412"/>
      <c r="G984" s="412"/>
      <c r="H984" s="412"/>
      <c r="I984" s="412"/>
      <c r="J984" s="412"/>
      <c r="K984" s="412"/>
      <c r="L984" s="412"/>
      <c r="M984" s="412"/>
      <c r="N984" s="412"/>
      <c r="O984" s="412"/>
      <c r="P984" s="412"/>
      <c r="Q984" s="412"/>
      <c r="R984" s="412"/>
      <c r="S984" s="412"/>
      <c r="T984" s="412"/>
      <c r="U984" s="412"/>
      <c r="V984" s="412"/>
      <c r="W984" s="412"/>
      <c r="X984" s="412"/>
      <c r="Y984" s="412"/>
      <c r="Z984" s="412"/>
    </row>
    <row r="985" spans="1:26" ht="12.75" x14ac:dyDescent="0.2">
      <c r="A985" s="412"/>
      <c r="B985" s="412"/>
      <c r="C985" s="412"/>
      <c r="D985" s="412"/>
      <c r="E985" s="412"/>
      <c r="F985" s="412"/>
      <c r="G985" s="412"/>
      <c r="H985" s="412"/>
      <c r="I985" s="412"/>
      <c r="J985" s="412"/>
      <c r="K985" s="412"/>
      <c r="L985" s="412"/>
      <c r="M985" s="412"/>
      <c r="N985" s="412"/>
      <c r="O985" s="412"/>
      <c r="P985" s="412"/>
      <c r="Q985" s="412"/>
      <c r="R985" s="412"/>
      <c r="S985" s="412"/>
      <c r="T985" s="412"/>
      <c r="U985" s="412"/>
      <c r="V985" s="412"/>
      <c r="W985" s="412"/>
      <c r="X985" s="412"/>
      <c r="Y985" s="412"/>
      <c r="Z985" s="412"/>
    </row>
    <row r="986" spans="1:26" ht="12.75" x14ac:dyDescent="0.2">
      <c r="A986" s="412"/>
      <c r="B986" s="412"/>
      <c r="C986" s="412"/>
      <c r="D986" s="412"/>
      <c r="E986" s="412"/>
      <c r="F986" s="412"/>
      <c r="G986" s="412"/>
      <c r="H986" s="412"/>
      <c r="I986" s="412"/>
      <c r="J986" s="412"/>
      <c r="K986" s="412"/>
      <c r="L986" s="412"/>
      <c r="M986" s="412"/>
      <c r="N986" s="412"/>
      <c r="O986" s="412"/>
      <c r="P986" s="412"/>
      <c r="Q986" s="412"/>
      <c r="R986" s="412"/>
      <c r="S986" s="412"/>
      <c r="T986" s="412"/>
      <c r="U986" s="412"/>
      <c r="V986" s="412"/>
      <c r="W986" s="412"/>
      <c r="X986" s="412"/>
      <c r="Y986" s="412"/>
      <c r="Z986" s="412"/>
    </row>
    <row r="987" spans="1:26" ht="12.75" x14ac:dyDescent="0.2">
      <c r="A987" s="412"/>
      <c r="B987" s="412"/>
      <c r="C987" s="412"/>
      <c r="D987" s="412"/>
      <c r="E987" s="412"/>
      <c r="F987" s="412"/>
      <c r="G987" s="412"/>
      <c r="H987" s="412"/>
      <c r="I987" s="412"/>
      <c r="J987" s="412"/>
      <c r="K987" s="412"/>
      <c r="L987" s="412"/>
      <c r="M987" s="412"/>
      <c r="N987" s="412"/>
      <c r="O987" s="412"/>
      <c r="P987" s="412"/>
      <c r="Q987" s="412"/>
      <c r="R987" s="412"/>
      <c r="S987" s="412"/>
      <c r="T987" s="412"/>
      <c r="U987" s="412"/>
      <c r="V987" s="412"/>
      <c r="W987" s="412"/>
      <c r="X987" s="412"/>
      <c r="Y987" s="412"/>
      <c r="Z987" s="412"/>
    </row>
    <row r="988" spans="1:26" ht="12.75" x14ac:dyDescent="0.2">
      <c r="A988" s="412"/>
      <c r="B988" s="412"/>
      <c r="C988" s="412"/>
      <c r="D988" s="412"/>
      <c r="E988" s="412"/>
      <c r="F988" s="412"/>
      <c r="G988" s="412"/>
      <c r="H988" s="412"/>
      <c r="I988" s="412"/>
      <c r="J988" s="412"/>
      <c r="K988" s="412"/>
      <c r="L988" s="412"/>
      <c r="M988" s="412"/>
      <c r="N988" s="412"/>
      <c r="O988" s="412"/>
      <c r="P988" s="412"/>
      <c r="Q988" s="412"/>
      <c r="R988" s="412"/>
      <c r="S988" s="412"/>
      <c r="T988" s="412"/>
      <c r="U988" s="412"/>
      <c r="V988" s="412"/>
      <c r="W988" s="412"/>
      <c r="X988" s="412"/>
      <c r="Y988" s="412"/>
      <c r="Z988" s="412"/>
    </row>
    <row r="989" spans="1:26" ht="12.75" x14ac:dyDescent="0.2">
      <c r="A989" s="412"/>
      <c r="B989" s="412"/>
      <c r="C989" s="412"/>
      <c r="D989" s="412"/>
      <c r="E989" s="412"/>
      <c r="F989" s="412"/>
      <c r="G989" s="412"/>
      <c r="H989" s="412"/>
      <c r="I989" s="412"/>
      <c r="J989" s="412"/>
      <c r="K989" s="412"/>
      <c r="L989" s="412"/>
      <c r="M989" s="412"/>
      <c r="N989" s="412"/>
      <c r="O989" s="412"/>
      <c r="P989" s="412"/>
      <c r="Q989" s="412"/>
      <c r="R989" s="412"/>
      <c r="S989" s="412"/>
      <c r="T989" s="412"/>
      <c r="U989" s="412"/>
      <c r="V989" s="412"/>
      <c r="W989" s="412"/>
      <c r="X989" s="412"/>
      <c r="Y989" s="412"/>
      <c r="Z989" s="412"/>
    </row>
    <row r="990" spans="1:26" ht="12.75" x14ac:dyDescent="0.2">
      <c r="A990" s="412"/>
      <c r="B990" s="412"/>
      <c r="C990" s="412"/>
      <c r="D990" s="412"/>
      <c r="E990" s="412"/>
      <c r="F990" s="412"/>
      <c r="G990" s="412"/>
      <c r="H990" s="412"/>
      <c r="I990" s="412"/>
      <c r="J990" s="412"/>
      <c r="K990" s="412"/>
      <c r="L990" s="412"/>
      <c r="M990" s="412"/>
      <c r="N990" s="412"/>
      <c r="O990" s="412"/>
      <c r="P990" s="412"/>
      <c r="Q990" s="412"/>
      <c r="R990" s="412"/>
      <c r="S990" s="412"/>
      <c r="T990" s="412"/>
      <c r="U990" s="412"/>
      <c r="V990" s="412"/>
      <c r="W990" s="412"/>
      <c r="X990" s="412"/>
      <c r="Y990" s="412"/>
      <c r="Z990" s="412"/>
    </row>
    <row r="991" spans="1:26" ht="12.75" x14ac:dyDescent="0.2">
      <c r="A991" s="412"/>
      <c r="B991" s="412"/>
      <c r="C991" s="412"/>
      <c r="D991" s="412"/>
      <c r="E991" s="412"/>
      <c r="F991" s="412"/>
      <c r="G991" s="412"/>
      <c r="H991" s="412"/>
      <c r="I991" s="412"/>
      <c r="J991" s="412"/>
      <c r="K991" s="412"/>
      <c r="L991" s="412"/>
      <c r="M991" s="412"/>
      <c r="N991" s="412"/>
      <c r="O991" s="412"/>
      <c r="P991" s="412"/>
      <c r="Q991" s="412"/>
      <c r="R991" s="412"/>
      <c r="S991" s="412"/>
      <c r="T991" s="412"/>
      <c r="U991" s="412"/>
      <c r="V991" s="412"/>
      <c r="W991" s="412"/>
      <c r="X991" s="412"/>
      <c r="Y991" s="412"/>
      <c r="Z991" s="412"/>
    </row>
    <row r="992" spans="1:26" ht="12.75" x14ac:dyDescent="0.2">
      <c r="A992" s="412"/>
      <c r="B992" s="412"/>
      <c r="C992" s="412"/>
      <c r="D992" s="412"/>
      <c r="E992" s="412"/>
      <c r="F992" s="412"/>
      <c r="G992" s="412"/>
      <c r="H992" s="412"/>
      <c r="I992" s="412"/>
      <c r="J992" s="412"/>
      <c r="K992" s="412"/>
      <c r="L992" s="412"/>
      <c r="M992" s="412"/>
      <c r="N992" s="412"/>
      <c r="O992" s="412"/>
      <c r="P992" s="412"/>
      <c r="Q992" s="412"/>
      <c r="R992" s="412"/>
      <c r="S992" s="412"/>
      <c r="T992" s="412"/>
      <c r="U992" s="412"/>
      <c r="V992" s="412"/>
      <c r="W992" s="412"/>
      <c r="X992" s="412"/>
      <c r="Y992" s="412"/>
      <c r="Z992" s="412"/>
    </row>
    <row r="993" spans="1:26" ht="12.75" x14ac:dyDescent="0.2">
      <c r="A993" s="412"/>
      <c r="B993" s="412"/>
      <c r="C993" s="412"/>
      <c r="D993" s="412"/>
      <c r="E993" s="412"/>
      <c r="F993" s="412"/>
      <c r="G993" s="412"/>
      <c r="H993" s="412"/>
      <c r="I993" s="412"/>
      <c r="J993" s="412"/>
      <c r="K993" s="412"/>
      <c r="L993" s="412"/>
      <c r="M993" s="412"/>
      <c r="N993" s="412"/>
      <c r="O993" s="412"/>
      <c r="P993" s="412"/>
      <c r="Q993" s="412"/>
      <c r="R993" s="412"/>
      <c r="S993" s="412"/>
      <c r="T993" s="412"/>
      <c r="U993" s="412"/>
      <c r="V993" s="412"/>
      <c r="W993" s="412"/>
      <c r="X993" s="412"/>
      <c r="Y993" s="412"/>
      <c r="Z993" s="412"/>
    </row>
    <row r="994" spans="1:26" ht="12.75" x14ac:dyDescent="0.2">
      <c r="A994" s="412"/>
      <c r="B994" s="412"/>
      <c r="C994" s="412"/>
      <c r="D994" s="412"/>
      <c r="E994" s="412"/>
      <c r="F994" s="412"/>
      <c r="G994" s="412"/>
      <c r="H994" s="412"/>
      <c r="I994" s="412"/>
      <c r="J994" s="412"/>
      <c r="K994" s="412"/>
      <c r="L994" s="412"/>
      <c r="M994" s="412"/>
      <c r="N994" s="412"/>
      <c r="O994" s="412"/>
      <c r="P994" s="412"/>
      <c r="Q994" s="412"/>
      <c r="R994" s="412"/>
      <c r="S994" s="412"/>
      <c r="T994" s="412"/>
      <c r="U994" s="412"/>
      <c r="V994" s="412"/>
      <c r="W994" s="412"/>
      <c r="X994" s="412"/>
      <c r="Y994" s="412"/>
      <c r="Z994" s="412"/>
    </row>
    <row r="995" spans="1:26" ht="12.75" x14ac:dyDescent="0.2">
      <c r="A995" s="412"/>
      <c r="B995" s="412"/>
      <c r="C995" s="412"/>
      <c r="D995" s="412"/>
      <c r="E995" s="412"/>
      <c r="F995" s="412"/>
      <c r="G995" s="412"/>
      <c r="H995" s="412"/>
      <c r="I995" s="412"/>
      <c r="J995" s="412"/>
      <c r="K995" s="412"/>
      <c r="L995" s="412"/>
      <c r="M995" s="412"/>
      <c r="N995" s="412"/>
      <c r="O995" s="412"/>
      <c r="P995" s="412"/>
      <c r="Q995" s="412"/>
      <c r="R995" s="412"/>
      <c r="S995" s="412"/>
      <c r="T995" s="412"/>
      <c r="U995" s="412"/>
      <c r="V995" s="412"/>
      <c r="W995" s="412"/>
      <c r="X995" s="412"/>
      <c r="Y995" s="412"/>
      <c r="Z995" s="412"/>
    </row>
    <row r="996" spans="1:26" ht="12.75" x14ac:dyDescent="0.2">
      <c r="A996" s="412"/>
      <c r="B996" s="412"/>
      <c r="C996" s="412"/>
      <c r="D996" s="412"/>
      <c r="E996" s="412"/>
      <c r="F996" s="412"/>
      <c r="G996" s="412"/>
      <c r="H996" s="412"/>
      <c r="I996" s="412"/>
      <c r="J996" s="412"/>
      <c r="K996" s="412"/>
      <c r="L996" s="412"/>
      <c r="M996" s="412"/>
      <c r="N996" s="412"/>
      <c r="O996" s="412"/>
      <c r="P996" s="412"/>
      <c r="Q996" s="412"/>
      <c r="R996" s="412"/>
      <c r="S996" s="412"/>
      <c r="T996" s="412"/>
      <c r="U996" s="412"/>
      <c r="V996" s="412"/>
      <c r="W996" s="412"/>
      <c r="X996" s="412"/>
      <c r="Y996" s="412"/>
      <c r="Z996" s="412"/>
    </row>
    <row r="997" spans="1:26" ht="12.75" x14ac:dyDescent="0.2">
      <c r="A997" s="412"/>
      <c r="B997" s="412"/>
      <c r="C997" s="412"/>
      <c r="D997" s="412"/>
      <c r="E997" s="412"/>
      <c r="F997" s="412"/>
      <c r="G997" s="412"/>
      <c r="H997" s="412"/>
      <c r="I997" s="412"/>
      <c r="J997" s="412"/>
      <c r="K997" s="412"/>
      <c r="L997" s="412"/>
      <c r="M997" s="412"/>
      <c r="N997" s="412"/>
      <c r="O997" s="412"/>
      <c r="P997" s="412"/>
      <c r="Q997" s="412"/>
      <c r="R997" s="412"/>
      <c r="S997" s="412"/>
      <c r="T997" s="412"/>
      <c r="U997" s="412"/>
      <c r="V997" s="412"/>
      <c r="W997" s="412"/>
      <c r="X997" s="412"/>
      <c r="Y997" s="412"/>
      <c r="Z997" s="412"/>
    </row>
    <row r="998" spans="1:26" ht="12.75" x14ac:dyDescent="0.2">
      <c r="A998" s="412"/>
      <c r="B998" s="412"/>
      <c r="C998" s="412"/>
      <c r="D998" s="412"/>
      <c r="E998" s="412"/>
      <c r="F998" s="412"/>
      <c r="G998" s="412"/>
      <c r="H998" s="412"/>
      <c r="I998" s="412"/>
      <c r="J998" s="412"/>
      <c r="K998" s="412"/>
      <c r="L998" s="412"/>
      <c r="M998" s="412"/>
      <c r="N998" s="412"/>
      <c r="O998" s="412"/>
      <c r="P998" s="412"/>
      <c r="Q998" s="412"/>
      <c r="R998" s="412"/>
      <c r="S998" s="412"/>
      <c r="T998" s="412"/>
      <c r="U998" s="412"/>
      <c r="V998" s="412"/>
      <c r="W998" s="412"/>
      <c r="X998" s="412"/>
      <c r="Y998" s="412"/>
      <c r="Z998" s="412"/>
    </row>
    <row r="999" spans="1:26" ht="12.75" x14ac:dyDescent="0.2">
      <c r="A999" s="412"/>
      <c r="B999" s="412"/>
      <c r="C999" s="412"/>
      <c r="D999" s="412"/>
      <c r="E999" s="412"/>
      <c r="F999" s="412"/>
      <c r="G999" s="412"/>
      <c r="H999" s="412"/>
      <c r="I999" s="412"/>
      <c r="J999" s="412"/>
      <c r="K999" s="412"/>
      <c r="L999" s="412"/>
      <c r="M999" s="412"/>
      <c r="N999" s="412"/>
      <c r="O999" s="412"/>
      <c r="P999" s="412"/>
      <c r="Q999" s="412"/>
      <c r="R999" s="412"/>
      <c r="S999" s="412"/>
      <c r="T999" s="412"/>
      <c r="U999" s="412"/>
      <c r="V999" s="412"/>
      <c r="W999" s="412"/>
      <c r="X999" s="412"/>
      <c r="Y999" s="412"/>
      <c r="Z999" s="412"/>
    </row>
    <row r="1000" spans="1:26" ht="12.75" x14ac:dyDescent="0.2">
      <c r="A1000" s="412"/>
      <c r="B1000" s="412"/>
      <c r="C1000" s="412"/>
      <c r="D1000" s="412"/>
      <c r="E1000" s="412"/>
      <c r="F1000" s="412"/>
      <c r="G1000" s="412"/>
      <c r="H1000" s="412"/>
      <c r="I1000" s="412"/>
      <c r="J1000" s="412"/>
      <c r="K1000" s="412"/>
      <c r="L1000" s="412"/>
      <c r="M1000" s="412"/>
      <c r="N1000" s="412"/>
      <c r="O1000" s="412"/>
      <c r="P1000" s="412"/>
      <c r="Q1000" s="412"/>
      <c r="R1000" s="412"/>
      <c r="S1000" s="412"/>
      <c r="T1000" s="412"/>
      <c r="U1000" s="412"/>
      <c r="V1000" s="412"/>
      <c r="W1000" s="412"/>
      <c r="X1000" s="412"/>
      <c r="Y1000" s="412"/>
      <c r="Z1000" s="412"/>
    </row>
  </sheetData>
  <mergeCells count="2">
    <mergeCell ref="A1:D1"/>
    <mergeCell ref="A2:D2"/>
  </mergeCells>
  <dataValidations count="1">
    <dataValidation type="list" allowBlank="1" showErrorMessage="1" sqref="E4:E81" xr:uid="{00000000-0002-0000-0700-000000000000}">
      <formula1>"Presencial,Virtual,Híbrida"</formula1>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O41"/>
  <sheetViews>
    <sheetView workbookViewId="0"/>
  </sheetViews>
  <sheetFormatPr baseColWidth="10" defaultColWidth="12.5703125" defaultRowHeight="15" customHeight="1" x14ac:dyDescent="0.2"/>
  <cols>
    <col min="1" max="1" width="11.42578125" customWidth="1"/>
    <col min="2" max="2" width="42.42578125" hidden="1" customWidth="1"/>
    <col min="3" max="3" width="49.42578125" customWidth="1"/>
    <col min="4" max="4" width="10.42578125" customWidth="1"/>
    <col min="5" max="5" width="18" customWidth="1"/>
    <col min="6" max="6" width="10.42578125" customWidth="1"/>
    <col min="7" max="7" width="28" customWidth="1"/>
    <col min="8" max="8" width="8" hidden="1" customWidth="1"/>
    <col min="9" max="9" width="13.28515625" hidden="1" customWidth="1"/>
    <col min="10" max="10" width="21.140625" customWidth="1"/>
    <col min="11" max="11" width="24.5703125" customWidth="1"/>
    <col min="12" max="12" width="8.42578125" hidden="1" customWidth="1"/>
    <col min="13" max="13" width="13.42578125" hidden="1" customWidth="1"/>
    <col min="14" max="14" width="17.42578125" hidden="1" customWidth="1"/>
    <col min="15" max="15" width="33.85546875" customWidth="1"/>
    <col min="16" max="26" width="11.42578125" customWidth="1"/>
  </cols>
  <sheetData>
    <row r="1" spans="1:15" ht="14.25" customHeight="1" x14ac:dyDescent="0.25">
      <c r="A1" s="329" t="s">
        <v>988</v>
      </c>
      <c r="B1" s="461"/>
      <c r="C1" s="461"/>
      <c r="D1" s="461"/>
      <c r="E1" s="461"/>
      <c r="F1" s="461"/>
      <c r="G1" s="461"/>
      <c r="H1" s="461"/>
      <c r="I1" s="461"/>
      <c r="J1" s="461"/>
      <c r="K1" s="461"/>
      <c r="L1" s="461"/>
      <c r="M1" s="461"/>
      <c r="N1" s="461"/>
      <c r="O1" s="438"/>
    </row>
    <row r="2" spans="1:15" ht="14.25" customHeight="1" x14ac:dyDescent="0.25">
      <c r="A2" s="329" t="s">
        <v>1002</v>
      </c>
      <c r="B2" s="461"/>
      <c r="C2" s="461"/>
      <c r="D2" s="461"/>
      <c r="E2" s="461"/>
      <c r="F2" s="461"/>
      <c r="G2" s="461"/>
      <c r="H2" s="461"/>
      <c r="I2" s="461"/>
      <c r="J2" s="461"/>
      <c r="K2" s="461"/>
      <c r="L2" s="461"/>
      <c r="M2" s="461"/>
      <c r="N2" s="461"/>
      <c r="O2" s="461"/>
    </row>
    <row r="3" spans="1:15" ht="14.25" customHeight="1" x14ac:dyDescent="0.25">
      <c r="A3" s="329" t="s">
        <v>1003</v>
      </c>
      <c r="B3" s="461"/>
      <c r="C3" s="461"/>
      <c r="D3" s="461"/>
      <c r="E3" s="461"/>
      <c r="F3" s="461"/>
      <c r="G3" s="461"/>
      <c r="H3" s="461"/>
      <c r="I3" s="461"/>
      <c r="J3" s="461"/>
      <c r="K3" s="461"/>
      <c r="L3" s="461"/>
      <c r="M3" s="461"/>
      <c r="N3" s="461"/>
      <c r="O3" s="461"/>
    </row>
    <row r="4" spans="1:15" ht="14.25" customHeight="1" x14ac:dyDescent="0.25">
      <c r="A4" s="329"/>
      <c r="B4" s="461"/>
      <c r="C4" s="461"/>
      <c r="D4" s="461"/>
      <c r="E4" s="461"/>
      <c r="F4" s="461"/>
      <c r="G4" s="461"/>
      <c r="H4" s="461"/>
      <c r="I4" s="461"/>
      <c r="J4" s="461"/>
      <c r="K4" s="461"/>
      <c r="L4" s="461"/>
      <c r="M4" s="461"/>
      <c r="N4" s="461"/>
      <c r="O4" s="461"/>
    </row>
    <row r="5" spans="1:15" ht="14.25" customHeight="1" x14ac:dyDescent="0.25">
      <c r="A5" s="803" t="s">
        <v>1004</v>
      </c>
      <c r="B5" s="792"/>
      <c r="C5" s="462" t="s">
        <v>1005</v>
      </c>
      <c r="D5" s="804" t="s">
        <v>1006</v>
      </c>
      <c r="E5" s="792"/>
      <c r="F5" s="805" t="s">
        <v>1007</v>
      </c>
      <c r="G5" s="791"/>
      <c r="H5" s="792"/>
      <c r="I5" s="806" t="s">
        <v>1008</v>
      </c>
      <c r="J5" s="792"/>
      <c r="K5" s="463" t="s">
        <v>1009</v>
      </c>
      <c r="L5" s="461"/>
      <c r="M5" s="461"/>
      <c r="N5" s="461"/>
      <c r="O5" s="461"/>
    </row>
    <row r="6" spans="1:15" ht="14.25" customHeight="1" x14ac:dyDescent="0.25">
      <c r="A6" s="461"/>
      <c r="B6" s="461"/>
      <c r="C6" s="461"/>
      <c r="D6" s="461"/>
      <c r="E6" s="461"/>
      <c r="F6" s="461"/>
      <c r="G6" s="461"/>
      <c r="H6" s="461"/>
      <c r="I6" s="461"/>
      <c r="J6" s="461"/>
      <c r="K6" s="461"/>
      <c r="L6" s="464">
        <v>45838</v>
      </c>
      <c r="M6" s="461"/>
      <c r="N6" s="461"/>
      <c r="O6" s="461"/>
    </row>
    <row r="7" spans="1:15" ht="14.25" customHeight="1" x14ac:dyDescent="0.25">
      <c r="A7" s="807" t="s">
        <v>1010</v>
      </c>
      <c r="B7" s="761"/>
      <c r="C7" s="761"/>
      <c r="D7" s="761"/>
      <c r="E7" s="761"/>
      <c r="F7" s="761"/>
      <c r="G7" s="761"/>
      <c r="H7" s="761"/>
      <c r="I7" s="761"/>
      <c r="J7" s="761"/>
      <c r="K7" s="761"/>
      <c r="L7" s="761"/>
      <c r="M7" s="761"/>
      <c r="N7" s="761"/>
      <c r="O7" s="761"/>
    </row>
    <row r="8" spans="1:15" ht="54.75" customHeight="1" x14ac:dyDescent="0.2">
      <c r="A8" s="31" t="s">
        <v>961</v>
      </c>
      <c r="B8" s="31" t="s">
        <v>19</v>
      </c>
      <c r="C8" s="31" t="s">
        <v>20</v>
      </c>
      <c r="D8" s="31" t="s">
        <v>23</v>
      </c>
      <c r="E8" s="31" t="s">
        <v>30</v>
      </c>
      <c r="F8" s="31" t="s">
        <v>46</v>
      </c>
      <c r="G8" s="31" t="s">
        <v>47</v>
      </c>
      <c r="H8" s="31" t="s">
        <v>48</v>
      </c>
      <c r="I8" s="37" t="s">
        <v>1011</v>
      </c>
      <c r="J8" s="37" t="s">
        <v>50</v>
      </c>
      <c r="K8" s="37" t="s">
        <v>51</v>
      </c>
      <c r="L8" s="31" t="s">
        <v>1012</v>
      </c>
      <c r="M8" s="465" t="s">
        <v>1011</v>
      </c>
      <c r="N8" s="465" t="s">
        <v>50</v>
      </c>
      <c r="O8" s="465" t="s">
        <v>1013</v>
      </c>
    </row>
    <row r="9" spans="1:15" ht="14.25" customHeight="1" x14ac:dyDescent="0.2">
      <c r="A9" s="102">
        <v>2</v>
      </c>
      <c r="B9" s="466" t="s">
        <v>182</v>
      </c>
      <c r="C9" s="466" t="s">
        <v>985</v>
      </c>
      <c r="D9" s="102">
        <v>105715</v>
      </c>
      <c r="E9" s="466" t="s">
        <v>337</v>
      </c>
      <c r="F9" s="467">
        <v>14953</v>
      </c>
      <c r="G9" s="468">
        <v>42573</v>
      </c>
      <c r="H9" s="467">
        <v>7</v>
      </c>
      <c r="I9" s="468">
        <f t="shared" ref="I9:I10" si="0">EDATE(G9,(H9*12)-14)</f>
        <v>44703</v>
      </c>
      <c r="J9" s="468">
        <f t="shared" ref="J9:J10" si="1">EDATE(G9,(H9*12)-12)</f>
        <v>44764</v>
      </c>
      <c r="K9" s="468">
        <f t="shared" ref="K9:K10" si="2">EDATE(G9,H9*12)</f>
        <v>45129</v>
      </c>
      <c r="L9" s="469">
        <f t="shared" ref="L9:L10" si="3">(+$L$6-K9+1)/30</f>
        <v>23.666666666666668</v>
      </c>
      <c r="M9" s="468">
        <f t="shared" ref="M9:M10" si="4">EDATE(O9,-14)</f>
        <v>45412</v>
      </c>
      <c r="N9" s="468">
        <f t="shared" ref="N9:N10" si="5">+EDATE(O9,-12)</f>
        <v>45473</v>
      </c>
      <c r="O9" s="468">
        <v>45838</v>
      </c>
    </row>
    <row r="10" spans="1:15" ht="14.25" customHeight="1" x14ac:dyDescent="0.2">
      <c r="A10" s="379">
        <v>4</v>
      </c>
      <c r="B10" s="470" t="s">
        <v>333</v>
      </c>
      <c r="C10" s="470" t="s">
        <v>1014</v>
      </c>
      <c r="D10" s="379">
        <v>90695</v>
      </c>
      <c r="E10" s="470" t="s">
        <v>80</v>
      </c>
      <c r="F10" s="471">
        <v>22945</v>
      </c>
      <c r="G10" s="472">
        <v>42718</v>
      </c>
      <c r="H10" s="471">
        <v>7</v>
      </c>
      <c r="I10" s="472">
        <f t="shared" si="0"/>
        <v>44848</v>
      </c>
      <c r="J10" s="472">
        <f t="shared" si="1"/>
        <v>44909</v>
      </c>
      <c r="K10" s="472">
        <f t="shared" si="2"/>
        <v>45274</v>
      </c>
      <c r="L10" s="473">
        <f t="shared" si="3"/>
        <v>18.833333333333332</v>
      </c>
      <c r="M10" s="472">
        <f t="shared" si="4"/>
        <v>45412</v>
      </c>
      <c r="N10" s="472">
        <f t="shared" si="5"/>
        <v>45473</v>
      </c>
      <c r="O10" s="472">
        <v>45838</v>
      </c>
    </row>
    <row r="11" spans="1:15" ht="14.25" customHeight="1" x14ac:dyDescent="0.2">
      <c r="A11" s="84"/>
      <c r="B11" s="429"/>
      <c r="C11" s="474"/>
      <c r="D11" s="84"/>
      <c r="E11" s="429"/>
      <c r="F11" s="475"/>
      <c r="G11" s="476"/>
      <c r="H11" s="475"/>
      <c r="I11" s="476"/>
      <c r="J11" s="476"/>
      <c r="K11" s="476"/>
      <c r="L11" s="477"/>
      <c r="M11" s="478"/>
      <c r="N11" s="476"/>
      <c r="O11" s="476"/>
    </row>
    <row r="12" spans="1:15" ht="14.25" customHeight="1" x14ac:dyDescent="0.25">
      <c r="A12" s="461"/>
      <c r="B12" s="461"/>
      <c r="C12" s="461"/>
      <c r="D12" s="461"/>
      <c r="E12" s="461"/>
      <c r="F12" s="461"/>
      <c r="G12" s="461"/>
      <c r="H12" s="461"/>
      <c r="I12" s="461"/>
      <c r="J12" s="461"/>
      <c r="K12" s="461"/>
      <c r="L12" s="464">
        <v>45930</v>
      </c>
      <c r="M12" s="461"/>
      <c r="N12" s="461"/>
      <c r="O12" s="461"/>
    </row>
    <row r="13" spans="1:15" ht="14.25" customHeight="1" x14ac:dyDescent="0.25">
      <c r="A13" s="807" t="s">
        <v>1015</v>
      </c>
      <c r="B13" s="761"/>
      <c r="C13" s="761"/>
      <c r="D13" s="761"/>
      <c r="E13" s="761"/>
      <c r="F13" s="761"/>
      <c r="G13" s="761"/>
      <c r="H13" s="761"/>
      <c r="I13" s="761"/>
      <c r="J13" s="761"/>
      <c r="K13" s="761"/>
      <c r="L13" s="761"/>
      <c r="M13" s="761"/>
      <c r="N13" s="761"/>
      <c r="O13" s="761"/>
    </row>
    <row r="14" spans="1:15" ht="42.75" customHeight="1" x14ac:dyDescent="0.2">
      <c r="A14" s="31" t="s">
        <v>961</v>
      </c>
      <c r="B14" s="31" t="s">
        <v>19</v>
      </c>
      <c r="C14" s="31" t="s">
        <v>20</v>
      </c>
      <c r="D14" s="31" t="s">
        <v>23</v>
      </c>
      <c r="E14" s="31" t="s">
        <v>30</v>
      </c>
      <c r="F14" s="31" t="s">
        <v>46</v>
      </c>
      <c r="G14" s="31" t="s">
        <v>47</v>
      </c>
      <c r="H14" s="31" t="s">
        <v>48</v>
      </c>
      <c r="I14" s="37" t="s">
        <v>1011</v>
      </c>
      <c r="J14" s="37" t="s">
        <v>50</v>
      </c>
      <c r="K14" s="37" t="s">
        <v>51</v>
      </c>
      <c r="L14" s="31" t="s">
        <v>1012</v>
      </c>
      <c r="M14" s="465" t="s">
        <v>1011</v>
      </c>
      <c r="N14" s="465" t="s">
        <v>50</v>
      </c>
      <c r="O14" s="465" t="s">
        <v>1016</v>
      </c>
    </row>
    <row r="15" spans="1:15" ht="14.25" customHeight="1" x14ac:dyDescent="0.2">
      <c r="A15" s="50">
        <v>1</v>
      </c>
      <c r="B15" s="51" t="s">
        <v>255</v>
      </c>
      <c r="C15" s="479" t="s">
        <v>318</v>
      </c>
      <c r="D15" s="50">
        <v>106126</v>
      </c>
      <c r="E15" s="51" t="s">
        <v>80</v>
      </c>
      <c r="F15" s="480">
        <v>2330</v>
      </c>
      <c r="G15" s="481">
        <v>42783</v>
      </c>
      <c r="H15" s="480">
        <v>7</v>
      </c>
      <c r="I15" s="481">
        <f t="shared" ref="I15:I27" si="6">EDATE(G15,(H15*12)-14)</f>
        <v>44912</v>
      </c>
      <c r="J15" s="481">
        <f t="shared" ref="J15:J27" si="7">EDATE(G15,(H15*12)-12)</f>
        <v>44974</v>
      </c>
      <c r="K15" s="481">
        <f t="shared" ref="K15:K27" si="8">EDATE(G15,H15*12)</f>
        <v>45339</v>
      </c>
      <c r="L15" s="477">
        <f t="shared" ref="L15:L27" si="9">+($L$12-K15+1)/30</f>
        <v>19.733333333333334</v>
      </c>
      <c r="M15" s="481">
        <f t="shared" ref="M15:M27" si="10">+EDATE(O15,-14)</f>
        <v>45503</v>
      </c>
      <c r="N15" s="481">
        <f t="shared" ref="N15:N27" si="11">+EDATE(O15,-12)</f>
        <v>45565</v>
      </c>
      <c r="O15" s="481">
        <v>45930</v>
      </c>
    </row>
    <row r="16" spans="1:15" ht="37.5" customHeight="1" x14ac:dyDescent="0.2">
      <c r="A16" s="482">
        <v>2</v>
      </c>
      <c r="B16" s="483" t="s">
        <v>333</v>
      </c>
      <c r="C16" s="483" t="s">
        <v>372</v>
      </c>
      <c r="D16" s="482">
        <v>106575</v>
      </c>
      <c r="E16" s="483" t="s">
        <v>80</v>
      </c>
      <c r="F16" s="484">
        <v>29142</v>
      </c>
      <c r="G16" s="485">
        <v>43095</v>
      </c>
      <c r="H16" s="484">
        <v>7</v>
      </c>
      <c r="I16" s="485">
        <f t="shared" si="6"/>
        <v>45225</v>
      </c>
      <c r="J16" s="485">
        <f t="shared" si="7"/>
        <v>45286</v>
      </c>
      <c r="K16" s="485">
        <f t="shared" si="8"/>
        <v>45652</v>
      </c>
      <c r="L16" s="486">
        <f t="shared" si="9"/>
        <v>9.3000000000000007</v>
      </c>
      <c r="M16" s="485">
        <f t="shared" si="10"/>
        <v>45503</v>
      </c>
      <c r="N16" s="485">
        <f t="shared" si="11"/>
        <v>45565</v>
      </c>
      <c r="O16" s="485">
        <v>45930</v>
      </c>
    </row>
    <row r="17" spans="1:15" ht="14.25" customHeight="1" x14ac:dyDescent="0.2">
      <c r="A17" s="50">
        <v>3</v>
      </c>
      <c r="B17" s="51" t="s">
        <v>333</v>
      </c>
      <c r="C17" s="51" t="s">
        <v>1017</v>
      </c>
      <c r="D17" s="50">
        <v>90694</v>
      </c>
      <c r="E17" s="51" t="s">
        <v>80</v>
      </c>
      <c r="F17" s="480">
        <v>4199</v>
      </c>
      <c r="G17" s="481">
        <v>42804</v>
      </c>
      <c r="H17" s="480">
        <v>7</v>
      </c>
      <c r="I17" s="481">
        <f t="shared" si="6"/>
        <v>44936</v>
      </c>
      <c r="J17" s="481">
        <f t="shared" si="7"/>
        <v>44995</v>
      </c>
      <c r="K17" s="481">
        <f t="shared" si="8"/>
        <v>45361</v>
      </c>
      <c r="L17" s="477">
        <f t="shared" si="9"/>
        <v>19</v>
      </c>
      <c r="M17" s="481">
        <f t="shared" si="10"/>
        <v>45503</v>
      </c>
      <c r="N17" s="481">
        <f t="shared" si="11"/>
        <v>45565</v>
      </c>
      <c r="O17" s="481">
        <v>45930</v>
      </c>
    </row>
    <row r="18" spans="1:15" ht="14.25" customHeight="1" x14ac:dyDescent="0.2">
      <c r="A18" s="50">
        <v>4</v>
      </c>
      <c r="B18" s="51" t="s">
        <v>333</v>
      </c>
      <c r="C18" s="51" t="s">
        <v>357</v>
      </c>
      <c r="D18" s="50">
        <v>106091</v>
      </c>
      <c r="E18" s="51" t="s">
        <v>337</v>
      </c>
      <c r="F18" s="480">
        <v>150</v>
      </c>
      <c r="G18" s="481">
        <v>42751</v>
      </c>
      <c r="H18" s="480">
        <v>7</v>
      </c>
      <c r="I18" s="481">
        <f t="shared" si="6"/>
        <v>44881</v>
      </c>
      <c r="J18" s="481">
        <f t="shared" si="7"/>
        <v>44942</v>
      </c>
      <c r="K18" s="481">
        <f t="shared" si="8"/>
        <v>45307</v>
      </c>
      <c r="L18" s="477">
        <f t="shared" si="9"/>
        <v>20.8</v>
      </c>
      <c r="M18" s="481">
        <f t="shared" si="10"/>
        <v>45503</v>
      </c>
      <c r="N18" s="481">
        <f t="shared" si="11"/>
        <v>45565</v>
      </c>
      <c r="O18" s="481">
        <v>45930</v>
      </c>
    </row>
    <row r="19" spans="1:15" ht="14.25" customHeight="1" x14ac:dyDescent="0.2">
      <c r="A19" s="388">
        <v>5</v>
      </c>
      <c r="B19" s="487" t="s">
        <v>413</v>
      </c>
      <c r="C19" s="487" t="s">
        <v>562</v>
      </c>
      <c r="D19" s="388">
        <v>229</v>
      </c>
      <c r="E19" s="487" t="s">
        <v>80</v>
      </c>
      <c r="F19" s="488">
        <v>25099</v>
      </c>
      <c r="G19" s="489">
        <v>43056</v>
      </c>
      <c r="H19" s="488">
        <v>7</v>
      </c>
      <c r="I19" s="489">
        <f t="shared" si="6"/>
        <v>45186</v>
      </c>
      <c r="J19" s="489">
        <f t="shared" si="7"/>
        <v>45247</v>
      </c>
      <c r="K19" s="489">
        <f t="shared" si="8"/>
        <v>45613</v>
      </c>
      <c r="L19" s="490">
        <f t="shared" si="9"/>
        <v>10.6</v>
      </c>
      <c r="M19" s="489">
        <f t="shared" si="10"/>
        <v>45503</v>
      </c>
      <c r="N19" s="489">
        <f t="shared" si="11"/>
        <v>45565</v>
      </c>
      <c r="O19" s="489">
        <v>45930</v>
      </c>
    </row>
    <row r="20" spans="1:15" ht="14.25" customHeight="1" x14ac:dyDescent="0.2">
      <c r="A20" s="482">
        <v>6</v>
      </c>
      <c r="B20" s="483" t="s">
        <v>413</v>
      </c>
      <c r="C20" s="483" t="s">
        <v>1018</v>
      </c>
      <c r="D20" s="482">
        <v>2130</v>
      </c>
      <c r="E20" s="483" t="s">
        <v>80</v>
      </c>
      <c r="F20" s="484">
        <v>7895</v>
      </c>
      <c r="G20" s="485">
        <v>42979</v>
      </c>
      <c r="H20" s="484">
        <v>7</v>
      </c>
      <c r="I20" s="485">
        <f t="shared" si="6"/>
        <v>45108</v>
      </c>
      <c r="J20" s="485">
        <f t="shared" si="7"/>
        <v>45170</v>
      </c>
      <c r="K20" s="485">
        <f t="shared" si="8"/>
        <v>45536</v>
      </c>
      <c r="L20" s="486">
        <f t="shared" si="9"/>
        <v>13.166666666666666</v>
      </c>
      <c r="M20" s="485">
        <f t="shared" si="10"/>
        <v>45503</v>
      </c>
      <c r="N20" s="485">
        <f t="shared" si="11"/>
        <v>45565</v>
      </c>
      <c r="O20" s="485">
        <v>45930</v>
      </c>
    </row>
    <row r="21" spans="1:15" ht="14.25" customHeight="1" x14ac:dyDescent="0.2">
      <c r="A21" s="482">
        <v>7</v>
      </c>
      <c r="B21" s="483" t="s">
        <v>413</v>
      </c>
      <c r="C21" s="483" t="s">
        <v>1019</v>
      </c>
      <c r="D21" s="482">
        <v>4010</v>
      </c>
      <c r="E21" s="483" t="s">
        <v>80</v>
      </c>
      <c r="F21" s="484">
        <v>8938</v>
      </c>
      <c r="G21" s="485">
        <v>42971</v>
      </c>
      <c r="H21" s="484">
        <v>7</v>
      </c>
      <c r="I21" s="485">
        <f t="shared" si="6"/>
        <v>45101</v>
      </c>
      <c r="J21" s="485">
        <f t="shared" si="7"/>
        <v>45162</v>
      </c>
      <c r="K21" s="485">
        <f t="shared" si="8"/>
        <v>45528</v>
      </c>
      <c r="L21" s="486">
        <f t="shared" si="9"/>
        <v>13.433333333333334</v>
      </c>
      <c r="M21" s="485">
        <f t="shared" si="10"/>
        <v>45503</v>
      </c>
      <c r="N21" s="485">
        <f t="shared" si="11"/>
        <v>45565</v>
      </c>
      <c r="O21" s="485">
        <v>45930</v>
      </c>
    </row>
    <row r="22" spans="1:15" ht="14.25" customHeight="1" x14ac:dyDescent="0.2">
      <c r="A22" s="50">
        <v>8</v>
      </c>
      <c r="B22" s="51" t="s">
        <v>413</v>
      </c>
      <c r="C22" s="479" t="s">
        <v>552</v>
      </c>
      <c r="D22" s="50">
        <v>90909</v>
      </c>
      <c r="E22" s="51" t="s">
        <v>80</v>
      </c>
      <c r="F22" s="480">
        <v>9552</v>
      </c>
      <c r="G22" s="481">
        <v>42866</v>
      </c>
      <c r="H22" s="480">
        <v>7</v>
      </c>
      <c r="I22" s="481">
        <f t="shared" si="6"/>
        <v>44996</v>
      </c>
      <c r="J22" s="481">
        <f t="shared" si="7"/>
        <v>45057</v>
      </c>
      <c r="K22" s="481">
        <f t="shared" si="8"/>
        <v>45423</v>
      </c>
      <c r="L22" s="477">
        <f t="shared" si="9"/>
        <v>16.933333333333334</v>
      </c>
      <c r="M22" s="481">
        <f t="shared" si="10"/>
        <v>45503</v>
      </c>
      <c r="N22" s="481">
        <f t="shared" si="11"/>
        <v>45565</v>
      </c>
      <c r="O22" s="481">
        <v>45930</v>
      </c>
    </row>
    <row r="23" spans="1:15" ht="14.25" customHeight="1" x14ac:dyDescent="0.2">
      <c r="A23" s="50">
        <v>9</v>
      </c>
      <c r="B23" s="51" t="s">
        <v>413</v>
      </c>
      <c r="C23" s="51" t="s">
        <v>570</v>
      </c>
      <c r="D23" s="50">
        <v>106198</v>
      </c>
      <c r="E23" s="51" t="s">
        <v>337</v>
      </c>
      <c r="F23" s="480">
        <v>4682</v>
      </c>
      <c r="G23" s="481">
        <v>42809</v>
      </c>
      <c r="H23" s="480">
        <v>7</v>
      </c>
      <c r="I23" s="481">
        <f t="shared" si="6"/>
        <v>44941</v>
      </c>
      <c r="J23" s="481">
        <f t="shared" si="7"/>
        <v>45000</v>
      </c>
      <c r="K23" s="481">
        <f t="shared" si="8"/>
        <v>45366</v>
      </c>
      <c r="L23" s="477">
        <f t="shared" si="9"/>
        <v>18.833333333333332</v>
      </c>
      <c r="M23" s="481">
        <f t="shared" si="10"/>
        <v>45503</v>
      </c>
      <c r="N23" s="481">
        <f t="shared" si="11"/>
        <v>45565</v>
      </c>
      <c r="O23" s="481">
        <v>45930</v>
      </c>
    </row>
    <row r="24" spans="1:15" ht="14.25" customHeight="1" x14ac:dyDescent="0.2">
      <c r="A24" s="50">
        <v>10</v>
      </c>
      <c r="B24" s="51" t="s">
        <v>413</v>
      </c>
      <c r="C24" s="51" t="s">
        <v>1020</v>
      </c>
      <c r="D24" s="50">
        <v>106421</v>
      </c>
      <c r="E24" s="51" t="s">
        <v>80</v>
      </c>
      <c r="F24" s="480">
        <v>16311</v>
      </c>
      <c r="G24" s="481">
        <v>42964</v>
      </c>
      <c r="H24" s="480">
        <v>7</v>
      </c>
      <c r="I24" s="481">
        <f t="shared" si="6"/>
        <v>45094</v>
      </c>
      <c r="J24" s="481">
        <f t="shared" si="7"/>
        <v>45155</v>
      </c>
      <c r="K24" s="481">
        <f t="shared" si="8"/>
        <v>45521</v>
      </c>
      <c r="L24" s="477">
        <f t="shared" si="9"/>
        <v>13.666666666666666</v>
      </c>
      <c r="M24" s="481">
        <f t="shared" si="10"/>
        <v>45503</v>
      </c>
      <c r="N24" s="481">
        <f t="shared" si="11"/>
        <v>45565</v>
      </c>
      <c r="O24" s="481">
        <v>45930</v>
      </c>
    </row>
    <row r="25" spans="1:15" ht="14.25" customHeight="1" x14ac:dyDescent="0.2">
      <c r="A25" s="50">
        <v>11</v>
      </c>
      <c r="B25" s="51" t="s">
        <v>413</v>
      </c>
      <c r="C25" s="51" t="s">
        <v>1020</v>
      </c>
      <c r="D25" s="50">
        <v>106422</v>
      </c>
      <c r="E25" s="51" t="s">
        <v>337</v>
      </c>
      <c r="F25" s="480">
        <v>16312</v>
      </c>
      <c r="G25" s="481">
        <v>42964</v>
      </c>
      <c r="H25" s="480">
        <v>7</v>
      </c>
      <c r="I25" s="481">
        <f t="shared" si="6"/>
        <v>45094</v>
      </c>
      <c r="J25" s="481">
        <f t="shared" si="7"/>
        <v>45155</v>
      </c>
      <c r="K25" s="481">
        <f t="shared" si="8"/>
        <v>45521</v>
      </c>
      <c r="L25" s="477">
        <f t="shared" si="9"/>
        <v>13.666666666666666</v>
      </c>
      <c r="M25" s="481">
        <f t="shared" si="10"/>
        <v>45503</v>
      </c>
      <c r="N25" s="481">
        <f t="shared" si="11"/>
        <v>45565</v>
      </c>
      <c r="O25" s="481">
        <v>45930</v>
      </c>
    </row>
    <row r="26" spans="1:15" ht="14.25" customHeight="1" x14ac:dyDescent="0.2">
      <c r="A26" s="50">
        <v>12</v>
      </c>
      <c r="B26" s="51" t="s">
        <v>574</v>
      </c>
      <c r="C26" s="51" t="s">
        <v>1021</v>
      </c>
      <c r="D26" s="50">
        <v>106623</v>
      </c>
      <c r="E26" s="51" t="s">
        <v>80</v>
      </c>
      <c r="F26" s="480">
        <v>29123</v>
      </c>
      <c r="G26" s="481">
        <v>43095</v>
      </c>
      <c r="H26" s="480">
        <v>7</v>
      </c>
      <c r="I26" s="481">
        <f t="shared" si="6"/>
        <v>45225</v>
      </c>
      <c r="J26" s="481">
        <f t="shared" si="7"/>
        <v>45286</v>
      </c>
      <c r="K26" s="481">
        <f t="shared" si="8"/>
        <v>45652</v>
      </c>
      <c r="L26" s="477">
        <f t="shared" si="9"/>
        <v>9.3000000000000007</v>
      </c>
      <c r="M26" s="481">
        <f t="shared" si="10"/>
        <v>45503</v>
      </c>
      <c r="N26" s="481">
        <f t="shared" si="11"/>
        <v>45565</v>
      </c>
      <c r="O26" s="481">
        <v>45930</v>
      </c>
    </row>
    <row r="27" spans="1:15" ht="14.25" customHeight="1" x14ac:dyDescent="0.2">
      <c r="A27" s="50">
        <v>13</v>
      </c>
      <c r="B27" s="51" t="s">
        <v>609</v>
      </c>
      <c r="C27" s="479" t="s">
        <v>686</v>
      </c>
      <c r="D27" s="50">
        <v>106111</v>
      </c>
      <c r="E27" s="51" t="s">
        <v>80</v>
      </c>
      <c r="F27" s="480">
        <v>1145</v>
      </c>
      <c r="G27" s="481">
        <v>42766</v>
      </c>
      <c r="H27" s="480">
        <v>7</v>
      </c>
      <c r="I27" s="481">
        <f t="shared" si="6"/>
        <v>44895</v>
      </c>
      <c r="J27" s="481">
        <f t="shared" si="7"/>
        <v>44957</v>
      </c>
      <c r="K27" s="481">
        <f t="shared" si="8"/>
        <v>45322</v>
      </c>
      <c r="L27" s="477">
        <f t="shared" si="9"/>
        <v>20.3</v>
      </c>
      <c r="M27" s="481">
        <f t="shared" si="10"/>
        <v>45503</v>
      </c>
      <c r="N27" s="481">
        <f t="shared" si="11"/>
        <v>45565</v>
      </c>
      <c r="O27" s="481">
        <v>45930</v>
      </c>
    </row>
    <row r="28" spans="1:15" ht="14.25" customHeight="1" x14ac:dyDescent="0.25">
      <c r="A28" s="461"/>
      <c r="B28" s="461"/>
      <c r="C28" s="461"/>
      <c r="D28" s="461"/>
      <c r="E28" s="461"/>
      <c r="F28" s="461"/>
      <c r="G28" s="461"/>
      <c r="H28" s="461"/>
      <c r="I28" s="461"/>
      <c r="J28" s="461"/>
      <c r="K28" s="461"/>
      <c r="L28" s="461"/>
      <c r="M28" s="461"/>
      <c r="N28" s="461"/>
      <c r="O28" s="461"/>
    </row>
    <row r="29" spans="1:15" ht="14.25" customHeight="1" x14ac:dyDescent="0.25">
      <c r="A29" s="461"/>
      <c r="B29" s="461"/>
      <c r="C29" s="461"/>
      <c r="D29" s="461"/>
      <c r="E29" s="461"/>
      <c r="F29" s="461"/>
      <c r="G29" s="461"/>
      <c r="H29" s="461"/>
      <c r="I29" s="461"/>
      <c r="J29" s="461"/>
      <c r="K29" s="461"/>
      <c r="L29" s="464">
        <v>46022</v>
      </c>
      <c r="M29" s="461"/>
      <c r="N29" s="461"/>
      <c r="O29" s="461"/>
    </row>
    <row r="30" spans="1:15" ht="14.25" customHeight="1" x14ac:dyDescent="0.25">
      <c r="A30" s="807" t="s">
        <v>1022</v>
      </c>
      <c r="B30" s="761"/>
      <c r="C30" s="761"/>
      <c r="D30" s="761"/>
      <c r="E30" s="761"/>
      <c r="F30" s="761"/>
      <c r="G30" s="761"/>
      <c r="H30" s="761"/>
      <c r="I30" s="761"/>
      <c r="J30" s="761"/>
      <c r="K30" s="761"/>
      <c r="L30" s="761"/>
      <c r="M30" s="761"/>
      <c r="N30" s="761"/>
      <c r="O30" s="761"/>
    </row>
    <row r="31" spans="1:15" ht="36.75" customHeight="1" x14ac:dyDescent="0.2">
      <c r="A31" s="31" t="s">
        <v>961</v>
      </c>
      <c r="B31" s="31" t="s">
        <v>19</v>
      </c>
      <c r="C31" s="31" t="s">
        <v>20</v>
      </c>
      <c r="D31" s="31" t="s">
        <v>23</v>
      </c>
      <c r="E31" s="31" t="s">
        <v>30</v>
      </c>
      <c r="F31" s="31" t="s">
        <v>46</v>
      </c>
      <c r="G31" s="31" t="s">
        <v>47</v>
      </c>
      <c r="H31" s="491" t="s">
        <v>48</v>
      </c>
      <c r="I31" s="491" t="s">
        <v>1011</v>
      </c>
      <c r="J31" s="37" t="s">
        <v>50</v>
      </c>
      <c r="K31" s="37" t="s">
        <v>51</v>
      </c>
      <c r="L31" s="491" t="s">
        <v>1012</v>
      </c>
      <c r="M31" s="491" t="s">
        <v>1011</v>
      </c>
      <c r="N31" s="491" t="s">
        <v>50</v>
      </c>
      <c r="O31" s="465" t="s">
        <v>1013</v>
      </c>
    </row>
    <row r="32" spans="1:15" ht="14.25" customHeight="1" x14ac:dyDescent="0.2">
      <c r="A32" s="50">
        <v>1</v>
      </c>
      <c r="B32" s="51" t="s">
        <v>130</v>
      </c>
      <c r="C32" s="51" t="s">
        <v>1023</v>
      </c>
      <c r="D32" s="50">
        <v>106793</v>
      </c>
      <c r="E32" s="51" t="s">
        <v>337</v>
      </c>
      <c r="F32" s="480">
        <v>3679</v>
      </c>
      <c r="G32" s="481">
        <v>43161</v>
      </c>
      <c r="H32" s="480">
        <v>7</v>
      </c>
      <c r="I32" s="481">
        <f t="shared" ref="I32:I41" si="12">EDATE(G32,(H32*12)-14)</f>
        <v>45293</v>
      </c>
      <c r="J32" s="481">
        <f t="shared" ref="J32:J41" si="13">EDATE(G32,(H32*12)-12)</f>
        <v>45353</v>
      </c>
      <c r="K32" s="481">
        <f t="shared" ref="K32:K41" si="14">EDATE(G32,H32*12)</f>
        <v>45718</v>
      </c>
      <c r="L32" s="477">
        <f t="shared" ref="L32:L41" si="15">+($L$29-K32+1)/30</f>
        <v>10.166666666666666</v>
      </c>
      <c r="M32" s="481">
        <f t="shared" ref="M32:M41" si="16">+EDATE(O32,-14)</f>
        <v>45596</v>
      </c>
      <c r="N32" s="481">
        <f t="shared" ref="N32:N41" si="17">+EDATE(O32,-12)</f>
        <v>45657</v>
      </c>
      <c r="O32" s="481">
        <v>46022</v>
      </c>
    </row>
    <row r="33" spans="1:15" ht="14.25" customHeight="1" x14ac:dyDescent="0.2">
      <c r="A33" s="50">
        <v>2</v>
      </c>
      <c r="B33" s="51" t="s">
        <v>130</v>
      </c>
      <c r="C33" s="51" t="s">
        <v>1024</v>
      </c>
      <c r="D33" s="50">
        <v>106792</v>
      </c>
      <c r="E33" s="51" t="s">
        <v>337</v>
      </c>
      <c r="F33" s="480">
        <v>3678</v>
      </c>
      <c r="G33" s="481">
        <v>43161</v>
      </c>
      <c r="H33" s="480">
        <v>7</v>
      </c>
      <c r="I33" s="481">
        <f t="shared" si="12"/>
        <v>45293</v>
      </c>
      <c r="J33" s="481">
        <f t="shared" si="13"/>
        <v>45353</v>
      </c>
      <c r="K33" s="481">
        <f t="shared" si="14"/>
        <v>45718</v>
      </c>
      <c r="L33" s="477">
        <f t="shared" si="15"/>
        <v>10.166666666666666</v>
      </c>
      <c r="M33" s="481">
        <f t="shared" si="16"/>
        <v>45596</v>
      </c>
      <c r="N33" s="481">
        <f t="shared" si="17"/>
        <v>45657</v>
      </c>
      <c r="O33" s="481">
        <v>46022</v>
      </c>
    </row>
    <row r="34" spans="1:15" ht="14.25" customHeight="1" x14ac:dyDescent="0.2">
      <c r="A34" s="50">
        <v>3</v>
      </c>
      <c r="B34" s="51" t="s">
        <v>182</v>
      </c>
      <c r="C34" s="492" t="s">
        <v>183</v>
      </c>
      <c r="D34" s="50">
        <v>235</v>
      </c>
      <c r="E34" s="51" t="s">
        <v>80</v>
      </c>
      <c r="F34" s="480">
        <v>8937</v>
      </c>
      <c r="G34" s="481">
        <v>43152</v>
      </c>
      <c r="H34" s="480">
        <v>7</v>
      </c>
      <c r="I34" s="481">
        <f t="shared" si="12"/>
        <v>45281</v>
      </c>
      <c r="J34" s="481">
        <f t="shared" si="13"/>
        <v>45343</v>
      </c>
      <c r="K34" s="481">
        <f t="shared" si="14"/>
        <v>45709</v>
      </c>
      <c r="L34" s="477">
        <f t="shared" si="15"/>
        <v>10.466666666666667</v>
      </c>
      <c r="M34" s="481">
        <f t="shared" si="16"/>
        <v>45596</v>
      </c>
      <c r="N34" s="481">
        <f t="shared" si="17"/>
        <v>45657</v>
      </c>
      <c r="O34" s="481">
        <v>46022</v>
      </c>
    </row>
    <row r="35" spans="1:15" ht="14.25" customHeight="1" x14ac:dyDescent="0.2">
      <c r="A35" s="50">
        <v>4</v>
      </c>
      <c r="B35" s="51" t="s">
        <v>182</v>
      </c>
      <c r="C35" s="51" t="s">
        <v>1025</v>
      </c>
      <c r="D35" s="50">
        <v>18679</v>
      </c>
      <c r="E35" s="51" t="s">
        <v>80</v>
      </c>
      <c r="F35" s="480">
        <v>8936</v>
      </c>
      <c r="G35" s="481">
        <v>43251</v>
      </c>
      <c r="H35" s="480">
        <v>7</v>
      </c>
      <c r="I35" s="481">
        <f t="shared" si="12"/>
        <v>45382</v>
      </c>
      <c r="J35" s="481">
        <f t="shared" si="13"/>
        <v>45443</v>
      </c>
      <c r="K35" s="481">
        <f t="shared" si="14"/>
        <v>45808</v>
      </c>
      <c r="L35" s="477">
        <f t="shared" si="15"/>
        <v>7.166666666666667</v>
      </c>
      <c r="M35" s="481">
        <f t="shared" si="16"/>
        <v>45596</v>
      </c>
      <c r="N35" s="481">
        <f t="shared" si="17"/>
        <v>45657</v>
      </c>
      <c r="O35" s="481">
        <v>46022</v>
      </c>
    </row>
    <row r="36" spans="1:15" ht="14.25" customHeight="1" x14ac:dyDescent="0.2">
      <c r="A36" s="50">
        <v>5</v>
      </c>
      <c r="B36" s="51" t="s">
        <v>255</v>
      </c>
      <c r="C36" s="51" t="s">
        <v>968</v>
      </c>
      <c r="D36" s="50">
        <v>55202</v>
      </c>
      <c r="E36" s="51" t="s">
        <v>80</v>
      </c>
      <c r="F36" s="480">
        <v>3324</v>
      </c>
      <c r="G36" s="481">
        <v>43158</v>
      </c>
      <c r="H36" s="480">
        <v>7</v>
      </c>
      <c r="I36" s="481">
        <f t="shared" si="12"/>
        <v>45287</v>
      </c>
      <c r="J36" s="481">
        <f t="shared" si="13"/>
        <v>45349</v>
      </c>
      <c r="K36" s="481">
        <f t="shared" si="14"/>
        <v>45715</v>
      </c>
      <c r="L36" s="477">
        <f t="shared" si="15"/>
        <v>10.266666666666667</v>
      </c>
      <c r="M36" s="481">
        <f t="shared" si="16"/>
        <v>45596</v>
      </c>
      <c r="N36" s="481">
        <f t="shared" si="17"/>
        <v>45657</v>
      </c>
      <c r="O36" s="481">
        <v>46022</v>
      </c>
    </row>
    <row r="37" spans="1:15" ht="14.25" customHeight="1" x14ac:dyDescent="0.2">
      <c r="A37" s="50">
        <v>6</v>
      </c>
      <c r="B37" s="51" t="s">
        <v>333</v>
      </c>
      <c r="C37" s="493" t="s">
        <v>392</v>
      </c>
      <c r="D37" s="50">
        <v>106604</v>
      </c>
      <c r="E37" s="51" t="s">
        <v>80</v>
      </c>
      <c r="F37" s="480">
        <v>2054</v>
      </c>
      <c r="G37" s="481">
        <v>43144</v>
      </c>
      <c r="H37" s="480">
        <v>7</v>
      </c>
      <c r="I37" s="481">
        <f t="shared" si="12"/>
        <v>45273</v>
      </c>
      <c r="J37" s="481">
        <f t="shared" si="13"/>
        <v>45335</v>
      </c>
      <c r="K37" s="481">
        <f t="shared" si="14"/>
        <v>45701</v>
      </c>
      <c r="L37" s="477">
        <f t="shared" si="15"/>
        <v>10.733333333333333</v>
      </c>
      <c r="M37" s="481">
        <f t="shared" si="16"/>
        <v>45596</v>
      </c>
      <c r="N37" s="481">
        <f t="shared" si="17"/>
        <v>45657</v>
      </c>
      <c r="O37" s="481">
        <v>46022</v>
      </c>
    </row>
    <row r="38" spans="1:15" ht="14.25" customHeight="1" x14ac:dyDescent="0.2">
      <c r="A38" s="482">
        <v>7</v>
      </c>
      <c r="B38" s="483" t="s">
        <v>413</v>
      </c>
      <c r="C38" s="483" t="s">
        <v>482</v>
      </c>
      <c r="D38" s="482">
        <v>106574</v>
      </c>
      <c r="E38" s="483" t="s">
        <v>80</v>
      </c>
      <c r="F38" s="484">
        <v>6928</v>
      </c>
      <c r="G38" s="485">
        <v>43214</v>
      </c>
      <c r="H38" s="484">
        <v>7</v>
      </c>
      <c r="I38" s="485">
        <f t="shared" si="12"/>
        <v>45346</v>
      </c>
      <c r="J38" s="485">
        <f t="shared" si="13"/>
        <v>45406</v>
      </c>
      <c r="K38" s="485">
        <f t="shared" si="14"/>
        <v>45771</v>
      </c>
      <c r="L38" s="486">
        <f t="shared" si="15"/>
        <v>8.4</v>
      </c>
      <c r="M38" s="485">
        <f t="shared" si="16"/>
        <v>45596</v>
      </c>
      <c r="N38" s="485">
        <f t="shared" si="17"/>
        <v>45657</v>
      </c>
      <c r="O38" s="485">
        <v>46022</v>
      </c>
    </row>
    <row r="39" spans="1:15" ht="14.25" customHeight="1" x14ac:dyDescent="0.2">
      <c r="A39" s="50">
        <v>8</v>
      </c>
      <c r="B39" s="51" t="s">
        <v>413</v>
      </c>
      <c r="C39" s="51" t="s">
        <v>1026</v>
      </c>
      <c r="D39" s="50">
        <v>12098</v>
      </c>
      <c r="E39" s="51" t="s">
        <v>80</v>
      </c>
      <c r="F39" s="480">
        <v>3523</v>
      </c>
      <c r="G39" s="481">
        <v>43160</v>
      </c>
      <c r="H39" s="480">
        <v>7</v>
      </c>
      <c r="I39" s="481">
        <f t="shared" si="12"/>
        <v>45292</v>
      </c>
      <c r="J39" s="481">
        <f t="shared" si="13"/>
        <v>45352</v>
      </c>
      <c r="K39" s="481">
        <f t="shared" si="14"/>
        <v>45717</v>
      </c>
      <c r="L39" s="477">
        <f t="shared" si="15"/>
        <v>10.199999999999999</v>
      </c>
      <c r="M39" s="481">
        <f t="shared" si="16"/>
        <v>45596</v>
      </c>
      <c r="N39" s="481">
        <f t="shared" si="17"/>
        <v>45657</v>
      </c>
      <c r="O39" s="481">
        <v>46022</v>
      </c>
    </row>
    <row r="40" spans="1:15" ht="14.25" customHeight="1" x14ac:dyDescent="0.2">
      <c r="A40" s="482">
        <v>9</v>
      </c>
      <c r="B40" s="483" t="s">
        <v>413</v>
      </c>
      <c r="C40" s="483" t="s">
        <v>490</v>
      </c>
      <c r="D40" s="482">
        <v>106794</v>
      </c>
      <c r="E40" s="483" t="s">
        <v>80</v>
      </c>
      <c r="F40" s="484">
        <v>3266</v>
      </c>
      <c r="G40" s="485">
        <v>43157</v>
      </c>
      <c r="H40" s="484">
        <v>7</v>
      </c>
      <c r="I40" s="485">
        <f t="shared" si="12"/>
        <v>45286</v>
      </c>
      <c r="J40" s="485">
        <f t="shared" si="13"/>
        <v>45348</v>
      </c>
      <c r="K40" s="485">
        <f t="shared" si="14"/>
        <v>45714</v>
      </c>
      <c r="L40" s="486">
        <f t="shared" si="15"/>
        <v>10.3</v>
      </c>
      <c r="M40" s="485">
        <f t="shared" si="16"/>
        <v>45596</v>
      </c>
      <c r="N40" s="485">
        <f t="shared" si="17"/>
        <v>45657</v>
      </c>
      <c r="O40" s="485">
        <v>46022</v>
      </c>
    </row>
    <row r="41" spans="1:15" ht="14.25" customHeight="1" x14ac:dyDescent="0.2">
      <c r="A41" s="50">
        <v>10</v>
      </c>
      <c r="B41" s="51" t="s">
        <v>413</v>
      </c>
      <c r="C41" s="492" t="s">
        <v>530</v>
      </c>
      <c r="D41" s="50">
        <v>7170</v>
      </c>
      <c r="E41" s="51" t="s">
        <v>80</v>
      </c>
      <c r="F41" s="480">
        <v>6107</v>
      </c>
      <c r="G41" s="481">
        <v>43199</v>
      </c>
      <c r="H41" s="480">
        <v>7</v>
      </c>
      <c r="I41" s="481">
        <f t="shared" si="12"/>
        <v>45331</v>
      </c>
      <c r="J41" s="481">
        <f t="shared" si="13"/>
        <v>45391</v>
      </c>
      <c r="K41" s="481">
        <f t="shared" si="14"/>
        <v>45756</v>
      </c>
      <c r="L41" s="477">
        <f t="shared" si="15"/>
        <v>8.9</v>
      </c>
      <c r="M41" s="481">
        <f t="shared" si="16"/>
        <v>45596</v>
      </c>
      <c r="N41" s="481">
        <f t="shared" si="17"/>
        <v>45657</v>
      </c>
      <c r="O41" s="481">
        <v>46022</v>
      </c>
    </row>
  </sheetData>
  <mergeCells count="7">
    <mergeCell ref="A13:O13"/>
    <mergeCell ref="A30:O30"/>
    <mergeCell ref="A5:B5"/>
    <mergeCell ref="D5:E5"/>
    <mergeCell ref="F5:H5"/>
    <mergeCell ref="I5:J5"/>
    <mergeCell ref="A7:O7"/>
  </mergeCells>
  <pageMargins left="0.70866141732283472" right="0.70866141732283472" top="0.74803149606299213" bottom="0.74803149606299213" header="0" footer="0"/>
  <pageSetup paperSize="14" scale="70"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J38"/>
  <sheetViews>
    <sheetView workbookViewId="0"/>
  </sheetViews>
  <sheetFormatPr baseColWidth="10" defaultColWidth="12.5703125" defaultRowHeight="15" customHeight="1" x14ac:dyDescent="0.2"/>
  <cols>
    <col min="1" max="1" width="4.42578125" customWidth="1"/>
    <col min="2" max="2" width="43.42578125" customWidth="1"/>
    <col min="3" max="3" width="51.85546875" customWidth="1"/>
    <col min="4" max="4" width="12.42578125" customWidth="1"/>
    <col min="5" max="5" width="18.7109375" customWidth="1"/>
    <col min="6" max="6" width="15.5703125" customWidth="1"/>
    <col min="7" max="7" width="12.140625" customWidth="1"/>
    <col min="8" max="8" width="24.140625" customWidth="1"/>
    <col min="9" max="9" width="25" customWidth="1"/>
    <col min="10" max="10" width="26.5703125" customWidth="1"/>
  </cols>
  <sheetData>
    <row r="1" spans="1:10" ht="12" customHeight="1" x14ac:dyDescent="0.2">
      <c r="A1" s="20" t="s">
        <v>988</v>
      </c>
      <c r="H1" s="20"/>
      <c r="J1" s="18"/>
    </row>
    <row r="2" spans="1:10" ht="12" customHeight="1" x14ac:dyDescent="0.2">
      <c r="A2" s="20" t="s">
        <v>1002</v>
      </c>
      <c r="H2" s="20"/>
      <c r="J2" s="18"/>
    </row>
    <row r="3" spans="1:10" ht="12" customHeight="1" x14ac:dyDescent="0.2">
      <c r="A3" s="20" t="s">
        <v>1027</v>
      </c>
      <c r="H3" s="20"/>
      <c r="J3" s="18"/>
    </row>
    <row r="4" spans="1:10" ht="12" customHeight="1" x14ac:dyDescent="0.2">
      <c r="H4" s="20"/>
      <c r="J4" s="18"/>
    </row>
    <row r="5" spans="1:10" ht="12" customHeight="1" x14ac:dyDescent="0.2">
      <c r="A5" s="48" t="s">
        <v>961</v>
      </c>
      <c r="B5" s="48" t="s">
        <v>19</v>
      </c>
      <c r="C5" s="48" t="s">
        <v>962</v>
      </c>
      <c r="D5" s="48" t="s">
        <v>23</v>
      </c>
      <c r="E5" s="48" t="s">
        <v>62</v>
      </c>
      <c r="F5" s="48" t="s">
        <v>963</v>
      </c>
      <c r="G5" s="48" t="s">
        <v>48</v>
      </c>
      <c r="H5" s="48" t="s">
        <v>1028</v>
      </c>
      <c r="I5" s="32" t="s">
        <v>1029</v>
      </c>
      <c r="J5" s="494" t="s">
        <v>1030</v>
      </c>
    </row>
    <row r="6" spans="1:10" ht="23.25" customHeight="1" x14ac:dyDescent="0.2">
      <c r="A6" s="495">
        <v>1</v>
      </c>
      <c r="B6" s="496" t="s">
        <v>255</v>
      </c>
      <c r="C6" s="496" t="s">
        <v>260</v>
      </c>
      <c r="D6" s="497">
        <v>5268</v>
      </c>
      <c r="E6" s="498">
        <v>7455</v>
      </c>
      <c r="F6" s="499">
        <v>44316</v>
      </c>
      <c r="G6" s="500">
        <v>4</v>
      </c>
      <c r="H6" s="499">
        <f t="shared" ref="H6:H14" si="0">EDATE(F6,6)</f>
        <v>44499</v>
      </c>
      <c r="I6" s="499">
        <v>45046</v>
      </c>
      <c r="J6" s="501"/>
    </row>
    <row r="7" spans="1:10" ht="23.25" customHeight="1" x14ac:dyDescent="0.2">
      <c r="A7" s="502">
        <v>2</v>
      </c>
      <c r="B7" s="503" t="s">
        <v>413</v>
      </c>
      <c r="C7" s="503" t="s">
        <v>438</v>
      </c>
      <c r="D7" s="504">
        <v>3048</v>
      </c>
      <c r="E7" s="505">
        <v>7456</v>
      </c>
      <c r="F7" s="506">
        <v>44316</v>
      </c>
      <c r="G7" s="502">
        <v>6</v>
      </c>
      <c r="H7" s="506">
        <f t="shared" si="0"/>
        <v>44499</v>
      </c>
      <c r="I7" s="506">
        <v>45412</v>
      </c>
      <c r="J7" s="507" t="s">
        <v>1031</v>
      </c>
    </row>
    <row r="8" spans="1:10" ht="41.25" customHeight="1" x14ac:dyDescent="0.2">
      <c r="A8" s="502">
        <v>3</v>
      </c>
      <c r="B8" s="503" t="s">
        <v>691</v>
      </c>
      <c r="C8" s="503" t="s">
        <v>738</v>
      </c>
      <c r="D8" s="504">
        <v>53918</v>
      </c>
      <c r="E8" s="505">
        <v>16771</v>
      </c>
      <c r="F8" s="506">
        <v>44447</v>
      </c>
      <c r="G8" s="502">
        <v>6</v>
      </c>
      <c r="H8" s="506">
        <f t="shared" si="0"/>
        <v>44628</v>
      </c>
      <c r="I8" s="506">
        <v>45543</v>
      </c>
      <c r="J8" s="508" t="s">
        <v>1032</v>
      </c>
    </row>
    <row r="9" spans="1:10" ht="34.5" customHeight="1" x14ac:dyDescent="0.2">
      <c r="A9" s="502">
        <v>4</v>
      </c>
      <c r="B9" s="503" t="s">
        <v>255</v>
      </c>
      <c r="C9" s="503" t="s">
        <v>968</v>
      </c>
      <c r="D9" s="504">
        <v>55202</v>
      </c>
      <c r="E9" s="505">
        <v>23018</v>
      </c>
      <c r="F9" s="506">
        <v>44530</v>
      </c>
      <c r="G9" s="502">
        <v>6</v>
      </c>
      <c r="H9" s="506">
        <f t="shared" si="0"/>
        <v>44711</v>
      </c>
      <c r="I9" s="506">
        <v>45626</v>
      </c>
      <c r="J9" s="508" t="s">
        <v>1033</v>
      </c>
    </row>
    <row r="10" spans="1:10" ht="32.25" customHeight="1" x14ac:dyDescent="0.2">
      <c r="A10" s="502">
        <v>5</v>
      </c>
      <c r="B10" s="503" t="s">
        <v>413</v>
      </c>
      <c r="C10" s="503" t="s">
        <v>465</v>
      </c>
      <c r="D10" s="504">
        <v>106545</v>
      </c>
      <c r="E10" s="505">
        <v>2311</v>
      </c>
      <c r="F10" s="506">
        <v>44621</v>
      </c>
      <c r="G10" s="502">
        <v>4</v>
      </c>
      <c r="H10" s="506">
        <f t="shared" si="0"/>
        <v>44805</v>
      </c>
      <c r="I10" s="506">
        <v>45352</v>
      </c>
      <c r="J10" s="508" t="s">
        <v>1034</v>
      </c>
    </row>
    <row r="11" spans="1:10" ht="23.25" customHeight="1" x14ac:dyDescent="0.2">
      <c r="A11" s="502">
        <v>6</v>
      </c>
      <c r="B11" s="503" t="s">
        <v>130</v>
      </c>
      <c r="C11" s="503" t="s">
        <v>966</v>
      </c>
      <c r="D11" s="504">
        <v>7171</v>
      </c>
      <c r="E11" s="505">
        <v>2305</v>
      </c>
      <c r="F11" s="506">
        <v>44621</v>
      </c>
      <c r="G11" s="502">
        <v>6</v>
      </c>
      <c r="H11" s="506">
        <f t="shared" si="0"/>
        <v>44805</v>
      </c>
      <c r="I11" s="506">
        <v>45717</v>
      </c>
      <c r="J11" s="507" t="s">
        <v>1035</v>
      </c>
    </row>
    <row r="12" spans="1:10" ht="23.25" customHeight="1" x14ac:dyDescent="0.2">
      <c r="A12" s="502">
        <v>7</v>
      </c>
      <c r="B12" s="503" t="s">
        <v>413</v>
      </c>
      <c r="C12" s="503" t="s">
        <v>474</v>
      </c>
      <c r="D12" s="504">
        <v>106651</v>
      </c>
      <c r="E12" s="505">
        <v>2312</v>
      </c>
      <c r="F12" s="506">
        <v>44621</v>
      </c>
      <c r="G12" s="502">
        <v>4</v>
      </c>
      <c r="H12" s="506">
        <f t="shared" si="0"/>
        <v>44805</v>
      </c>
      <c r="I12" s="506">
        <v>45352</v>
      </c>
      <c r="J12" s="508" t="s">
        <v>1036</v>
      </c>
    </row>
    <row r="13" spans="1:10" ht="23.25" customHeight="1" x14ac:dyDescent="0.2">
      <c r="A13" s="495">
        <v>8</v>
      </c>
      <c r="B13" s="496" t="s">
        <v>413</v>
      </c>
      <c r="C13" s="496" t="s">
        <v>482</v>
      </c>
      <c r="D13" s="497">
        <v>106574</v>
      </c>
      <c r="E13" s="498">
        <v>1109</v>
      </c>
      <c r="F13" s="499">
        <v>44960</v>
      </c>
      <c r="G13" s="500">
        <v>6</v>
      </c>
      <c r="H13" s="499">
        <f t="shared" si="0"/>
        <v>45141</v>
      </c>
      <c r="I13" s="499">
        <v>46056</v>
      </c>
      <c r="J13" s="501"/>
    </row>
    <row r="14" spans="1:10" ht="23.25" customHeight="1" x14ac:dyDescent="0.2">
      <c r="A14" s="495">
        <v>9</v>
      </c>
      <c r="B14" s="496" t="s">
        <v>413</v>
      </c>
      <c r="C14" s="496" t="s">
        <v>490</v>
      </c>
      <c r="D14" s="497">
        <v>106794</v>
      </c>
      <c r="E14" s="498">
        <v>1110</v>
      </c>
      <c r="F14" s="499">
        <v>44960</v>
      </c>
      <c r="G14" s="500">
        <v>6</v>
      </c>
      <c r="H14" s="499">
        <f t="shared" si="0"/>
        <v>45141</v>
      </c>
      <c r="I14" s="499">
        <v>46056</v>
      </c>
      <c r="J14" s="501"/>
    </row>
    <row r="15" spans="1:10" ht="23.25" customHeight="1" x14ac:dyDescent="0.2">
      <c r="A15" s="502">
        <v>10</v>
      </c>
      <c r="B15" s="503" t="s">
        <v>74</v>
      </c>
      <c r="C15" s="503" t="s">
        <v>101</v>
      </c>
      <c r="D15" s="504">
        <v>225</v>
      </c>
      <c r="E15" s="505">
        <v>1042</v>
      </c>
      <c r="F15" s="506">
        <v>44960</v>
      </c>
      <c r="G15" s="502">
        <v>6</v>
      </c>
      <c r="H15" s="506">
        <v>45200</v>
      </c>
      <c r="I15" s="506">
        <v>46056</v>
      </c>
      <c r="J15" s="507" t="s">
        <v>1037</v>
      </c>
    </row>
    <row r="16" spans="1:10" ht="23.25" customHeight="1" x14ac:dyDescent="0.2">
      <c r="A16" s="502">
        <v>11</v>
      </c>
      <c r="B16" s="503" t="s">
        <v>74</v>
      </c>
      <c r="C16" s="503" t="s">
        <v>109</v>
      </c>
      <c r="D16" s="504">
        <v>54801</v>
      </c>
      <c r="E16" s="505">
        <v>1037</v>
      </c>
      <c r="F16" s="506">
        <v>44960</v>
      </c>
      <c r="G16" s="502">
        <v>6</v>
      </c>
      <c r="H16" s="506">
        <v>45200</v>
      </c>
      <c r="I16" s="506">
        <v>46056</v>
      </c>
      <c r="J16" s="509" t="s">
        <v>1038</v>
      </c>
    </row>
    <row r="17" spans="1:10" ht="23.25" customHeight="1" x14ac:dyDescent="0.2">
      <c r="A17" s="495">
        <v>12</v>
      </c>
      <c r="B17" s="496" t="s">
        <v>333</v>
      </c>
      <c r="C17" s="496" t="s">
        <v>971</v>
      </c>
      <c r="D17" s="497">
        <v>106575</v>
      </c>
      <c r="E17" s="498">
        <v>6405</v>
      </c>
      <c r="F17" s="499">
        <v>45036</v>
      </c>
      <c r="G17" s="500">
        <v>4</v>
      </c>
      <c r="H17" s="499">
        <f>EDATE(F17,6)</f>
        <v>45219</v>
      </c>
      <c r="I17" s="499">
        <v>45767</v>
      </c>
      <c r="J17" s="501"/>
    </row>
    <row r="18" spans="1:10" ht="23.25" customHeight="1" x14ac:dyDescent="0.2">
      <c r="A18" s="495">
        <v>13</v>
      </c>
      <c r="B18" s="496" t="s">
        <v>74</v>
      </c>
      <c r="C18" s="496" t="s">
        <v>117</v>
      </c>
      <c r="D18" s="497">
        <v>4963</v>
      </c>
      <c r="E18" s="498">
        <v>6400</v>
      </c>
      <c r="F18" s="499">
        <v>45036</v>
      </c>
      <c r="G18" s="500">
        <v>6</v>
      </c>
      <c r="H18" s="499">
        <v>45200</v>
      </c>
      <c r="I18" s="499">
        <v>46132</v>
      </c>
      <c r="J18" s="507" t="s">
        <v>1039</v>
      </c>
    </row>
    <row r="19" spans="1:10" ht="23.25" customHeight="1" x14ac:dyDescent="0.2">
      <c r="A19" s="495">
        <v>14</v>
      </c>
      <c r="B19" s="496" t="s">
        <v>333</v>
      </c>
      <c r="C19" s="496" t="s">
        <v>381</v>
      </c>
      <c r="D19" s="497">
        <v>13062</v>
      </c>
      <c r="E19" s="498">
        <v>6404</v>
      </c>
      <c r="F19" s="499">
        <v>45036</v>
      </c>
      <c r="G19" s="500">
        <v>4</v>
      </c>
      <c r="H19" s="499">
        <f>EDATE(F19,6)</f>
        <v>45219</v>
      </c>
      <c r="I19" s="499">
        <v>45767</v>
      </c>
      <c r="J19" s="501"/>
    </row>
    <row r="20" spans="1:10" ht="23.25" customHeight="1" x14ac:dyDescent="0.2">
      <c r="A20" s="502">
        <v>15</v>
      </c>
      <c r="B20" s="503" t="s">
        <v>74</v>
      </c>
      <c r="C20" s="503" t="s">
        <v>126</v>
      </c>
      <c r="D20" s="504">
        <v>11067</v>
      </c>
      <c r="E20" s="505">
        <v>6402</v>
      </c>
      <c r="F20" s="506">
        <v>45036</v>
      </c>
      <c r="G20" s="502">
        <v>4</v>
      </c>
      <c r="H20" s="506">
        <v>45200</v>
      </c>
      <c r="I20" s="506">
        <v>45767</v>
      </c>
      <c r="J20" s="507" t="s">
        <v>1040</v>
      </c>
    </row>
    <row r="21" spans="1:10" ht="23.25" customHeight="1" x14ac:dyDescent="0.2">
      <c r="A21" s="495">
        <v>16</v>
      </c>
      <c r="B21" s="496" t="s">
        <v>413</v>
      </c>
      <c r="C21" s="496" t="s">
        <v>508</v>
      </c>
      <c r="D21" s="497">
        <v>4010</v>
      </c>
      <c r="E21" s="498">
        <v>7568</v>
      </c>
      <c r="F21" s="499">
        <v>45054</v>
      </c>
      <c r="G21" s="500">
        <v>4</v>
      </c>
      <c r="H21" s="499">
        <f t="shared" ref="H21:H38" si="1">EDATE(F21,6)</f>
        <v>45238</v>
      </c>
      <c r="I21" s="499">
        <v>45785</v>
      </c>
      <c r="J21" s="501"/>
    </row>
    <row r="22" spans="1:10" ht="23.25" customHeight="1" x14ac:dyDescent="0.2">
      <c r="A22" s="495">
        <v>17</v>
      </c>
      <c r="B22" s="496" t="s">
        <v>823</v>
      </c>
      <c r="C22" s="496" t="s">
        <v>237</v>
      </c>
      <c r="D22" s="497">
        <v>8441</v>
      </c>
      <c r="E22" s="498">
        <v>8576</v>
      </c>
      <c r="F22" s="499">
        <v>45071</v>
      </c>
      <c r="G22" s="500">
        <v>4</v>
      </c>
      <c r="H22" s="499">
        <f t="shared" si="1"/>
        <v>45255</v>
      </c>
      <c r="I22" s="499">
        <v>45802</v>
      </c>
      <c r="J22" s="501"/>
    </row>
    <row r="23" spans="1:10" ht="23.25" customHeight="1" x14ac:dyDescent="0.2">
      <c r="A23" s="495">
        <v>18</v>
      </c>
      <c r="B23" s="496" t="s">
        <v>609</v>
      </c>
      <c r="C23" s="496" t="s">
        <v>644</v>
      </c>
      <c r="D23" s="497">
        <v>236</v>
      </c>
      <c r="E23" s="498">
        <v>8598</v>
      </c>
      <c r="F23" s="499">
        <v>45071</v>
      </c>
      <c r="G23" s="500">
        <v>6</v>
      </c>
      <c r="H23" s="499">
        <f t="shared" si="1"/>
        <v>45255</v>
      </c>
      <c r="I23" s="499">
        <v>46167</v>
      </c>
      <c r="J23" s="501"/>
    </row>
    <row r="24" spans="1:10" ht="21" customHeight="1" x14ac:dyDescent="0.2">
      <c r="A24" s="495">
        <v>19</v>
      </c>
      <c r="B24" s="496" t="s">
        <v>74</v>
      </c>
      <c r="C24" s="496" t="s">
        <v>126</v>
      </c>
      <c r="D24" s="497">
        <v>11067</v>
      </c>
      <c r="E24" s="510">
        <v>6402</v>
      </c>
      <c r="F24" s="499">
        <v>45036</v>
      </c>
      <c r="G24" s="500">
        <v>4</v>
      </c>
      <c r="H24" s="499">
        <f t="shared" si="1"/>
        <v>45219</v>
      </c>
      <c r="I24" s="499">
        <v>45767</v>
      </c>
      <c r="J24" s="501"/>
    </row>
    <row r="25" spans="1:10" ht="18.75" customHeight="1" x14ac:dyDescent="0.2">
      <c r="A25" s="495">
        <v>20</v>
      </c>
      <c r="B25" s="496" t="s">
        <v>74</v>
      </c>
      <c r="C25" s="496" t="s">
        <v>117</v>
      </c>
      <c r="D25" s="497">
        <v>4963</v>
      </c>
      <c r="E25" s="510">
        <v>6400</v>
      </c>
      <c r="F25" s="499">
        <v>45036</v>
      </c>
      <c r="G25" s="500">
        <v>6</v>
      </c>
      <c r="H25" s="499">
        <f t="shared" si="1"/>
        <v>45219</v>
      </c>
      <c r="I25" s="499">
        <v>46132</v>
      </c>
      <c r="J25" s="501"/>
    </row>
    <row r="26" spans="1:10" ht="16.5" customHeight="1" x14ac:dyDescent="0.2">
      <c r="A26" s="495">
        <v>21</v>
      </c>
      <c r="B26" s="496" t="s">
        <v>333</v>
      </c>
      <c r="C26" s="496" t="s">
        <v>381</v>
      </c>
      <c r="D26" s="497">
        <v>13062</v>
      </c>
      <c r="E26" s="510">
        <v>6404</v>
      </c>
      <c r="F26" s="499">
        <v>45036</v>
      </c>
      <c r="G26" s="500">
        <v>4</v>
      </c>
      <c r="H26" s="499">
        <f t="shared" si="1"/>
        <v>45219</v>
      </c>
      <c r="I26" s="499">
        <v>45767</v>
      </c>
      <c r="J26" s="501"/>
    </row>
    <row r="27" spans="1:10" ht="16.5" customHeight="1" x14ac:dyDescent="0.2">
      <c r="A27" s="495">
        <v>22</v>
      </c>
      <c r="B27" s="496" t="s">
        <v>333</v>
      </c>
      <c r="C27" s="496" t="s">
        <v>971</v>
      </c>
      <c r="D27" s="497">
        <v>106575</v>
      </c>
      <c r="E27" s="510">
        <v>6405</v>
      </c>
      <c r="F27" s="499">
        <v>45036</v>
      </c>
      <c r="G27" s="500">
        <v>4</v>
      </c>
      <c r="H27" s="499">
        <f t="shared" si="1"/>
        <v>45219</v>
      </c>
      <c r="I27" s="499">
        <v>45767</v>
      </c>
      <c r="J27" s="501"/>
    </row>
    <row r="28" spans="1:10" ht="21" customHeight="1" x14ac:dyDescent="0.2">
      <c r="A28" s="502">
        <v>23</v>
      </c>
      <c r="B28" s="503" t="s">
        <v>333</v>
      </c>
      <c r="C28" s="503" t="s">
        <v>408</v>
      </c>
      <c r="D28" s="504">
        <v>232</v>
      </c>
      <c r="E28" s="511">
        <v>10048</v>
      </c>
      <c r="F28" s="506">
        <v>45100</v>
      </c>
      <c r="G28" s="502">
        <v>8</v>
      </c>
      <c r="H28" s="506">
        <f t="shared" si="1"/>
        <v>45283</v>
      </c>
      <c r="I28" s="506">
        <v>46561</v>
      </c>
      <c r="J28" s="507" t="s">
        <v>1041</v>
      </c>
    </row>
    <row r="29" spans="1:10" ht="15.75" customHeight="1" x14ac:dyDescent="0.2">
      <c r="A29" s="495">
        <v>24</v>
      </c>
      <c r="B29" s="496" t="s">
        <v>255</v>
      </c>
      <c r="C29" s="496" t="s">
        <v>310</v>
      </c>
      <c r="D29" s="497">
        <v>5269</v>
      </c>
      <c r="E29" s="510">
        <v>10687</v>
      </c>
      <c r="F29" s="499">
        <v>45112</v>
      </c>
      <c r="G29" s="500">
        <v>6</v>
      </c>
      <c r="H29" s="499">
        <f t="shared" si="1"/>
        <v>45296</v>
      </c>
      <c r="I29" s="499">
        <v>46117</v>
      </c>
      <c r="J29" s="501"/>
    </row>
    <row r="30" spans="1:10" ht="21.75" customHeight="1" x14ac:dyDescent="0.2">
      <c r="A30" s="502">
        <v>25</v>
      </c>
      <c r="B30" s="503" t="s">
        <v>255</v>
      </c>
      <c r="C30" s="503" t="s">
        <v>285</v>
      </c>
      <c r="D30" s="504">
        <v>230</v>
      </c>
      <c r="E30" s="512">
        <v>14238</v>
      </c>
      <c r="F30" s="506">
        <v>45161</v>
      </c>
      <c r="G30" s="502">
        <v>6</v>
      </c>
      <c r="H30" s="506">
        <f t="shared" si="1"/>
        <v>45345</v>
      </c>
      <c r="I30" s="506">
        <v>46257</v>
      </c>
      <c r="J30" s="507" t="s">
        <v>1042</v>
      </c>
    </row>
    <row r="31" spans="1:10" ht="16.5" customHeight="1" x14ac:dyDescent="0.2">
      <c r="A31" s="495">
        <v>26</v>
      </c>
      <c r="B31" s="496" t="s">
        <v>333</v>
      </c>
      <c r="C31" s="496" t="s">
        <v>392</v>
      </c>
      <c r="D31" s="497">
        <v>106604</v>
      </c>
      <c r="E31" s="509">
        <v>14237</v>
      </c>
      <c r="F31" s="499">
        <v>45161</v>
      </c>
      <c r="G31" s="500">
        <v>4</v>
      </c>
      <c r="H31" s="499">
        <f t="shared" si="1"/>
        <v>45345</v>
      </c>
      <c r="I31" s="499">
        <v>45892</v>
      </c>
      <c r="J31" s="501"/>
    </row>
    <row r="32" spans="1:10" ht="16.5" customHeight="1" x14ac:dyDescent="0.2">
      <c r="A32" s="495">
        <v>27</v>
      </c>
      <c r="B32" s="496" t="s">
        <v>413</v>
      </c>
      <c r="C32" s="496" t="s">
        <v>530</v>
      </c>
      <c r="D32" s="497">
        <v>7170</v>
      </c>
      <c r="E32" s="509">
        <v>16903</v>
      </c>
      <c r="F32" s="499">
        <v>45189</v>
      </c>
      <c r="G32" s="500">
        <v>6</v>
      </c>
      <c r="H32" s="499">
        <f t="shared" si="1"/>
        <v>45371</v>
      </c>
      <c r="I32" s="499">
        <v>46285</v>
      </c>
      <c r="J32" s="501"/>
    </row>
    <row r="33" spans="1:10" ht="15" customHeight="1" x14ac:dyDescent="0.2">
      <c r="A33" s="495">
        <v>28</v>
      </c>
      <c r="B33" s="496" t="s">
        <v>691</v>
      </c>
      <c r="C33" s="496" t="s">
        <v>758</v>
      </c>
      <c r="D33" s="497">
        <v>20075</v>
      </c>
      <c r="E33" s="510">
        <v>20075</v>
      </c>
      <c r="F33" s="499">
        <v>45230</v>
      </c>
      <c r="G33" s="500">
        <v>6</v>
      </c>
      <c r="H33" s="499">
        <f t="shared" si="1"/>
        <v>45412</v>
      </c>
      <c r="I33" s="499">
        <v>46326</v>
      </c>
      <c r="J33" s="501"/>
    </row>
    <row r="34" spans="1:10" ht="25.5" customHeight="1" x14ac:dyDescent="0.2">
      <c r="A34" s="495">
        <v>29</v>
      </c>
      <c r="B34" s="496" t="s">
        <v>691</v>
      </c>
      <c r="C34" s="496" t="s">
        <v>751</v>
      </c>
      <c r="D34" s="513">
        <v>55175</v>
      </c>
      <c r="E34" s="509">
        <v>20074</v>
      </c>
      <c r="F34" s="514">
        <v>45230</v>
      </c>
      <c r="G34" s="500">
        <v>4</v>
      </c>
      <c r="H34" s="499">
        <f t="shared" si="1"/>
        <v>45412</v>
      </c>
      <c r="I34" s="499">
        <v>45961</v>
      </c>
      <c r="J34" s="501"/>
    </row>
    <row r="35" spans="1:10" ht="25.5" customHeight="1" x14ac:dyDescent="0.2">
      <c r="A35" s="495">
        <v>30</v>
      </c>
      <c r="B35" s="496" t="s">
        <v>691</v>
      </c>
      <c r="C35" s="496" t="s">
        <v>764</v>
      </c>
      <c r="D35" s="513">
        <v>53505</v>
      </c>
      <c r="E35" s="509">
        <v>20747</v>
      </c>
      <c r="F35" s="515">
        <v>45232</v>
      </c>
      <c r="G35" s="500">
        <v>6</v>
      </c>
      <c r="H35" s="499">
        <f t="shared" si="1"/>
        <v>45414</v>
      </c>
      <c r="I35" s="499">
        <v>46328</v>
      </c>
      <c r="J35" s="501"/>
    </row>
    <row r="36" spans="1:10" ht="25.5" customHeight="1" x14ac:dyDescent="0.2">
      <c r="A36" s="495">
        <v>31</v>
      </c>
      <c r="B36" s="496" t="s">
        <v>413</v>
      </c>
      <c r="C36" s="496" t="s">
        <v>546</v>
      </c>
      <c r="D36" s="497">
        <v>256</v>
      </c>
      <c r="E36" s="510">
        <v>22249</v>
      </c>
      <c r="F36" s="499">
        <v>45253</v>
      </c>
      <c r="G36" s="500">
        <v>6</v>
      </c>
      <c r="H36" s="499">
        <f t="shared" si="1"/>
        <v>45435</v>
      </c>
      <c r="I36" s="499">
        <v>46349</v>
      </c>
      <c r="J36" s="501"/>
    </row>
    <row r="37" spans="1:10" ht="17.25" customHeight="1" x14ac:dyDescent="0.2">
      <c r="A37" s="495">
        <v>32</v>
      </c>
      <c r="B37" s="496" t="s">
        <v>413</v>
      </c>
      <c r="C37" s="496" t="s">
        <v>557</v>
      </c>
      <c r="D37" s="497">
        <v>53943</v>
      </c>
      <c r="E37" s="509">
        <v>1125</v>
      </c>
      <c r="F37" s="499">
        <v>45335</v>
      </c>
      <c r="G37" s="500">
        <v>6</v>
      </c>
      <c r="H37" s="499">
        <f t="shared" si="1"/>
        <v>45517</v>
      </c>
      <c r="I37" s="516">
        <v>46431</v>
      </c>
      <c r="J37" s="501"/>
    </row>
    <row r="38" spans="1:10" ht="18" customHeight="1" x14ac:dyDescent="0.2">
      <c r="A38" s="495">
        <v>33</v>
      </c>
      <c r="B38" s="496" t="s">
        <v>413</v>
      </c>
      <c r="C38" s="496" t="s">
        <v>562</v>
      </c>
      <c r="D38" s="497">
        <v>229</v>
      </c>
      <c r="E38" s="507">
        <v>2015</v>
      </c>
      <c r="F38" s="517">
        <v>45350</v>
      </c>
      <c r="G38" s="500">
        <v>6</v>
      </c>
      <c r="H38" s="499">
        <f t="shared" si="1"/>
        <v>45532</v>
      </c>
      <c r="I38" s="517">
        <v>46446</v>
      </c>
      <c r="J38" s="501"/>
    </row>
  </sheetData>
  <autoFilter ref="A5:I37" xr:uid="{00000000-0009-0000-0000-000009000000}"/>
  <hyperlinks>
    <hyperlink ref="E6" r:id="rId1" display="https://drive.google.com/file/d/1GRbzsdO9lhog-lnPy3jKj0X2QQFR6L0f/view?usp=sharing" xr:uid="{00000000-0004-0000-0900-000000000000}"/>
    <hyperlink ref="E7" r:id="rId2" display="https://drive.google.com/file/d/1nAY9NSDLD9gvfOKe0trAs4vqjtUiTFtD/view?usp=sharing" xr:uid="{00000000-0004-0000-0900-000001000000}"/>
    <hyperlink ref="J7" r:id="rId3" xr:uid="{00000000-0004-0000-0900-000002000000}"/>
    <hyperlink ref="E8" r:id="rId4" display="https://drive.google.com/file/d/1o8y6Ix-LyGsAmuz2Dup-TDfpKFyScewb/view?usp=sharing" xr:uid="{00000000-0004-0000-0900-000003000000}"/>
    <hyperlink ref="J8" r:id="rId5" xr:uid="{00000000-0004-0000-0900-000004000000}"/>
    <hyperlink ref="E9" r:id="rId6" display="https://drive.google.com/file/d/19bZ9A6HCxIYoZ3m-nS5607hmWuqrXOfP/view?usp=sharing" xr:uid="{00000000-0004-0000-0900-000005000000}"/>
    <hyperlink ref="J9" r:id="rId7" xr:uid="{00000000-0004-0000-0900-000006000000}"/>
    <hyperlink ref="E10" r:id="rId8" display="https://drive.google.com/file/d/18DITHOpJweXc6aYIx9Hw9sMSViCP3Tzb/view?usp=sharing" xr:uid="{00000000-0004-0000-0900-000007000000}"/>
    <hyperlink ref="J10" r:id="rId9" xr:uid="{00000000-0004-0000-0900-000008000000}"/>
    <hyperlink ref="E11" r:id="rId10" display="https://drive.google.com/file/d/1LF9bbuBujRrqyPtlOLUN4vACZZmn_zy_/view?usp=sharing" xr:uid="{00000000-0004-0000-0900-000009000000}"/>
    <hyperlink ref="J11" r:id="rId11" xr:uid="{00000000-0004-0000-0900-00000A000000}"/>
    <hyperlink ref="E12" r:id="rId12" display="https://drive.google.com/file/d/1Jml8eI81GXDeZxghbwEQcU3ZZrxUt_Jt/view?usp=sharing" xr:uid="{00000000-0004-0000-0900-00000B000000}"/>
    <hyperlink ref="J12" r:id="rId13" xr:uid="{00000000-0004-0000-0900-00000C000000}"/>
    <hyperlink ref="E13" r:id="rId14" display="https://drive.google.com/file/d/1Lb1yNAFIZufWegAFiX2Mreq1sawJEbZr/view?usp=sharing" xr:uid="{00000000-0004-0000-0900-00000D000000}"/>
    <hyperlink ref="E14" r:id="rId15" display="https://drive.google.com/file/d/1z1Ua7naD473_TmRhsGEFH6waFKKpjpbC/view?usp=sharing" xr:uid="{00000000-0004-0000-0900-00000E000000}"/>
    <hyperlink ref="E15" r:id="rId16" display="https://drive.google.com/file/d/1HGqETTNvErwubQXSMgmZ4T1gkDkKyvae/view?usp=sharing" xr:uid="{00000000-0004-0000-0900-00000F000000}"/>
    <hyperlink ref="J15" r:id="rId17" xr:uid="{00000000-0004-0000-0900-000010000000}"/>
    <hyperlink ref="E16" r:id="rId18" display="https://drive.google.com/file/d/1lYxyVEb34NuH_rJJy9O_qnvaoK1hP0-s/view?usp=sharing" xr:uid="{00000000-0004-0000-0900-000011000000}"/>
    <hyperlink ref="J16" r:id="rId19" xr:uid="{00000000-0004-0000-0900-000012000000}"/>
    <hyperlink ref="E17" r:id="rId20" display="https://drive.google.com/file/d/1waQ-eBp5piFNZv0KLybwXZ2MSlweqOdq/view?usp=sharing" xr:uid="{00000000-0004-0000-0900-000013000000}"/>
    <hyperlink ref="E18" r:id="rId21" display="https://drive.google.com/file/d/1nknSA9n3HdjaS1UC6zvQNO37zh_3p4Rk/view?usp=sharing" xr:uid="{00000000-0004-0000-0900-000014000000}"/>
    <hyperlink ref="J18" r:id="rId22" xr:uid="{00000000-0004-0000-0900-000015000000}"/>
    <hyperlink ref="E19" r:id="rId23" display="https://drive.google.com/file/d/1hjCDDa0-C4R3CNkm9cFFcAyNwJ9Geftu/view?usp=sharing" xr:uid="{00000000-0004-0000-0900-000016000000}"/>
    <hyperlink ref="E20" r:id="rId24" display="https://drive.google.com/file/d/1SC2uCVy7fF1PKcjtSUbKwWyjX95eAPPB/view?usp=sharing" xr:uid="{00000000-0004-0000-0900-000017000000}"/>
    <hyperlink ref="J20" r:id="rId25" xr:uid="{00000000-0004-0000-0900-000018000000}"/>
    <hyperlink ref="E21" r:id="rId26" display="https://drive.google.com/file/d/1oO1xdbPxRx5v3ceauPtBomtC8HhUXsfQ/view?usp=sharing" xr:uid="{00000000-0004-0000-0900-000019000000}"/>
    <hyperlink ref="E22" r:id="rId27" display="https://drive.google.com/file/d/10X8-RgH2VjMk6-n-jqpAy0JK7a9TjxSA/view?usp=sharing" xr:uid="{00000000-0004-0000-0900-00001A000000}"/>
    <hyperlink ref="E23" r:id="rId28" display="https://drive.google.com/file/d/1rHUhnF6p74C5ufkRZ_CYUw_PHrqJy_P_/view?usp=sharing" xr:uid="{00000000-0004-0000-0900-00001B000000}"/>
    <hyperlink ref="E24" r:id="rId29" display="https://drive.google.com/file/d/1SC2uCVy7fF1PKcjtSUbKwWyjX95eAPPB/view?usp=sharing" xr:uid="{00000000-0004-0000-0900-00001C000000}"/>
    <hyperlink ref="E25" r:id="rId30" display="https://drive.google.com/file/d/1nknSA9n3HdjaS1UC6zvQNO37zh_3p4Rk/view?usp=sharing" xr:uid="{00000000-0004-0000-0900-00001D000000}"/>
    <hyperlink ref="E26" r:id="rId31" display="https://drive.google.com/file/d/1hjCDDa0-C4R3CNkm9cFFcAyNwJ9Geftu/view?usp=sharing" xr:uid="{00000000-0004-0000-0900-00001E000000}"/>
    <hyperlink ref="E27" r:id="rId32" display="https://drive.google.com/file/d/1waQ-eBp5piFNZv0KLybwXZ2MSlweqOdq/view?usp=sharing" xr:uid="{00000000-0004-0000-0900-00001F000000}"/>
    <hyperlink ref="E28" r:id="rId33" display="https://drive.google.com/file/d/1mjE0K8WELFPu2eVioyasr4wOU1oDH0Gr/view?usp=sharing" xr:uid="{00000000-0004-0000-0900-000020000000}"/>
    <hyperlink ref="J28" r:id="rId34" xr:uid="{00000000-0004-0000-0900-000021000000}"/>
    <hyperlink ref="E29" r:id="rId35" display="https://drive.google.com/file/d/1L93Cyy1h1HzAOHYAy1UXOk_WQG8G0wIk/view?usp=sharing" xr:uid="{00000000-0004-0000-0900-000022000000}"/>
    <hyperlink ref="E30" r:id="rId36" display="https://drive.google.com/file/d/1jqfo9I4pJ51X-l-gueer0UWcI82jE5Pn/view?usp=drive_link" xr:uid="{00000000-0004-0000-0900-000023000000}"/>
    <hyperlink ref="J30" r:id="rId37" xr:uid="{00000000-0004-0000-0900-000024000000}"/>
    <hyperlink ref="E31" r:id="rId38" display="https://drive.google.com/file/d/1mKgqy6O0UDf9BaG6-MMjGHa_jAsu2X3g/view?usp=drive_link" xr:uid="{00000000-0004-0000-0900-000025000000}"/>
    <hyperlink ref="E32" r:id="rId39" display="https://drive.google.com/file/d/1uOdy1BQs6e1hfnMy-7ntEuEjvG6IgCU6/view?usp=drive_link" xr:uid="{00000000-0004-0000-0900-000026000000}"/>
    <hyperlink ref="E33" r:id="rId40" display="https://drive.google.com/file/d/1ccJBsJmM8uAXhSvUWbEo_VPOzeXJBGRU/view?usp=drive_link" xr:uid="{00000000-0004-0000-0900-000027000000}"/>
    <hyperlink ref="E34" r:id="rId41" display="https://drive.google.com/file/d/1O-Wlj618hY0e_sW-i24tYlbTEa4DBxws/view?usp=sharing" xr:uid="{00000000-0004-0000-0900-000028000000}"/>
    <hyperlink ref="E35" r:id="rId42" display="https://drive.google.com/file/d/1QXhf4jol7i5tPgFAjxQ69NQiTYN2UTyV/view?usp=drive_link" xr:uid="{00000000-0004-0000-0900-000029000000}"/>
    <hyperlink ref="E36" r:id="rId43" display="https://drive.google.com/file/d/16DmQloklE9C4TU6II-u9FzsxZuO3TON5/view?usp=drive_link" xr:uid="{00000000-0004-0000-0900-00002A000000}"/>
    <hyperlink ref="E37" r:id="rId44" display="https://drive.google.com/file/d/1ccJBsJmM8uAXhSvUWbEo_VPOzeXJBGRU/view?usp=sharing" xr:uid="{00000000-0004-0000-0900-00002B000000}"/>
    <hyperlink ref="E38" r:id="rId45" display="https://drive.google.com/file/d/1dnN0m2oPYjsH_GoMh6Hu3PZxtYL-76tN/view?usp=drive_link" xr:uid="{00000000-0004-0000-0900-00002C000000}"/>
  </hyperlinks>
  <pageMargins left="0.7" right="0.7" top="0.75" bottom="0.75" header="0" footer="0"/>
  <pageSetup fitToHeight="0"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N74"/>
  <sheetViews>
    <sheetView showGridLines="0" workbookViewId="0">
      <pane ySplit="6" topLeftCell="A7" activePane="bottomLeft" state="frozen"/>
      <selection pane="bottomLeft" activeCell="B8" sqref="B8"/>
    </sheetView>
  </sheetViews>
  <sheetFormatPr baseColWidth="10" defaultColWidth="12.5703125" defaultRowHeight="15" customHeight="1" x14ac:dyDescent="0.2"/>
  <cols>
    <col min="1" max="1" width="3.42578125" customWidth="1"/>
    <col min="2" max="2" width="25.7109375" customWidth="1"/>
    <col min="3" max="3" width="33.5703125" customWidth="1"/>
    <col min="4" max="4" width="15.28515625" customWidth="1"/>
    <col min="5" max="5" width="8.28515625" customWidth="1"/>
    <col min="6" max="6" width="11.28515625" customWidth="1"/>
    <col min="7" max="7" width="13.7109375" customWidth="1"/>
    <col min="8" max="9" width="8" customWidth="1"/>
    <col min="10" max="10" width="3" customWidth="1"/>
    <col min="11" max="11" width="45.28515625" customWidth="1"/>
    <col min="12" max="12" width="8" customWidth="1"/>
    <col min="13" max="13" width="8.42578125" customWidth="1"/>
    <col min="14" max="14" width="9.7109375" customWidth="1"/>
    <col min="15" max="15" width="9" customWidth="1"/>
    <col min="16" max="16" width="13.7109375" customWidth="1"/>
    <col min="17" max="17" width="13.42578125" customWidth="1"/>
    <col min="18" max="34" width="11.42578125" customWidth="1"/>
  </cols>
  <sheetData>
    <row r="1" spans="1:14" ht="13.5" customHeight="1" x14ac:dyDescent="0.2">
      <c r="A1" s="518"/>
      <c r="B1" s="13"/>
      <c r="C1" s="519"/>
      <c r="D1" s="329"/>
      <c r="E1" s="330"/>
      <c r="F1" s="520" t="s">
        <v>951</v>
      </c>
      <c r="G1" s="521" t="s">
        <v>1043</v>
      </c>
      <c r="H1" s="521" t="s">
        <v>1044</v>
      </c>
      <c r="I1" s="521" t="s">
        <v>1045</v>
      </c>
      <c r="J1" s="519"/>
      <c r="K1" s="519"/>
      <c r="L1" s="519"/>
      <c r="M1" s="519"/>
    </row>
    <row r="2" spans="1:14" ht="13.5" customHeight="1" x14ac:dyDescent="0.2">
      <c r="A2" s="518"/>
      <c r="B2" s="808" t="s">
        <v>0</v>
      </c>
      <c r="C2" s="758"/>
      <c r="D2" s="329"/>
      <c r="E2" s="522" t="s">
        <v>84</v>
      </c>
      <c r="F2" s="523">
        <f>L16</f>
        <v>44</v>
      </c>
      <c r="G2" s="524">
        <f>$F$2*25%</f>
        <v>11</v>
      </c>
      <c r="H2" s="524">
        <f t="shared" ref="H2:H3" si="0">+F2*0.4</f>
        <v>17.600000000000001</v>
      </c>
      <c r="I2" s="524">
        <f t="shared" ref="I2:I3" si="1">+F2*0.6</f>
        <v>26.4</v>
      </c>
      <c r="J2" s="22"/>
      <c r="K2" s="22"/>
      <c r="L2" s="22"/>
      <c r="M2" s="22"/>
    </row>
    <row r="3" spans="1:14" ht="13.5" customHeight="1" x14ac:dyDescent="0.2">
      <c r="A3" s="518"/>
      <c r="B3" s="808" t="s">
        <v>1046</v>
      </c>
      <c r="C3" s="758"/>
      <c r="D3" s="329"/>
      <c r="E3" s="522" t="s">
        <v>96</v>
      </c>
      <c r="F3" s="523">
        <f>M16</f>
        <v>24</v>
      </c>
      <c r="G3" s="524">
        <f>+F3*0.25</f>
        <v>6</v>
      </c>
      <c r="H3" s="524">
        <f t="shared" si="0"/>
        <v>9.6000000000000014</v>
      </c>
      <c r="I3" s="525">
        <f t="shared" si="1"/>
        <v>14.399999999999999</v>
      </c>
      <c r="J3" s="22"/>
      <c r="K3" s="22"/>
      <c r="L3" s="22"/>
      <c r="M3" s="22"/>
    </row>
    <row r="4" spans="1:14" ht="13.5" customHeight="1" x14ac:dyDescent="0.2">
      <c r="A4" s="518"/>
      <c r="B4" s="809" t="s">
        <v>1047</v>
      </c>
      <c r="C4" s="758"/>
      <c r="D4" s="329"/>
      <c r="E4" s="526" t="s">
        <v>807</v>
      </c>
      <c r="F4" s="527">
        <f>SUM($F$2:$F$3)</f>
        <v>68</v>
      </c>
      <c r="G4" s="528">
        <f>$F$4*25%</f>
        <v>17</v>
      </c>
      <c r="H4" s="528">
        <f>$F$4*40%</f>
        <v>27.200000000000003</v>
      </c>
      <c r="I4" s="528">
        <f>$F$4*60%</f>
        <v>40.799999999999997</v>
      </c>
      <c r="J4" s="22"/>
      <c r="K4" s="22"/>
      <c r="L4" s="22"/>
      <c r="M4" s="22"/>
    </row>
    <row r="5" spans="1:14" ht="13.5" customHeight="1" x14ac:dyDescent="0.2">
      <c r="A5" s="529"/>
      <c r="B5" s="13"/>
      <c r="C5" s="329"/>
      <c r="D5" s="329"/>
      <c r="E5" s="329"/>
      <c r="F5" s="329"/>
      <c r="G5" s="530"/>
      <c r="H5" s="530"/>
      <c r="I5" s="530"/>
      <c r="J5" s="329"/>
      <c r="K5" s="329"/>
      <c r="L5" s="329"/>
      <c r="M5" s="329"/>
    </row>
    <row r="6" spans="1:14" ht="25.5" customHeight="1" x14ac:dyDescent="0.2">
      <c r="A6" s="31" t="s">
        <v>17</v>
      </c>
      <c r="B6" s="31" t="s">
        <v>19</v>
      </c>
      <c r="C6" s="31" t="s">
        <v>1048</v>
      </c>
      <c r="D6" s="31" t="s">
        <v>34</v>
      </c>
      <c r="E6" s="31" t="s">
        <v>23</v>
      </c>
      <c r="F6" s="31" t="s">
        <v>59</v>
      </c>
      <c r="G6" s="31" t="s">
        <v>60</v>
      </c>
      <c r="H6" s="531"/>
      <c r="I6" s="531"/>
      <c r="J6" s="302" t="s">
        <v>17</v>
      </c>
      <c r="K6" s="302" t="s">
        <v>942</v>
      </c>
      <c r="L6" s="302" t="s">
        <v>84</v>
      </c>
      <c r="M6" s="302" t="s">
        <v>96</v>
      </c>
      <c r="N6" s="532" t="s">
        <v>950</v>
      </c>
    </row>
    <row r="7" spans="1:14" ht="13.5" customHeight="1" x14ac:dyDescent="0.2">
      <c r="A7" s="533">
        <v>1</v>
      </c>
      <c r="B7" s="534" t="s">
        <v>74</v>
      </c>
      <c r="C7" s="535" t="s">
        <v>75</v>
      </c>
      <c r="D7" s="535" t="s">
        <v>84</v>
      </c>
      <c r="E7" s="536">
        <v>224</v>
      </c>
      <c r="F7" s="536" t="s">
        <v>89</v>
      </c>
      <c r="G7" s="536"/>
      <c r="H7" s="329"/>
      <c r="I7" s="329"/>
      <c r="J7" s="304">
        <v>1</v>
      </c>
      <c r="K7" s="305" t="s">
        <v>74</v>
      </c>
      <c r="L7" s="306">
        <f>COUNTIF(D7:D11,"Pregrado")</f>
        <v>5</v>
      </c>
      <c r="M7" s="306">
        <f>COUNTIF(D7:D11,"posgrado")</f>
        <v>0</v>
      </c>
      <c r="N7" s="306">
        <v>4</v>
      </c>
    </row>
    <row r="8" spans="1:14" ht="13.5" customHeight="1" x14ac:dyDescent="0.2">
      <c r="A8" s="533">
        <v>2</v>
      </c>
      <c r="B8" s="537"/>
      <c r="C8" s="51" t="s">
        <v>1049</v>
      </c>
      <c r="D8" s="51" t="s">
        <v>84</v>
      </c>
      <c r="E8" s="72">
        <v>225</v>
      </c>
      <c r="F8" s="50" t="s">
        <v>89</v>
      </c>
      <c r="G8" s="50" t="s">
        <v>89</v>
      </c>
      <c r="H8" s="329"/>
      <c r="I8" s="329"/>
      <c r="J8" s="308">
        <v>2</v>
      </c>
      <c r="K8" s="115" t="s">
        <v>130</v>
      </c>
      <c r="L8" s="131">
        <f>COUNTIF(D12:D14,"Pregrado")</f>
        <v>3</v>
      </c>
      <c r="M8" s="131">
        <f>COUNTIF(D12:D14,"posgrado")</f>
        <v>0</v>
      </c>
      <c r="N8" s="131">
        <f>COUNTIF(G12:G14,"Si")</f>
        <v>2</v>
      </c>
    </row>
    <row r="9" spans="1:14" ht="13.5" customHeight="1" x14ac:dyDescent="0.2">
      <c r="A9" s="533">
        <v>3</v>
      </c>
      <c r="B9" s="537"/>
      <c r="C9" s="51" t="s">
        <v>1050</v>
      </c>
      <c r="D9" s="51" t="s">
        <v>84</v>
      </c>
      <c r="E9" s="50">
        <v>4963</v>
      </c>
      <c r="F9" s="50" t="s">
        <v>89</v>
      </c>
      <c r="G9" s="50" t="s">
        <v>179</v>
      </c>
      <c r="H9" s="329"/>
      <c r="I9" s="329"/>
      <c r="J9" s="310">
        <v>3</v>
      </c>
      <c r="K9" s="305" t="s">
        <v>823</v>
      </c>
      <c r="L9" s="306">
        <f>COUNTIF(D15:D19,"Pregrado")</f>
        <v>4</v>
      </c>
      <c r="M9" s="306">
        <f>COUNTIF(D15:D19,"posgrado")</f>
        <v>1</v>
      </c>
      <c r="N9" s="306">
        <f>COUNTIF(G15:G19,"si")</f>
        <v>3</v>
      </c>
    </row>
    <row r="10" spans="1:14" ht="13.5" customHeight="1" x14ac:dyDescent="0.2">
      <c r="A10" s="533">
        <v>4</v>
      </c>
      <c r="B10" s="537"/>
      <c r="C10" s="51" t="s">
        <v>1051</v>
      </c>
      <c r="D10" s="51" t="s">
        <v>84</v>
      </c>
      <c r="E10" s="50">
        <v>11067</v>
      </c>
      <c r="F10" s="50" t="s">
        <v>89</v>
      </c>
      <c r="G10" s="50" t="s">
        <v>538</v>
      </c>
      <c r="H10" s="329"/>
      <c r="I10" s="329"/>
      <c r="J10" s="316">
        <v>4</v>
      </c>
      <c r="K10" s="115" t="s">
        <v>255</v>
      </c>
      <c r="L10" s="131">
        <f>COUNTIF(D20:D29,"Pregrado")</f>
        <v>4</v>
      </c>
      <c r="M10" s="131">
        <f>COUNTIF(D20:D29,"posgrado")</f>
        <v>6</v>
      </c>
      <c r="N10" s="131">
        <v>4</v>
      </c>
    </row>
    <row r="11" spans="1:14" ht="13.5" customHeight="1" x14ac:dyDescent="0.2">
      <c r="A11" s="533">
        <v>5</v>
      </c>
      <c r="B11" s="538"/>
      <c r="C11" s="51" t="s">
        <v>110</v>
      </c>
      <c r="D11" s="51" t="s">
        <v>84</v>
      </c>
      <c r="E11" s="50">
        <v>54801</v>
      </c>
      <c r="F11" s="50" t="s">
        <v>89</v>
      </c>
      <c r="G11" s="50" t="s">
        <v>1052</v>
      </c>
      <c r="H11" s="329"/>
      <c r="I11" s="329"/>
      <c r="J11" s="314">
        <v>5</v>
      </c>
      <c r="K11" s="305" t="s">
        <v>333</v>
      </c>
      <c r="L11" s="306">
        <f>COUNTIF(D30:D39,"Pregrado")</f>
        <v>8</v>
      </c>
      <c r="M11" s="306">
        <f>COUNTIF(D30:D41,"posgrado")</f>
        <v>4</v>
      </c>
      <c r="N11" s="306">
        <v>4</v>
      </c>
    </row>
    <row r="12" spans="1:14" ht="28.5" customHeight="1" x14ac:dyDescent="0.2">
      <c r="A12" s="539">
        <v>6</v>
      </c>
      <c r="B12" s="207" t="s">
        <v>130</v>
      </c>
      <c r="C12" s="51" t="s">
        <v>131</v>
      </c>
      <c r="D12" s="51" t="s">
        <v>84</v>
      </c>
      <c r="E12" s="50">
        <v>3833</v>
      </c>
      <c r="F12" s="50" t="s">
        <v>89</v>
      </c>
      <c r="G12" s="50" t="s">
        <v>89</v>
      </c>
      <c r="H12" s="329"/>
      <c r="I12" s="329"/>
      <c r="J12" s="312">
        <v>6</v>
      </c>
      <c r="K12" s="115" t="s">
        <v>946</v>
      </c>
      <c r="L12" s="131">
        <f>COUNTIF(D42:D54,"Pregrado")</f>
        <v>9</v>
      </c>
      <c r="M12" s="131">
        <f>COUNTIF(D42:D57,"posgrado")</f>
        <v>7</v>
      </c>
      <c r="N12" s="131">
        <v>8</v>
      </c>
    </row>
    <row r="13" spans="1:14" ht="14.25" customHeight="1" x14ac:dyDescent="0.2">
      <c r="A13" s="539">
        <v>7</v>
      </c>
      <c r="B13" s="537"/>
      <c r="C13" s="51" t="s">
        <v>966</v>
      </c>
      <c r="D13" s="51" t="s">
        <v>84</v>
      </c>
      <c r="E13" s="50">
        <v>7171</v>
      </c>
      <c r="F13" s="50" t="s">
        <v>89</v>
      </c>
      <c r="G13" s="50" t="s">
        <v>89</v>
      </c>
      <c r="H13" s="84" t="s">
        <v>1053</v>
      </c>
      <c r="I13" s="84"/>
      <c r="J13" s="319">
        <v>7</v>
      </c>
      <c r="K13" s="305" t="s">
        <v>574</v>
      </c>
      <c r="L13" s="306">
        <f>COUNTIF(D58:D61,"Pregrado")</f>
        <v>4</v>
      </c>
      <c r="M13" s="306">
        <f>COUNTIF(D58:D60,"posgrado")</f>
        <v>0</v>
      </c>
      <c r="N13" s="306">
        <f>COUNTIF(G58:G60,"si")</f>
        <v>0</v>
      </c>
    </row>
    <row r="14" spans="1:14" ht="18" customHeight="1" x14ac:dyDescent="0.2">
      <c r="A14" s="539">
        <v>8</v>
      </c>
      <c r="B14" s="537"/>
      <c r="C14" s="51" t="s">
        <v>1054</v>
      </c>
      <c r="D14" s="51" t="s">
        <v>84</v>
      </c>
      <c r="E14" s="50">
        <v>9833</v>
      </c>
      <c r="F14" s="50" t="s">
        <v>89</v>
      </c>
      <c r="G14" s="50"/>
      <c r="H14" s="84"/>
      <c r="I14" s="84"/>
      <c r="J14" s="321">
        <v>8</v>
      </c>
      <c r="K14" s="115" t="s">
        <v>947</v>
      </c>
      <c r="L14" s="131">
        <f>COUNTIF(D62:D64,"Pregrado")</f>
        <v>3</v>
      </c>
      <c r="M14" s="131">
        <f>COUNTIF(D62:D64,"posgrado")</f>
        <v>0</v>
      </c>
      <c r="N14" s="131">
        <v>1</v>
      </c>
    </row>
    <row r="15" spans="1:14" ht="39.75" customHeight="1" x14ac:dyDescent="0.2">
      <c r="A15" s="540">
        <v>9</v>
      </c>
      <c r="B15" s="207" t="s">
        <v>182</v>
      </c>
      <c r="C15" s="51" t="s">
        <v>1055</v>
      </c>
      <c r="D15" s="51" t="s">
        <v>84</v>
      </c>
      <c r="E15" s="50">
        <v>234</v>
      </c>
      <c r="F15" s="50" t="s">
        <v>89</v>
      </c>
      <c r="G15" s="50" t="s">
        <v>89</v>
      </c>
      <c r="H15" s="84"/>
      <c r="I15" s="84"/>
      <c r="J15" s="323">
        <v>9</v>
      </c>
      <c r="K15" s="305" t="s">
        <v>948</v>
      </c>
      <c r="L15" s="306">
        <f>COUNTIF(D65:D74,"Pregrado")</f>
        <v>4</v>
      </c>
      <c r="M15" s="306">
        <f>COUNTIF(D65:D74,"posgrado")</f>
        <v>6</v>
      </c>
      <c r="N15" s="306">
        <f>COUNTIF(G65:G74,"si")</f>
        <v>9</v>
      </c>
    </row>
    <row r="16" spans="1:14" ht="12.75" customHeight="1" x14ac:dyDescent="0.2">
      <c r="A16" s="540">
        <v>10</v>
      </c>
      <c r="B16" s="537"/>
      <c r="C16" s="51" t="s">
        <v>183</v>
      </c>
      <c r="D16" s="51" t="s">
        <v>84</v>
      </c>
      <c r="E16" s="50">
        <v>235</v>
      </c>
      <c r="F16" s="50" t="s">
        <v>89</v>
      </c>
      <c r="G16" s="50" t="s">
        <v>89</v>
      </c>
      <c r="H16" s="84"/>
      <c r="I16" s="84"/>
      <c r="J16" s="84"/>
      <c r="K16" s="329"/>
      <c r="L16" s="302">
        <f t="shared" ref="L16:N16" si="2">SUM(L7:L15)</f>
        <v>44</v>
      </c>
      <c r="M16" s="302">
        <f t="shared" si="2"/>
        <v>24</v>
      </c>
      <c r="N16" s="302">
        <f t="shared" si="2"/>
        <v>35</v>
      </c>
    </row>
    <row r="17" spans="1:13" ht="13.5" customHeight="1" x14ac:dyDescent="0.2">
      <c r="A17" s="541">
        <v>11</v>
      </c>
      <c r="B17" s="537"/>
      <c r="C17" s="51" t="s">
        <v>1056</v>
      </c>
      <c r="D17" s="51" t="s">
        <v>84</v>
      </c>
      <c r="E17" s="50">
        <v>8441</v>
      </c>
      <c r="F17" s="50" t="s">
        <v>89</v>
      </c>
      <c r="G17" s="50" t="s">
        <v>89</v>
      </c>
      <c r="H17" s="84"/>
      <c r="I17" s="84"/>
      <c r="J17" s="84"/>
      <c r="K17" s="329"/>
      <c r="L17" s="810">
        <f>SUM(L16:M16)</f>
        <v>68</v>
      </c>
      <c r="M17" s="811"/>
    </row>
    <row r="18" spans="1:13" ht="13.5" customHeight="1" x14ac:dyDescent="0.2">
      <c r="A18" s="540">
        <v>12</v>
      </c>
      <c r="B18" s="537"/>
      <c r="C18" s="51" t="s">
        <v>250</v>
      </c>
      <c r="D18" s="51" t="s">
        <v>84</v>
      </c>
      <c r="E18" s="50">
        <v>18679</v>
      </c>
      <c r="F18" s="50" t="s">
        <v>89</v>
      </c>
      <c r="G18" s="50"/>
      <c r="H18" s="84" t="s">
        <v>1053</v>
      </c>
      <c r="I18" s="84"/>
      <c r="J18" s="84"/>
      <c r="K18" s="329"/>
      <c r="L18" s="329"/>
      <c r="M18" s="329"/>
    </row>
    <row r="19" spans="1:13" ht="26.25" customHeight="1" x14ac:dyDescent="0.2">
      <c r="A19" s="540">
        <v>13</v>
      </c>
      <c r="B19" s="538"/>
      <c r="C19" s="493" t="s">
        <v>1057</v>
      </c>
      <c r="D19" s="51" t="s">
        <v>96</v>
      </c>
      <c r="E19" s="50">
        <v>55045</v>
      </c>
      <c r="F19" s="50" t="s">
        <v>89</v>
      </c>
      <c r="G19" s="50"/>
      <c r="H19" s="84"/>
      <c r="I19" s="84"/>
      <c r="J19" s="84"/>
      <c r="K19" s="329"/>
      <c r="L19" s="329"/>
      <c r="M19" s="329"/>
    </row>
    <row r="20" spans="1:13" ht="13.5" customHeight="1" x14ac:dyDescent="0.2">
      <c r="A20" s="542">
        <v>14</v>
      </c>
      <c r="B20" s="207" t="s">
        <v>255</v>
      </c>
      <c r="C20" s="51" t="s">
        <v>285</v>
      </c>
      <c r="D20" s="51" t="s">
        <v>84</v>
      </c>
      <c r="E20" s="50">
        <v>230</v>
      </c>
      <c r="F20" s="50" t="s">
        <v>89</v>
      </c>
      <c r="G20" s="50" t="s">
        <v>538</v>
      </c>
      <c r="H20" s="84"/>
      <c r="I20" s="84"/>
      <c r="J20" s="84"/>
      <c r="K20" s="329"/>
      <c r="L20" s="329"/>
      <c r="M20" s="329"/>
    </row>
    <row r="21" spans="1:13" ht="13.5" customHeight="1" x14ac:dyDescent="0.2">
      <c r="A21" s="542">
        <v>15</v>
      </c>
      <c r="B21" s="537"/>
      <c r="C21" s="51" t="s">
        <v>260</v>
      </c>
      <c r="D21" s="51" t="s">
        <v>84</v>
      </c>
      <c r="E21" s="50">
        <v>5268</v>
      </c>
      <c r="F21" s="50" t="s">
        <v>89</v>
      </c>
      <c r="G21" s="50" t="s">
        <v>89</v>
      </c>
      <c r="H21" s="84"/>
      <c r="I21" s="84"/>
      <c r="J21" s="84"/>
      <c r="K21" s="329"/>
      <c r="L21" s="329"/>
      <c r="M21" s="329"/>
    </row>
    <row r="22" spans="1:13" ht="13.5" customHeight="1" x14ac:dyDescent="0.2">
      <c r="A22" s="542">
        <v>16</v>
      </c>
      <c r="B22" s="537"/>
      <c r="C22" s="51" t="s">
        <v>310</v>
      </c>
      <c r="D22" s="51" t="s">
        <v>84</v>
      </c>
      <c r="E22" s="50">
        <v>5269</v>
      </c>
      <c r="F22" s="50" t="s">
        <v>89</v>
      </c>
      <c r="G22" s="50" t="s">
        <v>89</v>
      </c>
      <c r="H22" s="84"/>
      <c r="I22" s="84"/>
      <c r="J22" s="84"/>
      <c r="K22" s="329"/>
      <c r="L22" s="329"/>
      <c r="M22" s="329"/>
    </row>
    <row r="23" spans="1:13" ht="13.5" customHeight="1" x14ac:dyDescent="0.2">
      <c r="A23" s="542">
        <v>17</v>
      </c>
      <c r="B23" s="537"/>
      <c r="C23" s="51" t="s">
        <v>968</v>
      </c>
      <c r="D23" s="51" t="s">
        <v>84</v>
      </c>
      <c r="E23" s="50">
        <v>55202</v>
      </c>
      <c r="F23" s="50" t="s">
        <v>89</v>
      </c>
      <c r="G23" s="50" t="s">
        <v>89</v>
      </c>
      <c r="H23" s="84"/>
      <c r="I23" s="84"/>
      <c r="J23" s="84"/>
      <c r="K23" s="329"/>
      <c r="L23" s="329"/>
      <c r="M23" s="329"/>
    </row>
    <row r="24" spans="1:13" ht="15.75" customHeight="1" x14ac:dyDescent="0.2">
      <c r="A24" s="542">
        <v>18</v>
      </c>
      <c r="B24" s="537"/>
      <c r="C24" s="493" t="s">
        <v>1058</v>
      </c>
      <c r="D24" s="51" t="s">
        <v>96</v>
      </c>
      <c r="E24" s="50">
        <v>239</v>
      </c>
      <c r="F24" s="50" t="s">
        <v>89</v>
      </c>
      <c r="G24" s="50"/>
      <c r="H24" s="84" t="s">
        <v>1053</v>
      </c>
      <c r="I24" s="84"/>
      <c r="J24" s="84"/>
      <c r="K24" s="329"/>
      <c r="L24" s="329"/>
      <c r="M24" s="329"/>
    </row>
    <row r="25" spans="1:13" ht="13.5" customHeight="1" x14ac:dyDescent="0.2">
      <c r="A25" s="542">
        <v>19</v>
      </c>
      <c r="B25" s="537"/>
      <c r="C25" s="493" t="s">
        <v>266</v>
      </c>
      <c r="D25" s="51" t="s">
        <v>96</v>
      </c>
      <c r="E25" s="50">
        <v>240</v>
      </c>
      <c r="F25" s="50" t="s">
        <v>89</v>
      </c>
      <c r="G25" s="50"/>
      <c r="H25" s="84"/>
      <c r="I25" s="84"/>
      <c r="J25" s="84"/>
      <c r="K25" s="329"/>
      <c r="L25" s="329"/>
      <c r="M25" s="329"/>
    </row>
    <row r="26" spans="1:13" ht="13.5" customHeight="1" x14ac:dyDescent="0.2">
      <c r="A26" s="542">
        <v>20</v>
      </c>
      <c r="B26" s="537"/>
      <c r="C26" s="493" t="s">
        <v>280</v>
      </c>
      <c r="D26" s="51" t="s">
        <v>96</v>
      </c>
      <c r="E26" s="50">
        <v>241</v>
      </c>
      <c r="F26" s="50" t="s">
        <v>89</v>
      </c>
      <c r="G26" s="50"/>
      <c r="H26" s="84"/>
      <c r="I26" s="84"/>
      <c r="J26" s="84"/>
      <c r="K26" s="329"/>
      <c r="L26" s="329"/>
      <c r="M26" s="329"/>
    </row>
    <row r="27" spans="1:13" ht="12.75" x14ac:dyDescent="0.2">
      <c r="A27" s="542">
        <v>21</v>
      </c>
      <c r="B27" s="537"/>
      <c r="C27" s="493" t="s">
        <v>275</v>
      </c>
      <c r="D27" s="51" t="s">
        <v>96</v>
      </c>
      <c r="E27" s="50">
        <v>242</v>
      </c>
      <c r="F27" s="50" t="s">
        <v>89</v>
      </c>
      <c r="G27" s="50"/>
      <c r="H27" s="84"/>
      <c r="I27" s="84"/>
      <c r="J27" s="84"/>
      <c r="K27" s="329"/>
      <c r="L27" s="329"/>
      <c r="M27" s="329"/>
    </row>
    <row r="28" spans="1:13" ht="13.5" customHeight="1" x14ac:dyDescent="0.2">
      <c r="A28" s="542">
        <v>22</v>
      </c>
      <c r="B28" s="537"/>
      <c r="C28" s="493" t="s">
        <v>296</v>
      </c>
      <c r="D28" s="51" t="s">
        <v>96</v>
      </c>
      <c r="E28" s="50">
        <v>243</v>
      </c>
      <c r="F28" s="50" t="s">
        <v>89</v>
      </c>
      <c r="G28" s="50"/>
      <c r="H28" s="84"/>
      <c r="I28" s="84"/>
      <c r="J28" s="84"/>
      <c r="K28" s="329"/>
      <c r="L28" s="329"/>
      <c r="M28" s="329"/>
    </row>
    <row r="29" spans="1:13" ht="13.5" customHeight="1" x14ac:dyDescent="0.2">
      <c r="A29" s="542">
        <v>23</v>
      </c>
      <c r="B29" s="537"/>
      <c r="C29" s="493" t="s">
        <v>271</v>
      </c>
      <c r="D29" s="51" t="s">
        <v>96</v>
      </c>
      <c r="E29" s="50">
        <v>244</v>
      </c>
      <c r="F29" s="50" t="s">
        <v>89</v>
      </c>
      <c r="G29" s="50"/>
      <c r="H29" s="84" t="s">
        <v>1053</v>
      </c>
      <c r="I29" s="84"/>
      <c r="J29" s="84"/>
      <c r="K29" s="329"/>
      <c r="L29" s="329"/>
      <c r="M29" s="329"/>
    </row>
    <row r="30" spans="1:13" ht="24" customHeight="1" x14ac:dyDescent="0.2">
      <c r="A30" s="543">
        <v>24</v>
      </c>
      <c r="B30" s="207" t="s">
        <v>333</v>
      </c>
      <c r="C30" s="51" t="s">
        <v>408</v>
      </c>
      <c r="D30" s="51" t="s">
        <v>84</v>
      </c>
      <c r="E30" s="50">
        <v>232</v>
      </c>
      <c r="F30" s="50" t="s">
        <v>89</v>
      </c>
      <c r="G30" s="50" t="s">
        <v>89</v>
      </c>
      <c r="H30" s="84"/>
      <c r="I30" s="84"/>
      <c r="J30" s="84"/>
      <c r="K30" s="329"/>
      <c r="L30" s="329"/>
      <c r="M30" s="329"/>
    </row>
    <row r="31" spans="1:13" ht="20.25" customHeight="1" x14ac:dyDescent="0.2">
      <c r="A31" s="543">
        <v>25</v>
      </c>
      <c r="B31" s="537"/>
      <c r="C31" s="493" t="s">
        <v>1059</v>
      </c>
      <c r="D31" s="51" t="s">
        <v>84</v>
      </c>
      <c r="E31" s="50">
        <v>4493</v>
      </c>
      <c r="F31" s="50" t="s">
        <v>89</v>
      </c>
      <c r="G31" s="50"/>
      <c r="H31" s="84"/>
      <c r="I31" s="84"/>
      <c r="J31" s="84"/>
      <c r="K31" s="329"/>
      <c r="L31" s="329"/>
      <c r="M31" s="329"/>
    </row>
    <row r="32" spans="1:13" ht="13.5" customHeight="1" x14ac:dyDescent="0.2">
      <c r="A32" s="543">
        <v>26</v>
      </c>
      <c r="B32" s="537"/>
      <c r="C32" s="493" t="s">
        <v>1060</v>
      </c>
      <c r="D32" s="51" t="s">
        <v>84</v>
      </c>
      <c r="E32" s="50">
        <v>11967</v>
      </c>
      <c r="F32" s="50" t="s">
        <v>89</v>
      </c>
      <c r="G32" s="50"/>
      <c r="H32" s="84"/>
      <c r="I32" s="84"/>
      <c r="J32" s="84"/>
      <c r="K32" s="329"/>
      <c r="L32" s="329"/>
      <c r="M32" s="329"/>
    </row>
    <row r="33" spans="1:8" ht="25.5" customHeight="1" x14ac:dyDescent="0.2">
      <c r="A33" s="543">
        <v>27</v>
      </c>
      <c r="B33" s="537"/>
      <c r="C33" s="51" t="s">
        <v>372</v>
      </c>
      <c r="D33" s="51" t="s">
        <v>84</v>
      </c>
      <c r="E33" s="50">
        <v>106575</v>
      </c>
      <c r="F33" s="50" t="s">
        <v>89</v>
      </c>
      <c r="G33" s="50" t="s">
        <v>89</v>
      </c>
    </row>
    <row r="34" spans="1:8" ht="21.75" customHeight="1" x14ac:dyDescent="0.2">
      <c r="A34" s="543">
        <v>28</v>
      </c>
      <c r="B34" s="537"/>
      <c r="C34" s="493" t="s">
        <v>1061</v>
      </c>
      <c r="D34" s="51" t="s">
        <v>84</v>
      </c>
      <c r="E34" s="50">
        <v>108963</v>
      </c>
      <c r="F34" s="50" t="s">
        <v>89</v>
      </c>
      <c r="G34" s="50"/>
    </row>
    <row r="35" spans="1:8" ht="13.5" customHeight="1" x14ac:dyDescent="0.2">
      <c r="A35" s="543">
        <v>29</v>
      </c>
      <c r="B35" s="537"/>
      <c r="C35" s="51" t="s">
        <v>381</v>
      </c>
      <c r="D35" s="51" t="s">
        <v>84</v>
      </c>
      <c r="E35" s="50">
        <v>13062</v>
      </c>
      <c r="F35" s="50" t="s">
        <v>89</v>
      </c>
      <c r="G35" s="50" t="s">
        <v>538</v>
      </c>
    </row>
    <row r="36" spans="1:8" ht="13.5" customHeight="1" x14ac:dyDescent="0.2">
      <c r="A36" s="543">
        <v>30</v>
      </c>
      <c r="B36" s="537"/>
      <c r="C36" s="493" t="s">
        <v>994</v>
      </c>
      <c r="D36" s="51" t="s">
        <v>84</v>
      </c>
      <c r="E36" s="50">
        <v>15440</v>
      </c>
      <c r="F36" s="50" t="s">
        <v>89</v>
      </c>
      <c r="G36" s="50"/>
      <c r="H36" s="537" t="s">
        <v>1053</v>
      </c>
    </row>
    <row r="37" spans="1:8" ht="30.75" customHeight="1" x14ac:dyDescent="0.2">
      <c r="A37" s="543">
        <v>31</v>
      </c>
      <c r="B37" s="537"/>
      <c r="C37" s="51" t="s">
        <v>392</v>
      </c>
      <c r="D37" s="51" t="s">
        <v>84</v>
      </c>
      <c r="E37" s="50">
        <v>106604</v>
      </c>
      <c r="F37" s="50" t="s">
        <v>89</v>
      </c>
      <c r="G37" s="50" t="s">
        <v>89</v>
      </c>
    </row>
    <row r="38" spans="1:8" ht="13.5" customHeight="1" x14ac:dyDescent="0.2">
      <c r="A38" s="543">
        <v>32</v>
      </c>
      <c r="B38" s="537"/>
      <c r="C38" s="493" t="s">
        <v>1014</v>
      </c>
      <c r="D38" s="51" t="s">
        <v>96</v>
      </c>
      <c r="E38" s="50">
        <v>90695</v>
      </c>
      <c r="F38" s="50" t="s">
        <v>89</v>
      </c>
      <c r="G38" s="50"/>
      <c r="H38" s="537" t="s">
        <v>1053</v>
      </c>
    </row>
    <row r="39" spans="1:8" ht="13.5" customHeight="1" x14ac:dyDescent="0.2">
      <c r="A39" s="543">
        <v>33</v>
      </c>
      <c r="B39" s="537"/>
      <c r="C39" s="493" t="s">
        <v>351</v>
      </c>
      <c r="D39" s="51" t="s">
        <v>96</v>
      </c>
      <c r="E39" s="50">
        <v>51767</v>
      </c>
      <c r="F39" s="50" t="s">
        <v>89</v>
      </c>
      <c r="G39" s="50"/>
    </row>
    <row r="40" spans="1:8" ht="14.25" customHeight="1" x14ac:dyDescent="0.2">
      <c r="A40" s="543">
        <v>34</v>
      </c>
      <c r="B40" s="537"/>
      <c r="C40" s="493" t="s">
        <v>357</v>
      </c>
      <c r="D40" s="51" t="s">
        <v>96</v>
      </c>
      <c r="E40" s="50">
        <v>54866</v>
      </c>
      <c r="F40" s="50" t="s">
        <v>89</v>
      </c>
      <c r="G40" s="50"/>
    </row>
    <row r="41" spans="1:8" ht="13.5" customHeight="1" x14ac:dyDescent="0.2">
      <c r="A41" s="543">
        <v>35</v>
      </c>
      <c r="B41" s="538"/>
      <c r="C41" s="493" t="s">
        <v>1017</v>
      </c>
      <c r="D41" s="51" t="s">
        <v>96</v>
      </c>
      <c r="E41" s="50">
        <v>90694</v>
      </c>
      <c r="F41" s="50" t="s">
        <v>89</v>
      </c>
      <c r="G41" s="50"/>
      <c r="H41" s="537" t="s">
        <v>1053</v>
      </c>
    </row>
    <row r="42" spans="1:8" ht="27.75" customHeight="1" x14ac:dyDescent="0.2">
      <c r="A42" s="544">
        <v>36</v>
      </c>
      <c r="B42" s="207" t="s">
        <v>413</v>
      </c>
      <c r="C42" s="493" t="s">
        <v>562</v>
      </c>
      <c r="D42" s="51" t="s">
        <v>84</v>
      </c>
      <c r="E42" s="50">
        <v>229</v>
      </c>
      <c r="F42" s="50" t="s">
        <v>89</v>
      </c>
      <c r="G42" s="50"/>
    </row>
    <row r="43" spans="1:8" ht="13.5" customHeight="1" x14ac:dyDescent="0.2">
      <c r="A43" s="544">
        <v>37</v>
      </c>
      <c r="B43" s="537"/>
      <c r="C43" s="51" t="s">
        <v>1018</v>
      </c>
      <c r="D43" s="51" t="s">
        <v>84</v>
      </c>
      <c r="E43" s="50">
        <v>2130</v>
      </c>
      <c r="F43" s="50" t="s">
        <v>89</v>
      </c>
      <c r="G43" s="50" t="s">
        <v>89</v>
      </c>
    </row>
    <row r="44" spans="1:8" ht="13.5" customHeight="1" x14ac:dyDescent="0.2">
      <c r="A44" s="544">
        <v>38</v>
      </c>
      <c r="B44" s="537"/>
      <c r="C44" s="51" t="s">
        <v>438</v>
      </c>
      <c r="D44" s="51" t="s">
        <v>84</v>
      </c>
      <c r="E44" s="50">
        <v>3048</v>
      </c>
      <c r="F44" s="50" t="s">
        <v>89</v>
      </c>
      <c r="G44" s="50" t="s">
        <v>89</v>
      </c>
    </row>
    <row r="45" spans="1:8" ht="13.5" customHeight="1" x14ac:dyDescent="0.2">
      <c r="A45" s="544">
        <v>39</v>
      </c>
      <c r="B45" s="537"/>
      <c r="C45" s="493" t="s">
        <v>1062</v>
      </c>
      <c r="D45" s="51" t="s">
        <v>84</v>
      </c>
      <c r="E45" s="50">
        <v>3636</v>
      </c>
      <c r="F45" s="50" t="s">
        <v>89</v>
      </c>
      <c r="G45" s="50"/>
    </row>
    <row r="46" spans="1:8" ht="13.5" customHeight="1" x14ac:dyDescent="0.2">
      <c r="A46" s="544">
        <v>40</v>
      </c>
      <c r="B46" s="537"/>
      <c r="C46" s="51" t="s">
        <v>1063</v>
      </c>
      <c r="D46" s="51" t="s">
        <v>84</v>
      </c>
      <c r="E46" s="50">
        <v>106574</v>
      </c>
      <c r="F46" s="50" t="s">
        <v>89</v>
      </c>
      <c r="G46" s="50" t="s">
        <v>89</v>
      </c>
    </row>
    <row r="47" spans="1:8" ht="35.25" customHeight="1" x14ac:dyDescent="0.2">
      <c r="A47" s="544">
        <v>41</v>
      </c>
      <c r="B47" s="537"/>
      <c r="C47" s="51" t="s">
        <v>1019</v>
      </c>
      <c r="D47" s="51" t="s">
        <v>84</v>
      </c>
      <c r="E47" s="50">
        <v>4010</v>
      </c>
      <c r="F47" s="50" t="s">
        <v>89</v>
      </c>
      <c r="G47" s="50" t="s">
        <v>89</v>
      </c>
    </row>
    <row r="48" spans="1:8" ht="25.5" x14ac:dyDescent="0.2">
      <c r="A48" s="544">
        <v>42</v>
      </c>
      <c r="B48" s="537"/>
      <c r="C48" s="51" t="s">
        <v>465</v>
      </c>
      <c r="D48" s="51" t="s">
        <v>84</v>
      </c>
      <c r="E48" s="50">
        <v>106545</v>
      </c>
      <c r="F48" s="50" t="s">
        <v>89</v>
      </c>
      <c r="G48" s="50" t="s">
        <v>89</v>
      </c>
    </row>
    <row r="49" spans="1:8" ht="12.75" x14ac:dyDescent="0.2">
      <c r="A49" s="544">
        <v>43</v>
      </c>
      <c r="B49" s="537"/>
      <c r="C49" s="51" t="s">
        <v>490</v>
      </c>
      <c r="D49" s="51" t="s">
        <v>84</v>
      </c>
      <c r="E49" s="50">
        <v>106794</v>
      </c>
      <c r="F49" s="50" t="s">
        <v>89</v>
      </c>
      <c r="G49" s="50" t="s">
        <v>89</v>
      </c>
    </row>
    <row r="50" spans="1:8" ht="13.5" customHeight="1" x14ac:dyDescent="0.2">
      <c r="A50" s="544">
        <v>44</v>
      </c>
      <c r="B50" s="537"/>
      <c r="C50" s="51" t="s">
        <v>474</v>
      </c>
      <c r="D50" s="51" t="s">
        <v>84</v>
      </c>
      <c r="E50" s="50">
        <v>106651</v>
      </c>
      <c r="F50" s="50" t="s">
        <v>89</v>
      </c>
      <c r="G50" s="50" t="s">
        <v>538</v>
      </c>
    </row>
    <row r="51" spans="1:8" ht="16.5" customHeight="1" x14ac:dyDescent="0.2">
      <c r="A51" s="544">
        <v>45</v>
      </c>
      <c r="B51" s="537"/>
      <c r="C51" s="493" t="s">
        <v>557</v>
      </c>
      <c r="D51" s="51" t="s">
        <v>96</v>
      </c>
      <c r="E51" s="50">
        <v>53943</v>
      </c>
      <c r="F51" s="50" t="s">
        <v>89</v>
      </c>
      <c r="G51" s="50" t="s">
        <v>89</v>
      </c>
      <c r="H51" s="537"/>
    </row>
    <row r="52" spans="1:8" ht="26.25" customHeight="1" x14ac:dyDescent="0.2">
      <c r="A52" s="544">
        <v>46</v>
      </c>
      <c r="B52" s="537"/>
      <c r="C52" s="493" t="s">
        <v>546</v>
      </c>
      <c r="D52" s="51" t="s">
        <v>96</v>
      </c>
      <c r="E52" s="50">
        <v>256</v>
      </c>
      <c r="F52" s="50" t="s">
        <v>89</v>
      </c>
      <c r="G52" s="50" t="s">
        <v>89</v>
      </c>
      <c r="H52" s="537" t="s">
        <v>1053</v>
      </c>
    </row>
    <row r="53" spans="1:8" ht="13.5" customHeight="1" x14ac:dyDescent="0.2">
      <c r="A53" s="544">
        <v>47</v>
      </c>
      <c r="B53" s="537"/>
      <c r="C53" s="493" t="s">
        <v>433</v>
      </c>
      <c r="D53" s="51" t="s">
        <v>96</v>
      </c>
      <c r="E53" s="50">
        <v>53791</v>
      </c>
      <c r="F53" s="50" t="s">
        <v>89</v>
      </c>
      <c r="G53" s="50"/>
      <c r="H53" s="537" t="s">
        <v>1053</v>
      </c>
    </row>
    <row r="54" spans="1:8" ht="12.75" x14ac:dyDescent="0.2">
      <c r="A54" s="544">
        <v>48</v>
      </c>
      <c r="B54" s="537"/>
      <c r="C54" s="493" t="s">
        <v>530</v>
      </c>
      <c r="D54" s="51" t="s">
        <v>96</v>
      </c>
      <c r="E54" s="50">
        <v>7172</v>
      </c>
      <c r="F54" s="50" t="s">
        <v>89</v>
      </c>
      <c r="G54" s="50" t="s">
        <v>538</v>
      </c>
    </row>
    <row r="55" spans="1:8" ht="13.5" customHeight="1" x14ac:dyDescent="0.2">
      <c r="A55" s="544">
        <v>49</v>
      </c>
      <c r="B55" s="537"/>
      <c r="C55" s="493" t="s">
        <v>525</v>
      </c>
      <c r="D55" s="51" t="s">
        <v>96</v>
      </c>
      <c r="E55" s="50">
        <v>90576</v>
      </c>
      <c r="F55" s="50" t="s">
        <v>89</v>
      </c>
      <c r="G55" s="50"/>
      <c r="H55" s="537" t="s">
        <v>1053</v>
      </c>
    </row>
    <row r="56" spans="1:8" ht="13.5" customHeight="1" x14ac:dyDescent="0.2">
      <c r="A56" s="544">
        <v>50</v>
      </c>
      <c r="B56" s="537"/>
      <c r="C56" s="493" t="s">
        <v>552</v>
      </c>
      <c r="D56" s="51" t="s">
        <v>96</v>
      </c>
      <c r="E56" s="50">
        <v>90909</v>
      </c>
      <c r="F56" s="50" t="s">
        <v>89</v>
      </c>
      <c r="G56" s="50"/>
      <c r="H56" s="545" t="s">
        <v>1053</v>
      </c>
    </row>
    <row r="57" spans="1:8" ht="13.5" customHeight="1" x14ac:dyDescent="0.2">
      <c r="A57" s="544">
        <v>51</v>
      </c>
      <c r="B57" s="538"/>
      <c r="C57" s="493" t="s">
        <v>446</v>
      </c>
      <c r="D57" s="51" t="s">
        <v>96</v>
      </c>
      <c r="E57" s="50">
        <v>53504</v>
      </c>
      <c r="F57" s="50" t="s">
        <v>89</v>
      </c>
      <c r="G57" s="50"/>
      <c r="H57" s="545" t="s">
        <v>1053</v>
      </c>
    </row>
    <row r="58" spans="1:8" ht="40.5" customHeight="1" x14ac:dyDescent="0.2">
      <c r="A58" s="546">
        <v>52</v>
      </c>
      <c r="B58" s="207" t="s">
        <v>574</v>
      </c>
      <c r="C58" s="493" t="s">
        <v>591</v>
      </c>
      <c r="D58" s="51" t="s">
        <v>84</v>
      </c>
      <c r="E58" s="50">
        <v>4080</v>
      </c>
      <c r="F58" s="50" t="s">
        <v>89</v>
      </c>
      <c r="G58" s="50"/>
    </row>
    <row r="59" spans="1:8" ht="13.5" customHeight="1" x14ac:dyDescent="0.2">
      <c r="A59" s="546">
        <v>53</v>
      </c>
      <c r="B59" s="537"/>
      <c r="C59" s="493" t="s">
        <v>1064</v>
      </c>
      <c r="D59" s="51" t="s">
        <v>84</v>
      </c>
      <c r="E59" s="50">
        <v>8170</v>
      </c>
      <c r="F59" s="50" t="s">
        <v>89</v>
      </c>
      <c r="G59" s="50"/>
    </row>
    <row r="60" spans="1:8" ht="13.5" customHeight="1" x14ac:dyDescent="0.2">
      <c r="A60" s="546">
        <v>54</v>
      </c>
      <c r="B60" s="537"/>
      <c r="C60" s="493" t="s">
        <v>1065</v>
      </c>
      <c r="D60" s="51" t="s">
        <v>84</v>
      </c>
      <c r="E60" s="50">
        <v>233</v>
      </c>
      <c r="F60" s="50" t="s">
        <v>89</v>
      </c>
      <c r="G60" s="50"/>
    </row>
    <row r="61" spans="1:8" ht="13.5" customHeight="1" x14ac:dyDescent="0.2">
      <c r="A61" s="546">
        <v>55</v>
      </c>
      <c r="B61" s="537"/>
      <c r="C61" s="493" t="s">
        <v>1066</v>
      </c>
      <c r="D61" s="51" t="s">
        <v>84</v>
      </c>
      <c r="E61" s="50">
        <v>102182</v>
      </c>
      <c r="F61" s="50" t="s">
        <v>89</v>
      </c>
      <c r="G61" s="50"/>
    </row>
    <row r="62" spans="1:8" ht="13.5" customHeight="1" x14ac:dyDescent="0.2">
      <c r="A62" s="547">
        <v>56</v>
      </c>
      <c r="B62" s="207" t="s">
        <v>609</v>
      </c>
      <c r="C62" s="493" t="s">
        <v>657</v>
      </c>
      <c r="D62" s="51" t="s">
        <v>84</v>
      </c>
      <c r="E62" s="50">
        <v>222</v>
      </c>
      <c r="F62" s="50" t="s">
        <v>89</v>
      </c>
      <c r="G62" s="50"/>
    </row>
    <row r="63" spans="1:8" ht="13.5" customHeight="1" x14ac:dyDescent="0.2">
      <c r="A63" s="547">
        <v>57</v>
      </c>
      <c r="B63" s="537"/>
      <c r="C63" s="51" t="s">
        <v>644</v>
      </c>
      <c r="D63" s="51" t="s">
        <v>84</v>
      </c>
      <c r="E63" s="50">
        <v>236</v>
      </c>
      <c r="F63" s="50" t="s">
        <v>89</v>
      </c>
      <c r="G63" s="50" t="s">
        <v>538</v>
      </c>
    </row>
    <row r="64" spans="1:8" ht="13.5" customHeight="1" x14ac:dyDescent="0.2">
      <c r="A64" s="547">
        <v>58</v>
      </c>
      <c r="B64" s="538"/>
      <c r="C64" s="493" t="s">
        <v>627</v>
      </c>
      <c r="D64" s="51" t="s">
        <v>84</v>
      </c>
      <c r="E64" s="50">
        <v>8704</v>
      </c>
      <c r="F64" s="50" t="s">
        <v>89</v>
      </c>
      <c r="G64" s="50"/>
    </row>
    <row r="65" spans="1:8" ht="36" customHeight="1" x14ac:dyDescent="0.2">
      <c r="A65" s="548">
        <v>59</v>
      </c>
      <c r="B65" s="207" t="s">
        <v>691</v>
      </c>
      <c r="C65" s="51" t="s">
        <v>720</v>
      </c>
      <c r="D65" s="51" t="s">
        <v>84</v>
      </c>
      <c r="E65" s="50">
        <v>223</v>
      </c>
      <c r="F65" s="50" t="s">
        <v>89</v>
      </c>
      <c r="G65" s="50" t="s">
        <v>89</v>
      </c>
    </row>
    <row r="66" spans="1:8" ht="15.75" customHeight="1" x14ac:dyDescent="0.2">
      <c r="A66" s="548">
        <v>60</v>
      </c>
      <c r="B66" s="537"/>
      <c r="C66" s="51" t="s">
        <v>702</v>
      </c>
      <c r="D66" s="51" t="s">
        <v>84</v>
      </c>
      <c r="E66" s="50">
        <v>238</v>
      </c>
      <c r="F66" s="50" t="s">
        <v>89</v>
      </c>
      <c r="G66" s="50" t="s">
        <v>89</v>
      </c>
    </row>
    <row r="67" spans="1:8" ht="12.75" x14ac:dyDescent="0.2">
      <c r="A67" s="548">
        <v>61</v>
      </c>
      <c r="B67" s="537"/>
      <c r="C67" s="51" t="s">
        <v>770</v>
      </c>
      <c r="D67" s="51" t="s">
        <v>84</v>
      </c>
      <c r="E67" s="50">
        <v>7519</v>
      </c>
      <c r="F67" s="50" t="s">
        <v>89</v>
      </c>
      <c r="G67" s="50" t="s">
        <v>89</v>
      </c>
    </row>
    <row r="68" spans="1:8" ht="25.5" customHeight="1" x14ac:dyDescent="0.2">
      <c r="A68" s="548">
        <v>62</v>
      </c>
      <c r="B68" s="537"/>
      <c r="C68" s="51" t="s">
        <v>727</v>
      </c>
      <c r="D68" s="51" t="s">
        <v>84</v>
      </c>
      <c r="E68" s="50">
        <v>7520</v>
      </c>
      <c r="F68" s="50" t="s">
        <v>89</v>
      </c>
      <c r="G68" s="50" t="s">
        <v>89</v>
      </c>
    </row>
    <row r="69" spans="1:8" ht="24" customHeight="1" x14ac:dyDescent="0.2">
      <c r="A69" s="548">
        <v>63</v>
      </c>
      <c r="B69" s="537"/>
      <c r="C69" s="549" t="s">
        <v>733</v>
      </c>
      <c r="D69" s="51" t="s">
        <v>96</v>
      </c>
      <c r="E69" s="50">
        <v>252</v>
      </c>
      <c r="F69" s="50" t="s">
        <v>89</v>
      </c>
      <c r="G69" s="50"/>
      <c r="H69" s="537" t="s">
        <v>1053</v>
      </c>
    </row>
    <row r="70" spans="1:8" ht="13.5" customHeight="1" x14ac:dyDescent="0.2">
      <c r="A70" s="548">
        <v>64</v>
      </c>
      <c r="B70" s="537"/>
      <c r="C70" s="550" t="s">
        <v>764</v>
      </c>
      <c r="D70" s="51" t="s">
        <v>96</v>
      </c>
      <c r="E70" s="50">
        <v>53505</v>
      </c>
      <c r="F70" s="50" t="s">
        <v>89</v>
      </c>
      <c r="G70" s="50" t="s">
        <v>89</v>
      </c>
    </row>
    <row r="71" spans="1:8" ht="13.5" customHeight="1" x14ac:dyDescent="0.2">
      <c r="A71" s="548">
        <v>65</v>
      </c>
      <c r="B71" s="537"/>
      <c r="C71" s="550" t="s">
        <v>738</v>
      </c>
      <c r="D71" s="51" t="s">
        <v>96</v>
      </c>
      <c r="E71" s="50">
        <v>53918</v>
      </c>
      <c r="F71" s="50" t="s">
        <v>89</v>
      </c>
      <c r="G71" s="50" t="s">
        <v>89</v>
      </c>
    </row>
    <row r="72" spans="1:8" ht="25.5" customHeight="1" x14ac:dyDescent="0.2">
      <c r="A72" s="548">
        <v>66</v>
      </c>
      <c r="B72" s="537"/>
      <c r="C72" s="550" t="s">
        <v>758</v>
      </c>
      <c r="D72" s="51" t="s">
        <v>96</v>
      </c>
      <c r="E72" s="50">
        <v>54103</v>
      </c>
      <c r="F72" s="50" t="s">
        <v>89</v>
      </c>
      <c r="G72" s="50" t="s">
        <v>89</v>
      </c>
    </row>
    <row r="73" spans="1:8" ht="13.5" customHeight="1" x14ac:dyDescent="0.2">
      <c r="A73" s="548">
        <v>67</v>
      </c>
      <c r="B73" s="537"/>
      <c r="C73" s="550" t="s">
        <v>751</v>
      </c>
      <c r="D73" s="51" t="s">
        <v>96</v>
      </c>
      <c r="E73" s="50">
        <v>55175</v>
      </c>
      <c r="F73" s="50" t="s">
        <v>89</v>
      </c>
      <c r="G73" s="50" t="s">
        <v>89</v>
      </c>
    </row>
    <row r="74" spans="1:8" ht="13.5" customHeight="1" x14ac:dyDescent="0.2">
      <c r="A74" s="548">
        <v>68</v>
      </c>
      <c r="B74" s="538"/>
      <c r="C74" s="550" t="s">
        <v>710</v>
      </c>
      <c r="D74" s="51" t="s">
        <v>96</v>
      </c>
      <c r="E74" s="50">
        <v>90930</v>
      </c>
      <c r="F74" s="50" t="s">
        <v>89</v>
      </c>
      <c r="G74" s="50" t="s">
        <v>89</v>
      </c>
    </row>
  </sheetData>
  <autoFilter ref="A6:G74" xr:uid="{00000000-0009-0000-0000-00000A000000}">
    <sortState xmlns:xlrd2="http://schemas.microsoft.com/office/spreadsheetml/2017/richdata2" ref="A6:G74">
      <sortCondition ref="A6:A74"/>
    </sortState>
  </autoFilter>
  <mergeCells count="4">
    <mergeCell ref="B2:C2"/>
    <mergeCell ref="B3:C3"/>
    <mergeCell ref="B4:C4"/>
    <mergeCell ref="L17:M17"/>
  </mergeCells>
  <dataValidations count="1">
    <dataValidation type="list" allowBlank="1" showErrorMessage="1" sqref="D7:D74" xr:uid="{00000000-0002-0000-0A00-000000000000}">
      <formula1>NivelPrePos</formula1>
    </dataValidation>
  </dataValidations>
  <pageMargins left="0.7" right="0.7" top="0.75" bottom="0.75" header="0" footer="0"/>
  <pageSetup orientation="landscape"/>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C1:O90"/>
  <sheetViews>
    <sheetView workbookViewId="0"/>
  </sheetViews>
  <sheetFormatPr baseColWidth="10" defaultColWidth="12.5703125" defaultRowHeight="15" customHeight="1" x14ac:dyDescent="0.2"/>
  <cols>
    <col min="1" max="3" width="10.5703125" customWidth="1"/>
    <col min="4" max="4" width="23.42578125" customWidth="1"/>
    <col min="5" max="5" width="47.5703125" customWidth="1"/>
    <col min="6" max="6" width="19.5703125" customWidth="1"/>
    <col min="7" max="8" width="27.140625" customWidth="1"/>
    <col min="9" max="9" width="21.5703125" customWidth="1"/>
    <col min="10" max="10" width="10.42578125" customWidth="1"/>
    <col min="11" max="11" width="21.28515625" customWidth="1"/>
    <col min="12" max="12" width="24.140625" customWidth="1"/>
    <col min="13" max="26" width="10.5703125" customWidth="1"/>
  </cols>
  <sheetData>
    <row r="1" spans="3:15" ht="12.75" customHeight="1" x14ac:dyDescent="0.2">
      <c r="C1" s="812"/>
      <c r="D1" s="551"/>
      <c r="E1" s="552"/>
      <c r="F1" s="552"/>
      <c r="G1" s="553"/>
      <c r="H1" s="553"/>
      <c r="I1" s="814"/>
    </row>
    <row r="2" spans="3:15" ht="12.75" customHeight="1" x14ac:dyDescent="0.2">
      <c r="C2" s="813"/>
      <c r="D2" s="554"/>
      <c r="E2" s="555" t="s">
        <v>0</v>
      </c>
      <c r="F2" s="552"/>
      <c r="G2" s="553"/>
      <c r="H2" s="553"/>
      <c r="I2" s="815"/>
      <c r="L2" s="520" t="s">
        <v>951</v>
      </c>
      <c r="M2" s="521" t="s">
        <v>1043</v>
      </c>
      <c r="N2" s="521" t="s">
        <v>1044</v>
      </c>
      <c r="O2" s="521" t="s">
        <v>1045</v>
      </c>
    </row>
    <row r="3" spans="3:15" ht="12.75" customHeight="1" x14ac:dyDescent="0.2">
      <c r="C3" s="813"/>
      <c r="D3" s="554"/>
      <c r="E3" s="555" t="s">
        <v>1067</v>
      </c>
      <c r="F3" s="552"/>
      <c r="G3" s="553"/>
      <c r="H3" s="553"/>
      <c r="I3" s="815"/>
      <c r="K3" s="556" t="s">
        <v>84</v>
      </c>
      <c r="L3" s="523">
        <f>COUNTIF(H7:H90,"pregrado")</f>
        <v>39</v>
      </c>
      <c r="M3" s="524">
        <f t="shared" ref="M3:M4" si="0">L3*25%</f>
        <v>9.75</v>
      </c>
      <c r="N3" s="524">
        <f t="shared" ref="N3:N4" si="1">+L3*0.4</f>
        <v>15.600000000000001</v>
      </c>
      <c r="O3" s="524">
        <f t="shared" ref="O3:O4" si="2">+L3*0.6</f>
        <v>23.4</v>
      </c>
    </row>
    <row r="4" spans="3:15" ht="12.75" customHeight="1" x14ac:dyDescent="0.2">
      <c r="C4" s="813"/>
      <c r="D4" s="554"/>
      <c r="E4" s="557" t="s">
        <v>1068</v>
      </c>
      <c r="F4" s="552"/>
      <c r="G4" s="553"/>
      <c r="H4" s="553"/>
      <c r="I4" s="815"/>
      <c r="K4" s="556" t="s">
        <v>96</v>
      </c>
      <c r="L4" s="523">
        <f>COUNTIF(H7:H90,"posgrado")</f>
        <v>41</v>
      </c>
      <c r="M4" s="524">
        <f t="shared" si="0"/>
        <v>10.25</v>
      </c>
      <c r="N4" s="524">
        <f t="shared" si="1"/>
        <v>16.400000000000002</v>
      </c>
      <c r="O4" s="525">
        <f t="shared" si="2"/>
        <v>24.599999999999998</v>
      </c>
    </row>
    <row r="5" spans="3:15" ht="12.75" customHeight="1" x14ac:dyDescent="0.2">
      <c r="K5" s="558" t="s">
        <v>807</v>
      </c>
      <c r="L5" s="527">
        <f>+C90</f>
        <v>83</v>
      </c>
      <c r="M5" s="528">
        <f t="shared" ref="M5:O5" si="3">SUM(M3:M4)</f>
        <v>20</v>
      </c>
      <c r="N5" s="528">
        <f t="shared" si="3"/>
        <v>32</v>
      </c>
      <c r="O5" s="528">
        <f t="shared" si="3"/>
        <v>48</v>
      </c>
    </row>
    <row r="6" spans="3:15" ht="26.25" customHeight="1" x14ac:dyDescent="0.2">
      <c r="C6" s="816" t="s">
        <v>1069</v>
      </c>
      <c r="D6" s="791"/>
      <c r="E6" s="791"/>
      <c r="F6" s="791"/>
      <c r="G6" s="791"/>
      <c r="H6" s="791"/>
      <c r="I6" s="792"/>
    </row>
    <row r="7" spans="3:15" ht="12.75" customHeight="1" x14ac:dyDescent="0.2">
      <c r="C7" s="494" t="s">
        <v>961</v>
      </c>
      <c r="D7" s="494" t="s">
        <v>19</v>
      </c>
      <c r="E7" s="494" t="s">
        <v>962</v>
      </c>
      <c r="F7" s="494" t="s">
        <v>23</v>
      </c>
      <c r="G7" s="559" t="s">
        <v>30</v>
      </c>
      <c r="H7" s="559" t="s">
        <v>1070</v>
      </c>
      <c r="I7" s="559" t="s">
        <v>1071</v>
      </c>
    </row>
    <row r="8" spans="3:15" ht="12.75" customHeight="1" x14ac:dyDescent="0.2">
      <c r="C8" s="560">
        <v>1</v>
      </c>
      <c r="D8" s="500" t="s">
        <v>74</v>
      </c>
      <c r="E8" s="500" t="s">
        <v>75</v>
      </c>
      <c r="F8" s="500">
        <v>224</v>
      </c>
      <c r="G8" s="500" t="str">
        <f t="array" ref="G8">INDEX(Consolidado!N:N,MATCH(F8,Consolidado!G:G,0))</f>
        <v>Popayán</v>
      </c>
      <c r="H8" s="500" t="str">
        <f t="array" ref="H8">INDEX(Consolidado!R:R,MATCH(F8,Consolidado!G:G,0))</f>
        <v>Pregrado</v>
      </c>
      <c r="I8" s="561" t="s">
        <v>1072</v>
      </c>
      <c r="L8" s="562" t="s">
        <v>1073</v>
      </c>
    </row>
    <row r="9" spans="3:15" ht="12.75" customHeight="1" x14ac:dyDescent="0.2">
      <c r="C9" s="560">
        <v>2</v>
      </c>
      <c r="D9" s="500" t="s">
        <v>74</v>
      </c>
      <c r="E9" s="500" t="s">
        <v>126</v>
      </c>
      <c r="F9" s="500">
        <v>11067</v>
      </c>
      <c r="G9" s="500" t="str">
        <f t="array" ref="G9">INDEX(Consolidado!N:N,MATCH(F9,Consolidado!G:G,0))</f>
        <v>Popayán</v>
      </c>
      <c r="H9" s="500" t="str">
        <f t="array" ref="H9">INDEX(Consolidado!R:R,MATCH(F9,Consolidado!G:G,0))</f>
        <v>Pregrado</v>
      </c>
      <c r="I9" s="561" t="s">
        <v>1074</v>
      </c>
      <c r="L9" s="563" t="s">
        <v>1075</v>
      </c>
    </row>
    <row r="10" spans="3:15" ht="12.75" customHeight="1" x14ac:dyDescent="0.2">
      <c r="C10" s="560">
        <v>3</v>
      </c>
      <c r="D10" s="500" t="s">
        <v>74</v>
      </c>
      <c r="E10" s="500" t="s">
        <v>117</v>
      </c>
      <c r="F10" s="500">
        <v>4963</v>
      </c>
      <c r="G10" s="500" t="str">
        <f t="array" ref="G10">INDEX(Consolidado!N:N,MATCH(F10,Consolidado!G:G,0))</f>
        <v>Popayán</v>
      </c>
      <c r="H10" s="500" t="str">
        <f t="array" ref="H10">INDEX(Consolidado!R:R,MATCH(F10,Consolidado!G:G,0))</f>
        <v>Pregrado</v>
      </c>
      <c r="I10" s="561" t="s">
        <v>1076</v>
      </c>
      <c r="L10" s="564" t="s">
        <v>1074</v>
      </c>
    </row>
    <row r="11" spans="3:15" ht="12.75" customHeight="1" x14ac:dyDescent="0.2">
      <c r="C11" s="560">
        <v>4</v>
      </c>
      <c r="D11" s="500" t="s">
        <v>74</v>
      </c>
      <c r="E11" s="500" t="s">
        <v>101</v>
      </c>
      <c r="F11" s="565">
        <v>225</v>
      </c>
      <c r="G11" s="500" t="str">
        <f t="array" ref="G11">INDEX(Consolidado!N:N,MATCH(F11,Consolidado!G:G,0))</f>
        <v>Popayán</v>
      </c>
      <c r="H11" s="500" t="str">
        <f t="array" ref="H11">INDEX(Consolidado!R:R,MATCH(F11,Consolidado!G:G,0))</f>
        <v>Pregrado</v>
      </c>
      <c r="I11" s="561" t="s">
        <v>1076</v>
      </c>
      <c r="L11" s="566" t="s">
        <v>1072</v>
      </c>
    </row>
    <row r="12" spans="3:15" ht="12.75" customHeight="1" x14ac:dyDescent="0.2">
      <c r="C12" s="560">
        <v>5</v>
      </c>
      <c r="D12" s="500" t="s">
        <v>74</v>
      </c>
      <c r="E12" s="500" t="s">
        <v>90</v>
      </c>
      <c r="F12" s="500">
        <v>104526</v>
      </c>
      <c r="G12" s="500" t="str">
        <f t="array" ref="G12">INDEX(Consolidado!N:N,MATCH(F12,Consolidado!G:G,0))</f>
        <v>Popayán</v>
      </c>
      <c r="H12" s="500" t="str">
        <f t="array" ref="H12">INDEX(Consolidado!R:R,MATCH(F12,Consolidado!G:G,0))</f>
        <v>Posgrado</v>
      </c>
      <c r="I12" s="561"/>
      <c r="L12" s="567" t="s">
        <v>1076</v>
      </c>
    </row>
    <row r="13" spans="3:15" ht="12.75" customHeight="1" x14ac:dyDescent="0.2">
      <c r="C13" s="560">
        <v>6</v>
      </c>
      <c r="D13" s="500" t="s">
        <v>74</v>
      </c>
      <c r="E13" s="500" t="s">
        <v>109</v>
      </c>
      <c r="F13" s="500">
        <v>54801</v>
      </c>
      <c r="G13" s="500" t="str">
        <f t="array" ref="G13">INDEX(Consolidado!N:N,MATCH(F13,Consolidado!G:G,0))</f>
        <v>Popayán</v>
      </c>
      <c r="H13" s="500" t="str">
        <f t="array" ref="H13">INDEX(Consolidado!R:R,MATCH(F13,Consolidado!G:G,0))</f>
        <v>Pregrado</v>
      </c>
      <c r="I13" s="561" t="s">
        <v>1076</v>
      </c>
    </row>
    <row r="14" spans="3:15" ht="12.75" customHeight="1" x14ac:dyDescent="0.2">
      <c r="C14" s="568">
        <v>7</v>
      </c>
      <c r="D14" s="500" t="s">
        <v>130</v>
      </c>
      <c r="E14" s="500" t="s">
        <v>165</v>
      </c>
      <c r="F14" s="500">
        <v>103231</v>
      </c>
      <c r="G14" s="500" t="str">
        <f t="array" ref="G14">INDEX(Consolidado!N:N,MATCH(F14,Consolidado!G:G,0))</f>
        <v>Popayán</v>
      </c>
      <c r="H14" s="500" t="str">
        <f t="array" ref="H14">INDEX(Consolidado!R:R,MATCH(F14,Consolidado!G:G,0))</f>
        <v>Posgrado</v>
      </c>
      <c r="I14" s="561" t="s">
        <v>1074</v>
      </c>
    </row>
    <row r="15" spans="3:15" ht="12.75" customHeight="1" x14ac:dyDescent="0.2">
      <c r="C15" s="568">
        <v>8</v>
      </c>
      <c r="D15" s="500" t="s">
        <v>130</v>
      </c>
      <c r="E15" s="500" t="s">
        <v>131</v>
      </c>
      <c r="F15" s="500">
        <v>3833</v>
      </c>
      <c r="G15" s="569" t="str">
        <f t="array" ref="G15">INDEX(Consolidado!N:N,MATCH(F15,Consolidado!G:G,0))</f>
        <v>Popayán
Patía (El Bordo) Santander de Quilichao</v>
      </c>
      <c r="H15" s="500" t="str">
        <f t="array" ref="H15">INDEX(Consolidado!R:R,MATCH(F15,Consolidado!G:G,0))</f>
        <v>Pregrado</v>
      </c>
      <c r="I15" s="561" t="s">
        <v>1075</v>
      </c>
    </row>
    <row r="16" spans="3:15" ht="12.75" customHeight="1" x14ac:dyDescent="0.2">
      <c r="C16" s="568">
        <v>9</v>
      </c>
      <c r="D16" s="500" t="s">
        <v>130</v>
      </c>
      <c r="E16" s="500" t="s">
        <v>966</v>
      </c>
      <c r="F16" s="500">
        <v>7171</v>
      </c>
      <c r="G16" s="500" t="e">
        <f t="array" ref="G16">INDEX(Consolidado!N:N,MATCH(F16,Consolidado!G:G,0))</f>
        <v>#N/A</v>
      </c>
      <c r="H16" s="500" t="e">
        <f t="array" ref="H16">INDEX(Consolidado!R:R,MATCH(F16,Consolidado!G:G,0))</f>
        <v>#N/A</v>
      </c>
      <c r="I16" s="561" t="s">
        <v>1076</v>
      </c>
    </row>
    <row r="17" spans="3:9" ht="12.75" customHeight="1" x14ac:dyDescent="0.2">
      <c r="C17" s="568">
        <v>10</v>
      </c>
      <c r="D17" s="500" t="s">
        <v>130</v>
      </c>
      <c r="E17" s="500" t="s">
        <v>1054</v>
      </c>
      <c r="F17" s="500">
        <v>9833</v>
      </c>
      <c r="G17" s="500" t="str">
        <f t="array" ref="G17">INDEX(Consolidado!N:N,MATCH(F17,Consolidado!G:G,0))</f>
        <v>Popayán</v>
      </c>
      <c r="H17" s="500" t="str">
        <f t="array" ref="H17">INDEX(Consolidado!R:R,MATCH(F17,Consolidado!G:G,0))</f>
        <v>Pregrado</v>
      </c>
      <c r="I17" s="561" t="s">
        <v>1076</v>
      </c>
    </row>
    <row r="18" spans="3:9" ht="12.75" customHeight="1" x14ac:dyDescent="0.2">
      <c r="C18" s="568">
        <v>11</v>
      </c>
      <c r="D18" s="500" t="s">
        <v>130</v>
      </c>
      <c r="E18" s="500" t="s">
        <v>158</v>
      </c>
      <c r="F18" s="500">
        <v>104677</v>
      </c>
      <c r="G18" s="500" t="str">
        <f t="array" ref="G18">INDEX(Consolidado!N:N,MATCH(F18,Consolidado!G:G,0))</f>
        <v>Popayán</v>
      </c>
      <c r="H18" s="500" t="str">
        <f t="array" ref="H18">INDEX(Consolidado!R:R,MATCH(F18,Consolidado!G:G,0))</f>
        <v>Posgrado</v>
      </c>
      <c r="I18" s="561"/>
    </row>
    <row r="19" spans="3:9" ht="12.75" customHeight="1" x14ac:dyDescent="0.2">
      <c r="C19" s="570">
        <v>12</v>
      </c>
      <c r="D19" s="500" t="s">
        <v>823</v>
      </c>
      <c r="E19" s="500" t="s">
        <v>217</v>
      </c>
      <c r="F19" s="500">
        <v>234</v>
      </c>
      <c r="G19" s="500" t="str">
        <f t="array" ref="G19">INDEX(Consolidado!N:N,MATCH(F19,Consolidado!G:G,0))</f>
        <v>Popayán</v>
      </c>
      <c r="H19" s="500" t="str">
        <f t="array" ref="H19">INDEX(Consolidado!R:R,MATCH(F19,Consolidado!G:G,0))</f>
        <v>Pregrado</v>
      </c>
      <c r="I19" s="561" t="s">
        <v>1075</v>
      </c>
    </row>
    <row r="20" spans="3:9" ht="12.75" customHeight="1" x14ac:dyDescent="0.2">
      <c r="C20" s="570">
        <v>13</v>
      </c>
      <c r="D20" s="500" t="s">
        <v>823</v>
      </c>
      <c r="E20" s="500" t="s">
        <v>985</v>
      </c>
      <c r="F20" s="500">
        <v>235</v>
      </c>
      <c r="G20" s="500" t="str">
        <f t="array" ref="G20">INDEX(Consolidado!N:N,MATCH(F20,Consolidado!G:G,0))</f>
        <v>Popayán</v>
      </c>
      <c r="H20" s="500" t="str">
        <f t="array" ref="H20">INDEX(Consolidado!R:R,MATCH(F20,Consolidado!G:G,0))</f>
        <v>Pregrado</v>
      </c>
      <c r="I20" s="561" t="s">
        <v>1075</v>
      </c>
    </row>
    <row r="21" spans="3:9" ht="12.75" customHeight="1" x14ac:dyDescent="0.2">
      <c r="C21" s="570">
        <v>14</v>
      </c>
      <c r="D21" s="500" t="s">
        <v>182</v>
      </c>
      <c r="E21" s="500" t="s">
        <v>237</v>
      </c>
      <c r="F21" s="500">
        <v>8441</v>
      </c>
      <c r="G21" s="500" t="str">
        <f t="array" ref="G21">INDEX(Consolidado!N:N,MATCH(F21,Consolidado!G:G,0))</f>
        <v>Popayán</v>
      </c>
      <c r="H21" s="500" t="str">
        <f t="array" ref="H21">INDEX(Consolidado!R:R,MATCH(F21,Consolidado!G:G,0))</f>
        <v>Pregrado</v>
      </c>
      <c r="I21" s="561" t="s">
        <v>1074</v>
      </c>
    </row>
    <row r="22" spans="3:9" ht="12.75" customHeight="1" x14ac:dyDescent="0.2">
      <c r="C22" s="570">
        <v>15</v>
      </c>
      <c r="D22" s="500" t="s">
        <v>182</v>
      </c>
      <c r="E22" s="500" t="s">
        <v>244</v>
      </c>
      <c r="F22" s="500">
        <v>55045</v>
      </c>
      <c r="G22" s="500" t="str">
        <f t="array" ref="G22">INDEX(Consolidado!N:N,MATCH(F22,Consolidado!G:G,0))</f>
        <v>Popayán</v>
      </c>
      <c r="H22" s="500" t="str">
        <f t="array" ref="H22">INDEX(Consolidado!R:R,MATCH(F22,Consolidado!G:G,0))</f>
        <v>Posgrado</v>
      </c>
      <c r="I22" s="561"/>
    </row>
    <row r="23" spans="3:9" ht="12.75" customHeight="1" x14ac:dyDescent="0.2">
      <c r="C23" s="570">
        <v>16</v>
      </c>
      <c r="D23" s="500" t="s">
        <v>182</v>
      </c>
      <c r="E23" s="500" t="s">
        <v>225</v>
      </c>
      <c r="F23" s="500">
        <v>103477</v>
      </c>
      <c r="G23" s="500" t="str">
        <f t="array" ref="G23">INDEX(Consolidado!N:N,MATCH(F23,Consolidado!G:G,0))</f>
        <v>Popayán</v>
      </c>
      <c r="H23" s="500" t="str">
        <f t="array" ref="H23">INDEX(Consolidado!R:R,MATCH(F23,Consolidado!G:G,0))</f>
        <v>Posgrado</v>
      </c>
      <c r="I23" s="561"/>
    </row>
    <row r="24" spans="3:9" ht="12.75" customHeight="1" x14ac:dyDescent="0.2">
      <c r="C24" s="570">
        <v>17</v>
      </c>
      <c r="D24" s="500" t="s">
        <v>182</v>
      </c>
      <c r="E24" s="500" t="s">
        <v>250</v>
      </c>
      <c r="F24" s="500">
        <v>18679</v>
      </c>
      <c r="G24" s="500" t="str">
        <f t="array" ref="G24">INDEX(Consolidado!N:N,MATCH(F24,Consolidado!G:G,0))</f>
        <v>Popayán</v>
      </c>
      <c r="H24" s="500" t="str">
        <f t="array" ref="H24">INDEX(Consolidado!R:R,MATCH(F24,Consolidado!G:G,0))</f>
        <v>Pregrado</v>
      </c>
      <c r="I24" s="561" t="s">
        <v>1074</v>
      </c>
    </row>
    <row r="25" spans="3:9" ht="12.75" customHeight="1" x14ac:dyDescent="0.2">
      <c r="C25" s="571">
        <v>18</v>
      </c>
      <c r="D25" s="500" t="s">
        <v>255</v>
      </c>
      <c r="E25" s="500" t="s">
        <v>285</v>
      </c>
      <c r="F25" s="500">
        <v>230</v>
      </c>
      <c r="G25" s="500" t="str">
        <f t="array" ref="G25">INDEX(Consolidado!N:N,MATCH(F25,Consolidado!G:G,0))</f>
        <v>Popayán</v>
      </c>
      <c r="H25" s="500" t="str">
        <f t="array" ref="H25">INDEX(Consolidado!R:R,MATCH(F25,Consolidado!G:G,0))</f>
        <v>Pregrado</v>
      </c>
      <c r="I25" s="561" t="s">
        <v>1076</v>
      </c>
    </row>
    <row r="26" spans="3:9" ht="12.75" customHeight="1" x14ac:dyDescent="0.2">
      <c r="C26" s="571">
        <v>19</v>
      </c>
      <c r="D26" s="500" t="s">
        <v>255</v>
      </c>
      <c r="E26" s="500" t="s">
        <v>266</v>
      </c>
      <c r="F26" s="500">
        <v>240</v>
      </c>
      <c r="G26" s="500" t="str">
        <f t="array" ref="G26">INDEX(Consolidado!N:N,MATCH(F26,Consolidado!G:G,0))</f>
        <v>Popayán</v>
      </c>
      <c r="H26" s="500" t="str">
        <f t="array" ref="H26">INDEX(Consolidado!R:R,MATCH(F26,Consolidado!G:G,0))</f>
        <v>Posgrado</v>
      </c>
      <c r="I26" s="561"/>
    </row>
    <row r="27" spans="3:9" ht="12.75" customHeight="1" x14ac:dyDescent="0.2">
      <c r="C27" s="571">
        <v>20</v>
      </c>
      <c r="D27" s="500" t="s">
        <v>255</v>
      </c>
      <c r="E27" s="500" t="s">
        <v>280</v>
      </c>
      <c r="F27" s="500">
        <v>241</v>
      </c>
      <c r="G27" s="500" t="str">
        <f t="array" ref="G27">INDEX(Consolidado!N:N,MATCH(F27,Consolidado!G:G,0))</f>
        <v>Popayán</v>
      </c>
      <c r="H27" s="500" t="str">
        <f t="array" ref="H27">INDEX(Consolidado!R:R,MATCH(F27,Consolidado!G:G,0))</f>
        <v>Posgrado</v>
      </c>
      <c r="I27" s="561"/>
    </row>
    <row r="28" spans="3:9" ht="12.75" customHeight="1" x14ac:dyDescent="0.2">
      <c r="C28" s="571">
        <v>21</v>
      </c>
      <c r="D28" s="500" t="s">
        <v>255</v>
      </c>
      <c r="E28" s="500" t="s">
        <v>275</v>
      </c>
      <c r="F28" s="500">
        <v>242</v>
      </c>
      <c r="G28" s="500" t="str">
        <f t="array" ref="G28">INDEX(Consolidado!N:N,MATCH(F28,Consolidado!G:G,0))</f>
        <v>Popayán</v>
      </c>
      <c r="H28" s="500" t="str">
        <f t="array" ref="H28">INDEX(Consolidado!R:R,MATCH(F28,Consolidado!G:G,0))</f>
        <v>Posgrado</v>
      </c>
      <c r="I28" s="561"/>
    </row>
    <row r="29" spans="3:9" ht="12.75" customHeight="1" x14ac:dyDescent="0.2">
      <c r="C29" s="571">
        <v>22</v>
      </c>
      <c r="D29" s="500" t="s">
        <v>255</v>
      </c>
      <c r="E29" s="500" t="s">
        <v>303</v>
      </c>
      <c r="F29" s="500">
        <v>11546</v>
      </c>
      <c r="G29" s="500" t="str">
        <f t="array" ref="G29">INDEX(Consolidado!N:N,MATCH(F29,Consolidado!G:G,0))</f>
        <v>Popayán</v>
      </c>
      <c r="H29" s="500" t="str">
        <f t="array" ref="H29">INDEX(Consolidado!R:R,MATCH(F29,Consolidado!G:G,0))</f>
        <v>Posgrado</v>
      </c>
      <c r="I29" s="561"/>
    </row>
    <row r="30" spans="3:9" ht="12.75" customHeight="1" x14ac:dyDescent="0.2">
      <c r="C30" s="571">
        <v>23</v>
      </c>
      <c r="D30" s="500" t="s">
        <v>255</v>
      </c>
      <c r="E30" s="500" t="s">
        <v>296</v>
      </c>
      <c r="F30" s="500">
        <v>243</v>
      </c>
      <c r="G30" s="500" t="str">
        <f t="array" ref="G30">INDEX(Consolidado!N:N,MATCH(F30,Consolidado!G:G,0))</f>
        <v>Popayán</v>
      </c>
      <c r="H30" s="500" t="str">
        <f t="array" ref="H30">INDEX(Consolidado!R:R,MATCH(F30,Consolidado!G:G,0))</f>
        <v>Posgrado</v>
      </c>
      <c r="I30" s="561"/>
    </row>
    <row r="31" spans="3:9" ht="12.75" customHeight="1" x14ac:dyDescent="0.2">
      <c r="C31" s="571">
        <v>24</v>
      </c>
      <c r="D31" s="500" t="s">
        <v>255</v>
      </c>
      <c r="E31" s="500" t="s">
        <v>271</v>
      </c>
      <c r="F31" s="500">
        <v>244</v>
      </c>
      <c r="G31" s="500" t="str">
        <f t="array" ref="G31">INDEX(Consolidado!N:N,MATCH(F31,Consolidado!G:G,0))</f>
        <v>Popayán</v>
      </c>
      <c r="H31" s="500" t="str">
        <f t="array" ref="H31">INDEX(Consolidado!R:R,MATCH(F31,Consolidado!G:G,0))</f>
        <v>Posgrado</v>
      </c>
      <c r="I31" s="561"/>
    </row>
    <row r="32" spans="3:9" ht="12.75" customHeight="1" x14ac:dyDescent="0.2">
      <c r="C32" s="571">
        <v>25</v>
      </c>
      <c r="D32" s="500" t="s">
        <v>255</v>
      </c>
      <c r="E32" s="500" t="s">
        <v>310</v>
      </c>
      <c r="F32" s="500">
        <v>5269</v>
      </c>
      <c r="G32" s="500" t="str">
        <f t="array" ref="G32">INDEX(Consolidado!N:N,MATCH(F32,Consolidado!G:G,0))</f>
        <v>Popayán</v>
      </c>
      <c r="H32" s="500" t="str">
        <f t="array" ref="H32">INDEX(Consolidado!R:R,MATCH(F32,Consolidado!G:G,0))</f>
        <v>Pregrado</v>
      </c>
      <c r="I32" s="561" t="s">
        <v>1076</v>
      </c>
    </row>
    <row r="33" spans="3:9" ht="12.75" customHeight="1" x14ac:dyDescent="0.2">
      <c r="C33" s="571">
        <v>26</v>
      </c>
      <c r="D33" s="500" t="s">
        <v>255</v>
      </c>
      <c r="E33" s="500" t="s">
        <v>260</v>
      </c>
      <c r="F33" s="500">
        <v>5268</v>
      </c>
      <c r="G33" s="500" t="str">
        <f t="array" ref="G33">INDEX(Consolidado!N:N,MATCH(F33,Consolidado!G:G,0))</f>
        <v>Popayán</v>
      </c>
      <c r="H33" s="500" t="str">
        <f t="array" ref="H33">INDEX(Consolidado!R:R,MATCH(F33,Consolidado!G:G,0))</f>
        <v>Pregrado</v>
      </c>
      <c r="I33" s="561" t="s">
        <v>1075</v>
      </c>
    </row>
    <row r="34" spans="3:9" ht="12.75" customHeight="1" x14ac:dyDescent="0.2">
      <c r="C34" s="571">
        <v>27</v>
      </c>
      <c r="D34" s="500" t="s">
        <v>255</v>
      </c>
      <c r="E34" s="500" t="s">
        <v>968</v>
      </c>
      <c r="F34" s="500">
        <v>55202</v>
      </c>
      <c r="G34" s="500" t="e">
        <f t="array" ref="G34">INDEX(Consolidado!N:N,MATCH(F34,Consolidado!G:G,0))</f>
        <v>#N/A</v>
      </c>
      <c r="H34" s="500" t="e">
        <f t="array" ref="H34">INDEX(Consolidado!R:R,MATCH(F34,Consolidado!G:G,0))</f>
        <v>#N/A</v>
      </c>
      <c r="I34" s="561"/>
    </row>
    <row r="35" spans="3:9" ht="12.75" customHeight="1" x14ac:dyDescent="0.2">
      <c r="C35" s="572">
        <v>28</v>
      </c>
      <c r="D35" s="500" t="s">
        <v>333</v>
      </c>
      <c r="E35" s="500" t="s">
        <v>994</v>
      </c>
      <c r="F35" s="500">
        <v>55202</v>
      </c>
      <c r="G35" s="500" t="e">
        <f t="array" ref="G35">INDEX(Consolidado!N:N,MATCH(F35,Consolidado!G:G,0))</f>
        <v>#N/A</v>
      </c>
      <c r="H35" s="500" t="e">
        <f t="array" ref="H35">INDEX(Consolidado!R:R,MATCH(F35,Consolidado!G:G,0))</f>
        <v>#N/A</v>
      </c>
      <c r="I35" s="561"/>
    </row>
    <row r="36" spans="3:9" ht="12.75" customHeight="1" x14ac:dyDescent="0.2">
      <c r="C36" s="572">
        <v>29</v>
      </c>
      <c r="D36" s="500" t="s">
        <v>333</v>
      </c>
      <c r="E36" s="500" t="s">
        <v>408</v>
      </c>
      <c r="F36" s="500">
        <v>232</v>
      </c>
      <c r="G36" s="500" t="str">
        <f t="array" ref="G36">INDEX(Consolidado!N:N,MATCH(F36,Consolidado!G:G,0))</f>
        <v>Popayán</v>
      </c>
      <c r="H36" s="500" t="str">
        <f t="array" ref="H36">INDEX(Consolidado!R:R,MATCH(F36,Consolidado!G:G,0))</f>
        <v>Pregrado</v>
      </c>
      <c r="I36" s="561"/>
    </row>
    <row r="37" spans="3:9" ht="12.75" customHeight="1" x14ac:dyDescent="0.2">
      <c r="C37" s="572">
        <v>30</v>
      </c>
      <c r="D37" s="500" t="s">
        <v>333</v>
      </c>
      <c r="E37" s="500" t="s">
        <v>351</v>
      </c>
      <c r="F37" s="500">
        <v>51767</v>
      </c>
      <c r="G37" s="500" t="str">
        <f t="array" ref="G37">INDEX(Consolidado!N:N,MATCH(F37,Consolidado!G:G,0))</f>
        <v>Popayán</v>
      </c>
      <c r="H37" s="500" t="str">
        <f t="array" ref="H37">INDEX(Consolidado!R:R,MATCH(F37,Consolidado!G:G,0))</f>
        <v>Posgrado</v>
      </c>
      <c r="I37" s="561"/>
    </row>
    <row r="38" spans="3:9" ht="12.75" customHeight="1" x14ac:dyDescent="0.2">
      <c r="C38" s="572">
        <v>31</v>
      </c>
      <c r="D38" s="500" t="s">
        <v>333</v>
      </c>
      <c r="E38" s="500" t="s">
        <v>367</v>
      </c>
      <c r="F38" s="500">
        <v>105733</v>
      </c>
      <c r="G38" s="500" t="str">
        <f t="array" ref="G38">INDEX(Consolidado!N:N,MATCH(F38,Consolidado!G:G,0))</f>
        <v>Popayán</v>
      </c>
      <c r="H38" s="500" t="str">
        <f t="array" ref="H38">INDEX(Consolidado!R:R,MATCH(F38,Consolidado!G:G,0))</f>
        <v>Posgrado</v>
      </c>
      <c r="I38" s="561"/>
    </row>
    <row r="39" spans="3:9" ht="12.75" customHeight="1" x14ac:dyDescent="0.2">
      <c r="C39" s="572">
        <v>32</v>
      </c>
      <c r="D39" s="500" t="s">
        <v>333</v>
      </c>
      <c r="E39" s="500" t="s">
        <v>1060</v>
      </c>
      <c r="F39" s="500">
        <v>11967</v>
      </c>
      <c r="G39" s="500" t="str">
        <f t="array" ref="G39">INDEX(Consolidado!N:N,MATCH(F39,Consolidado!G:G,0))</f>
        <v>Popayán</v>
      </c>
      <c r="H39" s="500" t="str">
        <f t="array" ref="H39">INDEX(Consolidado!R:R,MATCH(F39,Consolidado!G:G,0))</f>
        <v>Pregrado</v>
      </c>
      <c r="I39" s="561" t="s">
        <v>1074</v>
      </c>
    </row>
    <row r="40" spans="3:9" ht="12.75" customHeight="1" x14ac:dyDescent="0.2">
      <c r="C40" s="572">
        <v>33</v>
      </c>
      <c r="D40" s="500" t="s">
        <v>333</v>
      </c>
      <c r="E40" s="500" t="s">
        <v>1059</v>
      </c>
      <c r="F40" s="500">
        <v>4493</v>
      </c>
      <c r="G40" s="500" t="str">
        <f t="array" ref="G40">INDEX(Consolidado!N:N,MATCH(F40,Consolidado!G:G,0))</f>
        <v>Popayán</v>
      </c>
      <c r="H40" s="500" t="str">
        <f t="array" ref="H40">INDEX(Consolidado!R:R,MATCH(F40,Consolidado!G:G,0))</f>
        <v>Pregrado</v>
      </c>
      <c r="I40" s="561" t="s">
        <v>1074</v>
      </c>
    </row>
    <row r="41" spans="3:9" ht="12.75" customHeight="1" x14ac:dyDescent="0.2">
      <c r="C41" s="572">
        <v>34</v>
      </c>
      <c r="D41" s="500" t="s">
        <v>333</v>
      </c>
      <c r="E41" s="500" t="s">
        <v>381</v>
      </c>
      <c r="F41" s="500">
        <v>13062</v>
      </c>
      <c r="G41" s="500" t="str">
        <f t="array" ref="G41">INDEX(Consolidado!N:N,MATCH(F41,Consolidado!G:G,0))</f>
        <v>Popayán</v>
      </c>
      <c r="H41" s="500" t="str">
        <f t="array" ref="H41">INDEX(Consolidado!R:R,MATCH(F41,Consolidado!G:G,0))</f>
        <v>Pregrado</v>
      </c>
      <c r="I41" s="561"/>
    </row>
    <row r="42" spans="3:9" ht="12.75" customHeight="1" x14ac:dyDescent="0.2">
      <c r="C42" s="572">
        <v>35</v>
      </c>
      <c r="D42" s="500" t="s">
        <v>333</v>
      </c>
      <c r="E42" s="500" t="s">
        <v>971</v>
      </c>
      <c r="F42" s="500">
        <v>106575</v>
      </c>
      <c r="G42" s="500" t="str">
        <f t="array" ref="G42">INDEX(Consolidado!N:N,MATCH(F42,Consolidado!G:G,0))</f>
        <v>Popayán</v>
      </c>
      <c r="H42" s="500" t="str">
        <f t="array" ref="H42">INDEX(Consolidado!R:R,MATCH(F42,Consolidado!G:G,0))</f>
        <v>Pregrado</v>
      </c>
      <c r="I42" s="561" t="s">
        <v>1074</v>
      </c>
    </row>
    <row r="43" spans="3:9" ht="12.75" customHeight="1" x14ac:dyDescent="0.2">
      <c r="C43" s="572">
        <v>36</v>
      </c>
      <c r="D43" s="500" t="s">
        <v>333</v>
      </c>
      <c r="E43" s="500" t="s">
        <v>392</v>
      </c>
      <c r="F43" s="500">
        <v>106604</v>
      </c>
      <c r="G43" s="500" t="str">
        <f t="array" ref="G43">INDEX(Consolidado!N:N,MATCH(F43,Consolidado!G:G,0))</f>
        <v>Popayán</v>
      </c>
      <c r="H43" s="500" t="str">
        <f t="array" ref="H43">INDEX(Consolidado!R:R,MATCH(F43,Consolidado!G:G,0))</f>
        <v>Pregrado</v>
      </c>
      <c r="I43" s="561" t="s">
        <v>1074</v>
      </c>
    </row>
    <row r="44" spans="3:9" ht="12.75" customHeight="1" x14ac:dyDescent="0.2">
      <c r="C44" s="572">
        <v>37</v>
      </c>
      <c r="D44" s="500" t="s">
        <v>333</v>
      </c>
      <c r="E44" s="500" t="s">
        <v>357</v>
      </c>
      <c r="F44" s="500">
        <v>54866</v>
      </c>
      <c r="G44" s="500" t="str">
        <f t="array" ref="G44">INDEX(Consolidado!N:N,MATCH(F44,Consolidado!G:G,0))</f>
        <v>Popayán</v>
      </c>
      <c r="H44" s="500" t="str">
        <f t="array" ref="H44">INDEX(Consolidado!R:R,MATCH(F44,Consolidado!G:G,0))</f>
        <v>Posgrado</v>
      </c>
      <c r="I44" s="561"/>
    </row>
    <row r="45" spans="3:9" ht="12.75" customHeight="1" x14ac:dyDescent="0.2">
      <c r="C45" s="572">
        <v>38</v>
      </c>
      <c r="D45" s="500" t="s">
        <v>333</v>
      </c>
      <c r="E45" s="500" t="s">
        <v>387</v>
      </c>
      <c r="F45" s="500">
        <v>104456</v>
      </c>
      <c r="G45" s="500" t="str">
        <f t="array" ref="G45">INDEX(Consolidado!N:N,MATCH(F45,Consolidado!G:G,0))</f>
        <v>Popayán</v>
      </c>
      <c r="H45" s="500" t="str">
        <f t="array" ref="H45">INDEX(Consolidado!R:R,MATCH(F45,Consolidado!G:G,0))</f>
        <v>Posgrado</v>
      </c>
      <c r="I45" s="561"/>
    </row>
    <row r="46" spans="3:9" ht="12.75" customHeight="1" x14ac:dyDescent="0.2">
      <c r="C46" s="572">
        <v>39</v>
      </c>
      <c r="D46" s="500" t="s">
        <v>333</v>
      </c>
      <c r="E46" s="500" t="s">
        <v>362</v>
      </c>
      <c r="F46" s="500">
        <v>104296</v>
      </c>
      <c r="G46" s="500" t="str">
        <f t="array" ref="G46">INDEX(Consolidado!N:N,MATCH(F46,Consolidado!G:G,0))</f>
        <v>Popayán</v>
      </c>
      <c r="H46" s="500" t="str">
        <f t="array" ref="H46">INDEX(Consolidado!R:R,MATCH(F46,Consolidado!G:G,0))</f>
        <v>Posgrado</v>
      </c>
      <c r="I46" s="561"/>
    </row>
    <row r="47" spans="3:9" ht="12.75" customHeight="1" x14ac:dyDescent="0.2">
      <c r="C47" s="572">
        <v>40</v>
      </c>
      <c r="D47" s="500" t="s">
        <v>413</v>
      </c>
      <c r="E47" s="500" t="s">
        <v>530</v>
      </c>
      <c r="F47" s="500">
        <v>7170</v>
      </c>
      <c r="G47" s="500" t="str">
        <f t="array" ref="G47">INDEX(Consolidado!N:N,MATCH(F47,Consolidado!G:G,0))</f>
        <v>Popayán</v>
      </c>
      <c r="H47" s="500" t="str">
        <f t="array" ref="H47">INDEX(Consolidado!R:R,MATCH(F47,Consolidado!G:G,0))</f>
        <v>Posgrado</v>
      </c>
      <c r="I47" s="561"/>
    </row>
    <row r="48" spans="3:9" ht="12.75" customHeight="1" x14ac:dyDescent="0.2">
      <c r="C48" s="572">
        <v>41</v>
      </c>
      <c r="D48" s="500" t="s">
        <v>413</v>
      </c>
      <c r="E48" s="500" t="s">
        <v>438</v>
      </c>
      <c r="F48" s="500">
        <v>3048</v>
      </c>
      <c r="G48" s="500" t="str">
        <f t="array" ref="G48">INDEX(Consolidado!N:N,MATCH(F48,Consolidado!G:G,0))</f>
        <v>Popayán</v>
      </c>
      <c r="H48" s="500" t="str">
        <f t="array" ref="H48">INDEX(Consolidado!R:R,MATCH(F48,Consolidado!G:G,0))</f>
        <v>Pregrado</v>
      </c>
      <c r="I48" s="561"/>
    </row>
    <row r="49" spans="3:9" ht="12.75" customHeight="1" x14ac:dyDescent="0.2">
      <c r="C49" s="572">
        <v>42</v>
      </c>
      <c r="D49" s="500" t="s">
        <v>413</v>
      </c>
      <c r="E49" s="500" t="s">
        <v>557</v>
      </c>
      <c r="F49" s="500">
        <v>53943</v>
      </c>
      <c r="G49" s="500" t="str">
        <f t="array" ref="G49">INDEX(Consolidado!N:N,MATCH(F49,Consolidado!G:G,0))</f>
        <v>Popayán</v>
      </c>
      <c r="H49" s="500" t="str">
        <f t="array" ref="H49">INDEX(Consolidado!R:R,MATCH(F49,Consolidado!G:G,0))</f>
        <v>Posgrado</v>
      </c>
      <c r="I49" s="561"/>
    </row>
    <row r="50" spans="3:9" ht="12.75" customHeight="1" x14ac:dyDescent="0.2">
      <c r="C50" s="572">
        <v>43</v>
      </c>
      <c r="D50" s="500" t="s">
        <v>413</v>
      </c>
      <c r="E50" s="500" t="s">
        <v>502</v>
      </c>
      <c r="F50" s="500">
        <v>105772</v>
      </c>
      <c r="G50" s="500" t="str">
        <f t="array" ref="G50">INDEX(Consolidado!N:N,MATCH(F50,Consolidado!G:G,0))</f>
        <v>Popayán</v>
      </c>
      <c r="H50" s="500" t="str">
        <f t="array" ref="H50">INDEX(Consolidado!R:R,MATCH(F50,Consolidado!G:G,0))</f>
        <v>Posgrado</v>
      </c>
      <c r="I50" s="561"/>
    </row>
    <row r="51" spans="3:9" ht="12.75" customHeight="1" x14ac:dyDescent="0.2">
      <c r="C51" s="572">
        <v>44</v>
      </c>
      <c r="D51" s="500" t="s">
        <v>413</v>
      </c>
      <c r="E51" s="500" t="s">
        <v>540</v>
      </c>
      <c r="F51" s="500">
        <v>105661</v>
      </c>
      <c r="G51" s="500" t="str">
        <f t="array" ref="G51">INDEX(Consolidado!N:N,MATCH(F51,Consolidado!G:G,0))</f>
        <v>Popayán</v>
      </c>
      <c r="H51" s="500" t="str">
        <f t="array" ref="H51">INDEX(Consolidado!R:R,MATCH(F51,Consolidado!G:G,0))</f>
        <v>Posgrado</v>
      </c>
      <c r="I51" s="561"/>
    </row>
    <row r="52" spans="3:9" ht="12.75" customHeight="1" x14ac:dyDescent="0.2">
      <c r="C52" s="572">
        <v>45</v>
      </c>
      <c r="D52" s="500" t="s">
        <v>413</v>
      </c>
      <c r="E52" s="500" t="s">
        <v>535</v>
      </c>
      <c r="F52" s="500">
        <v>105656</v>
      </c>
      <c r="G52" s="500" t="str">
        <f t="array" ref="G52">INDEX(Consolidado!N:N,MATCH(F52,Consolidado!G:G,0))</f>
        <v>Popayán</v>
      </c>
      <c r="H52" s="500" t="str">
        <f t="array" ref="H52">INDEX(Consolidado!R:R,MATCH(F52,Consolidado!G:G,0))</f>
        <v>Posgrado</v>
      </c>
      <c r="I52" s="561"/>
    </row>
    <row r="53" spans="3:9" ht="12.75" customHeight="1" x14ac:dyDescent="0.2">
      <c r="C53" s="572">
        <v>46</v>
      </c>
      <c r="D53" s="500" t="s">
        <v>413</v>
      </c>
      <c r="E53" s="500" t="s">
        <v>1062</v>
      </c>
      <c r="F53" s="500">
        <v>3636</v>
      </c>
      <c r="G53" s="500" t="str">
        <f t="array" ref="G53">INDEX(Consolidado!N:N,MATCH(F53,Consolidado!G:G,0))</f>
        <v>Popayán</v>
      </c>
      <c r="H53" s="500" t="str">
        <f t="array" ref="H53">INDEX(Consolidado!R:R,MATCH(F53,Consolidado!G:G,0))</f>
        <v>Pregrado</v>
      </c>
      <c r="I53" s="561"/>
    </row>
    <row r="54" spans="3:9" ht="12.75" customHeight="1" x14ac:dyDescent="0.2">
      <c r="C54" s="572">
        <v>47</v>
      </c>
      <c r="D54" s="500" t="s">
        <v>413</v>
      </c>
      <c r="E54" s="500" t="s">
        <v>482</v>
      </c>
      <c r="F54" s="500">
        <v>106574</v>
      </c>
      <c r="G54" s="500" t="str">
        <f t="array" ref="G54">INDEX(Consolidado!N:N,MATCH(F54,Consolidado!G:G,0))</f>
        <v>Popayán</v>
      </c>
      <c r="H54" s="500" t="str">
        <f t="array" ref="H54">INDEX(Consolidado!R:R,MATCH(F54,Consolidado!G:G,0))</f>
        <v>Pregrado</v>
      </c>
      <c r="I54" s="561"/>
    </row>
    <row r="55" spans="3:9" ht="12.75" customHeight="1" x14ac:dyDescent="0.2">
      <c r="C55" s="572">
        <v>48</v>
      </c>
      <c r="D55" s="500" t="s">
        <v>413</v>
      </c>
      <c r="E55" s="500" t="s">
        <v>474</v>
      </c>
      <c r="F55" s="500">
        <v>106651</v>
      </c>
      <c r="G55" s="500" t="str">
        <f t="array" ref="G55">INDEX(Consolidado!N:N,MATCH(F55,Consolidado!G:G,0))</f>
        <v>Popayán</v>
      </c>
      <c r="H55" s="500" t="str">
        <f t="array" ref="H55">INDEX(Consolidado!R:R,MATCH(F55,Consolidado!G:G,0))</f>
        <v>Pregrado</v>
      </c>
      <c r="I55" s="561" t="s">
        <v>1073</v>
      </c>
    </row>
    <row r="56" spans="3:9" ht="12.75" customHeight="1" x14ac:dyDescent="0.2">
      <c r="C56" s="572">
        <v>49</v>
      </c>
      <c r="D56" s="500" t="s">
        <v>413</v>
      </c>
      <c r="E56" s="500" t="s">
        <v>490</v>
      </c>
      <c r="F56" s="500">
        <v>106794</v>
      </c>
      <c r="G56" s="500" t="str">
        <f t="array" ref="G56">INDEX(Consolidado!N:N,MATCH(F56,Consolidado!G:G,0))</f>
        <v>Popayán</v>
      </c>
      <c r="H56" s="500" t="str">
        <f t="array" ref="H56">INDEX(Consolidado!R:R,MATCH(F56,Consolidado!G:G,0))</f>
        <v>Pregrado</v>
      </c>
      <c r="I56" s="561"/>
    </row>
    <row r="57" spans="3:9" ht="12.75" customHeight="1" x14ac:dyDescent="0.2">
      <c r="C57" s="572">
        <v>50</v>
      </c>
      <c r="D57" s="500" t="s">
        <v>413</v>
      </c>
      <c r="E57" s="500" t="s">
        <v>465</v>
      </c>
      <c r="F57" s="500">
        <v>106545</v>
      </c>
      <c r="G57" s="500" t="str">
        <f t="array" ref="G57">INDEX(Consolidado!N:N,MATCH(F57,Consolidado!G:G,0))</f>
        <v>Popayán</v>
      </c>
      <c r="H57" s="500" t="str">
        <f t="array" ref="H57">INDEX(Consolidado!R:R,MATCH(F57,Consolidado!G:G,0))</f>
        <v>Pregrado</v>
      </c>
      <c r="I57" s="561" t="s">
        <v>1073</v>
      </c>
    </row>
    <row r="58" spans="3:9" ht="12.75" customHeight="1" x14ac:dyDescent="0.2">
      <c r="C58" s="572">
        <v>51</v>
      </c>
      <c r="D58" s="500" t="s">
        <v>413</v>
      </c>
      <c r="E58" s="500" t="s">
        <v>562</v>
      </c>
      <c r="F58" s="500">
        <v>229</v>
      </c>
      <c r="G58" s="500" t="str">
        <f t="array" ref="G58">INDEX(Consolidado!N:N,MATCH(F58,Consolidado!G:G,0))</f>
        <v>Popayán</v>
      </c>
      <c r="H58" s="500" t="str">
        <f t="array" ref="H58">INDEX(Consolidado!R:R,MATCH(F58,Consolidado!G:G,0))</f>
        <v>Pregrado</v>
      </c>
      <c r="I58" s="561" t="s">
        <v>1073</v>
      </c>
    </row>
    <row r="59" spans="3:9" ht="12.75" customHeight="1" x14ac:dyDescent="0.2">
      <c r="C59" s="572">
        <v>52</v>
      </c>
      <c r="D59" s="500" t="s">
        <v>413</v>
      </c>
      <c r="E59" s="500" t="s">
        <v>1077</v>
      </c>
      <c r="F59" s="500">
        <v>104621</v>
      </c>
      <c r="G59" s="500" t="str">
        <f t="array" ref="G59">INDEX(Consolidado!N:N,MATCH(F59,Consolidado!G:G,0))</f>
        <v>Popayán</v>
      </c>
      <c r="H59" s="500" t="str">
        <f t="array" ref="H59">INDEX(Consolidado!R:R,MATCH(F59,Consolidado!G:G,0))</f>
        <v>Posgrado</v>
      </c>
      <c r="I59" s="561"/>
    </row>
    <row r="60" spans="3:9" ht="12.75" customHeight="1" x14ac:dyDescent="0.2">
      <c r="C60" s="572">
        <v>53</v>
      </c>
      <c r="D60" s="500" t="s">
        <v>413</v>
      </c>
      <c r="E60" s="500" t="s">
        <v>525</v>
      </c>
      <c r="F60" s="500">
        <v>105772</v>
      </c>
      <c r="G60" s="500" t="str">
        <f t="array" ref="G60">INDEX(Consolidado!N:N,MATCH(F60,Consolidado!G:G,0))</f>
        <v>Popayán</v>
      </c>
      <c r="H60" s="500" t="str">
        <f t="array" ref="H60">INDEX(Consolidado!R:R,MATCH(F60,Consolidado!G:G,0))</f>
        <v>Posgrado</v>
      </c>
      <c r="I60" s="561"/>
    </row>
    <row r="61" spans="3:9" ht="12.75" customHeight="1" x14ac:dyDescent="0.2">
      <c r="C61" s="572">
        <v>54</v>
      </c>
      <c r="D61" s="500" t="s">
        <v>413</v>
      </c>
      <c r="E61" s="500" t="s">
        <v>552</v>
      </c>
      <c r="F61" s="500">
        <v>105661</v>
      </c>
      <c r="G61" s="500" t="str">
        <f t="array" ref="G61">INDEX(Consolidado!N:N,MATCH(F61,Consolidado!G:G,0))</f>
        <v>Popayán</v>
      </c>
      <c r="H61" s="500" t="str">
        <f t="array" ref="H61">INDEX(Consolidado!R:R,MATCH(F61,Consolidado!G:G,0))</f>
        <v>Posgrado</v>
      </c>
      <c r="I61" s="561"/>
    </row>
    <row r="62" spans="3:9" ht="12.75" customHeight="1" x14ac:dyDescent="0.2">
      <c r="C62" s="572">
        <v>55</v>
      </c>
      <c r="D62" s="500" t="s">
        <v>413</v>
      </c>
      <c r="E62" s="500" t="s">
        <v>498</v>
      </c>
      <c r="F62" s="500">
        <v>105533</v>
      </c>
      <c r="G62" s="500" t="str">
        <f t="array" ref="G62">INDEX(Consolidado!N:N,MATCH(F62,Consolidado!G:G,0))</f>
        <v>Popayán</v>
      </c>
      <c r="H62" s="500" t="str">
        <f t="array" ref="H62">INDEX(Consolidado!R:R,MATCH(F62,Consolidado!G:G,0))</f>
        <v>Posgrado</v>
      </c>
      <c r="I62" s="561"/>
    </row>
    <row r="63" spans="3:9" ht="12.75" customHeight="1" x14ac:dyDescent="0.2">
      <c r="C63" s="572">
        <v>56</v>
      </c>
      <c r="D63" s="500" t="s">
        <v>413</v>
      </c>
      <c r="E63" s="500" t="s">
        <v>433</v>
      </c>
      <c r="F63" s="500">
        <v>53791</v>
      </c>
      <c r="G63" s="500" t="str">
        <f t="array" ref="G63">INDEX(Consolidado!N:N,MATCH(F63,Consolidado!G:G,0))</f>
        <v>Popayán</v>
      </c>
      <c r="H63" s="500" t="str">
        <f t="array" ref="H63">INDEX(Consolidado!R:R,MATCH(F63,Consolidado!G:G,0))</f>
        <v>Posgrado</v>
      </c>
      <c r="I63" s="561"/>
    </row>
    <row r="64" spans="3:9" ht="12.75" customHeight="1" x14ac:dyDescent="0.2">
      <c r="C64" s="572">
        <v>57</v>
      </c>
      <c r="D64" s="500" t="s">
        <v>413</v>
      </c>
      <c r="E64" s="500" t="s">
        <v>427</v>
      </c>
      <c r="F64" s="500">
        <v>103476</v>
      </c>
      <c r="G64" s="500" t="str">
        <f t="array" ref="G64">INDEX(Consolidado!N:N,MATCH(F64,Consolidado!G:G,0))</f>
        <v>Popayán</v>
      </c>
      <c r="H64" s="500" t="str">
        <f t="array" ref="H64">INDEX(Consolidado!R:R,MATCH(F64,Consolidado!G:G,0))</f>
        <v>Posgrado</v>
      </c>
      <c r="I64" s="561"/>
    </row>
    <row r="65" spans="3:9" ht="12.75" customHeight="1" x14ac:dyDescent="0.2">
      <c r="C65" s="572">
        <v>58</v>
      </c>
      <c r="D65" s="500" t="s">
        <v>413</v>
      </c>
      <c r="E65" s="500" t="s">
        <v>456</v>
      </c>
      <c r="F65" s="500">
        <v>104303</v>
      </c>
      <c r="G65" s="500" t="str">
        <f t="array" ref="G65">INDEX(Consolidado!N:N,MATCH(F65,Consolidado!G:G,0))</f>
        <v>Popayán</v>
      </c>
      <c r="H65" s="500" t="str">
        <f t="array" ref="H65">INDEX(Consolidado!R:R,MATCH(F65,Consolidado!G:G,0))</f>
        <v>Posgrado</v>
      </c>
      <c r="I65" s="561"/>
    </row>
    <row r="66" spans="3:9" ht="12.75" customHeight="1" x14ac:dyDescent="0.2">
      <c r="C66" s="572">
        <v>59</v>
      </c>
      <c r="D66" s="500" t="s">
        <v>413</v>
      </c>
      <c r="E66" s="500" t="s">
        <v>446</v>
      </c>
      <c r="F66" s="500">
        <v>53504</v>
      </c>
      <c r="G66" s="500" t="str">
        <f t="array" ref="G66">INDEX(Consolidado!N:N,MATCH(F66,Consolidado!G:G,0))</f>
        <v>Popayán</v>
      </c>
      <c r="H66" s="500" t="str">
        <f t="array" ref="H66">INDEX(Consolidado!R:R,MATCH(F66,Consolidado!G:G,0))</f>
        <v>Posgrado</v>
      </c>
      <c r="I66" s="561"/>
    </row>
    <row r="67" spans="3:9" ht="12.75" customHeight="1" x14ac:dyDescent="0.2">
      <c r="C67" s="572">
        <v>60</v>
      </c>
      <c r="D67" s="500" t="s">
        <v>413</v>
      </c>
      <c r="E67" s="500" t="s">
        <v>546</v>
      </c>
      <c r="F67" s="500">
        <v>256</v>
      </c>
      <c r="G67" s="500" t="str">
        <f t="array" ref="G67">INDEX(Consolidado!N:N,MATCH(F67,Consolidado!G:G,0))</f>
        <v>Popayán</v>
      </c>
      <c r="H67" s="500" t="str">
        <f t="array" ref="H67">INDEX(Consolidado!R:R,MATCH(F67,Consolidado!G:G,0))</f>
        <v>Posgrado</v>
      </c>
      <c r="I67" s="561"/>
    </row>
    <row r="68" spans="3:9" ht="12.75" customHeight="1" x14ac:dyDescent="0.2">
      <c r="C68" s="572">
        <v>61</v>
      </c>
      <c r="D68" s="500" t="s">
        <v>413</v>
      </c>
      <c r="E68" s="500" t="s">
        <v>508</v>
      </c>
      <c r="F68" s="500">
        <v>4010</v>
      </c>
      <c r="G68" s="500" t="str">
        <f t="array" ref="G68">INDEX(Consolidado!N:N,MATCH(F68,Consolidado!G:G,0))</f>
        <v>Popayán</v>
      </c>
      <c r="H68" s="500" t="str">
        <f t="array" ref="H68">INDEX(Consolidado!R:R,MATCH(F68,Consolidado!G:G,0))</f>
        <v>Pregrado</v>
      </c>
      <c r="I68" s="561"/>
    </row>
    <row r="69" spans="3:9" ht="12.75" customHeight="1" x14ac:dyDescent="0.2">
      <c r="C69" s="572">
        <v>62</v>
      </c>
      <c r="D69" s="500" t="s">
        <v>413</v>
      </c>
      <c r="E69" s="500" t="s">
        <v>515</v>
      </c>
      <c r="F69" s="500">
        <v>2130</v>
      </c>
      <c r="G69" s="500" t="str">
        <f t="array" ref="G69">INDEX(Consolidado!N:N,MATCH(F69,Consolidado!G:G,0))</f>
        <v>Popayán</v>
      </c>
      <c r="H69" s="500" t="str">
        <f t="array" ref="H69">INDEX(Consolidado!R:R,MATCH(F69,Consolidado!G:G,0))</f>
        <v>Pregrado</v>
      </c>
      <c r="I69" s="561"/>
    </row>
    <row r="70" spans="3:9" ht="12.75" customHeight="1" x14ac:dyDescent="0.2">
      <c r="C70" s="572">
        <v>63</v>
      </c>
      <c r="D70" s="500" t="s">
        <v>574</v>
      </c>
      <c r="E70" s="500" t="s">
        <v>591</v>
      </c>
      <c r="F70" s="500">
        <v>4080</v>
      </c>
      <c r="G70" s="500" t="str">
        <f t="array" ref="G70">INDEX(Consolidado!N:N,MATCH(F70,Consolidado!G:G,0))</f>
        <v>Popayán</v>
      </c>
      <c r="H70" s="500" t="str">
        <f t="array" ref="H70">INDEX(Consolidado!R:R,MATCH(F70,Consolidado!G:G,0))</f>
        <v>Pregrado</v>
      </c>
      <c r="I70" s="561" t="s">
        <v>1074</v>
      </c>
    </row>
    <row r="71" spans="3:9" ht="12.75" customHeight="1" x14ac:dyDescent="0.2">
      <c r="C71" s="572">
        <v>64</v>
      </c>
      <c r="D71" s="500" t="s">
        <v>574</v>
      </c>
      <c r="E71" s="500" t="s">
        <v>1064</v>
      </c>
      <c r="F71" s="500">
        <v>8170</v>
      </c>
      <c r="G71" s="500" t="str">
        <f t="array" ref="G71">INDEX(Consolidado!N:N,MATCH(F71,Consolidado!G:G,0))</f>
        <v>Popayán</v>
      </c>
      <c r="H71" s="500" t="str">
        <f t="array" ref="H71">INDEX(Consolidado!R:R,MATCH(F71,Consolidado!G:G,0))</f>
        <v>Pregrado</v>
      </c>
      <c r="I71" s="561"/>
    </row>
    <row r="72" spans="3:9" ht="12.75" customHeight="1" x14ac:dyDescent="0.2">
      <c r="C72" s="572">
        <v>65</v>
      </c>
      <c r="D72" s="500" t="s">
        <v>574</v>
      </c>
      <c r="E72" s="500" t="s">
        <v>575</v>
      </c>
      <c r="F72" s="500">
        <v>233</v>
      </c>
      <c r="G72" s="500" t="str">
        <f t="array" ref="G72">INDEX(Consolidado!N:N,MATCH(F72,Consolidado!G:G,0))</f>
        <v>Popayán</v>
      </c>
      <c r="H72" s="500" t="str">
        <f t="array" ref="H72">INDEX(Consolidado!R:R,MATCH(F72,Consolidado!G:G,0))</f>
        <v>Pregrado</v>
      </c>
      <c r="I72" s="561"/>
    </row>
    <row r="73" spans="3:9" ht="12.75" customHeight="1" x14ac:dyDescent="0.2">
      <c r="C73" s="572">
        <v>66</v>
      </c>
      <c r="D73" s="500" t="s">
        <v>609</v>
      </c>
      <c r="E73" s="500" t="s">
        <v>657</v>
      </c>
      <c r="F73" s="500">
        <v>222</v>
      </c>
      <c r="G73" s="500" t="str">
        <f t="array" ref="G73">INDEX(Consolidado!N:N,MATCH(F73,Consolidado!G:G,0))</f>
        <v>Popayán</v>
      </c>
      <c r="H73" s="500" t="str">
        <f t="array" ref="H73">INDEX(Consolidado!R:R,MATCH(F73,Consolidado!G:G,0))</f>
        <v>Pregrado</v>
      </c>
      <c r="I73" s="561"/>
    </row>
    <row r="74" spans="3:9" ht="12.75" customHeight="1" x14ac:dyDescent="0.2">
      <c r="C74" s="572">
        <v>67</v>
      </c>
      <c r="D74" s="500" t="s">
        <v>609</v>
      </c>
      <c r="E74" s="500" t="s">
        <v>627</v>
      </c>
      <c r="F74" s="500">
        <v>8704</v>
      </c>
      <c r="G74" s="500" t="str">
        <f t="array" ref="G74">INDEX(Consolidado!N:N,MATCH(F74,Consolidado!G:G,0))</f>
        <v>Popayán</v>
      </c>
      <c r="H74" s="500" t="str">
        <f t="array" ref="H74">INDEX(Consolidado!R:R,MATCH(F74,Consolidado!G:G,0))</f>
        <v>Pregrado</v>
      </c>
      <c r="I74" s="561"/>
    </row>
    <row r="75" spans="3:9" ht="12.75" customHeight="1" x14ac:dyDescent="0.2">
      <c r="C75" s="572">
        <v>68</v>
      </c>
      <c r="D75" s="500" t="s">
        <v>609</v>
      </c>
      <c r="E75" s="500" t="s">
        <v>644</v>
      </c>
      <c r="F75" s="500">
        <v>236</v>
      </c>
      <c r="G75" s="500" t="str">
        <f t="array" ref="G75">INDEX(Consolidado!N:N,MATCH(F75,Consolidado!G:G,0))</f>
        <v>Popayán</v>
      </c>
      <c r="H75" s="500" t="str">
        <f t="array" ref="H75">INDEX(Consolidado!R:R,MATCH(F75,Consolidado!G:G,0))</f>
        <v>Pregrado</v>
      </c>
      <c r="I75" s="561" t="s">
        <v>1074</v>
      </c>
    </row>
    <row r="76" spans="3:9" ht="12.75" customHeight="1" x14ac:dyDescent="0.2">
      <c r="C76" s="572">
        <v>69</v>
      </c>
      <c r="D76" s="500" t="s">
        <v>609</v>
      </c>
      <c r="E76" s="500" t="s">
        <v>673</v>
      </c>
      <c r="F76" s="500">
        <v>105455</v>
      </c>
      <c r="G76" s="500" t="str">
        <f t="array" ref="G76">INDEX(Consolidado!N:N,MATCH(F76,Consolidado!G:G,0))</f>
        <v>Popayán</v>
      </c>
      <c r="H76" s="500" t="str">
        <f t="array" ref="H76">INDEX(Consolidado!R:R,MATCH(F76,Consolidado!G:G,0))</f>
        <v>Posgrado</v>
      </c>
      <c r="I76" s="561"/>
    </row>
    <row r="77" spans="3:9" ht="12.75" customHeight="1" x14ac:dyDescent="0.2">
      <c r="C77" s="572">
        <v>70</v>
      </c>
      <c r="D77" s="500" t="s">
        <v>609</v>
      </c>
      <c r="E77" s="500" t="s">
        <v>648</v>
      </c>
      <c r="F77" s="500">
        <v>104528</v>
      </c>
      <c r="G77" s="500" t="str">
        <f t="array" ref="G77">INDEX(Consolidado!N:N,MATCH(F77,Consolidado!G:G,0))</f>
        <v>Popayán</v>
      </c>
      <c r="H77" s="500" t="str">
        <f t="array" ref="H77">INDEX(Consolidado!R:R,MATCH(F77,Consolidado!G:G,0))</f>
        <v>Posgrado</v>
      </c>
      <c r="I77" s="561"/>
    </row>
    <row r="78" spans="3:9" ht="12.75" customHeight="1" x14ac:dyDescent="0.2">
      <c r="C78" s="572">
        <v>71</v>
      </c>
      <c r="D78" s="500" t="s">
        <v>609</v>
      </c>
      <c r="E78" s="500" t="s">
        <v>1078</v>
      </c>
      <c r="F78" s="565">
        <v>104611</v>
      </c>
      <c r="G78" s="500" t="str">
        <f t="array" ref="G78">INDEX(Consolidado!N:N,MATCH(F78,Consolidado!G:G,0))</f>
        <v>Popayán</v>
      </c>
      <c r="H78" s="500" t="str">
        <f t="array" ref="H78">INDEX(Consolidado!R:R,MATCH(F78,Consolidado!G:G,0))</f>
        <v>Posgrado</v>
      </c>
      <c r="I78" s="561"/>
    </row>
    <row r="79" spans="3:9" ht="12.75" customHeight="1" x14ac:dyDescent="0.2">
      <c r="C79" s="572">
        <v>72</v>
      </c>
      <c r="D79" s="500" t="s">
        <v>609</v>
      </c>
      <c r="E79" s="500" t="s">
        <v>665</v>
      </c>
      <c r="F79" s="500" t="s">
        <v>668</v>
      </c>
      <c r="G79" s="500" t="str">
        <f t="array" ref="G79">INDEX(Consolidado!N:N,MATCH(F79,Consolidado!G:G,0))</f>
        <v>Popayán</v>
      </c>
      <c r="H79" s="500" t="str">
        <f t="array" ref="H79">INDEX(Consolidado!R:R,MATCH(F79,Consolidado!G:G,0))</f>
        <v>Posgrado</v>
      </c>
      <c r="I79" s="561"/>
    </row>
    <row r="80" spans="3:9" ht="12.75" customHeight="1" x14ac:dyDescent="0.2">
      <c r="C80" s="572">
        <v>73</v>
      </c>
      <c r="D80" s="500" t="s">
        <v>691</v>
      </c>
      <c r="E80" s="500" t="s">
        <v>758</v>
      </c>
      <c r="F80" s="500">
        <v>54103</v>
      </c>
      <c r="G80" s="500" t="str">
        <f t="array" ref="G80">INDEX(Consolidado!N:N,MATCH(F80,Consolidado!G:G,0))</f>
        <v>Popayán</v>
      </c>
      <c r="H80" s="500" t="str">
        <f t="array" ref="H80">INDEX(Consolidado!R:R,MATCH(F80,Consolidado!G:G,0))</f>
        <v>Posgrado</v>
      </c>
      <c r="I80" s="561"/>
    </row>
    <row r="81" spans="3:9" ht="12.75" customHeight="1" x14ac:dyDescent="0.2">
      <c r="C81" s="572">
        <v>74</v>
      </c>
      <c r="D81" s="500" t="s">
        <v>691</v>
      </c>
      <c r="E81" s="500" t="s">
        <v>738</v>
      </c>
      <c r="F81" s="500">
        <v>90930</v>
      </c>
      <c r="G81" s="500" t="str">
        <f t="array" ref="G81">INDEX(Consolidado!N:N,MATCH(F81,Consolidado!G:G,0))</f>
        <v>Popayán</v>
      </c>
      <c r="H81" s="500" t="str">
        <f t="array" ref="H81">INDEX(Consolidado!R:R,MATCH(F81,Consolidado!G:G,0))</f>
        <v>Posgrado</v>
      </c>
      <c r="I81" s="561"/>
    </row>
    <row r="82" spans="3:9" ht="12.75" customHeight="1" x14ac:dyDescent="0.2">
      <c r="C82" s="572">
        <v>75</v>
      </c>
      <c r="D82" s="500" t="s">
        <v>691</v>
      </c>
      <c r="E82" s="500" t="s">
        <v>727</v>
      </c>
      <c r="F82" s="500">
        <v>7520</v>
      </c>
      <c r="G82" s="500" t="str">
        <f t="array" ref="G82">INDEX(Consolidado!N:N,MATCH(F82,Consolidado!G:G,0))</f>
        <v>Popayán</v>
      </c>
      <c r="H82" s="500" t="str">
        <f t="array" ref="H82">INDEX(Consolidado!R:R,MATCH(F82,Consolidado!G:G,0))</f>
        <v>Pregrado</v>
      </c>
      <c r="I82" s="561"/>
    </row>
    <row r="83" spans="3:9" ht="12.75" customHeight="1" x14ac:dyDescent="0.2">
      <c r="C83" s="572">
        <v>76</v>
      </c>
      <c r="D83" s="500" t="s">
        <v>691</v>
      </c>
      <c r="E83" s="500" t="s">
        <v>702</v>
      </c>
      <c r="F83" s="500">
        <v>238</v>
      </c>
      <c r="G83" s="500" t="str">
        <f t="array" ref="G83">INDEX(Consolidado!N:N,MATCH(F83,Consolidado!G:G,0))</f>
        <v>Popayán</v>
      </c>
      <c r="H83" s="500" t="str">
        <f t="array" ref="H83">INDEX(Consolidado!R:R,MATCH(F83,Consolidado!G:G,0))</f>
        <v>Pregrado</v>
      </c>
      <c r="I83" s="561"/>
    </row>
    <row r="84" spans="3:9" ht="12.75" customHeight="1" x14ac:dyDescent="0.2">
      <c r="C84" s="572">
        <v>77</v>
      </c>
      <c r="D84" s="500" t="s">
        <v>691</v>
      </c>
      <c r="E84" s="500" t="s">
        <v>770</v>
      </c>
      <c r="F84" s="500">
        <v>7519</v>
      </c>
      <c r="G84" s="500" t="str">
        <f t="array" ref="G84">INDEX(Consolidado!N:N,MATCH(F84,Consolidado!G:G,0))</f>
        <v>Popayán</v>
      </c>
      <c r="H84" s="500" t="str">
        <f t="array" ref="H84">INDEX(Consolidado!R:R,MATCH(F84,Consolidado!G:G,0))</f>
        <v>Pregrado</v>
      </c>
      <c r="I84" s="561"/>
    </row>
    <row r="85" spans="3:9" ht="12.75" customHeight="1" x14ac:dyDescent="0.2">
      <c r="C85" s="572">
        <v>78</v>
      </c>
      <c r="D85" s="500" t="s">
        <v>691</v>
      </c>
      <c r="E85" s="500" t="s">
        <v>751</v>
      </c>
      <c r="F85" s="500">
        <v>55175</v>
      </c>
      <c r="G85" s="500" t="str">
        <f t="array" ref="G85">INDEX(Consolidado!N:N,MATCH(F85,Consolidado!G:G,0))</f>
        <v>Popayán</v>
      </c>
      <c r="H85" s="500" t="str">
        <f t="array" ref="H85">INDEX(Consolidado!R:R,MATCH(F85,Consolidado!G:G,0))</f>
        <v>Posgrado</v>
      </c>
      <c r="I85" s="561"/>
    </row>
    <row r="86" spans="3:9" ht="12.75" customHeight="1" x14ac:dyDescent="0.2">
      <c r="C86" s="572">
        <v>79</v>
      </c>
      <c r="D86" s="500" t="s">
        <v>691</v>
      </c>
      <c r="E86" s="500" t="s">
        <v>764</v>
      </c>
      <c r="F86" s="500">
        <v>53505</v>
      </c>
      <c r="G86" s="500" t="str">
        <f t="array" ref="G86">INDEX(Consolidado!N:N,MATCH(F86,Consolidado!G:G,0))</f>
        <v>Popayán</v>
      </c>
      <c r="H86" s="500" t="str">
        <f t="array" ref="H86">INDEX(Consolidado!R:R,MATCH(F86,Consolidado!G:G,0))</f>
        <v>Posgrado</v>
      </c>
      <c r="I86" s="561"/>
    </row>
    <row r="87" spans="3:9" ht="12.75" customHeight="1" x14ac:dyDescent="0.2">
      <c r="C87" s="572">
        <v>80</v>
      </c>
      <c r="D87" s="500" t="s">
        <v>691</v>
      </c>
      <c r="E87" s="500" t="s">
        <v>733</v>
      </c>
      <c r="F87" s="500">
        <v>252</v>
      </c>
      <c r="G87" s="500" t="str">
        <f t="array" ref="G87">INDEX(Consolidado!N:N,MATCH(F87,Consolidado!G:G,0))</f>
        <v>Popayán</v>
      </c>
      <c r="H87" s="500" t="str">
        <f t="array" ref="H87">INDEX(Consolidado!R:R,MATCH(F87,Consolidado!G:G,0))</f>
        <v>Posgrado</v>
      </c>
      <c r="I87" s="561"/>
    </row>
    <row r="88" spans="3:9" ht="12.75" customHeight="1" x14ac:dyDescent="0.2">
      <c r="C88" s="572">
        <v>81</v>
      </c>
      <c r="D88" s="500" t="s">
        <v>691</v>
      </c>
      <c r="E88" s="500" t="s">
        <v>710</v>
      </c>
      <c r="F88" s="500">
        <v>90930</v>
      </c>
      <c r="G88" s="500" t="str">
        <f t="array" ref="G88">INDEX(Consolidado!N:N,MATCH(F88,Consolidado!G:G,0))</f>
        <v>Popayán</v>
      </c>
      <c r="H88" s="500" t="str">
        <f t="array" ref="H88">INDEX(Consolidado!R:R,MATCH(F88,Consolidado!G:G,0))</f>
        <v>Posgrado</v>
      </c>
      <c r="I88" s="561"/>
    </row>
    <row r="89" spans="3:9" ht="12.75" customHeight="1" x14ac:dyDescent="0.2">
      <c r="C89" s="572">
        <v>82</v>
      </c>
      <c r="D89" s="500" t="s">
        <v>691</v>
      </c>
      <c r="E89" s="500" t="s">
        <v>743</v>
      </c>
      <c r="F89" s="500">
        <v>104646</v>
      </c>
      <c r="G89" s="500" t="str">
        <f t="array" ref="G89">INDEX(Consolidado!N:N,MATCH(F89,Consolidado!G:G,0))</f>
        <v>Popayán</v>
      </c>
      <c r="H89" s="500" t="str">
        <f t="array" ref="H89">INDEX(Consolidado!R:R,MATCH(F89,Consolidado!G:G,0))</f>
        <v>Posgrado</v>
      </c>
      <c r="I89" s="561"/>
    </row>
    <row r="90" spans="3:9" ht="12.75" customHeight="1" x14ac:dyDescent="0.2">
      <c r="C90" s="572">
        <v>83</v>
      </c>
      <c r="D90" s="500" t="s">
        <v>691</v>
      </c>
      <c r="E90" s="500" t="s">
        <v>720</v>
      </c>
      <c r="F90" s="500">
        <v>223</v>
      </c>
      <c r="G90" s="500" t="str">
        <f t="array" ref="G90">INDEX(Consolidado!N:N,MATCH(F90,Consolidado!G:G,0))</f>
        <v>Popayán</v>
      </c>
      <c r="H90" s="500" t="str">
        <f t="array" ref="H90">INDEX(Consolidado!R:R,MATCH(F90,Consolidado!G:G,0))</f>
        <v>Pregrado</v>
      </c>
      <c r="I90" s="561" t="s">
        <v>1073</v>
      </c>
    </row>
  </sheetData>
  <mergeCells count="3">
    <mergeCell ref="C1:C4"/>
    <mergeCell ref="I1:I4"/>
    <mergeCell ref="C6:I6"/>
  </mergeCells>
  <conditionalFormatting sqref="D8:I90">
    <cfRule type="expression" dxfId="17" priority="1">
      <formula>$I8="Acreditado a 2026"</formula>
    </cfRule>
    <cfRule type="expression" dxfId="16" priority="2">
      <formula>$I8="En proceso de AAC"</formula>
    </cfRule>
    <cfRule type="expression" dxfId="15" priority="3">
      <formula>$I8="Nuevos"</formula>
    </cfRule>
    <cfRule type="expression" dxfId="14" priority="4">
      <formula>$I8="En proceso renovación"</formula>
    </cfRule>
    <cfRule type="expression" dxfId="13" priority="5">
      <formula>$I8="Renovaciones"</formula>
    </cfRule>
  </conditionalFormatting>
  <dataValidations count="1">
    <dataValidation type="list" allowBlank="1" showErrorMessage="1" sqref="I8:I90" xr:uid="{00000000-0002-0000-0B00-000000000000}">
      <formula1>$L$8:$L$12</formula1>
    </dataValidation>
  </dataValidations>
  <pageMargins left="0.7" right="0.7" top="0.75" bottom="0.75" header="0" footer="0"/>
  <pageSetup orientation="portrait"/>
  <drawing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AE175"/>
  <sheetViews>
    <sheetView workbookViewId="0">
      <pane xSplit="4" ySplit="6" topLeftCell="E7" activePane="bottomRight" state="frozen"/>
      <selection pane="topRight" activeCell="E1" sqref="E1"/>
      <selection pane="bottomLeft" activeCell="A7" sqref="A7"/>
      <selection pane="bottomRight" activeCell="E7" sqref="E7"/>
    </sheetView>
  </sheetViews>
  <sheetFormatPr baseColWidth="10" defaultColWidth="12.5703125" defaultRowHeight="15" customHeight="1" x14ac:dyDescent="0.2"/>
  <cols>
    <col min="1" max="1" width="8.42578125" customWidth="1"/>
    <col min="2" max="2" width="31.28515625" customWidth="1"/>
    <col min="3" max="3" width="35" customWidth="1"/>
    <col min="4" max="4" width="9.140625" customWidth="1"/>
    <col min="5" max="5" width="13" customWidth="1"/>
    <col min="6" max="6" width="12.28515625" customWidth="1"/>
    <col min="7" max="7" width="11.42578125" customWidth="1"/>
    <col min="8" max="8" width="16.42578125" customWidth="1"/>
    <col min="9" max="9" width="21.42578125" customWidth="1"/>
    <col min="10" max="10" width="14.42578125" customWidth="1"/>
    <col min="11" max="11" width="10" customWidth="1"/>
    <col min="12" max="29" width="11.42578125" customWidth="1"/>
    <col min="30" max="30" width="13.28515625" customWidth="1"/>
    <col min="31" max="31" width="11.42578125" customWidth="1"/>
  </cols>
  <sheetData>
    <row r="1" spans="1:31" ht="42" customHeight="1" x14ac:dyDescent="0.2">
      <c r="A1" s="769"/>
      <c r="B1" s="758"/>
      <c r="C1" s="758"/>
      <c r="D1" s="758"/>
      <c r="E1" s="758"/>
      <c r="F1" s="758"/>
      <c r="G1" s="758"/>
      <c r="H1" s="758"/>
      <c r="I1" s="758"/>
      <c r="J1" s="758"/>
      <c r="K1" s="573"/>
      <c r="L1" s="573"/>
      <c r="M1" s="573"/>
      <c r="N1" s="573"/>
      <c r="O1" s="573"/>
      <c r="P1" s="573"/>
      <c r="Q1" s="573"/>
      <c r="R1" s="573"/>
      <c r="S1" s="573"/>
      <c r="T1" s="573"/>
      <c r="U1" s="573"/>
      <c r="V1" s="573"/>
      <c r="W1" s="573"/>
      <c r="X1" s="573"/>
      <c r="Y1" s="573"/>
      <c r="Z1" s="573"/>
      <c r="AA1" s="573"/>
      <c r="AB1" s="573"/>
      <c r="AC1" s="573"/>
      <c r="AD1" s="13"/>
      <c r="AE1" s="573"/>
    </row>
    <row r="2" spans="1:31" ht="42" customHeight="1" x14ac:dyDescent="0.2">
      <c r="A2" s="808" t="s">
        <v>0</v>
      </c>
      <c r="B2" s="758"/>
      <c r="C2" s="758"/>
      <c r="D2" s="758"/>
      <c r="K2" s="573"/>
      <c r="L2" s="573"/>
      <c r="M2" s="573"/>
      <c r="N2" s="573"/>
      <c r="O2" s="573"/>
      <c r="P2" s="573"/>
      <c r="Q2" s="573"/>
      <c r="R2" s="573"/>
      <c r="S2" s="573"/>
      <c r="T2" s="573"/>
      <c r="U2" s="573"/>
      <c r="V2" s="573"/>
      <c r="W2" s="573"/>
      <c r="X2" s="573"/>
      <c r="Y2" s="573"/>
      <c r="Z2" s="573"/>
      <c r="AA2" s="573"/>
      <c r="AB2" s="573"/>
      <c r="AC2" s="573"/>
      <c r="AD2" s="13"/>
      <c r="AE2" s="573"/>
    </row>
    <row r="3" spans="1:31" ht="42" customHeight="1" x14ac:dyDescent="0.2">
      <c r="A3" s="808" t="s">
        <v>1079</v>
      </c>
      <c r="B3" s="758"/>
      <c r="C3" s="758"/>
      <c r="D3" s="758"/>
      <c r="K3" s="573"/>
      <c r="L3" s="573"/>
      <c r="M3" s="573"/>
      <c r="N3" s="573"/>
      <c r="O3" s="573"/>
      <c r="P3" s="573"/>
      <c r="Q3" s="573"/>
      <c r="R3" s="573"/>
      <c r="S3" s="573"/>
      <c r="T3" s="573"/>
      <c r="U3" s="573"/>
      <c r="V3" s="573"/>
      <c r="W3" s="573"/>
      <c r="X3" s="573"/>
      <c r="Y3" s="573"/>
      <c r="Z3" s="573"/>
      <c r="AA3" s="573"/>
      <c r="AB3" s="573"/>
      <c r="AC3" s="573"/>
      <c r="AD3" s="13"/>
      <c r="AE3" s="573"/>
    </row>
    <row r="4" spans="1:31" ht="42" customHeight="1" x14ac:dyDescent="0.2">
      <c r="A4" s="809" t="s">
        <v>1080</v>
      </c>
      <c r="B4" s="758"/>
      <c r="C4" s="758"/>
      <c r="D4" s="758"/>
      <c r="E4" s="22"/>
      <c r="F4" s="22"/>
      <c r="G4" s="22"/>
      <c r="H4" s="22"/>
      <c r="I4" s="22"/>
      <c r="J4" s="22"/>
      <c r="K4" s="573"/>
      <c r="L4" s="573"/>
      <c r="M4" s="573"/>
      <c r="N4" s="573"/>
      <c r="O4" s="573"/>
      <c r="P4" s="573"/>
      <c r="Q4" s="573"/>
      <c r="R4" s="573"/>
      <c r="S4" s="573"/>
      <c r="T4" s="573"/>
      <c r="U4" s="573"/>
      <c r="V4" s="573"/>
      <c r="W4" s="573"/>
      <c r="X4" s="573"/>
      <c r="Y4" s="573"/>
      <c r="Z4" s="573"/>
      <c r="AA4" s="573"/>
      <c r="AB4" s="573"/>
      <c r="AC4" s="573"/>
      <c r="AD4" s="13"/>
      <c r="AE4" s="573"/>
    </row>
    <row r="5" spans="1:31" ht="42" customHeight="1" x14ac:dyDescent="0.2">
      <c r="A5" s="22"/>
      <c r="B5" s="27"/>
      <c r="C5" s="27"/>
      <c r="D5" s="27"/>
      <c r="E5" s="27"/>
      <c r="F5" s="27"/>
      <c r="G5" s="27"/>
      <c r="H5" s="27"/>
      <c r="I5" s="27"/>
      <c r="J5" s="27"/>
      <c r="K5" s="573"/>
      <c r="L5" s="573"/>
      <c r="M5" s="573"/>
      <c r="N5" s="573"/>
      <c r="O5" s="573"/>
      <c r="P5" s="573"/>
      <c r="Q5" s="573"/>
      <c r="R5" s="573"/>
      <c r="S5" s="573"/>
      <c r="T5" s="573"/>
      <c r="U5" s="573"/>
      <c r="V5" s="573"/>
      <c r="W5" s="573"/>
      <c r="X5" s="573"/>
      <c r="Y5" s="573"/>
      <c r="Z5" s="573"/>
      <c r="AA5" s="573"/>
      <c r="AB5" s="573"/>
      <c r="AC5" s="573"/>
      <c r="AD5" s="13"/>
      <c r="AE5" s="573"/>
    </row>
    <row r="6" spans="1:31" ht="42" customHeight="1" x14ac:dyDescent="0.2">
      <c r="A6" s="574" t="s">
        <v>17</v>
      </c>
      <c r="B6" s="575" t="s">
        <v>19</v>
      </c>
      <c r="C6" s="575" t="s">
        <v>20</v>
      </c>
      <c r="D6" s="575" t="s">
        <v>23</v>
      </c>
      <c r="E6" s="576" t="s">
        <v>1081</v>
      </c>
      <c r="F6" s="576" t="s">
        <v>63</v>
      </c>
      <c r="G6" s="576" t="s">
        <v>48</v>
      </c>
      <c r="H6" s="577" t="s">
        <v>1082</v>
      </c>
      <c r="I6" s="578" t="s">
        <v>1083</v>
      </c>
      <c r="J6" s="576" t="s">
        <v>66</v>
      </c>
      <c r="K6" s="575" t="s">
        <v>1084</v>
      </c>
      <c r="L6" s="575" t="s">
        <v>1085</v>
      </c>
      <c r="M6" s="575" t="s">
        <v>1086</v>
      </c>
      <c r="N6" s="575" t="s">
        <v>1087</v>
      </c>
      <c r="O6" s="575" t="s">
        <v>1088</v>
      </c>
      <c r="P6" s="575" t="s">
        <v>1089</v>
      </c>
      <c r="Q6" s="575" t="s">
        <v>1090</v>
      </c>
      <c r="R6" s="575" t="s">
        <v>1091</v>
      </c>
      <c r="S6" s="575" t="s">
        <v>1092</v>
      </c>
      <c r="T6" s="575" t="s">
        <v>1093</v>
      </c>
      <c r="U6" s="575" t="s">
        <v>1094</v>
      </c>
      <c r="V6" s="575" t="s">
        <v>1095</v>
      </c>
      <c r="W6" s="575" t="s">
        <v>1096</v>
      </c>
      <c r="X6" s="575" t="s">
        <v>1097</v>
      </c>
      <c r="Y6" s="575" t="s">
        <v>1098</v>
      </c>
      <c r="Z6" s="575" t="s">
        <v>1099</v>
      </c>
      <c r="AA6" s="575" t="s">
        <v>1100</v>
      </c>
      <c r="AB6" s="575" t="s">
        <v>1101</v>
      </c>
      <c r="AC6" s="579" t="s">
        <v>1102</v>
      </c>
      <c r="AD6" s="579" t="s">
        <v>1071</v>
      </c>
      <c r="AE6" s="580" t="s">
        <v>1103</v>
      </c>
    </row>
    <row r="7" spans="1:31" ht="36" customHeight="1" x14ac:dyDescent="0.2">
      <c r="A7" s="581">
        <v>1</v>
      </c>
      <c r="B7" s="535" t="s">
        <v>74</v>
      </c>
      <c r="C7" s="535" t="s">
        <v>75</v>
      </c>
      <c r="D7" s="536">
        <v>224</v>
      </c>
      <c r="E7" s="582">
        <f>Consolidado!$AU$7</f>
        <v>0</v>
      </c>
      <c r="F7" s="583">
        <f>Consolidado!$AV$7</f>
        <v>0</v>
      </c>
      <c r="G7" s="582">
        <f>Consolidado!$AW$7</f>
        <v>0</v>
      </c>
      <c r="H7" s="65" t="e">
        <f t="shared" ref="H7:H175" si="0">EDATE(F7,(G7*12)-14)</f>
        <v>#NUM!</v>
      </c>
      <c r="I7" s="68" t="e">
        <f t="shared" ref="I7:I175" si="1">EDATE(F7,(G7*12)-12)</f>
        <v>#NUM!</v>
      </c>
      <c r="J7" s="68">
        <f t="shared" ref="J7:J175" si="2">EDATE(F7,(G7*12))</f>
        <v>0</v>
      </c>
      <c r="K7" s="584"/>
      <c r="L7" s="584"/>
      <c r="M7" s="584"/>
      <c r="N7" s="584"/>
      <c r="O7" s="584"/>
      <c r="P7" s="584"/>
      <c r="Q7" s="584"/>
      <c r="R7" s="584"/>
      <c r="S7" s="584"/>
      <c r="T7" s="584"/>
      <c r="U7" s="584"/>
      <c r="V7" s="584"/>
      <c r="W7" s="584"/>
      <c r="X7" s="584"/>
      <c r="Y7" s="585"/>
      <c r="Z7" s="584"/>
      <c r="AA7" s="584"/>
      <c r="AB7" s="584"/>
      <c r="AC7" s="584"/>
      <c r="AD7" s="52" t="str">
        <f t="shared" ref="AD7:AD155" ca="1" si="3">IF(J7="N/A","N/A",IF(J7&gt;TODAY(),"Vigente","En proceso"))</f>
        <v>En proceso</v>
      </c>
      <c r="AE7" s="586" t="str">
        <f t="shared" ref="AE7:AE155" si="4">IF(K7="X",1,IF(L7="X",2,IF(M7="X",3,IF(N7="X",4,IF(O7="X",5,IF(P7="X",6,IF(Q7="X",7,IF(R7="X",8,IF(S7="X",9,IF(T7="X",10,IF(U7="X",11,IF(V7="X",12,IF(W7="X",13,IF(X7="X",14,IF(Y7="X",15,IF(Z7="X",16,IF(AA7="X",17,IF(AB7="X",18,IF(AC7="X",19," ")))))))))))))))))))</f>
        <v xml:space="preserve"> </v>
      </c>
    </row>
    <row r="8" spans="1:31" ht="42" customHeight="1" x14ac:dyDescent="0.2">
      <c r="A8" s="581">
        <v>2</v>
      </c>
      <c r="B8" s="51" t="s">
        <v>74</v>
      </c>
      <c r="C8" s="51" t="s">
        <v>1049</v>
      </c>
      <c r="D8" s="72">
        <v>225</v>
      </c>
      <c r="E8" s="368">
        <f>Consolidado!$AU$8</f>
        <v>0</v>
      </c>
      <c r="F8" s="68">
        <f>Consolidado!$AV$8</f>
        <v>0</v>
      </c>
      <c r="G8" s="74">
        <f>Consolidado!$AW$8</f>
        <v>0</v>
      </c>
      <c r="H8" s="65" t="e">
        <f t="shared" si="0"/>
        <v>#NUM!</v>
      </c>
      <c r="I8" s="68" t="e">
        <f t="shared" si="1"/>
        <v>#NUM!</v>
      </c>
      <c r="J8" s="68">
        <f t="shared" si="2"/>
        <v>0</v>
      </c>
      <c r="K8" s="587"/>
      <c r="L8" s="587"/>
      <c r="M8" s="587"/>
      <c r="N8" s="587"/>
      <c r="O8" s="587"/>
      <c r="P8" s="587"/>
      <c r="Q8" s="587"/>
      <c r="R8" s="587"/>
      <c r="S8" s="587"/>
      <c r="T8" s="587"/>
      <c r="U8" s="587"/>
      <c r="V8" s="587"/>
      <c r="W8" s="587"/>
      <c r="X8" s="587"/>
      <c r="Y8" s="587"/>
      <c r="Z8" s="587"/>
      <c r="AA8" s="587"/>
      <c r="AB8" s="587"/>
      <c r="AC8" s="587"/>
      <c r="AD8" s="52" t="str">
        <f t="shared" ca="1" si="3"/>
        <v>En proceso</v>
      </c>
      <c r="AE8" s="588" t="str">
        <f t="shared" si="4"/>
        <v xml:space="preserve"> </v>
      </c>
    </row>
    <row r="9" spans="1:31" ht="42" customHeight="1" x14ac:dyDescent="0.2">
      <c r="A9" s="581">
        <v>3</v>
      </c>
      <c r="B9" s="589" t="s">
        <v>74</v>
      </c>
      <c r="C9" s="51" t="s">
        <v>1050</v>
      </c>
      <c r="D9" s="50">
        <v>4963</v>
      </c>
      <c r="E9" s="368">
        <f>Consolidado!$AU$9</f>
        <v>1042</v>
      </c>
      <c r="F9" s="59">
        <f>Consolidado!$AV$9</f>
        <v>44960</v>
      </c>
      <c r="G9" s="74">
        <f>Consolidado!$AW$9</f>
        <v>6</v>
      </c>
      <c r="H9" s="65">
        <f t="shared" si="0"/>
        <v>46724</v>
      </c>
      <c r="I9" s="68">
        <f t="shared" si="1"/>
        <v>46786</v>
      </c>
      <c r="J9" s="68">
        <f t="shared" si="2"/>
        <v>47152</v>
      </c>
      <c r="K9" s="587"/>
      <c r="L9" s="587"/>
      <c r="M9" s="587"/>
      <c r="N9" s="587"/>
      <c r="O9" s="587"/>
      <c r="P9" s="587"/>
      <c r="Q9" s="587"/>
      <c r="R9" s="587"/>
      <c r="S9" s="587"/>
      <c r="T9" s="587"/>
      <c r="U9" s="587"/>
      <c r="V9" s="587"/>
      <c r="W9" s="587"/>
      <c r="X9" s="587"/>
      <c r="Y9" s="585"/>
      <c r="Z9" s="587"/>
      <c r="AA9" s="587"/>
      <c r="AB9" s="587"/>
      <c r="AC9" s="587"/>
      <c r="AD9" s="52" t="str">
        <f t="shared" ca="1" si="3"/>
        <v>Vigente</v>
      </c>
      <c r="AE9" s="588" t="str">
        <f t="shared" si="4"/>
        <v xml:space="preserve"> </v>
      </c>
    </row>
    <row r="10" spans="1:31" ht="42" customHeight="1" x14ac:dyDescent="0.2">
      <c r="A10" s="581">
        <v>4</v>
      </c>
      <c r="B10" s="51" t="s">
        <v>74</v>
      </c>
      <c r="C10" s="51" t="s">
        <v>1051</v>
      </c>
      <c r="D10" s="50">
        <v>11067</v>
      </c>
      <c r="E10" s="368">
        <f>Consolidado!$AU$10</f>
        <v>1037</v>
      </c>
      <c r="F10" s="59">
        <f>Consolidado!$AV$10</f>
        <v>44960</v>
      </c>
      <c r="G10" s="74">
        <f>Consolidado!$AW$10</f>
        <v>6</v>
      </c>
      <c r="H10" s="65">
        <f t="shared" si="0"/>
        <v>46724</v>
      </c>
      <c r="I10" s="68">
        <f t="shared" si="1"/>
        <v>46786</v>
      </c>
      <c r="J10" s="68">
        <f t="shared" si="2"/>
        <v>47152</v>
      </c>
      <c r="K10" s="587"/>
      <c r="L10" s="587"/>
      <c r="M10" s="573"/>
      <c r="N10" s="587"/>
      <c r="O10" s="587"/>
      <c r="P10" s="587"/>
      <c r="Q10" s="573"/>
      <c r="R10" s="587"/>
      <c r="S10" s="587"/>
      <c r="T10" s="587"/>
      <c r="U10" s="587"/>
      <c r="V10" s="587"/>
      <c r="W10" s="587"/>
      <c r="X10" s="587"/>
      <c r="Y10" s="587"/>
      <c r="Z10" s="587"/>
      <c r="AA10" s="587"/>
      <c r="AB10" s="587"/>
      <c r="AC10" s="587"/>
      <c r="AD10" s="52" t="str">
        <f t="shared" ca="1" si="3"/>
        <v>Vigente</v>
      </c>
      <c r="AE10" s="588" t="str">
        <f t="shared" si="4"/>
        <v xml:space="preserve"> </v>
      </c>
    </row>
    <row r="11" spans="1:31" ht="42" customHeight="1" x14ac:dyDescent="0.2">
      <c r="A11" s="581">
        <v>5</v>
      </c>
      <c r="B11" s="51" t="s">
        <v>74</v>
      </c>
      <c r="C11" s="51" t="s">
        <v>110</v>
      </c>
      <c r="D11" s="50">
        <v>54801</v>
      </c>
      <c r="E11" s="368">
        <f>Consolidado!$AU$11</f>
        <v>6400</v>
      </c>
      <c r="F11" s="59">
        <f>Consolidado!$AV$11</f>
        <v>45036</v>
      </c>
      <c r="G11" s="74">
        <f>Consolidado!$AW$11</f>
        <v>6</v>
      </c>
      <c r="H11" s="65">
        <f t="shared" si="0"/>
        <v>46803</v>
      </c>
      <c r="I11" s="68">
        <f t="shared" si="1"/>
        <v>46863</v>
      </c>
      <c r="J11" s="68">
        <f t="shared" si="2"/>
        <v>47228</v>
      </c>
      <c r="K11" s="587"/>
      <c r="L11" s="587"/>
      <c r="M11" s="573"/>
      <c r="N11" s="587"/>
      <c r="O11" s="587"/>
      <c r="P11" s="587"/>
      <c r="Q11" s="573"/>
      <c r="R11" s="587"/>
      <c r="S11" s="587"/>
      <c r="T11" s="587"/>
      <c r="U11" s="587"/>
      <c r="V11" s="587"/>
      <c r="W11" s="587"/>
      <c r="X11" s="587"/>
      <c r="Y11" s="587"/>
      <c r="Z11" s="587"/>
      <c r="AA11" s="587"/>
      <c r="AB11" s="587"/>
      <c r="AC11" s="587"/>
      <c r="AD11" s="52" t="str">
        <f t="shared" ca="1" si="3"/>
        <v>Vigente</v>
      </c>
      <c r="AE11" s="588" t="str">
        <f t="shared" si="4"/>
        <v xml:space="preserve"> </v>
      </c>
    </row>
    <row r="12" spans="1:31" ht="42" customHeight="1" x14ac:dyDescent="0.2">
      <c r="A12" s="581">
        <v>6</v>
      </c>
      <c r="B12" s="51" t="s">
        <v>74</v>
      </c>
      <c r="C12" s="51" t="s">
        <v>90</v>
      </c>
      <c r="D12" s="50">
        <v>104526</v>
      </c>
      <c r="E12" s="368">
        <f>Consolidado!$AU$12</f>
        <v>6402</v>
      </c>
      <c r="F12" s="68">
        <f>Consolidado!$AV$12</f>
        <v>45036</v>
      </c>
      <c r="G12" s="74">
        <f>Consolidado!$AW$12</f>
        <v>4</v>
      </c>
      <c r="H12" s="65">
        <f t="shared" si="0"/>
        <v>46073</v>
      </c>
      <c r="I12" s="68">
        <f t="shared" si="1"/>
        <v>46132</v>
      </c>
      <c r="J12" s="68">
        <f t="shared" si="2"/>
        <v>46497</v>
      </c>
      <c r="K12" s="587"/>
      <c r="L12" s="587"/>
      <c r="M12" s="587"/>
      <c r="N12" s="587"/>
      <c r="O12" s="587"/>
      <c r="P12" s="587"/>
      <c r="Q12" s="587"/>
      <c r="R12" s="587"/>
      <c r="S12" s="587"/>
      <c r="T12" s="587"/>
      <c r="U12" s="587"/>
      <c r="V12" s="587"/>
      <c r="W12" s="587"/>
      <c r="X12" s="587"/>
      <c r="Y12" s="587"/>
      <c r="Z12" s="587"/>
      <c r="AA12" s="587"/>
      <c r="AB12" s="587"/>
      <c r="AC12" s="587"/>
      <c r="AD12" s="52" t="str">
        <f t="shared" ca="1" si="3"/>
        <v>Vigente</v>
      </c>
      <c r="AE12" s="588" t="str">
        <f t="shared" si="4"/>
        <v xml:space="preserve"> </v>
      </c>
    </row>
    <row r="13" spans="1:31" ht="42" customHeight="1" x14ac:dyDescent="0.2">
      <c r="A13" s="581">
        <v>7</v>
      </c>
      <c r="B13" s="51" t="s">
        <v>74</v>
      </c>
      <c r="C13" s="51" t="s">
        <v>101</v>
      </c>
      <c r="D13" s="72">
        <v>106085</v>
      </c>
      <c r="E13" s="74" t="e">
        <f>Consolidado!#REF!</f>
        <v>#REF!</v>
      </c>
      <c r="F13" s="74" t="e">
        <f>Consolidado!#REF!</f>
        <v>#REF!</v>
      </c>
      <c r="G13" s="74" t="e">
        <f>Consolidado!#REF!</f>
        <v>#REF!</v>
      </c>
      <c r="H13" s="65" t="e">
        <f t="shared" si="0"/>
        <v>#REF!</v>
      </c>
      <c r="I13" s="68" t="e">
        <f t="shared" si="1"/>
        <v>#REF!</v>
      </c>
      <c r="J13" s="68" t="e">
        <f t="shared" si="2"/>
        <v>#REF!</v>
      </c>
      <c r="K13" s="587"/>
      <c r="L13" s="587"/>
      <c r="M13" s="587"/>
      <c r="N13" s="587"/>
      <c r="O13" s="587"/>
      <c r="P13" s="587"/>
      <c r="Q13" s="587"/>
      <c r="R13" s="587"/>
      <c r="S13" s="587"/>
      <c r="T13" s="587"/>
      <c r="U13" s="587"/>
      <c r="V13" s="587"/>
      <c r="W13" s="587"/>
      <c r="X13" s="587"/>
      <c r="Y13" s="587"/>
      <c r="Z13" s="587"/>
      <c r="AA13" s="587"/>
      <c r="AB13" s="587"/>
      <c r="AC13" s="587"/>
      <c r="AD13" s="52" t="e">
        <f t="shared" ca="1" si="3"/>
        <v>#REF!</v>
      </c>
      <c r="AE13" s="588" t="str">
        <f t="shared" si="4"/>
        <v xml:space="preserve"> </v>
      </c>
    </row>
    <row r="14" spans="1:31" ht="42" customHeight="1" x14ac:dyDescent="0.2">
      <c r="A14" s="590">
        <v>8</v>
      </c>
      <c r="B14" s="51" t="s">
        <v>130</v>
      </c>
      <c r="C14" s="51" t="s">
        <v>131</v>
      </c>
      <c r="D14" s="50">
        <v>3833</v>
      </c>
      <c r="E14" s="368" t="e">
        <f t="shared" ref="E14:G14" si="5">#REF!</f>
        <v>#REF!</v>
      </c>
      <c r="F14" s="68" t="e">
        <f t="shared" si="5"/>
        <v>#REF!</v>
      </c>
      <c r="G14" s="74" t="e">
        <f t="shared" si="5"/>
        <v>#REF!</v>
      </c>
      <c r="H14" s="65" t="e">
        <f t="shared" si="0"/>
        <v>#REF!</v>
      </c>
      <c r="I14" s="68" t="e">
        <f t="shared" si="1"/>
        <v>#REF!</v>
      </c>
      <c r="J14" s="68" t="e">
        <f t="shared" si="2"/>
        <v>#REF!</v>
      </c>
      <c r="K14" s="587"/>
      <c r="L14" s="587"/>
      <c r="M14" s="587"/>
      <c r="N14" s="587"/>
      <c r="O14" s="587"/>
      <c r="P14" s="587"/>
      <c r="Q14" s="587"/>
      <c r="R14" s="587"/>
      <c r="S14" s="587"/>
      <c r="T14" s="587"/>
      <c r="U14" s="587"/>
      <c r="V14" s="587"/>
      <c r="W14" s="587"/>
      <c r="X14" s="587"/>
      <c r="Y14" s="587"/>
      <c r="Z14" s="587"/>
      <c r="AA14" s="587"/>
      <c r="AB14" s="587"/>
      <c r="AC14" s="587"/>
      <c r="AD14" s="52" t="e">
        <f t="shared" ca="1" si="3"/>
        <v>#REF!</v>
      </c>
      <c r="AE14" s="588" t="str">
        <f t="shared" si="4"/>
        <v xml:space="preserve"> </v>
      </c>
    </row>
    <row r="15" spans="1:31" ht="42" customHeight="1" x14ac:dyDescent="0.2">
      <c r="A15" s="590">
        <v>9</v>
      </c>
      <c r="B15" s="51" t="s">
        <v>130</v>
      </c>
      <c r="C15" s="51" t="s">
        <v>966</v>
      </c>
      <c r="D15" s="50">
        <v>7171</v>
      </c>
      <c r="E15" s="368" t="e">
        <f t="shared" ref="E15:G15" si="6">#REF!</f>
        <v>#REF!</v>
      </c>
      <c r="F15" s="59" t="e">
        <f t="shared" si="6"/>
        <v>#REF!</v>
      </c>
      <c r="G15" s="74" t="e">
        <f t="shared" si="6"/>
        <v>#REF!</v>
      </c>
      <c r="H15" s="65" t="e">
        <f t="shared" si="0"/>
        <v>#REF!</v>
      </c>
      <c r="I15" s="68" t="e">
        <f t="shared" si="1"/>
        <v>#REF!</v>
      </c>
      <c r="J15" s="68" t="e">
        <f t="shared" si="2"/>
        <v>#REF!</v>
      </c>
      <c r="K15" s="587"/>
      <c r="L15" s="587"/>
      <c r="M15" s="587"/>
      <c r="N15" s="587"/>
      <c r="O15" s="587"/>
      <c r="P15" s="587"/>
      <c r="Q15" s="587"/>
      <c r="R15" s="587"/>
      <c r="S15" s="587"/>
      <c r="T15" s="587"/>
      <c r="U15" s="587"/>
      <c r="V15" s="587"/>
      <c r="W15" s="587" t="s">
        <v>1104</v>
      </c>
      <c r="X15" s="587"/>
      <c r="Y15" s="587"/>
      <c r="Z15" s="587"/>
      <c r="AA15" s="587"/>
      <c r="AB15" s="587"/>
      <c r="AC15" s="587"/>
      <c r="AD15" s="52" t="e">
        <f t="shared" ca="1" si="3"/>
        <v>#REF!</v>
      </c>
      <c r="AE15" s="588">
        <f t="shared" si="4"/>
        <v>13</v>
      </c>
    </row>
    <row r="16" spans="1:31" ht="42" customHeight="1" x14ac:dyDescent="0.2">
      <c r="A16" s="590">
        <v>10</v>
      </c>
      <c r="B16" s="51" t="s">
        <v>130</v>
      </c>
      <c r="C16" s="51" t="s">
        <v>1054</v>
      </c>
      <c r="D16" s="50">
        <v>9833</v>
      </c>
      <c r="E16" s="368">
        <f>Consolidado!$AU$13</f>
        <v>13200</v>
      </c>
      <c r="F16" s="68">
        <f>Consolidado!$AV$13</f>
        <v>44029</v>
      </c>
      <c r="G16" s="74">
        <f>Consolidado!$AW$13</f>
        <v>6</v>
      </c>
      <c r="H16" s="65">
        <f t="shared" si="0"/>
        <v>45794</v>
      </c>
      <c r="I16" s="68">
        <f t="shared" si="1"/>
        <v>45855</v>
      </c>
      <c r="J16" s="68">
        <f t="shared" si="2"/>
        <v>46220</v>
      </c>
      <c r="K16" s="587"/>
      <c r="L16" s="587"/>
      <c r="M16" s="587"/>
      <c r="N16" s="587"/>
      <c r="O16" s="587"/>
      <c r="P16" s="587"/>
      <c r="Q16" s="587"/>
      <c r="R16" s="587"/>
      <c r="S16" s="587"/>
      <c r="T16" s="587"/>
      <c r="U16" s="587"/>
      <c r="V16" s="587"/>
      <c r="W16" s="587"/>
      <c r="X16" s="587"/>
      <c r="Y16" s="587"/>
      <c r="Z16" s="587"/>
      <c r="AA16" s="587"/>
      <c r="AB16" s="587"/>
      <c r="AC16" s="587"/>
      <c r="AD16" s="52" t="str">
        <f t="shared" ca="1" si="3"/>
        <v>Vigente</v>
      </c>
      <c r="AE16" s="588" t="str">
        <f t="shared" si="4"/>
        <v xml:space="preserve"> </v>
      </c>
    </row>
    <row r="17" spans="1:31" ht="42" customHeight="1" x14ac:dyDescent="0.2">
      <c r="A17" s="590">
        <v>11</v>
      </c>
      <c r="B17" s="51" t="s">
        <v>130</v>
      </c>
      <c r="C17" s="51" t="s">
        <v>1105</v>
      </c>
      <c r="D17" s="50">
        <v>17387</v>
      </c>
      <c r="E17" s="74" t="e">
        <f>Consolidado!#REF!</f>
        <v>#REF!</v>
      </c>
      <c r="F17" s="74" t="e">
        <f>Consolidado!#REF!</f>
        <v>#REF!</v>
      </c>
      <c r="G17" s="74" t="e">
        <f>Consolidado!#REF!</f>
        <v>#REF!</v>
      </c>
      <c r="H17" s="65" t="e">
        <f t="shared" si="0"/>
        <v>#REF!</v>
      </c>
      <c r="I17" s="68" t="e">
        <f t="shared" si="1"/>
        <v>#REF!</v>
      </c>
      <c r="J17" s="68" t="e">
        <f t="shared" si="2"/>
        <v>#REF!</v>
      </c>
      <c r="K17" s="587"/>
      <c r="L17" s="587"/>
      <c r="M17" s="587"/>
      <c r="N17" s="587"/>
      <c r="O17" s="587"/>
      <c r="P17" s="587"/>
      <c r="Q17" s="587"/>
      <c r="R17" s="587"/>
      <c r="S17" s="587"/>
      <c r="T17" s="587"/>
      <c r="U17" s="587"/>
      <c r="V17" s="587"/>
      <c r="W17" s="587"/>
      <c r="X17" s="587"/>
      <c r="Y17" s="587"/>
      <c r="Z17" s="587"/>
      <c r="AA17" s="587"/>
      <c r="AB17" s="587"/>
      <c r="AC17" s="587"/>
      <c r="AD17" s="52" t="e">
        <f t="shared" ca="1" si="3"/>
        <v>#REF!</v>
      </c>
      <c r="AE17" s="588" t="str">
        <f t="shared" si="4"/>
        <v xml:space="preserve"> </v>
      </c>
    </row>
    <row r="18" spans="1:31" ht="42" customHeight="1" x14ac:dyDescent="0.2">
      <c r="A18" s="590">
        <v>12</v>
      </c>
      <c r="B18" s="51" t="s">
        <v>130</v>
      </c>
      <c r="C18" s="51" t="s">
        <v>165</v>
      </c>
      <c r="D18" s="50">
        <v>103231</v>
      </c>
      <c r="E18" s="74" t="str">
        <f>Consolidado!$AU$14</f>
        <v>N/A</v>
      </c>
      <c r="F18" s="68" t="str">
        <f>Consolidado!$AV$14</f>
        <v>N/A</v>
      </c>
      <c r="G18" s="74" t="str">
        <f>Consolidado!$AW$14</f>
        <v>N/A</v>
      </c>
      <c r="H18" s="65" t="e">
        <f t="shared" si="0"/>
        <v>#VALUE!</v>
      </c>
      <c r="I18" s="68" t="e">
        <f t="shared" si="1"/>
        <v>#VALUE!</v>
      </c>
      <c r="J18" s="68" t="e">
        <f t="shared" si="2"/>
        <v>#VALUE!</v>
      </c>
      <c r="K18" s="587"/>
      <c r="L18" s="587"/>
      <c r="M18" s="587"/>
      <c r="N18" s="587"/>
      <c r="O18" s="587"/>
      <c r="P18" s="587"/>
      <c r="Q18" s="587"/>
      <c r="R18" s="587"/>
      <c r="S18" s="587"/>
      <c r="T18" s="587"/>
      <c r="U18" s="587"/>
      <c r="V18" s="587"/>
      <c r="W18" s="587"/>
      <c r="X18" s="587"/>
      <c r="Y18" s="587"/>
      <c r="Z18" s="587"/>
      <c r="AA18" s="587"/>
      <c r="AB18" s="587"/>
      <c r="AC18" s="587"/>
      <c r="AD18" s="52" t="e">
        <f t="shared" ca="1" si="3"/>
        <v>#VALUE!</v>
      </c>
      <c r="AE18" s="588" t="str">
        <f t="shared" si="4"/>
        <v xml:space="preserve"> </v>
      </c>
    </row>
    <row r="19" spans="1:31" ht="42" customHeight="1" x14ac:dyDescent="0.2">
      <c r="A19" s="590">
        <v>13</v>
      </c>
      <c r="B19" s="51" t="s">
        <v>130</v>
      </c>
      <c r="C19" s="51" t="s">
        <v>143</v>
      </c>
      <c r="D19" s="50">
        <v>103292</v>
      </c>
      <c r="E19" s="64" t="str">
        <f>Consolidado!$AU$15</f>
        <v>N/A</v>
      </c>
      <c r="F19" s="63" t="str">
        <f>Consolidado!$AV$15</f>
        <v>N/A</v>
      </c>
      <c r="G19" s="64" t="str">
        <f>Consolidado!$AW$15</f>
        <v>N/A</v>
      </c>
      <c r="H19" s="65" t="e">
        <f t="shared" si="0"/>
        <v>#VALUE!</v>
      </c>
      <c r="I19" s="68" t="e">
        <f t="shared" si="1"/>
        <v>#VALUE!</v>
      </c>
      <c r="J19" s="68" t="e">
        <f t="shared" si="2"/>
        <v>#VALUE!</v>
      </c>
      <c r="K19" s="587"/>
      <c r="L19" s="587"/>
      <c r="M19" s="587"/>
      <c r="N19" s="587"/>
      <c r="O19" s="587"/>
      <c r="P19" s="587"/>
      <c r="Q19" s="587"/>
      <c r="R19" s="587"/>
      <c r="S19" s="587"/>
      <c r="T19" s="587"/>
      <c r="U19" s="587"/>
      <c r="V19" s="587"/>
      <c r="W19" s="587"/>
      <c r="X19" s="587"/>
      <c r="Y19" s="587"/>
      <c r="Z19" s="587"/>
      <c r="AA19" s="587"/>
      <c r="AB19" s="587"/>
      <c r="AC19" s="587"/>
      <c r="AD19" s="52" t="e">
        <f t="shared" ca="1" si="3"/>
        <v>#VALUE!</v>
      </c>
      <c r="AE19" s="588" t="str">
        <f t="shared" si="4"/>
        <v xml:space="preserve"> </v>
      </c>
    </row>
    <row r="20" spans="1:31" ht="42" customHeight="1" x14ac:dyDescent="0.2">
      <c r="A20" s="590">
        <v>14</v>
      </c>
      <c r="B20" s="51" t="s">
        <v>130</v>
      </c>
      <c r="C20" s="51" t="s">
        <v>131</v>
      </c>
      <c r="D20" s="50">
        <v>103303</v>
      </c>
      <c r="E20" s="74" t="e">
        <f>Consolidado!#REF!</f>
        <v>#REF!</v>
      </c>
      <c r="F20" s="74" t="e">
        <f>Consolidado!#REF!</f>
        <v>#REF!</v>
      </c>
      <c r="G20" s="74" t="e">
        <f>Consolidado!#REF!</f>
        <v>#REF!</v>
      </c>
      <c r="H20" s="65" t="e">
        <f t="shared" si="0"/>
        <v>#REF!</v>
      </c>
      <c r="I20" s="68" t="e">
        <f t="shared" si="1"/>
        <v>#REF!</v>
      </c>
      <c r="J20" s="68" t="e">
        <f t="shared" si="2"/>
        <v>#REF!</v>
      </c>
      <c r="K20" s="587"/>
      <c r="L20" s="587"/>
      <c r="M20" s="587"/>
      <c r="N20" s="587"/>
      <c r="O20" s="587"/>
      <c r="P20" s="587"/>
      <c r="Q20" s="587"/>
      <c r="R20" s="587"/>
      <c r="S20" s="587"/>
      <c r="T20" s="587"/>
      <c r="U20" s="587"/>
      <c r="V20" s="587"/>
      <c r="W20" s="587"/>
      <c r="X20" s="587"/>
      <c r="Y20" s="587"/>
      <c r="Z20" s="587"/>
      <c r="AA20" s="587"/>
      <c r="AB20" s="587"/>
      <c r="AC20" s="587"/>
      <c r="AD20" s="52" t="e">
        <f t="shared" ca="1" si="3"/>
        <v>#REF!</v>
      </c>
      <c r="AE20" s="588" t="str">
        <f t="shared" si="4"/>
        <v xml:space="preserve"> </v>
      </c>
    </row>
    <row r="21" spans="1:31" ht="42" customHeight="1" x14ac:dyDescent="0.2">
      <c r="A21" s="590">
        <v>15</v>
      </c>
      <c r="B21" s="51" t="s">
        <v>130</v>
      </c>
      <c r="C21" s="51" t="s">
        <v>143</v>
      </c>
      <c r="D21" s="50">
        <v>103386</v>
      </c>
      <c r="E21" s="64" t="e">
        <f>Consolidado!#REF!</f>
        <v>#REF!</v>
      </c>
      <c r="F21" s="64" t="e">
        <f>Consolidado!#REF!</f>
        <v>#REF!</v>
      </c>
      <c r="G21" s="64" t="e">
        <f>Consolidado!#REF!</f>
        <v>#REF!</v>
      </c>
      <c r="H21" s="65" t="e">
        <f t="shared" si="0"/>
        <v>#REF!</v>
      </c>
      <c r="I21" s="68" t="e">
        <f t="shared" si="1"/>
        <v>#REF!</v>
      </c>
      <c r="J21" s="68" t="e">
        <f t="shared" si="2"/>
        <v>#REF!</v>
      </c>
      <c r="K21" s="587"/>
      <c r="L21" s="587"/>
      <c r="M21" s="587"/>
      <c r="N21" s="587"/>
      <c r="O21" s="587"/>
      <c r="P21" s="587"/>
      <c r="Q21" s="587"/>
      <c r="R21" s="587"/>
      <c r="S21" s="587"/>
      <c r="T21" s="587"/>
      <c r="U21" s="587"/>
      <c r="V21" s="587"/>
      <c r="W21" s="587"/>
      <c r="X21" s="587"/>
      <c r="Y21" s="587"/>
      <c r="Z21" s="587"/>
      <c r="AA21" s="587"/>
      <c r="AB21" s="587"/>
      <c r="AC21" s="587"/>
      <c r="AD21" s="52" t="e">
        <f t="shared" ca="1" si="3"/>
        <v>#REF!</v>
      </c>
      <c r="AE21" s="588" t="str">
        <f t="shared" si="4"/>
        <v xml:space="preserve"> </v>
      </c>
    </row>
    <row r="22" spans="1:31" ht="42" customHeight="1" x14ac:dyDescent="0.2">
      <c r="A22" s="590">
        <v>16</v>
      </c>
      <c r="B22" s="51" t="s">
        <v>130</v>
      </c>
      <c r="C22" s="51" t="s">
        <v>1106</v>
      </c>
      <c r="D22" s="50">
        <v>104369</v>
      </c>
      <c r="E22" s="74" t="e">
        <f>Consolidado!#REF!</f>
        <v>#REF!</v>
      </c>
      <c r="F22" s="74" t="e">
        <f>Consolidado!#REF!</f>
        <v>#REF!</v>
      </c>
      <c r="G22" s="74" t="e">
        <f>Consolidado!#REF!</f>
        <v>#REF!</v>
      </c>
      <c r="H22" s="65" t="e">
        <f t="shared" si="0"/>
        <v>#REF!</v>
      </c>
      <c r="I22" s="68" t="e">
        <f t="shared" si="1"/>
        <v>#REF!</v>
      </c>
      <c r="J22" s="68" t="e">
        <f t="shared" si="2"/>
        <v>#REF!</v>
      </c>
      <c r="K22" s="587"/>
      <c r="L22" s="587"/>
      <c r="M22" s="587"/>
      <c r="N22" s="587"/>
      <c r="O22" s="587"/>
      <c r="P22" s="587"/>
      <c r="Q22" s="587"/>
      <c r="R22" s="587"/>
      <c r="S22" s="587"/>
      <c r="T22" s="587"/>
      <c r="U22" s="587"/>
      <c r="V22" s="587"/>
      <c r="W22" s="587"/>
      <c r="X22" s="587"/>
      <c r="Y22" s="587"/>
      <c r="Z22" s="587"/>
      <c r="AA22" s="587"/>
      <c r="AB22" s="587"/>
      <c r="AC22" s="587"/>
      <c r="AD22" s="52" t="e">
        <f t="shared" ca="1" si="3"/>
        <v>#REF!</v>
      </c>
      <c r="AE22" s="588" t="str">
        <f t="shared" si="4"/>
        <v xml:space="preserve"> </v>
      </c>
    </row>
    <row r="23" spans="1:31" ht="42" customHeight="1" x14ac:dyDescent="0.2">
      <c r="A23" s="590">
        <v>17</v>
      </c>
      <c r="B23" s="51" t="s">
        <v>130</v>
      </c>
      <c r="C23" s="51" t="s">
        <v>158</v>
      </c>
      <c r="D23" s="50">
        <v>104677</v>
      </c>
      <c r="E23" s="368">
        <f>Consolidado!$AU$16</f>
        <v>0</v>
      </c>
      <c r="F23" s="68">
        <f>Consolidado!$AV$16</f>
        <v>0</v>
      </c>
      <c r="G23" s="74">
        <f>Consolidado!$AW$16</f>
        <v>0</v>
      </c>
      <c r="H23" s="65" t="e">
        <f t="shared" si="0"/>
        <v>#NUM!</v>
      </c>
      <c r="I23" s="68" t="e">
        <f t="shared" si="1"/>
        <v>#NUM!</v>
      </c>
      <c r="J23" s="68">
        <f t="shared" si="2"/>
        <v>0</v>
      </c>
      <c r="K23" s="587"/>
      <c r="L23" s="587"/>
      <c r="M23" s="587"/>
      <c r="N23" s="587"/>
      <c r="O23" s="587"/>
      <c r="P23" s="587"/>
      <c r="Q23" s="587"/>
      <c r="R23" s="587"/>
      <c r="S23" s="587"/>
      <c r="T23" s="587"/>
      <c r="U23" s="587"/>
      <c r="V23" s="587"/>
      <c r="W23" s="587"/>
      <c r="X23" s="587"/>
      <c r="Y23" s="587"/>
      <c r="Z23" s="587"/>
      <c r="AA23" s="587"/>
      <c r="AB23" s="587"/>
      <c r="AC23" s="587"/>
      <c r="AD23" s="52" t="str">
        <f t="shared" ca="1" si="3"/>
        <v>En proceso</v>
      </c>
      <c r="AE23" s="588" t="str">
        <f t="shared" si="4"/>
        <v xml:space="preserve"> </v>
      </c>
    </row>
    <row r="24" spans="1:31" ht="42" customHeight="1" x14ac:dyDescent="0.2">
      <c r="A24" s="590">
        <v>18</v>
      </c>
      <c r="B24" s="51" t="s">
        <v>130</v>
      </c>
      <c r="C24" s="51" t="s">
        <v>1107</v>
      </c>
      <c r="D24" s="50">
        <v>104845</v>
      </c>
      <c r="E24" s="64" t="e">
        <f>Consolidado!#REF!</f>
        <v>#REF!</v>
      </c>
      <c r="F24" s="64" t="e">
        <f>Consolidado!#REF!</f>
        <v>#REF!</v>
      </c>
      <c r="G24" s="64" t="e">
        <f>Consolidado!#REF!</f>
        <v>#REF!</v>
      </c>
      <c r="H24" s="65" t="e">
        <f t="shared" si="0"/>
        <v>#REF!</v>
      </c>
      <c r="I24" s="68" t="e">
        <f t="shared" si="1"/>
        <v>#REF!</v>
      </c>
      <c r="J24" s="68" t="e">
        <f t="shared" si="2"/>
        <v>#REF!</v>
      </c>
      <c r="K24" s="587"/>
      <c r="L24" s="587"/>
      <c r="M24" s="587"/>
      <c r="N24" s="587"/>
      <c r="O24" s="587"/>
      <c r="P24" s="587"/>
      <c r="Q24" s="587"/>
      <c r="R24" s="587"/>
      <c r="S24" s="587"/>
      <c r="T24" s="587"/>
      <c r="U24" s="587"/>
      <c r="V24" s="587"/>
      <c r="W24" s="587"/>
      <c r="X24" s="587"/>
      <c r="Y24" s="587"/>
      <c r="Z24" s="587"/>
      <c r="AA24" s="587"/>
      <c r="AB24" s="587"/>
      <c r="AC24" s="587"/>
      <c r="AD24" s="52" t="e">
        <f t="shared" ca="1" si="3"/>
        <v>#REF!</v>
      </c>
      <c r="AE24" s="588" t="str">
        <f t="shared" si="4"/>
        <v xml:space="preserve"> </v>
      </c>
    </row>
    <row r="25" spans="1:31" ht="42" customHeight="1" x14ac:dyDescent="0.2">
      <c r="A25" s="590">
        <v>19</v>
      </c>
      <c r="B25" s="51" t="s">
        <v>130</v>
      </c>
      <c r="C25" s="51" t="s">
        <v>151</v>
      </c>
      <c r="D25" s="50">
        <v>104846</v>
      </c>
      <c r="E25" s="64">
        <f>Consolidado!$AU$17</f>
        <v>0</v>
      </c>
      <c r="F25" s="63">
        <f>Consolidado!$AV$17</f>
        <v>0</v>
      </c>
      <c r="G25" s="64">
        <f>Consolidado!$AW$17</f>
        <v>0</v>
      </c>
      <c r="H25" s="65" t="e">
        <f t="shared" si="0"/>
        <v>#NUM!</v>
      </c>
      <c r="I25" s="68" t="e">
        <f t="shared" si="1"/>
        <v>#NUM!</v>
      </c>
      <c r="J25" s="68">
        <f t="shared" si="2"/>
        <v>0</v>
      </c>
      <c r="K25" s="587"/>
      <c r="L25" s="587"/>
      <c r="M25" s="587"/>
      <c r="N25" s="587"/>
      <c r="O25" s="587"/>
      <c r="P25" s="587"/>
      <c r="Q25" s="587"/>
      <c r="R25" s="587"/>
      <c r="S25" s="587"/>
      <c r="T25" s="587"/>
      <c r="U25" s="587"/>
      <c r="V25" s="587"/>
      <c r="W25" s="587"/>
      <c r="X25" s="587"/>
      <c r="Y25" s="587"/>
      <c r="Z25" s="587"/>
      <c r="AA25" s="587"/>
      <c r="AB25" s="587"/>
      <c r="AC25" s="587"/>
      <c r="AD25" s="52" t="str">
        <f t="shared" ca="1" si="3"/>
        <v>En proceso</v>
      </c>
      <c r="AE25" s="588" t="str">
        <f t="shared" si="4"/>
        <v xml:space="preserve"> </v>
      </c>
    </row>
    <row r="26" spans="1:31" ht="52.5" customHeight="1" x14ac:dyDescent="0.2">
      <c r="A26" s="590">
        <v>20</v>
      </c>
      <c r="B26" s="51" t="s">
        <v>130</v>
      </c>
      <c r="C26" s="51" t="s">
        <v>1023</v>
      </c>
      <c r="D26" s="50">
        <v>106793</v>
      </c>
      <c r="E26" s="74">
        <f>Consolidado!$AU$18</f>
        <v>0</v>
      </c>
      <c r="F26" s="68">
        <f>Consolidado!$AV$18</f>
        <v>0</v>
      </c>
      <c r="G26" s="74">
        <f>Consolidado!$AW$18</f>
        <v>0</v>
      </c>
      <c r="H26" s="65" t="e">
        <f t="shared" si="0"/>
        <v>#NUM!</v>
      </c>
      <c r="I26" s="68" t="e">
        <f t="shared" si="1"/>
        <v>#NUM!</v>
      </c>
      <c r="J26" s="68">
        <f t="shared" si="2"/>
        <v>0</v>
      </c>
      <c r="K26" s="587"/>
      <c r="L26" s="587"/>
      <c r="M26" s="587"/>
      <c r="N26" s="587"/>
      <c r="O26" s="587"/>
      <c r="P26" s="587"/>
      <c r="Q26" s="587"/>
      <c r="R26" s="587"/>
      <c r="S26" s="587"/>
      <c r="T26" s="587"/>
      <c r="U26" s="587"/>
      <c r="V26" s="587"/>
      <c r="W26" s="587"/>
      <c r="X26" s="587"/>
      <c r="Y26" s="587"/>
      <c r="Z26" s="587"/>
      <c r="AA26" s="587"/>
      <c r="AB26" s="587"/>
      <c r="AC26" s="587"/>
      <c r="AD26" s="52" t="str">
        <f t="shared" ca="1" si="3"/>
        <v>En proceso</v>
      </c>
      <c r="AE26" s="588" t="str">
        <f t="shared" si="4"/>
        <v xml:space="preserve"> </v>
      </c>
    </row>
    <row r="27" spans="1:31" ht="42" customHeight="1" x14ac:dyDescent="0.2">
      <c r="A27" s="590">
        <v>21</v>
      </c>
      <c r="B27" s="51" t="s">
        <v>130</v>
      </c>
      <c r="C27" s="51" t="s">
        <v>1024</v>
      </c>
      <c r="D27" s="50">
        <v>106792</v>
      </c>
      <c r="E27" s="368">
        <f>Consolidado!$AU$19</f>
        <v>8482</v>
      </c>
      <c r="F27" s="68">
        <f>Consolidado!$AV$19</f>
        <v>45771</v>
      </c>
      <c r="G27" s="74">
        <f>Consolidado!$AW$19</f>
        <v>6</v>
      </c>
      <c r="H27" s="65">
        <f t="shared" si="0"/>
        <v>47538</v>
      </c>
      <c r="I27" s="68">
        <f t="shared" si="1"/>
        <v>47597</v>
      </c>
      <c r="J27" s="68">
        <f t="shared" si="2"/>
        <v>47962</v>
      </c>
      <c r="K27" s="587"/>
      <c r="L27" s="587"/>
      <c r="M27" s="587"/>
      <c r="N27" s="587"/>
      <c r="O27" s="587"/>
      <c r="P27" s="587"/>
      <c r="Q27" s="587"/>
      <c r="R27" s="587"/>
      <c r="S27" s="587"/>
      <c r="T27" s="587"/>
      <c r="U27" s="587"/>
      <c r="V27" s="587"/>
      <c r="W27" s="587"/>
      <c r="X27" s="587"/>
      <c r="Y27" s="587"/>
      <c r="Z27" s="587"/>
      <c r="AA27" s="587"/>
      <c r="AB27" s="587"/>
      <c r="AC27" s="587"/>
      <c r="AD27" s="52" t="str">
        <f t="shared" ca="1" si="3"/>
        <v>Vigente</v>
      </c>
      <c r="AE27" s="588" t="str">
        <f t="shared" si="4"/>
        <v xml:space="preserve"> </v>
      </c>
    </row>
    <row r="28" spans="1:31" ht="42" customHeight="1" x14ac:dyDescent="0.2">
      <c r="A28" s="591">
        <v>22</v>
      </c>
      <c r="B28" s="51" t="s">
        <v>182</v>
      </c>
      <c r="C28" s="51" t="s">
        <v>1055</v>
      </c>
      <c r="D28" s="50">
        <v>234</v>
      </c>
      <c r="E28" s="368">
        <f>Consolidado!$AU$20</f>
        <v>0</v>
      </c>
      <c r="F28" s="68">
        <f>Consolidado!$AV$20</f>
        <v>0</v>
      </c>
      <c r="G28" s="74">
        <f>Consolidado!$AW$20</f>
        <v>0</v>
      </c>
      <c r="H28" s="65" t="e">
        <f t="shared" si="0"/>
        <v>#NUM!</v>
      </c>
      <c r="I28" s="68" t="e">
        <f t="shared" si="1"/>
        <v>#NUM!</v>
      </c>
      <c r="J28" s="68">
        <f t="shared" si="2"/>
        <v>0</v>
      </c>
      <c r="K28" s="587"/>
      <c r="L28" s="587"/>
      <c r="M28" s="587"/>
      <c r="N28" s="587"/>
      <c r="O28" s="587"/>
      <c r="P28" s="587"/>
      <c r="Q28" s="587"/>
      <c r="R28" s="587"/>
      <c r="S28" s="587"/>
      <c r="T28" s="587"/>
      <c r="U28" s="587"/>
      <c r="V28" s="587"/>
      <c r="W28" s="587"/>
      <c r="X28" s="587"/>
      <c r="Y28" s="587"/>
      <c r="Z28" s="587"/>
      <c r="AA28" s="587"/>
      <c r="AB28" s="587"/>
      <c r="AC28" s="587"/>
      <c r="AD28" s="52" t="str">
        <f t="shared" ca="1" si="3"/>
        <v>En proceso</v>
      </c>
      <c r="AE28" s="588" t="str">
        <f t="shared" si="4"/>
        <v xml:space="preserve"> </v>
      </c>
    </row>
    <row r="29" spans="1:31" ht="42" customHeight="1" x14ac:dyDescent="0.2">
      <c r="A29" s="591">
        <v>23</v>
      </c>
      <c r="B29" s="51" t="s">
        <v>182</v>
      </c>
      <c r="C29" s="51" t="s">
        <v>183</v>
      </c>
      <c r="D29" s="50">
        <v>235</v>
      </c>
      <c r="E29" s="368" t="str">
        <f>Consolidado!$AU$21</f>
        <v>N/A</v>
      </c>
      <c r="F29" s="68" t="str">
        <f>Consolidado!$AV$21</f>
        <v>N/A</v>
      </c>
      <c r="G29" s="74" t="str">
        <f>Consolidado!$AW$21</f>
        <v>N/A</v>
      </c>
      <c r="H29" s="65" t="e">
        <f t="shared" si="0"/>
        <v>#VALUE!</v>
      </c>
      <c r="I29" s="68" t="e">
        <f t="shared" si="1"/>
        <v>#VALUE!</v>
      </c>
      <c r="J29" s="68" t="e">
        <f t="shared" si="2"/>
        <v>#VALUE!</v>
      </c>
      <c r="K29" s="587"/>
      <c r="L29" s="587"/>
      <c r="M29" s="587"/>
      <c r="N29" s="587"/>
      <c r="O29" s="587"/>
      <c r="P29" s="587"/>
      <c r="Q29" s="587"/>
      <c r="R29" s="587"/>
      <c r="S29" s="587"/>
      <c r="T29" s="587"/>
      <c r="U29" s="587"/>
      <c r="V29" s="587"/>
      <c r="W29" s="587"/>
      <c r="X29" s="587"/>
      <c r="Y29" s="587"/>
      <c r="Z29" s="587"/>
      <c r="AA29" s="587"/>
      <c r="AB29" s="587"/>
      <c r="AC29" s="587"/>
      <c r="AD29" s="52" t="e">
        <f t="shared" ca="1" si="3"/>
        <v>#VALUE!</v>
      </c>
      <c r="AE29" s="588" t="str">
        <f t="shared" si="4"/>
        <v xml:space="preserve"> </v>
      </c>
    </row>
    <row r="30" spans="1:31" ht="42" customHeight="1" x14ac:dyDescent="0.2">
      <c r="A30" s="591">
        <v>24</v>
      </c>
      <c r="B30" s="51" t="s">
        <v>182</v>
      </c>
      <c r="C30" s="51" t="s">
        <v>192</v>
      </c>
      <c r="D30" s="50">
        <v>2970</v>
      </c>
      <c r="E30" s="64" t="str">
        <f>Consolidado!$AU$22</f>
        <v>N/A</v>
      </c>
      <c r="F30" s="63" t="str">
        <f>Consolidado!$AV$22</f>
        <v>N/A</v>
      </c>
      <c r="G30" s="64" t="str">
        <f>Consolidado!$AW$22</f>
        <v>N/A</v>
      </c>
      <c r="H30" s="65" t="e">
        <f t="shared" si="0"/>
        <v>#VALUE!</v>
      </c>
      <c r="I30" s="68" t="e">
        <f t="shared" si="1"/>
        <v>#VALUE!</v>
      </c>
      <c r="J30" s="68" t="e">
        <f t="shared" si="2"/>
        <v>#VALUE!</v>
      </c>
      <c r="K30" s="587"/>
      <c r="L30" s="587"/>
      <c r="M30" s="587"/>
      <c r="N30" s="587"/>
      <c r="O30" s="587"/>
      <c r="P30" s="587"/>
      <c r="Q30" s="587"/>
      <c r="R30" s="587"/>
      <c r="S30" s="587"/>
      <c r="T30" s="587"/>
      <c r="U30" s="587"/>
      <c r="V30" s="587"/>
      <c r="W30" s="587"/>
      <c r="X30" s="587"/>
      <c r="Y30" s="587"/>
      <c r="Z30" s="587"/>
      <c r="AA30" s="587"/>
      <c r="AB30" s="587"/>
      <c r="AC30" s="587"/>
      <c r="AD30" s="52" t="e">
        <f t="shared" ca="1" si="3"/>
        <v>#VALUE!</v>
      </c>
      <c r="AE30" s="588" t="str">
        <f t="shared" si="4"/>
        <v xml:space="preserve"> </v>
      </c>
    </row>
    <row r="31" spans="1:31" ht="42" customHeight="1" x14ac:dyDescent="0.2">
      <c r="A31" s="591">
        <v>25</v>
      </c>
      <c r="B31" s="51" t="s">
        <v>182</v>
      </c>
      <c r="C31" s="51" t="s">
        <v>203</v>
      </c>
      <c r="D31" s="50">
        <v>3613</v>
      </c>
      <c r="E31" s="64" t="e">
        <f>Consolidado!#REF!</f>
        <v>#REF!</v>
      </c>
      <c r="F31" s="64" t="e">
        <f>Consolidado!#REF!</f>
        <v>#REF!</v>
      </c>
      <c r="G31" s="64" t="e">
        <f>Consolidado!#REF!</f>
        <v>#REF!</v>
      </c>
      <c r="H31" s="65" t="e">
        <f t="shared" si="0"/>
        <v>#REF!</v>
      </c>
      <c r="I31" s="68" t="e">
        <f t="shared" si="1"/>
        <v>#REF!</v>
      </c>
      <c r="J31" s="68" t="e">
        <f t="shared" si="2"/>
        <v>#REF!</v>
      </c>
      <c r="K31" s="587"/>
      <c r="L31" s="587"/>
      <c r="M31" s="587"/>
      <c r="N31" s="587"/>
      <c r="O31" s="587"/>
      <c r="P31" s="587"/>
      <c r="Q31" s="587"/>
      <c r="R31" s="587"/>
      <c r="S31" s="587"/>
      <c r="T31" s="587"/>
      <c r="U31" s="587"/>
      <c r="V31" s="587"/>
      <c r="W31" s="587"/>
      <c r="X31" s="587"/>
      <c r="Y31" s="587"/>
      <c r="Z31" s="587"/>
      <c r="AA31" s="587"/>
      <c r="AB31" s="587"/>
      <c r="AC31" s="587"/>
      <c r="AD31" s="52" t="e">
        <f t="shared" ca="1" si="3"/>
        <v>#REF!</v>
      </c>
      <c r="AE31" s="588" t="str">
        <f t="shared" si="4"/>
        <v xml:space="preserve"> </v>
      </c>
    </row>
    <row r="32" spans="1:31" ht="42" customHeight="1" x14ac:dyDescent="0.2">
      <c r="A32" s="591">
        <v>26</v>
      </c>
      <c r="B32" s="51" t="s">
        <v>182</v>
      </c>
      <c r="C32" s="51" t="s">
        <v>1056</v>
      </c>
      <c r="D32" s="50">
        <v>8441</v>
      </c>
      <c r="E32" s="368" t="str">
        <f>Consolidado!$AU$23</f>
        <v>N/A</v>
      </c>
      <c r="F32" s="68" t="str">
        <f>Consolidado!$AV$23</f>
        <v>N/A</v>
      </c>
      <c r="G32" s="74" t="str">
        <f>Consolidado!$AW$23</f>
        <v>N/A</v>
      </c>
      <c r="H32" s="65" t="e">
        <f t="shared" si="0"/>
        <v>#VALUE!</v>
      </c>
      <c r="I32" s="68" t="e">
        <f t="shared" si="1"/>
        <v>#VALUE!</v>
      </c>
      <c r="J32" s="68" t="e">
        <f t="shared" si="2"/>
        <v>#VALUE!</v>
      </c>
      <c r="K32" s="587"/>
      <c r="L32" s="587"/>
      <c r="M32" s="587"/>
      <c r="N32" s="587"/>
      <c r="O32" s="587"/>
      <c r="P32" s="587"/>
      <c r="Q32" s="587"/>
      <c r="R32" s="587"/>
      <c r="S32" s="587"/>
      <c r="T32" s="587"/>
      <c r="U32" s="587"/>
      <c r="V32" s="587"/>
      <c r="W32" s="587"/>
      <c r="X32" s="587"/>
      <c r="Y32" s="587"/>
      <c r="Z32" s="573"/>
      <c r="AA32" s="587"/>
      <c r="AB32" s="587"/>
      <c r="AC32" s="587"/>
      <c r="AD32" s="52" t="e">
        <f t="shared" ca="1" si="3"/>
        <v>#VALUE!</v>
      </c>
      <c r="AE32" s="588" t="str">
        <f t="shared" si="4"/>
        <v xml:space="preserve"> </v>
      </c>
    </row>
    <row r="33" spans="1:31" ht="42" customHeight="1" x14ac:dyDescent="0.2">
      <c r="A33" s="591">
        <v>27</v>
      </c>
      <c r="B33" s="51" t="s">
        <v>182</v>
      </c>
      <c r="C33" s="51" t="s">
        <v>209</v>
      </c>
      <c r="D33" s="50">
        <v>15358</v>
      </c>
      <c r="E33" s="64" t="str">
        <f>Consolidado!$AU$24</f>
        <v>N/A</v>
      </c>
      <c r="F33" s="63" t="str">
        <f>Consolidado!$AV$24</f>
        <v>N/A</v>
      </c>
      <c r="G33" s="64" t="str">
        <f>Consolidado!$AW$24</f>
        <v>N/A</v>
      </c>
      <c r="H33" s="65" t="e">
        <f t="shared" si="0"/>
        <v>#VALUE!</v>
      </c>
      <c r="I33" s="68" t="e">
        <f t="shared" si="1"/>
        <v>#VALUE!</v>
      </c>
      <c r="J33" s="68" t="e">
        <f t="shared" si="2"/>
        <v>#VALUE!</v>
      </c>
      <c r="K33" s="587"/>
      <c r="L33" s="587"/>
      <c r="M33" s="587"/>
      <c r="N33" s="587"/>
      <c r="O33" s="587"/>
      <c r="P33" s="587"/>
      <c r="Q33" s="587"/>
      <c r="R33" s="587"/>
      <c r="S33" s="587"/>
      <c r="T33" s="587"/>
      <c r="U33" s="587"/>
      <c r="V33" s="587"/>
      <c r="W33" s="587"/>
      <c r="X33" s="587"/>
      <c r="Y33" s="587"/>
      <c r="Z33" s="587"/>
      <c r="AA33" s="587"/>
      <c r="AB33" s="587"/>
      <c r="AC33" s="587"/>
      <c r="AD33" s="52" t="e">
        <f t="shared" ca="1" si="3"/>
        <v>#VALUE!</v>
      </c>
      <c r="AE33" s="588" t="str">
        <f t="shared" si="4"/>
        <v xml:space="preserve"> </v>
      </c>
    </row>
    <row r="34" spans="1:31" ht="42" customHeight="1" x14ac:dyDescent="0.2">
      <c r="A34" s="591">
        <v>28</v>
      </c>
      <c r="B34" s="51" t="s">
        <v>182</v>
      </c>
      <c r="C34" s="51" t="s">
        <v>198</v>
      </c>
      <c r="D34" s="50">
        <v>15924</v>
      </c>
      <c r="E34" s="64" t="str">
        <f>Consolidado!$AU$25</f>
        <v>N/A</v>
      </c>
      <c r="F34" s="63" t="str">
        <f>Consolidado!$AV$25</f>
        <v>N/A</v>
      </c>
      <c r="G34" s="64" t="str">
        <f>Consolidado!$AW$25</f>
        <v>N/A</v>
      </c>
      <c r="H34" s="65" t="e">
        <f t="shared" si="0"/>
        <v>#VALUE!</v>
      </c>
      <c r="I34" s="68" t="e">
        <f t="shared" si="1"/>
        <v>#VALUE!</v>
      </c>
      <c r="J34" s="68" t="e">
        <f t="shared" si="2"/>
        <v>#VALUE!</v>
      </c>
      <c r="K34" s="587"/>
      <c r="L34" s="587"/>
      <c r="M34" s="587"/>
      <c r="N34" s="587"/>
      <c r="O34" s="587"/>
      <c r="P34" s="587"/>
      <c r="Q34" s="587"/>
      <c r="R34" s="587"/>
      <c r="S34" s="587"/>
      <c r="T34" s="587"/>
      <c r="U34" s="587"/>
      <c r="V34" s="587"/>
      <c r="W34" s="587"/>
      <c r="X34" s="587"/>
      <c r="Y34" s="587"/>
      <c r="Z34" s="587"/>
      <c r="AA34" s="587"/>
      <c r="AB34" s="587"/>
      <c r="AC34" s="587"/>
      <c r="AD34" s="52" t="e">
        <f t="shared" ca="1" si="3"/>
        <v>#VALUE!</v>
      </c>
      <c r="AE34" s="588" t="str">
        <f t="shared" si="4"/>
        <v xml:space="preserve"> </v>
      </c>
    </row>
    <row r="35" spans="1:31" ht="42" customHeight="1" x14ac:dyDescent="0.2">
      <c r="A35" s="591">
        <v>29</v>
      </c>
      <c r="B35" s="51" t="s">
        <v>182</v>
      </c>
      <c r="C35" s="51" t="s">
        <v>1025</v>
      </c>
      <c r="D35" s="50">
        <v>18679</v>
      </c>
      <c r="E35" s="74">
        <f>Consolidado!$AU$26</f>
        <v>0</v>
      </c>
      <c r="F35" s="68">
        <f>Consolidado!$AV$26</f>
        <v>0</v>
      </c>
      <c r="G35" s="74">
        <f>Consolidado!$AW$26</f>
        <v>0</v>
      </c>
      <c r="H35" s="65" t="e">
        <f t="shared" si="0"/>
        <v>#NUM!</v>
      </c>
      <c r="I35" s="68" t="e">
        <f t="shared" si="1"/>
        <v>#NUM!</v>
      </c>
      <c r="J35" s="68">
        <f t="shared" si="2"/>
        <v>0</v>
      </c>
      <c r="K35" s="587"/>
      <c r="L35" s="587"/>
      <c r="M35" s="587"/>
      <c r="N35" s="587"/>
      <c r="O35" s="587"/>
      <c r="P35" s="587"/>
      <c r="Q35" s="587"/>
      <c r="R35" s="587"/>
      <c r="S35" s="587"/>
      <c r="T35" s="587"/>
      <c r="U35" s="587"/>
      <c r="V35" s="587"/>
      <c r="W35" s="587"/>
      <c r="X35" s="587"/>
      <c r="Y35" s="587"/>
      <c r="Z35" s="587"/>
      <c r="AA35" s="587"/>
      <c r="AB35" s="587"/>
      <c r="AC35" s="587"/>
      <c r="AD35" s="52" t="str">
        <f t="shared" ca="1" si="3"/>
        <v>En proceso</v>
      </c>
      <c r="AE35" s="588" t="str">
        <f t="shared" si="4"/>
        <v xml:space="preserve"> </v>
      </c>
    </row>
    <row r="36" spans="1:31" ht="42" customHeight="1" x14ac:dyDescent="0.2">
      <c r="A36" s="591">
        <v>30</v>
      </c>
      <c r="B36" s="51" t="s">
        <v>182</v>
      </c>
      <c r="C36" s="51" t="s">
        <v>1057</v>
      </c>
      <c r="D36" s="50">
        <v>55045</v>
      </c>
      <c r="E36" s="74">
        <f>Consolidado!$AU$27</f>
        <v>0</v>
      </c>
      <c r="F36" s="68">
        <f>Consolidado!$AV$27</f>
        <v>0</v>
      </c>
      <c r="G36" s="74">
        <f>Consolidado!$AW$27</f>
        <v>0</v>
      </c>
      <c r="H36" s="65" t="e">
        <f t="shared" si="0"/>
        <v>#NUM!</v>
      </c>
      <c r="I36" s="68" t="e">
        <f t="shared" si="1"/>
        <v>#NUM!</v>
      </c>
      <c r="J36" s="68">
        <f t="shared" si="2"/>
        <v>0</v>
      </c>
      <c r="K36" s="587"/>
      <c r="L36" s="587" t="s">
        <v>1104</v>
      </c>
      <c r="M36" s="587"/>
      <c r="N36" s="587"/>
      <c r="O36" s="587"/>
      <c r="P36" s="587"/>
      <c r="Q36" s="587"/>
      <c r="R36" s="587"/>
      <c r="S36" s="587"/>
      <c r="T36" s="587"/>
      <c r="U36" s="587"/>
      <c r="V36" s="587"/>
      <c r="W36" s="587"/>
      <c r="X36" s="587"/>
      <c r="Y36" s="587"/>
      <c r="Z36" s="587"/>
      <c r="AA36" s="587"/>
      <c r="AB36" s="587"/>
      <c r="AC36" s="587"/>
      <c r="AD36" s="52" t="str">
        <f t="shared" ca="1" si="3"/>
        <v>En proceso</v>
      </c>
      <c r="AE36" s="588">
        <f t="shared" si="4"/>
        <v>2</v>
      </c>
    </row>
    <row r="37" spans="1:31" ht="42" customHeight="1" x14ac:dyDescent="0.2">
      <c r="A37" s="591">
        <v>31</v>
      </c>
      <c r="B37" s="51" t="s">
        <v>182</v>
      </c>
      <c r="C37" s="51" t="s">
        <v>203</v>
      </c>
      <c r="D37" s="50">
        <v>102109</v>
      </c>
      <c r="E37" s="64">
        <f>Consolidado!$AU$28</f>
        <v>0</v>
      </c>
      <c r="F37" s="63">
        <f>Consolidado!$AV$28</f>
        <v>0</v>
      </c>
      <c r="G37" s="64">
        <f>Consolidado!$AW$28</f>
        <v>0</v>
      </c>
      <c r="H37" s="65" t="e">
        <f t="shared" si="0"/>
        <v>#NUM!</v>
      </c>
      <c r="I37" s="68" t="e">
        <f t="shared" si="1"/>
        <v>#NUM!</v>
      </c>
      <c r="J37" s="68">
        <f t="shared" si="2"/>
        <v>0</v>
      </c>
      <c r="K37" s="587"/>
      <c r="L37" s="587"/>
      <c r="M37" s="587"/>
      <c r="N37" s="587"/>
      <c r="O37" s="587"/>
      <c r="P37" s="587"/>
      <c r="Q37" s="587"/>
      <c r="R37" s="587"/>
      <c r="S37" s="587"/>
      <c r="T37" s="587"/>
      <c r="U37" s="587"/>
      <c r="V37" s="587"/>
      <c r="W37" s="587"/>
      <c r="X37" s="587"/>
      <c r="Y37" s="587"/>
      <c r="Z37" s="587"/>
      <c r="AA37" s="587"/>
      <c r="AB37" s="587"/>
      <c r="AC37" s="587"/>
      <c r="AD37" s="52" t="str">
        <f t="shared" ca="1" si="3"/>
        <v>En proceso</v>
      </c>
      <c r="AE37" s="588" t="str">
        <f t="shared" si="4"/>
        <v xml:space="preserve"> </v>
      </c>
    </row>
    <row r="38" spans="1:31" ht="42" customHeight="1" x14ac:dyDescent="0.2">
      <c r="A38" s="591">
        <v>32</v>
      </c>
      <c r="B38" s="51" t="s">
        <v>182</v>
      </c>
      <c r="C38" s="51" t="s">
        <v>1108</v>
      </c>
      <c r="D38" s="50">
        <v>103477</v>
      </c>
      <c r="E38" s="74">
        <f>Consolidado!$AU$29</f>
        <v>0</v>
      </c>
      <c r="F38" s="68">
        <f>Consolidado!$AV$29</f>
        <v>0</v>
      </c>
      <c r="G38" s="74">
        <f>Consolidado!$AW$29</f>
        <v>0</v>
      </c>
      <c r="H38" s="65" t="e">
        <f t="shared" si="0"/>
        <v>#NUM!</v>
      </c>
      <c r="I38" s="68" t="e">
        <f t="shared" si="1"/>
        <v>#NUM!</v>
      </c>
      <c r="J38" s="68">
        <f t="shared" si="2"/>
        <v>0</v>
      </c>
      <c r="K38" s="587"/>
      <c r="L38" s="587"/>
      <c r="M38" s="587"/>
      <c r="N38" s="587"/>
      <c r="O38" s="587"/>
      <c r="P38" s="587"/>
      <c r="Q38" s="587"/>
      <c r="R38" s="587"/>
      <c r="S38" s="587"/>
      <c r="T38" s="587"/>
      <c r="U38" s="587"/>
      <c r="V38" s="587"/>
      <c r="W38" s="587"/>
      <c r="X38" s="587"/>
      <c r="Y38" s="587"/>
      <c r="Z38" s="587"/>
      <c r="AA38" s="587"/>
      <c r="AB38" s="587"/>
      <c r="AC38" s="587"/>
      <c r="AD38" s="52" t="str">
        <f t="shared" ca="1" si="3"/>
        <v>En proceso</v>
      </c>
      <c r="AE38" s="588" t="str">
        <f t="shared" si="4"/>
        <v xml:space="preserve"> </v>
      </c>
    </row>
    <row r="39" spans="1:31" ht="42" customHeight="1" x14ac:dyDescent="0.2">
      <c r="A39" s="591">
        <v>33</v>
      </c>
      <c r="B39" s="51" t="s">
        <v>182</v>
      </c>
      <c r="C39" s="51" t="s">
        <v>198</v>
      </c>
      <c r="D39" s="72">
        <v>103753</v>
      </c>
      <c r="E39" s="64" t="e">
        <f>Consolidado!#REF!</f>
        <v>#REF!</v>
      </c>
      <c r="F39" s="64" t="e">
        <f>Consolidado!#REF!</f>
        <v>#REF!</v>
      </c>
      <c r="G39" s="64" t="e">
        <f>Consolidado!#REF!</f>
        <v>#REF!</v>
      </c>
      <c r="H39" s="65" t="e">
        <f t="shared" si="0"/>
        <v>#REF!</v>
      </c>
      <c r="I39" s="68" t="e">
        <f t="shared" si="1"/>
        <v>#REF!</v>
      </c>
      <c r="J39" s="68" t="e">
        <f t="shared" si="2"/>
        <v>#REF!</v>
      </c>
      <c r="K39" s="587"/>
      <c r="L39" s="587"/>
      <c r="M39" s="587"/>
      <c r="N39" s="587"/>
      <c r="O39" s="587"/>
      <c r="P39" s="587"/>
      <c r="Q39" s="587"/>
      <c r="R39" s="587"/>
      <c r="S39" s="587"/>
      <c r="T39" s="587"/>
      <c r="U39" s="587"/>
      <c r="V39" s="587"/>
      <c r="W39" s="587"/>
      <c r="X39" s="587"/>
      <c r="Y39" s="587"/>
      <c r="Z39" s="587"/>
      <c r="AA39" s="587"/>
      <c r="AB39" s="587"/>
      <c r="AC39" s="587"/>
      <c r="AD39" s="52" t="e">
        <f t="shared" ca="1" si="3"/>
        <v>#REF!</v>
      </c>
      <c r="AE39" s="588" t="str">
        <f t="shared" si="4"/>
        <v xml:space="preserve"> </v>
      </c>
    </row>
    <row r="40" spans="1:31" ht="42" customHeight="1" x14ac:dyDescent="0.2">
      <c r="A40" s="591">
        <v>34</v>
      </c>
      <c r="B40" s="51" t="s">
        <v>182</v>
      </c>
      <c r="C40" s="51" t="s">
        <v>244</v>
      </c>
      <c r="D40" s="72">
        <v>103818</v>
      </c>
      <c r="E40" s="74" t="e">
        <f>Consolidado!#REF!</f>
        <v>#REF!</v>
      </c>
      <c r="F40" s="74" t="e">
        <f>Consolidado!#REF!</f>
        <v>#REF!</v>
      </c>
      <c r="G40" s="74" t="e">
        <f>Consolidado!#REF!</f>
        <v>#REF!</v>
      </c>
      <c r="H40" s="65" t="e">
        <f t="shared" si="0"/>
        <v>#REF!</v>
      </c>
      <c r="I40" s="68" t="e">
        <f t="shared" si="1"/>
        <v>#REF!</v>
      </c>
      <c r="J40" s="68" t="e">
        <f t="shared" si="2"/>
        <v>#REF!</v>
      </c>
      <c r="K40" s="587"/>
      <c r="L40" s="587"/>
      <c r="M40" s="587"/>
      <c r="N40" s="587"/>
      <c r="O40" s="587"/>
      <c r="P40" s="587"/>
      <c r="Q40" s="587"/>
      <c r="R40" s="587"/>
      <c r="S40" s="587"/>
      <c r="T40" s="587"/>
      <c r="U40" s="587"/>
      <c r="V40" s="587"/>
      <c r="W40" s="587"/>
      <c r="X40" s="587"/>
      <c r="Y40" s="587"/>
      <c r="Z40" s="587"/>
      <c r="AA40" s="587"/>
      <c r="AB40" s="587"/>
      <c r="AC40" s="587"/>
      <c r="AD40" s="52" t="e">
        <f t="shared" ca="1" si="3"/>
        <v>#REF!</v>
      </c>
      <c r="AE40" s="588" t="str">
        <f t="shared" si="4"/>
        <v xml:space="preserve"> </v>
      </c>
    </row>
    <row r="41" spans="1:31" ht="42" customHeight="1" x14ac:dyDescent="0.2">
      <c r="A41" s="591">
        <v>35</v>
      </c>
      <c r="B41" s="51" t="s">
        <v>182</v>
      </c>
      <c r="C41" s="51" t="s">
        <v>1109</v>
      </c>
      <c r="D41" s="72">
        <v>104192</v>
      </c>
      <c r="E41" s="74" t="e">
        <f>Consolidado!#REF!</f>
        <v>#REF!</v>
      </c>
      <c r="F41" s="74" t="e">
        <f>Consolidado!#REF!</f>
        <v>#REF!</v>
      </c>
      <c r="G41" s="74" t="e">
        <f>Consolidado!#REF!</f>
        <v>#REF!</v>
      </c>
      <c r="H41" s="65" t="e">
        <f t="shared" si="0"/>
        <v>#REF!</v>
      </c>
      <c r="I41" s="68" t="e">
        <f t="shared" si="1"/>
        <v>#REF!</v>
      </c>
      <c r="J41" s="68" t="e">
        <f t="shared" si="2"/>
        <v>#REF!</v>
      </c>
      <c r="K41" s="587"/>
      <c r="L41" s="587"/>
      <c r="M41" s="587"/>
      <c r="N41" s="587"/>
      <c r="O41" s="587"/>
      <c r="P41" s="587"/>
      <c r="Q41" s="587"/>
      <c r="R41" s="587"/>
      <c r="S41" s="587"/>
      <c r="T41" s="587"/>
      <c r="U41" s="587"/>
      <c r="V41" s="587"/>
      <c r="W41" s="587"/>
      <c r="X41" s="587"/>
      <c r="Y41" s="587"/>
      <c r="Z41" s="587"/>
      <c r="AA41" s="587"/>
      <c r="AB41" s="587"/>
      <c r="AC41" s="587"/>
      <c r="AD41" s="52" t="e">
        <f t="shared" ca="1" si="3"/>
        <v>#REF!</v>
      </c>
      <c r="AE41" s="588" t="str">
        <f t="shared" si="4"/>
        <v xml:space="preserve"> </v>
      </c>
    </row>
    <row r="42" spans="1:31" ht="42" customHeight="1" x14ac:dyDescent="0.2">
      <c r="A42" s="591">
        <v>36</v>
      </c>
      <c r="B42" s="51" t="s">
        <v>182</v>
      </c>
      <c r="C42" s="51" t="s">
        <v>1110</v>
      </c>
      <c r="D42" s="72">
        <v>104292</v>
      </c>
      <c r="E42" s="74" t="e">
        <f>Consolidado!#REF!</f>
        <v>#REF!</v>
      </c>
      <c r="F42" s="74" t="e">
        <f>Consolidado!#REF!</f>
        <v>#REF!</v>
      </c>
      <c r="G42" s="74" t="e">
        <f>Consolidado!#REF!</f>
        <v>#REF!</v>
      </c>
      <c r="H42" s="65" t="e">
        <f t="shared" si="0"/>
        <v>#REF!</v>
      </c>
      <c r="I42" s="68" t="e">
        <f t="shared" si="1"/>
        <v>#REF!</v>
      </c>
      <c r="J42" s="68" t="e">
        <f t="shared" si="2"/>
        <v>#REF!</v>
      </c>
      <c r="K42" s="587"/>
      <c r="L42" s="587"/>
      <c r="M42" s="587"/>
      <c r="N42" s="587"/>
      <c r="O42" s="587"/>
      <c r="P42" s="587"/>
      <c r="Q42" s="587"/>
      <c r="R42" s="587"/>
      <c r="S42" s="587"/>
      <c r="T42" s="587"/>
      <c r="U42" s="587"/>
      <c r="V42" s="587"/>
      <c r="W42" s="587"/>
      <c r="X42" s="587"/>
      <c r="Y42" s="587"/>
      <c r="Z42" s="587"/>
      <c r="AA42" s="587"/>
      <c r="AB42" s="587"/>
      <c r="AC42" s="587"/>
      <c r="AD42" s="52" t="e">
        <f t="shared" ca="1" si="3"/>
        <v>#REF!</v>
      </c>
      <c r="AE42" s="588" t="str">
        <f t="shared" si="4"/>
        <v xml:space="preserve"> </v>
      </c>
    </row>
    <row r="43" spans="1:31" ht="42" customHeight="1" x14ac:dyDescent="0.2">
      <c r="A43" s="591">
        <v>37</v>
      </c>
      <c r="B43" s="51" t="s">
        <v>182</v>
      </c>
      <c r="C43" s="51" t="s">
        <v>1111</v>
      </c>
      <c r="D43" s="72">
        <v>104679</v>
      </c>
      <c r="E43" s="64" t="e">
        <f>Consolidado!#REF!</f>
        <v>#REF!</v>
      </c>
      <c r="F43" s="64" t="e">
        <f>Consolidado!#REF!</f>
        <v>#REF!</v>
      </c>
      <c r="G43" s="64" t="e">
        <f>Consolidado!#REF!</f>
        <v>#REF!</v>
      </c>
      <c r="H43" s="65" t="e">
        <f t="shared" si="0"/>
        <v>#REF!</v>
      </c>
      <c r="I43" s="68" t="e">
        <f t="shared" si="1"/>
        <v>#REF!</v>
      </c>
      <c r="J43" s="68" t="e">
        <f t="shared" si="2"/>
        <v>#REF!</v>
      </c>
      <c r="K43" s="587"/>
      <c r="L43" s="587"/>
      <c r="M43" s="587"/>
      <c r="N43" s="587"/>
      <c r="O43" s="587"/>
      <c r="P43" s="587"/>
      <c r="Q43" s="587"/>
      <c r="R43" s="587"/>
      <c r="S43" s="587"/>
      <c r="T43" s="587"/>
      <c r="U43" s="587"/>
      <c r="V43" s="587"/>
      <c r="W43" s="587"/>
      <c r="X43" s="587"/>
      <c r="Y43" s="587"/>
      <c r="Z43" s="587"/>
      <c r="AA43" s="587"/>
      <c r="AB43" s="587"/>
      <c r="AC43" s="587"/>
      <c r="AD43" s="52" t="e">
        <f t="shared" ca="1" si="3"/>
        <v>#REF!</v>
      </c>
      <c r="AE43" s="588" t="str">
        <f t="shared" si="4"/>
        <v xml:space="preserve"> </v>
      </c>
    </row>
    <row r="44" spans="1:31" ht="42" customHeight="1" x14ac:dyDescent="0.2">
      <c r="A44" s="591">
        <v>38</v>
      </c>
      <c r="B44" s="51" t="s">
        <v>182</v>
      </c>
      <c r="C44" s="51" t="s">
        <v>1111</v>
      </c>
      <c r="D44" s="72">
        <v>104698</v>
      </c>
      <c r="E44" s="64" t="e">
        <f>Consolidado!#REF!</f>
        <v>#REF!</v>
      </c>
      <c r="F44" s="64" t="e">
        <f>Consolidado!#REF!</f>
        <v>#REF!</v>
      </c>
      <c r="G44" s="64" t="e">
        <f>Consolidado!#REF!</f>
        <v>#REF!</v>
      </c>
      <c r="H44" s="65" t="e">
        <f t="shared" si="0"/>
        <v>#REF!</v>
      </c>
      <c r="I44" s="68" t="e">
        <f t="shared" si="1"/>
        <v>#REF!</v>
      </c>
      <c r="J44" s="68" t="e">
        <f t="shared" si="2"/>
        <v>#REF!</v>
      </c>
      <c r="K44" s="587"/>
      <c r="L44" s="587"/>
      <c r="M44" s="587"/>
      <c r="N44" s="587"/>
      <c r="O44" s="587"/>
      <c r="P44" s="587"/>
      <c r="Q44" s="587"/>
      <c r="R44" s="587"/>
      <c r="S44" s="587"/>
      <c r="T44" s="587"/>
      <c r="U44" s="587"/>
      <c r="V44" s="587"/>
      <c r="W44" s="587"/>
      <c r="X44" s="587"/>
      <c r="Y44" s="587"/>
      <c r="Z44" s="587"/>
      <c r="AA44" s="587"/>
      <c r="AB44" s="587"/>
      <c r="AC44" s="587"/>
      <c r="AD44" s="52" t="e">
        <f t="shared" ca="1" si="3"/>
        <v>#REF!</v>
      </c>
      <c r="AE44" s="588" t="str">
        <f t="shared" si="4"/>
        <v xml:space="preserve"> </v>
      </c>
    </row>
    <row r="45" spans="1:31" ht="42" customHeight="1" x14ac:dyDescent="0.2">
      <c r="A45" s="591">
        <v>39</v>
      </c>
      <c r="B45" s="51" t="s">
        <v>182</v>
      </c>
      <c r="C45" s="51" t="s">
        <v>985</v>
      </c>
      <c r="D45" s="50">
        <v>105715</v>
      </c>
      <c r="E45" s="74" t="e">
        <f>Consolidado!#REF!</f>
        <v>#REF!</v>
      </c>
      <c r="F45" s="74" t="e">
        <f>Consolidado!#REF!</f>
        <v>#REF!</v>
      </c>
      <c r="G45" s="74" t="e">
        <f>Consolidado!#REF!</f>
        <v>#REF!</v>
      </c>
      <c r="H45" s="65" t="e">
        <f t="shared" si="0"/>
        <v>#REF!</v>
      </c>
      <c r="I45" s="68" t="e">
        <f t="shared" si="1"/>
        <v>#REF!</v>
      </c>
      <c r="J45" s="68" t="e">
        <f t="shared" si="2"/>
        <v>#REF!</v>
      </c>
      <c r="K45" s="587"/>
      <c r="L45" s="587"/>
      <c r="M45" s="587"/>
      <c r="N45" s="587"/>
      <c r="O45" s="587"/>
      <c r="P45" s="587"/>
      <c r="Q45" s="587"/>
      <c r="R45" s="587"/>
      <c r="S45" s="587"/>
      <c r="T45" s="587"/>
      <c r="U45" s="587"/>
      <c r="V45" s="587"/>
      <c r="W45" s="587"/>
      <c r="X45" s="587"/>
      <c r="Y45" s="587"/>
      <c r="Z45" s="587"/>
      <c r="AA45" s="587"/>
      <c r="AB45" s="587"/>
      <c r="AC45" s="587"/>
      <c r="AD45" s="52" t="e">
        <f t="shared" ca="1" si="3"/>
        <v>#REF!</v>
      </c>
      <c r="AE45" s="588" t="str">
        <f t="shared" si="4"/>
        <v xml:space="preserve"> </v>
      </c>
    </row>
    <row r="46" spans="1:31" ht="42" customHeight="1" x14ac:dyDescent="0.2">
      <c r="A46" s="591">
        <v>40</v>
      </c>
      <c r="B46" s="51" t="s">
        <v>182</v>
      </c>
      <c r="C46" s="51" t="s">
        <v>1112</v>
      </c>
      <c r="D46" s="50">
        <v>107251</v>
      </c>
      <c r="E46" s="64" t="s">
        <v>86</v>
      </c>
      <c r="F46" s="64" t="s">
        <v>86</v>
      </c>
      <c r="G46" s="64" t="s">
        <v>86</v>
      </c>
      <c r="H46" s="65" t="e">
        <f t="shared" si="0"/>
        <v>#VALUE!</v>
      </c>
      <c r="I46" s="68" t="e">
        <f t="shared" si="1"/>
        <v>#VALUE!</v>
      </c>
      <c r="J46" s="68" t="e">
        <f t="shared" si="2"/>
        <v>#VALUE!</v>
      </c>
      <c r="K46" s="587"/>
      <c r="L46" s="587"/>
      <c r="M46" s="587"/>
      <c r="N46" s="587"/>
      <c r="O46" s="587"/>
      <c r="P46" s="587"/>
      <c r="Q46" s="587"/>
      <c r="R46" s="587"/>
      <c r="S46" s="587"/>
      <c r="T46" s="587"/>
      <c r="U46" s="587"/>
      <c r="V46" s="587"/>
      <c r="W46" s="587"/>
      <c r="X46" s="587"/>
      <c r="Y46" s="587"/>
      <c r="Z46" s="587"/>
      <c r="AA46" s="587"/>
      <c r="AB46" s="587"/>
      <c r="AC46" s="587"/>
      <c r="AD46" s="52" t="e">
        <f t="shared" ca="1" si="3"/>
        <v>#VALUE!</v>
      </c>
      <c r="AE46" s="588" t="str">
        <f t="shared" si="4"/>
        <v xml:space="preserve"> </v>
      </c>
    </row>
    <row r="47" spans="1:31" ht="42" customHeight="1" x14ac:dyDescent="0.2">
      <c r="A47" s="591">
        <v>41</v>
      </c>
      <c r="B47" s="51" t="s">
        <v>182</v>
      </c>
      <c r="C47" s="51" t="s">
        <v>1113</v>
      </c>
      <c r="D47" s="50">
        <v>107268</v>
      </c>
      <c r="E47" s="64" t="s">
        <v>86</v>
      </c>
      <c r="F47" s="64" t="s">
        <v>86</v>
      </c>
      <c r="G47" s="64" t="s">
        <v>86</v>
      </c>
      <c r="H47" s="65" t="e">
        <f t="shared" si="0"/>
        <v>#VALUE!</v>
      </c>
      <c r="I47" s="68" t="e">
        <f t="shared" si="1"/>
        <v>#VALUE!</v>
      </c>
      <c r="J47" s="68" t="e">
        <f t="shared" si="2"/>
        <v>#VALUE!</v>
      </c>
      <c r="K47" s="587"/>
      <c r="L47" s="587"/>
      <c r="M47" s="587"/>
      <c r="N47" s="587"/>
      <c r="O47" s="587"/>
      <c r="P47" s="587"/>
      <c r="Q47" s="587"/>
      <c r="R47" s="587"/>
      <c r="S47" s="587"/>
      <c r="T47" s="587"/>
      <c r="U47" s="587"/>
      <c r="V47" s="587"/>
      <c r="W47" s="587"/>
      <c r="X47" s="587"/>
      <c r="Y47" s="587"/>
      <c r="Z47" s="587"/>
      <c r="AA47" s="587"/>
      <c r="AB47" s="587"/>
      <c r="AC47" s="587"/>
      <c r="AD47" s="52" t="e">
        <f t="shared" ca="1" si="3"/>
        <v>#VALUE!</v>
      </c>
      <c r="AE47" s="588" t="str">
        <f t="shared" si="4"/>
        <v xml:space="preserve"> </v>
      </c>
    </row>
    <row r="48" spans="1:31" ht="42" customHeight="1" x14ac:dyDescent="0.2">
      <c r="A48" s="592">
        <v>42</v>
      </c>
      <c r="B48" s="51" t="s">
        <v>255</v>
      </c>
      <c r="C48" s="51" t="s">
        <v>285</v>
      </c>
      <c r="D48" s="50">
        <v>230</v>
      </c>
      <c r="E48" s="74" t="e">
        <f>Consolidado!#REF!</f>
        <v>#REF!</v>
      </c>
      <c r="F48" s="59" t="e">
        <f t="shared" ref="F48:G48" si="7">#REF!</f>
        <v>#REF!</v>
      </c>
      <c r="G48" s="74" t="e">
        <f t="shared" si="7"/>
        <v>#REF!</v>
      </c>
      <c r="H48" s="65" t="e">
        <f t="shared" si="0"/>
        <v>#REF!</v>
      </c>
      <c r="I48" s="68" t="e">
        <f t="shared" si="1"/>
        <v>#REF!</v>
      </c>
      <c r="J48" s="68" t="e">
        <f t="shared" si="2"/>
        <v>#REF!</v>
      </c>
      <c r="K48" s="587"/>
      <c r="L48" s="587"/>
      <c r="M48" s="587"/>
      <c r="N48" s="587"/>
      <c r="O48" s="587"/>
      <c r="P48" s="587"/>
      <c r="Q48" s="587"/>
      <c r="R48" s="587"/>
      <c r="S48" s="587"/>
      <c r="T48" s="587"/>
      <c r="U48" s="587"/>
      <c r="V48" s="587"/>
      <c r="W48" s="587"/>
      <c r="X48" s="587"/>
      <c r="Y48" s="587"/>
      <c r="Z48" s="587"/>
      <c r="AA48" s="587"/>
      <c r="AB48" s="587"/>
      <c r="AC48" s="587"/>
      <c r="AD48" s="52" t="e">
        <f t="shared" ca="1" si="3"/>
        <v>#REF!</v>
      </c>
      <c r="AE48" s="588" t="str">
        <f t="shared" si="4"/>
        <v xml:space="preserve"> </v>
      </c>
    </row>
    <row r="49" spans="1:31" ht="42" customHeight="1" x14ac:dyDescent="0.2">
      <c r="A49" s="592">
        <v>43</v>
      </c>
      <c r="B49" s="51" t="s">
        <v>255</v>
      </c>
      <c r="C49" s="51" t="s">
        <v>1058</v>
      </c>
      <c r="D49" s="50">
        <v>239</v>
      </c>
      <c r="E49" s="64" t="e">
        <f>Consolidado!#REF!</f>
        <v>#REF!</v>
      </c>
      <c r="F49" s="64" t="e">
        <f>Consolidado!#REF!</f>
        <v>#REF!</v>
      </c>
      <c r="G49" s="64" t="e">
        <f>Consolidado!#REF!</f>
        <v>#REF!</v>
      </c>
      <c r="H49" s="65" t="e">
        <f t="shared" si="0"/>
        <v>#REF!</v>
      </c>
      <c r="I49" s="68" t="e">
        <f t="shared" si="1"/>
        <v>#REF!</v>
      </c>
      <c r="J49" s="68" t="e">
        <f t="shared" si="2"/>
        <v>#REF!</v>
      </c>
      <c r="K49" s="587"/>
      <c r="L49" s="587"/>
      <c r="M49" s="587"/>
      <c r="N49" s="587"/>
      <c r="O49" s="587"/>
      <c r="P49" s="587"/>
      <c r="Q49" s="587"/>
      <c r="R49" s="587"/>
      <c r="S49" s="587"/>
      <c r="T49" s="587"/>
      <c r="U49" s="587"/>
      <c r="V49" s="587"/>
      <c r="W49" s="587"/>
      <c r="X49" s="587"/>
      <c r="Y49" s="587"/>
      <c r="Z49" s="587"/>
      <c r="AA49" s="587"/>
      <c r="AB49" s="587"/>
      <c r="AC49" s="587"/>
      <c r="AD49" s="52" t="e">
        <f t="shared" ca="1" si="3"/>
        <v>#REF!</v>
      </c>
      <c r="AE49" s="588" t="str">
        <f t="shared" si="4"/>
        <v xml:space="preserve"> </v>
      </c>
    </row>
    <row r="50" spans="1:31" ht="42" customHeight="1" x14ac:dyDescent="0.2">
      <c r="A50" s="592">
        <v>44</v>
      </c>
      <c r="B50" s="51" t="s">
        <v>255</v>
      </c>
      <c r="C50" s="51" t="s">
        <v>266</v>
      </c>
      <c r="D50" s="50">
        <v>240</v>
      </c>
      <c r="E50" s="64" t="e">
        <f>Consolidado!#REF!</f>
        <v>#REF!</v>
      </c>
      <c r="F50" s="64" t="e">
        <f>Consolidado!#REF!</f>
        <v>#REF!</v>
      </c>
      <c r="G50" s="64" t="e">
        <f>Consolidado!#REF!</f>
        <v>#REF!</v>
      </c>
      <c r="H50" s="65" t="e">
        <f t="shared" si="0"/>
        <v>#REF!</v>
      </c>
      <c r="I50" s="68" t="e">
        <f t="shared" si="1"/>
        <v>#REF!</v>
      </c>
      <c r="J50" s="68" t="e">
        <f t="shared" si="2"/>
        <v>#REF!</v>
      </c>
      <c r="K50" s="587"/>
      <c r="L50" s="587"/>
      <c r="M50" s="587"/>
      <c r="N50" s="587"/>
      <c r="O50" s="587"/>
      <c r="P50" s="587"/>
      <c r="Q50" s="587"/>
      <c r="R50" s="587"/>
      <c r="S50" s="587"/>
      <c r="T50" s="587"/>
      <c r="U50" s="587"/>
      <c r="V50" s="587"/>
      <c r="W50" s="587"/>
      <c r="X50" s="587"/>
      <c r="Y50" s="587"/>
      <c r="Z50" s="587"/>
      <c r="AA50" s="587"/>
      <c r="AB50" s="587"/>
      <c r="AC50" s="587"/>
      <c r="AD50" s="52" t="e">
        <f t="shared" ca="1" si="3"/>
        <v>#REF!</v>
      </c>
      <c r="AE50" s="588" t="str">
        <f t="shared" si="4"/>
        <v xml:space="preserve"> </v>
      </c>
    </row>
    <row r="51" spans="1:31" ht="42" customHeight="1" x14ac:dyDescent="0.2">
      <c r="A51" s="592">
        <v>45</v>
      </c>
      <c r="B51" s="51" t="s">
        <v>255</v>
      </c>
      <c r="C51" s="51" t="s">
        <v>280</v>
      </c>
      <c r="D51" s="50">
        <v>241</v>
      </c>
      <c r="E51" s="64" t="e">
        <f>Consolidado!#REF!</f>
        <v>#REF!</v>
      </c>
      <c r="F51" s="64" t="e">
        <f>Consolidado!#REF!</f>
        <v>#REF!</v>
      </c>
      <c r="G51" s="64" t="e">
        <f>Consolidado!#REF!</f>
        <v>#REF!</v>
      </c>
      <c r="H51" s="65" t="e">
        <f t="shared" si="0"/>
        <v>#REF!</v>
      </c>
      <c r="I51" s="68" t="e">
        <f t="shared" si="1"/>
        <v>#REF!</v>
      </c>
      <c r="J51" s="68" t="e">
        <f t="shared" si="2"/>
        <v>#REF!</v>
      </c>
      <c r="K51" s="587"/>
      <c r="L51" s="587"/>
      <c r="M51" s="587"/>
      <c r="N51" s="587"/>
      <c r="O51" s="587"/>
      <c r="P51" s="587"/>
      <c r="Q51" s="587"/>
      <c r="R51" s="587"/>
      <c r="S51" s="587"/>
      <c r="T51" s="587"/>
      <c r="U51" s="587"/>
      <c r="V51" s="587"/>
      <c r="W51" s="587"/>
      <c r="X51" s="587"/>
      <c r="Y51" s="587"/>
      <c r="Z51" s="587"/>
      <c r="AA51" s="587"/>
      <c r="AB51" s="587"/>
      <c r="AC51" s="587"/>
      <c r="AD51" s="52" t="e">
        <f t="shared" ca="1" si="3"/>
        <v>#REF!</v>
      </c>
      <c r="AE51" s="588" t="str">
        <f t="shared" si="4"/>
        <v xml:space="preserve"> </v>
      </c>
    </row>
    <row r="52" spans="1:31" ht="42" customHeight="1" x14ac:dyDescent="0.2">
      <c r="A52" s="592">
        <v>46</v>
      </c>
      <c r="B52" s="51" t="s">
        <v>255</v>
      </c>
      <c r="C52" s="51" t="s">
        <v>275</v>
      </c>
      <c r="D52" s="50">
        <v>242</v>
      </c>
      <c r="E52" s="64" t="e">
        <f>Consolidado!#REF!</f>
        <v>#REF!</v>
      </c>
      <c r="F52" s="64" t="e">
        <f>Consolidado!#REF!</f>
        <v>#REF!</v>
      </c>
      <c r="G52" s="64" t="e">
        <f>Consolidado!#REF!</f>
        <v>#REF!</v>
      </c>
      <c r="H52" s="65" t="e">
        <f t="shared" si="0"/>
        <v>#REF!</v>
      </c>
      <c r="I52" s="68" t="e">
        <f t="shared" si="1"/>
        <v>#REF!</v>
      </c>
      <c r="J52" s="68" t="e">
        <f t="shared" si="2"/>
        <v>#REF!</v>
      </c>
      <c r="K52" s="587"/>
      <c r="L52" s="587"/>
      <c r="M52" s="587"/>
      <c r="N52" s="587"/>
      <c r="O52" s="587"/>
      <c r="P52" s="587"/>
      <c r="Q52" s="587"/>
      <c r="R52" s="587"/>
      <c r="S52" s="587"/>
      <c r="T52" s="587"/>
      <c r="U52" s="587"/>
      <c r="V52" s="587"/>
      <c r="W52" s="587"/>
      <c r="X52" s="587"/>
      <c r="Y52" s="587"/>
      <c r="Z52" s="587"/>
      <c r="AA52" s="587"/>
      <c r="AB52" s="587"/>
      <c r="AC52" s="587"/>
      <c r="AD52" s="52" t="e">
        <f t="shared" ca="1" si="3"/>
        <v>#REF!</v>
      </c>
      <c r="AE52" s="588" t="str">
        <f t="shared" si="4"/>
        <v xml:space="preserve"> </v>
      </c>
    </row>
    <row r="53" spans="1:31" ht="42" customHeight="1" x14ac:dyDescent="0.2">
      <c r="A53" s="592">
        <v>47</v>
      </c>
      <c r="B53" s="51" t="s">
        <v>255</v>
      </c>
      <c r="C53" s="51" t="s">
        <v>296</v>
      </c>
      <c r="D53" s="50">
        <v>243</v>
      </c>
      <c r="E53" s="64" t="e">
        <f>Consolidado!#REF!</f>
        <v>#REF!</v>
      </c>
      <c r="F53" s="64" t="e">
        <f>Consolidado!#REF!</f>
        <v>#REF!</v>
      </c>
      <c r="G53" s="64" t="e">
        <f>Consolidado!#REF!</f>
        <v>#REF!</v>
      </c>
      <c r="H53" s="65" t="e">
        <f t="shared" si="0"/>
        <v>#REF!</v>
      </c>
      <c r="I53" s="68" t="e">
        <f t="shared" si="1"/>
        <v>#REF!</v>
      </c>
      <c r="J53" s="68" t="e">
        <f t="shared" si="2"/>
        <v>#REF!</v>
      </c>
      <c r="K53" s="587"/>
      <c r="L53" s="587"/>
      <c r="M53" s="587"/>
      <c r="N53" s="587"/>
      <c r="O53" s="587"/>
      <c r="P53" s="587"/>
      <c r="Q53" s="587"/>
      <c r="R53" s="587"/>
      <c r="S53" s="587"/>
      <c r="T53" s="587"/>
      <c r="U53" s="587"/>
      <c r="V53" s="587"/>
      <c r="W53" s="587"/>
      <c r="X53" s="587"/>
      <c r="Y53" s="587"/>
      <c r="Z53" s="587"/>
      <c r="AA53" s="587"/>
      <c r="AB53" s="587"/>
      <c r="AC53" s="587"/>
      <c r="AD53" s="52" t="e">
        <f t="shared" ca="1" si="3"/>
        <v>#REF!</v>
      </c>
      <c r="AE53" s="588" t="str">
        <f t="shared" si="4"/>
        <v xml:space="preserve"> </v>
      </c>
    </row>
    <row r="54" spans="1:31" ht="42" customHeight="1" x14ac:dyDescent="0.2">
      <c r="A54" s="592">
        <v>48</v>
      </c>
      <c r="B54" s="51" t="s">
        <v>255</v>
      </c>
      <c r="C54" s="51" t="s">
        <v>271</v>
      </c>
      <c r="D54" s="50">
        <v>244</v>
      </c>
      <c r="E54" s="64" t="e">
        <f>Consolidado!#REF!</f>
        <v>#REF!</v>
      </c>
      <c r="F54" s="64" t="e">
        <f>Consolidado!#REF!</f>
        <v>#REF!</v>
      </c>
      <c r="G54" s="64" t="e">
        <f>Consolidado!#REF!</f>
        <v>#REF!</v>
      </c>
      <c r="H54" s="65" t="e">
        <f t="shared" si="0"/>
        <v>#REF!</v>
      </c>
      <c r="I54" s="68" t="e">
        <f t="shared" si="1"/>
        <v>#REF!</v>
      </c>
      <c r="J54" s="68" t="e">
        <f t="shared" si="2"/>
        <v>#REF!</v>
      </c>
      <c r="K54" s="587"/>
      <c r="L54" s="587"/>
      <c r="M54" s="587"/>
      <c r="N54" s="587"/>
      <c r="O54" s="587"/>
      <c r="P54" s="587"/>
      <c r="Q54" s="587"/>
      <c r="R54" s="587"/>
      <c r="S54" s="587"/>
      <c r="T54" s="587"/>
      <c r="U54" s="587"/>
      <c r="V54" s="587"/>
      <c r="W54" s="587"/>
      <c r="X54" s="587"/>
      <c r="Y54" s="587"/>
      <c r="Z54" s="587"/>
      <c r="AA54" s="587"/>
      <c r="AB54" s="587"/>
      <c r="AC54" s="587"/>
      <c r="AD54" s="52" t="e">
        <f t="shared" ca="1" si="3"/>
        <v>#REF!</v>
      </c>
      <c r="AE54" s="588" t="str">
        <f t="shared" si="4"/>
        <v xml:space="preserve"> </v>
      </c>
    </row>
    <row r="55" spans="1:31" ht="42" customHeight="1" x14ac:dyDescent="0.2">
      <c r="A55" s="592">
        <v>49</v>
      </c>
      <c r="B55" s="51" t="s">
        <v>255</v>
      </c>
      <c r="C55" s="51" t="s">
        <v>260</v>
      </c>
      <c r="D55" s="50">
        <v>5268</v>
      </c>
      <c r="E55" s="179">
        <f>Consolidado!$AU$33</f>
        <v>0</v>
      </c>
      <c r="F55" s="59">
        <f>Consolidado!$AV$33</f>
        <v>0</v>
      </c>
      <c r="G55" s="74">
        <f>Consolidado!$AW$33</f>
        <v>0</v>
      </c>
      <c r="H55" s="65" t="e">
        <f t="shared" si="0"/>
        <v>#NUM!</v>
      </c>
      <c r="I55" s="68" t="e">
        <f t="shared" si="1"/>
        <v>#NUM!</v>
      </c>
      <c r="J55" s="68">
        <f t="shared" si="2"/>
        <v>0</v>
      </c>
      <c r="K55" s="587"/>
      <c r="L55" s="587"/>
      <c r="M55" s="587"/>
      <c r="N55" s="587"/>
      <c r="O55" s="587"/>
      <c r="P55" s="573"/>
      <c r="Q55" s="587"/>
      <c r="R55" s="587"/>
      <c r="S55" s="587"/>
      <c r="T55" s="587"/>
      <c r="U55" s="587"/>
      <c r="V55" s="587"/>
      <c r="W55" s="587" t="s">
        <v>1104</v>
      </c>
      <c r="X55" s="587"/>
      <c r="Y55" s="587"/>
      <c r="Z55" s="587"/>
      <c r="AA55" s="587"/>
      <c r="AB55" s="587"/>
      <c r="AC55" s="587"/>
      <c r="AD55" s="52" t="str">
        <f t="shared" ca="1" si="3"/>
        <v>En proceso</v>
      </c>
      <c r="AE55" s="588">
        <f t="shared" si="4"/>
        <v>13</v>
      </c>
    </row>
    <row r="56" spans="1:31" ht="42" customHeight="1" x14ac:dyDescent="0.2">
      <c r="A56" s="592">
        <v>50</v>
      </c>
      <c r="B56" s="51" t="s">
        <v>255</v>
      </c>
      <c r="C56" s="51" t="s">
        <v>310</v>
      </c>
      <c r="D56" s="50">
        <v>5269</v>
      </c>
      <c r="E56" s="74" t="e">
        <f>Consolidado!#REF!</f>
        <v>#REF!</v>
      </c>
      <c r="F56" s="59" t="e">
        <f>Consolidado!#REF!</f>
        <v>#REF!</v>
      </c>
      <c r="G56" s="74" t="e">
        <f>Consolidado!#REF!</f>
        <v>#REF!</v>
      </c>
      <c r="H56" s="65" t="e">
        <f t="shared" si="0"/>
        <v>#REF!</v>
      </c>
      <c r="I56" s="68" t="e">
        <f t="shared" si="1"/>
        <v>#REF!</v>
      </c>
      <c r="J56" s="68" t="e">
        <f t="shared" si="2"/>
        <v>#REF!</v>
      </c>
      <c r="K56" s="587"/>
      <c r="L56" s="587"/>
      <c r="M56" s="587"/>
      <c r="N56" s="587"/>
      <c r="O56" s="587"/>
      <c r="P56" s="587"/>
      <c r="Q56" s="587"/>
      <c r="R56" s="587"/>
      <c r="S56" s="587"/>
      <c r="T56" s="587"/>
      <c r="U56" s="587"/>
      <c r="V56" s="587"/>
      <c r="W56" s="587"/>
      <c r="X56" s="587"/>
      <c r="Y56" s="587"/>
      <c r="Z56" s="587"/>
      <c r="AA56" s="587"/>
      <c r="AB56" s="587"/>
      <c r="AC56" s="587"/>
      <c r="AD56" s="52" t="e">
        <f t="shared" ca="1" si="3"/>
        <v>#REF!</v>
      </c>
      <c r="AE56" s="588" t="str">
        <f t="shared" si="4"/>
        <v xml:space="preserve"> </v>
      </c>
    </row>
    <row r="57" spans="1:31" ht="42" customHeight="1" x14ac:dyDescent="0.2">
      <c r="A57" s="592">
        <v>51</v>
      </c>
      <c r="B57" s="51" t="s">
        <v>255</v>
      </c>
      <c r="C57" s="51" t="s">
        <v>1114</v>
      </c>
      <c r="D57" s="50">
        <v>11546</v>
      </c>
      <c r="E57" s="111" t="e">
        <f>Consolidado!#REF!</f>
        <v>#REF!</v>
      </c>
      <c r="F57" s="111" t="e">
        <f>Consolidado!#REF!</f>
        <v>#REF!</v>
      </c>
      <c r="G57" s="111" t="e">
        <f>Consolidado!#REF!</f>
        <v>#REF!</v>
      </c>
      <c r="H57" s="65" t="e">
        <f t="shared" si="0"/>
        <v>#REF!</v>
      </c>
      <c r="I57" s="68" t="e">
        <f t="shared" si="1"/>
        <v>#REF!</v>
      </c>
      <c r="J57" s="68" t="e">
        <f t="shared" si="2"/>
        <v>#REF!</v>
      </c>
      <c r="K57" s="587"/>
      <c r="L57" s="587"/>
      <c r="M57" s="587"/>
      <c r="N57" s="587"/>
      <c r="O57" s="587"/>
      <c r="P57" s="587"/>
      <c r="Q57" s="587"/>
      <c r="R57" s="587"/>
      <c r="S57" s="587"/>
      <c r="T57" s="587"/>
      <c r="U57" s="587"/>
      <c r="V57" s="587"/>
      <c r="W57" s="587"/>
      <c r="X57" s="587"/>
      <c r="Y57" s="587"/>
      <c r="Z57" s="587"/>
      <c r="AA57" s="587"/>
      <c r="AB57" s="587"/>
      <c r="AC57" s="587"/>
      <c r="AD57" s="52" t="e">
        <f t="shared" ca="1" si="3"/>
        <v>#REF!</v>
      </c>
      <c r="AE57" s="588" t="str">
        <f t="shared" si="4"/>
        <v xml:space="preserve"> </v>
      </c>
    </row>
    <row r="58" spans="1:31" ht="42" customHeight="1" x14ac:dyDescent="0.2">
      <c r="A58" s="592">
        <v>52</v>
      </c>
      <c r="B58" s="51" t="s">
        <v>255</v>
      </c>
      <c r="C58" s="51" t="s">
        <v>968</v>
      </c>
      <c r="D58" s="50">
        <v>55202</v>
      </c>
      <c r="E58" s="368">
        <f>Consolidado!$AU$37</f>
        <v>0</v>
      </c>
      <c r="F58" s="59">
        <f>Consolidado!$AV$37</f>
        <v>0</v>
      </c>
      <c r="G58" s="74">
        <f>Consolidado!$AW$37</f>
        <v>0</v>
      </c>
      <c r="H58" s="65" t="e">
        <f t="shared" si="0"/>
        <v>#NUM!</v>
      </c>
      <c r="I58" s="68" t="e">
        <f t="shared" si="1"/>
        <v>#NUM!</v>
      </c>
      <c r="J58" s="68">
        <f t="shared" si="2"/>
        <v>0</v>
      </c>
      <c r="K58" s="587"/>
      <c r="L58" s="587"/>
      <c r="M58" s="573"/>
      <c r="N58" s="587"/>
      <c r="O58" s="587"/>
      <c r="P58" s="587"/>
      <c r="Q58" s="587"/>
      <c r="R58" s="587"/>
      <c r="S58" s="587"/>
      <c r="T58" s="587"/>
      <c r="U58" s="587"/>
      <c r="V58" s="587"/>
      <c r="W58" s="587" t="s">
        <v>1104</v>
      </c>
      <c r="X58" s="587"/>
      <c r="Y58" s="587"/>
      <c r="Z58" s="587"/>
      <c r="AA58" s="587"/>
      <c r="AB58" s="587"/>
      <c r="AC58" s="587"/>
      <c r="AD58" s="52" t="str">
        <f t="shared" ca="1" si="3"/>
        <v>En proceso</v>
      </c>
      <c r="AE58" s="588">
        <f t="shared" si="4"/>
        <v>13</v>
      </c>
    </row>
    <row r="59" spans="1:31" ht="42" customHeight="1" x14ac:dyDescent="0.2">
      <c r="A59" s="592">
        <v>53</v>
      </c>
      <c r="B59" s="51" t="s">
        <v>255</v>
      </c>
      <c r="C59" s="51" t="s">
        <v>1115</v>
      </c>
      <c r="D59" s="380">
        <v>104917</v>
      </c>
      <c r="E59" s="64" t="e">
        <f>Consolidado!#REF!</f>
        <v>#REF!</v>
      </c>
      <c r="F59" s="64" t="e">
        <f>Consolidado!#REF!</f>
        <v>#REF!</v>
      </c>
      <c r="G59" s="64" t="e">
        <f>Consolidado!#REF!</f>
        <v>#REF!</v>
      </c>
      <c r="H59" s="65" t="e">
        <f t="shared" si="0"/>
        <v>#REF!</v>
      </c>
      <c r="I59" s="68" t="e">
        <f t="shared" si="1"/>
        <v>#REF!</v>
      </c>
      <c r="J59" s="68" t="e">
        <f t="shared" si="2"/>
        <v>#REF!</v>
      </c>
      <c r="K59" s="587"/>
      <c r="L59" s="587"/>
      <c r="M59" s="587"/>
      <c r="N59" s="587"/>
      <c r="O59" s="587"/>
      <c r="P59" s="587"/>
      <c r="Q59" s="587"/>
      <c r="R59" s="587"/>
      <c r="S59" s="587"/>
      <c r="T59" s="587"/>
      <c r="U59" s="587"/>
      <c r="V59" s="587"/>
      <c r="W59" s="587"/>
      <c r="X59" s="587"/>
      <c r="Y59" s="587"/>
      <c r="Z59" s="587"/>
      <c r="AA59" s="587"/>
      <c r="AB59" s="587"/>
      <c r="AC59" s="587"/>
      <c r="AD59" s="52" t="e">
        <f t="shared" ca="1" si="3"/>
        <v>#REF!</v>
      </c>
      <c r="AE59" s="588" t="str">
        <f t="shared" si="4"/>
        <v xml:space="preserve"> </v>
      </c>
    </row>
    <row r="60" spans="1:31" ht="42" customHeight="1" x14ac:dyDescent="0.2">
      <c r="A60" s="592">
        <v>54</v>
      </c>
      <c r="B60" s="51" t="s">
        <v>255</v>
      </c>
      <c r="C60" s="51" t="s">
        <v>292</v>
      </c>
      <c r="D60" s="50">
        <v>105964</v>
      </c>
      <c r="E60" s="64">
        <f>Consolidado!$AU$38</f>
        <v>0</v>
      </c>
      <c r="F60" s="63">
        <f>Consolidado!$AV$38</f>
        <v>0</v>
      </c>
      <c r="G60" s="64">
        <f>Consolidado!$AW$38</f>
        <v>0</v>
      </c>
      <c r="H60" s="65" t="e">
        <f t="shared" si="0"/>
        <v>#NUM!</v>
      </c>
      <c r="I60" s="68" t="e">
        <f t="shared" si="1"/>
        <v>#NUM!</v>
      </c>
      <c r="J60" s="68">
        <f t="shared" si="2"/>
        <v>0</v>
      </c>
      <c r="K60" s="587"/>
      <c r="L60" s="587"/>
      <c r="M60" s="587"/>
      <c r="N60" s="587"/>
      <c r="O60" s="587"/>
      <c r="P60" s="587"/>
      <c r="Q60" s="587"/>
      <c r="R60" s="587"/>
      <c r="S60" s="587"/>
      <c r="T60" s="587"/>
      <c r="U60" s="587"/>
      <c r="V60" s="587"/>
      <c r="W60" s="587"/>
      <c r="X60" s="587"/>
      <c r="Y60" s="587"/>
      <c r="Z60" s="587"/>
      <c r="AA60" s="587"/>
      <c r="AB60" s="587"/>
      <c r="AC60" s="587"/>
      <c r="AD60" s="52" t="str">
        <f t="shared" ca="1" si="3"/>
        <v>En proceso</v>
      </c>
      <c r="AE60" s="588" t="str">
        <f t="shared" si="4"/>
        <v xml:space="preserve"> </v>
      </c>
    </row>
    <row r="61" spans="1:31" ht="42" customHeight="1" x14ac:dyDescent="0.2">
      <c r="A61" s="592">
        <v>55</v>
      </c>
      <c r="B61" s="51" t="s">
        <v>255</v>
      </c>
      <c r="C61" s="51" t="s">
        <v>318</v>
      </c>
      <c r="D61" s="50">
        <v>106126</v>
      </c>
      <c r="E61" s="593">
        <f>Consolidado!$AU$39</f>
        <v>14238</v>
      </c>
      <c r="F61" s="63">
        <f>Consolidado!$AV$39</f>
        <v>45161</v>
      </c>
      <c r="G61" s="64">
        <f>Consolidado!$AW$39</f>
        <v>6</v>
      </c>
      <c r="H61" s="65">
        <f t="shared" si="0"/>
        <v>46927</v>
      </c>
      <c r="I61" s="68">
        <f t="shared" si="1"/>
        <v>46988</v>
      </c>
      <c r="J61" s="68">
        <f t="shared" si="2"/>
        <v>47353</v>
      </c>
      <c r="K61" s="587"/>
      <c r="L61" s="587"/>
      <c r="M61" s="587"/>
      <c r="N61" s="587"/>
      <c r="O61" s="587"/>
      <c r="P61" s="587"/>
      <c r="Q61" s="587"/>
      <c r="R61" s="587"/>
      <c r="S61" s="587"/>
      <c r="T61" s="587"/>
      <c r="U61" s="587"/>
      <c r="V61" s="587"/>
      <c r="W61" s="587"/>
      <c r="X61" s="587"/>
      <c r="Y61" s="587"/>
      <c r="Z61" s="587"/>
      <c r="AA61" s="587"/>
      <c r="AB61" s="587"/>
      <c r="AC61" s="587"/>
      <c r="AD61" s="52" t="str">
        <f t="shared" ca="1" si="3"/>
        <v>Vigente</v>
      </c>
      <c r="AE61" s="588" t="str">
        <f t="shared" si="4"/>
        <v xml:space="preserve"> </v>
      </c>
    </row>
    <row r="62" spans="1:31" ht="42" customHeight="1" x14ac:dyDescent="0.2">
      <c r="A62" s="137">
        <v>56</v>
      </c>
      <c r="B62" s="51" t="s">
        <v>333</v>
      </c>
      <c r="C62" s="51" t="s">
        <v>408</v>
      </c>
      <c r="D62" s="50">
        <v>232</v>
      </c>
      <c r="E62" s="368" t="e">
        <f>Consolidado!#REF!</f>
        <v>#REF!</v>
      </c>
      <c r="F62" s="68" t="e">
        <f>Consolidado!#REF!</f>
        <v>#REF!</v>
      </c>
      <c r="G62" s="74" t="e">
        <f>Consolidado!#REF!</f>
        <v>#REF!</v>
      </c>
      <c r="H62" s="65" t="e">
        <f t="shared" si="0"/>
        <v>#REF!</v>
      </c>
      <c r="I62" s="68" t="e">
        <f t="shared" si="1"/>
        <v>#REF!</v>
      </c>
      <c r="J62" s="68" t="e">
        <f t="shared" si="2"/>
        <v>#REF!</v>
      </c>
      <c r="K62" s="587"/>
      <c r="L62" s="587"/>
      <c r="M62" s="587"/>
      <c r="N62" s="587"/>
      <c r="O62" s="587"/>
      <c r="P62" s="587"/>
      <c r="Q62" s="587"/>
      <c r="R62" s="587"/>
      <c r="S62" s="587"/>
      <c r="T62" s="587"/>
      <c r="U62" s="587"/>
      <c r="V62" s="587"/>
      <c r="W62" s="587"/>
      <c r="X62" s="587"/>
      <c r="Y62" s="587"/>
      <c r="Z62" s="587"/>
      <c r="AA62" s="587"/>
      <c r="AB62" s="587"/>
      <c r="AC62" s="587"/>
      <c r="AD62" s="52" t="e">
        <f t="shared" ca="1" si="3"/>
        <v>#REF!</v>
      </c>
      <c r="AE62" s="588" t="str">
        <f t="shared" si="4"/>
        <v xml:space="preserve"> </v>
      </c>
    </row>
    <row r="63" spans="1:31" ht="42" customHeight="1" x14ac:dyDescent="0.2">
      <c r="A63" s="137">
        <v>57</v>
      </c>
      <c r="B63" s="51" t="s">
        <v>333</v>
      </c>
      <c r="C63" s="51" t="s">
        <v>1059</v>
      </c>
      <c r="D63" s="50">
        <v>4493</v>
      </c>
      <c r="E63" s="594" t="e">
        <f>Consolidado!#REF!</f>
        <v>#REF!</v>
      </c>
      <c r="F63" s="594" t="e">
        <f>Consolidado!#REF!</f>
        <v>#REF!</v>
      </c>
      <c r="G63" s="594" t="e">
        <f>Consolidado!#REF!</f>
        <v>#REF!</v>
      </c>
      <c r="H63" s="65" t="e">
        <f t="shared" si="0"/>
        <v>#REF!</v>
      </c>
      <c r="I63" s="68" t="e">
        <f t="shared" si="1"/>
        <v>#REF!</v>
      </c>
      <c r="J63" s="68" t="e">
        <f t="shared" si="2"/>
        <v>#REF!</v>
      </c>
      <c r="K63" s="587"/>
      <c r="L63" s="587"/>
      <c r="M63" s="587"/>
      <c r="N63" s="587"/>
      <c r="O63" s="587"/>
      <c r="P63" s="587"/>
      <c r="Q63" s="587"/>
      <c r="R63" s="587"/>
      <c r="S63" s="587"/>
      <c r="T63" s="587"/>
      <c r="U63" s="587"/>
      <c r="V63" s="587"/>
      <c r="W63" s="587"/>
      <c r="X63" s="587"/>
      <c r="Y63" s="587"/>
      <c r="Z63" s="587"/>
      <c r="AA63" s="587"/>
      <c r="AB63" s="587"/>
      <c r="AC63" s="587"/>
      <c r="AD63" s="52" t="e">
        <f t="shared" ca="1" si="3"/>
        <v>#REF!</v>
      </c>
      <c r="AE63" s="588" t="str">
        <f t="shared" si="4"/>
        <v xml:space="preserve"> </v>
      </c>
    </row>
    <row r="64" spans="1:31" ht="42" customHeight="1" x14ac:dyDescent="0.2">
      <c r="A64" s="137">
        <v>58</v>
      </c>
      <c r="B64" s="51" t="s">
        <v>333</v>
      </c>
      <c r="C64" s="51" t="s">
        <v>1060</v>
      </c>
      <c r="D64" s="50">
        <v>11967</v>
      </c>
      <c r="E64" s="594">
        <f>Consolidado!$AU$46</f>
        <v>0</v>
      </c>
      <c r="F64" s="594">
        <f>Consolidado!$AV$46</f>
        <v>0</v>
      </c>
      <c r="G64" s="594">
        <f>Consolidado!$AW$46</f>
        <v>0</v>
      </c>
      <c r="H64" s="65" t="e">
        <f t="shared" si="0"/>
        <v>#NUM!</v>
      </c>
      <c r="I64" s="68" t="e">
        <f t="shared" si="1"/>
        <v>#NUM!</v>
      </c>
      <c r="J64" s="68">
        <f t="shared" si="2"/>
        <v>0</v>
      </c>
      <c r="K64" s="587"/>
      <c r="L64" s="587"/>
      <c r="M64" s="587"/>
      <c r="N64" s="587"/>
      <c r="O64" s="587"/>
      <c r="P64" s="587"/>
      <c r="Q64" s="587"/>
      <c r="R64" s="587"/>
      <c r="S64" s="587"/>
      <c r="T64" s="587"/>
      <c r="U64" s="587"/>
      <c r="V64" s="587"/>
      <c r="W64" s="587" t="s">
        <v>1104</v>
      </c>
      <c r="X64" s="587"/>
      <c r="Y64" s="587"/>
      <c r="Z64" s="587"/>
      <c r="AA64" s="587"/>
      <c r="AB64" s="587"/>
      <c r="AC64" s="587"/>
      <c r="AD64" s="52" t="str">
        <f t="shared" ca="1" si="3"/>
        <v>En proceso</v>
      </c>
      <c r="AE64" s="588">
        <f t="shared" si="4"/>
        <v>13</v>
      </c>
    </row>
    <row r="65" spans="1:31" ht="42" customHeight="1" x14ac:dyDescent="0.2">
      <c r="A65" s="137">
        <v>59</v>
      </c>
      <c r="B65" s="51" t="s">
        <v>333</v>
      </c>
      <c r="C65" s="51" t="s">
        <v>372</v>
      </c>
      <c r="D65" s="50">
        <v>106575</v>
      </c>
      <c r="E65" s="595">
        <f>Consolidado!$AU$47</f>
        <v>0</v>
      </c>
      <c r="F65" s="68">
        <f>Consolidado!$AV$47</f>
        <v>0</v>
      </c>
      <c r="G65" s="594">
        <f>Consolidado!$AW$47</f>
        <v>0</v>
      </c>
      <c r="H65" s="65" t="e">
        <f t="shared" si="0"/>
        <v>#NUM!</v>
      </c>
      <c r="I65" s="68" t="e">
        <f t="shared" si="1"/>
        <v>#NUM!</v>
      </c>
      <c r="J65" s="68">
        <f t="shared" si="2"/>
        <v>0</v>
      </c>
      <c r="K65" s="587"/>
      <c r="L65" s="587"/>
      <c r="M65" s="587"/>
      <c r="N65" s="587"/>
      <c r="O65" s="587"/>
      <c r="P65" s="587"/>
      <c r="Q65" s="587"/>
      <c r="R65" s="587"/>
      <c r="S65" s="587"/>
      <c r="T65" s="587"/>
      <c r="U65" s="587"/>
      <c r="V65" s="587"/>
      <c r="W65" s="587"/>
      <c r="X65" s="587"/>
      <c r="Y65" s="587"/>
      <c r="Z65" s="587"/>
      <c r="AA65" s="587"/>
      <c r="AB65" s="587"/>
      <c r="AC65" s="587"/>
      <c r="AD65" s="52" t="str">
        <f t="shared" ca="1" si="3"/>
        <v>En proceso</v>
      </c>
      <c r="AE65" s="588" t="str">
        <f t="shared" si="4"/>
        <v xml:space="preserve"> </v>
      </c>
    </row>
    <row r="66" spans="1:31" ht="42" customHeight="1" x14ac:dyDescent="0.2">
      <c r="A66" s="137">
        <v>60</v>
      </c>
      <c r="B66" s="51" t="s">
        <v>333</v>
      </c>
      <c r="C66" s="51" t="s">
        <v>381</v>
      </c>
      <c r="D66" s="50">
        <v>13062</v>
      </c>
      <c r="E66" s="595">
        <f>Consolidado!$AU$48</f>
        <v>0</v>
      </c>
      <c r="F66" s="68">
        <f>Consolidado!$AV$48</f>
        <v>0</v>
      </c>
      <c r="G66" s="594">
        <f>Consolidado!$AW$48</f>
        <v>0</v>
      </c>
      <c r="H66" s="65" t="e">
        <f t="shared" si="0"/>
        <v>#NUM!</v>
      </c>
      <c r="I66" s="68" t="e">
        <f t="shared" si="1"/>
        <v>#NUM!</v>
      </c>
      <c r="J66" s="68">
        <f t="shared" si="2"/>
        <v>0</v>
      </c>
      <c r="K66" s="587"/>
      <c r="L66" s="587"/>
      <c r="M66" s="573"/>
      <c r="N66" s="587"/>
      <c r="O66" s="587"/>
      <c r="P66" s="587"/>
      <c r="Q66" s="573"/>
      <c r="R66" s="587"/>
      <c r="S66" s="587"/>
      <c r="T66" s="587"/>
      <c r="U66" s="587"/>
      <c r="V66" s="587"/>
      <c r="W66" s="587"/>
      <c r="X66" s="587"/>
      <c r="Y66" s="587"/>
      <c r="Z66" s="587"/>
      <c r="AA66" s="587"/>
      <c r="AB66" s="587"/>
      <c r="AC66" s="587"/>
      <c r="AD66" s="52" t="str">
        <f t="shared" ca="1" si="3"/>
        <v>En proceso</v>
      </c>
      <c r="AE66" s="588" t="str">
        <f t="shared" si="4"/>
        <v xml:space="preserve"> </v>
      </c>
    </row>
    <row r="67" spans="1:31" ht="42" customHeight="1" x14ac:dyDescent="0.2">
      <c r="A67" s="137">
        <v>61</v>
      </c>
      <c r="B67" s="51" t="s">
        <v>333</v>
      </c>
      <c r="C67" s="51" t="s">
        <v>994</v>
      </c>
      <c r="D67" s="50">
        <v>15440</v>
      </c>
      <c r="E67" s="74" t="e">
        <f>Consolidado!#REF!</f>
        <v>#REF!</v>
      </c>
      <c r="F67" s="68" t="e">
        <f>Consolidado!#REF!</f>
        <v>#REF!</v>
      </c>
      <c r="G67" s="74" t="e">
        <f>Consolidado!#REF!</f>
        <v>#REF!</v>
      </c>
      <c r="H67" s="65" t="e">
        <f t="shared" si="0"/>
        <v>#REF!</v>
      </c>
      <c r="I67" s="68" t="e">
        <f t="shared" si="1"/>
        <v>#REF!</v>
      </c>
      <c r="J67" s="68" t="e">
        <f t="shared" si="2"/>
        <v>#REF!</v>
      </c>
      <c r="K67" s="587"/>
      <c r="L67" s="587"/>
      <c r="M67" s="587"/>
      <c r="N67" s="587"/>
      <c r="O67" s="587"/>
      <c r="P67" s="587"/>
      <c r="Q67" s="587"/>
      <c r="R67" s="587"/>
      <c r="S67" s="587"/>
      <c r="T67" s="587"/>
      <c r="U67" s="587"/>
      <c r="V67" s="587"/>
      <c r="W67" s="587"/>
      <c r="X67" s="587"/>
      <c r="Y67" s="587"/>
      <c r="Z67" s="587"/>
      <c r="AA67" s="587"/>
      <c r="AB67" s="587"/>
      <c r="AC67" s="587"/>
      <c r="AD67" s="52" t="e">
        <f t="shared" ca="1" si="3"/>
        <v>#REF!</v>
      </c>
      <c r="AE67" s="588" t="str">
        <f t="shared" si="4"/>
        <v xml:space="preserve"> </v>
      </c>
    </row>
    <row r="68" spans="1:31" ht="42" customHeight="1" x14ac:dyDescent="0.2">
      <c r="A68" s="137">
        <v>62</v>
      </c>
      <c r="B68" s="51" t="s">
        <v>333</v>
      </c>
      <c r="C68" s="51" t="s">
        <v>392</v>
      </c>
      <c r="D68" s="50">
        <v>106604</v>
      </c>
      <c r="E68" s="368">
        <f>Consolidado!$AU$49</f>
        <v>0</v>
      </c>
      <c r="F68" s="68">
        <f>Consolidado!$AV$49</f>
        <v>0</v>
      </c>
      <c r="G68" s="74">
        <f>Consolidado!$AW$49</f>
        <v>0</v>
      </c>
      <c r="H68" s="65" t="e">
        <f t="shared" si="0"/>
        <v>#NUM!</v>
      </c>
      <c r="I68" s="68" t="e">
        <f t="shared" si="1"/>
        <v>#NUM!</v>
      </c>
      <c r="J68" s="68">
        <f t="shared" si="2"/>
        <v>0</v>
      </c>
      <c r="K68" s="587"/>
      <c r="L68" s="587"/>
      <c r="M68" s="587"/>
      <c r="N68" s="587"/>
      <c r="O68" s="587"/>
      <c r="P68" s="587"/>
      <c r="Q68" s="587"/>
      <c r="R68" s="587"/>
      <c r="S68" s="587"/>
      <c r="T68" s="587"/>
      <c r="U68" s="587"/>
      <c r="V68" s="587"/>
      <c r="W68" s="587"/>
      <c r="X68" s="587"/>
      <c r="Y68" s="587"/>
      <c r="Z68" s="587"/>
      <c r="AA68" s="587"/>
      <c r="AB68" s="587"/>
      <c r="AC68" s="587"/>
      <c r="AD68" s="52" t="str">
        <f t="shared" ca="1" si="3"/>
        <v>En proceso</v>
      </c>
      <c r="AE68" s="588" t="str">
        <f t="shared" si="4"/>
        <v xml:space="preserve"> </v>
      </c>
    </row>
    <row r="69" spans="1:31" ht="42" customHeight="1" x14ac:dyDescent="0.2">
      <c r="A69" s="137">
        <v>63</v>
      </c>
      <c r="B69" s="51" t="s">
        <v>333</v>
      </c>
      <c r="C69" s="51" t="s">
        <v>351</v>
      </c>
      <c r="D69" s="50">
        <v>51767</v>
      </c>
      <c r="E69" s="74" t="e">
        <f>Consolidado!#REF!</f>
        <v>#REF!</v>
      </c>
      <c r="F69" s="74" t="e">
        <f>Consolidado!#REF!</f>
        <v>#REF!</v>
      </c>
      <c r="G69" s="74" t="e">
        <f>Consolidado!#REF!</f>
        <v>#REF!</v>
      </c>
      <c r="H69" s="65" t="e">
        <f t="shared" si="0"/>
        <v>#REF!</v>
      </c>
      <c r="I69" s="68" t="e">
        <f t="shared" si="1"/>
        <v>#REF!</v>
      </c>
      <c r="J69" s="68" t="e">
        <f t="shared" si="2"/>
        <v>#REF!</v>
      </c>
      <c r="K69" s="587"/>
      <c r="L69" s="587"/>
      <c r="M69" s="587"/>
      <c r="N69" s="587"/>
      <c r="O69" s="587"/>
      <c r="P69" s="587"/>
      <c r="Q69" s="587"/>
      <c r="R69" s="587"/>
      <c r="S69" s="587"/>
      <c r="T69" s="587"/>
      <c r="U69" s="587"/>
      <c r="V69" s="587"/>
      <c r="W69" s="587"/>
      <c r="X69" s="587"/>
      <c r="Y69" s="587"/>
      <c r="Z69" s="587"/>
      <c r="AA69" s="587"/>
      <c r="AB69" s="587"/>
      <c r="AC69" s="587"/>
      <c r="AD69" s="52" t="e">
        <f t="shared" ca="1" si="3"/>
        <v>#REF!</v>
      </c>
      <c r="AE69" s="588" t="str">
        <f t="shared" si="4"/>
        <v xml:space="preserve"> </v>
      </c>
    </row>
    <row r="70" spans="1:31" ht="42" customHeight="1" x14ac:dyDescent="0.2">
      <c r="A70" s="137">
        <v>64</v>
      </c>
      <c r="B70" s="51" t="s">
        <v>333</v>
      </c>
      <c r="C70" s="51" t="s">
        <v>357</v>
      </c>
      <c r="D70" s="50">
        <v>54866</v>
      </c>
      <c r="E70" s="74">
        <f>Consolidado!$AU$50</f>
        <v>0</v>
      </c>
      <c r="F70" s="68">
        <f>Consolidado!$AV$50</f>
        <v>0</v>
      </c>
      <c r="G70" s="74">
        <f>Consolidado!$AW$50</f>
        <v>0</v>
      </c>
      <c r="H70" s="65" t="e">
        <f t="shared" si="0"/>
        <v>#NUM!</v>
      </c>
      <c r="I70" s="68" t="e">
        <f t="shared" si="1"/>
        <v>#NUM!</v>
      </c>
      <c r="J70" s="68">
        <f t="shared" si="2"/>
        <v>0</v>
      </c>
      <c r="K70" s="587"/>
      <c r="L70" s="587"/>
      <c r="M70" s="587"/>
      <c r="N70" s="587"/>
      <c r="O70" s="587"/>
      <c r="P70" s="587"/>
      <c r="Q70" s="587"/>
      <c r="R70" s="587"/>
      <c r="S70" s="587"/>
      <c r="T70" s="587"/>
      <c r="U70" s="587"/>
      <c r="V70" s="587"/>
      <c r="W70" s="587"/>
      <c r="X70" s="587"/>
      <c r="Y70" s="587"/>
      <c r="Z70" s="587"/>
      <c r="AA70" s="587"/>
      <c r="AB70" s="587"/>
      <c r="AC70" s="587"/>
      <c r="AD70" s="52" t="str">
        <f t="shared" ca="1" si="3"/>
        <v>En proceso</v>
      </c>
      <c r="AE70" s="588" t="str">
        <f t="shared" si="4"/>
        <v xml:space="preserve"> </v>
      </c>
    </row>
    <row r="71" spans="1:31" ht="42" customHeight="1" x14ac:dyDescent="0.2">
      <c r="A71" s="137">
        <v>65</v>
      </c>
      <c r="B71" s="51" t="s">
        <v>333</v>
      </c>
      <c r="C71" s="51" t="s">
        <v>1017</v>
      </c>
      <c r="D71" s="50">
        <v>90694</v>
      </c>
      <c r="E71" s="74">
        <f>Consolidado!$AU$52</f>
        <v>0</v>
      </c>
      <c r="F71" s="68">
        <f>Consolidado!$AV$52</f>
        <v>0</v>
      </c>
      <c r="G71" s="74">
        <f>Consolidado!$AW$52</f>
        <v>0</v>
      </c>
      <c r="H71" s="65" t="e">
        <f t="shared" si="0"/>
        <v>#NUM!</v>
      </c>
      <c r="I71" s="68" t="e">
        <f t="shared" si="1"/>
        <v>#NUM!</v>
      </c>
      <c r="J71" s="68">
        <f t="shared" si="2"/>
        <v>0</v>
      </c>
      <c r="K71" s="587"/>
      <c r="L71" s="587"/>
      <c r="M71" s="587"/>
      <c r="N71" s="587"/>
      <c r="O71" s="587"/>
      <c r="P71" s="587"/>
      <c r="Q71" s="587"/>
      <c r="R71" s="587"/>
      <c r="S71" s="587"/>
      <c r="T71" s="587"/>
      <c r="U71" s="587"/>
      <c r="V71" s="587"/>
      <c r="W71" s="587"/>
      <c r="X71" s="587"/>
      <c r="Y71" s="587"/>
      <c r="Z71" s="587"/>
      <c r="AA71" s="587"/>
      <c r="AB71" s="587"/>
      <c r="AC71" s="587"/>
      <c r="AD71" s="52" t="str">
        <f t="shared" ca="1" si="3"/>
        <v>En proceso</v>
      </c>
      <c r="AE71" s="588" t="str">
        <f t="shared" si="4"/>
        <v xml:space="preserve"> </v>
      </c>
    </row>
    <row r="72" spans="1:31" ht="42" customHeight="1" x14ac:dyDescent="0.2">
      <c r="A72" s="137">
        <v>66</v>
      </c>
      <c r="B72" s="51" t="s">
        <v>333</v>
      </c>
      <c r="C72" s="51" t="s">
        <v>1014</v>
      </c>
      <c r="D72" s="50">
        <v>90695</v>
      </c>
      <c r="E72" s="74" t="e">
        <f>Consolidado!#REF!</f>
        <v>#REF!</v>
      </c>
      <c r="F72" s="74" t="e">
        <f>Consolidado!#REF!</f>
        <v>#REF!</v>
      </c>
      <c r="G72" s="74" t="e">
        <f>Consolidado!#REF!</f>
        <v>#REF!</v>
      </c>
      <c r="H72" s="65" t="e">
        <f t="shared" si="0"/>
        <v>#REF!</v>
      </c>
      <c r="I72" s="68" t="e">
        <f t="shared" si="1"/>
        <v>#REF!</v>
      </c>
      <c r="J72" s="68" t="e">
        <f t="shared" si="2"/>
        <v>#REF!</v>
      </c>
      <c r="K72" s="587"/>
      <c r="L72" s="587"/>
      <c r="M72" s="587"/>
      <c r="N72" s="587"/>
      <c r="O72" s="587"/>
      <c r="P72" s="587"/>
      <c r="Q72" s="587"/>
      <c r="R72" s="587"/>
      <c r="S72" s="587"/>
      <c r="T72" s="587"/>
      <c r="U72" s="587"/>
      <c r="V72" s="587"/>
      <c r="W72" s="587"/>
      <c r="X72" s="587"/>
      <c r="Y72" s="587"/>
      <c r="Z72" s="587"/>
      <c r="AA72" s="587"/>
      <c r="AB72" s="587"/>
      <c r="AC72" s="587"/>
      <c r="AD72" s="52" t="e">
        <f t="shared" ca="1" si="3"/>
        <v>#REF!</v>
      </c>
      <c r="AE72" s="588" t="str">
        <f t="shared" si="4"/>
        <v xml:space="preserve"> </v>
      </c>
    </row>
    <row r="73" spans="1:31" ht="42" customHeight="1" x14ac:dyDescent="0.2">
      <c r="A73" s="137">
        <v>67</v>
      </c>
      <c r="B73" s="51" t="s">
        <v>333</v>
      </c>
      <c r="C73" s="51" t="s">
        <v>1116</v>
      </c>
      <c r="D73" s="50">
        <v>102181</v>
      </c>
      <c r="E73" s="368">
        <f>Consolidado!$AU$53</f>
        <v>6405</v>
      </c>
      <c r="F73" s="68">
        <f>Consolidado!$AV$53</f>
        <v>45036</v>
      </c>
      <c r="G73" s="74">
        <f>Consolidado!$AW$53</f>
        <v>4</v>
      </c>
      <c r="H73" s="65">
        <f t="shared" si="0"/>
        <v>46073</v>
      </c>
      <c r="I73" s="68">
        <f t="shared" si="1"/>
        <v>46132</v>
      </c>
      <c r="J73" s="68">
        <f t="shared" si="2"/>
        <v>46497</v>
      </c>
      <c r="K73" s="587"/>
      <c r="L73" s="587"/>
      <c r="M73" s="587"/>
      <c r="N73" s="587"/>
      <c r="O73" s="587"/>
      <c r="P73" s="587"/>
      <c r="Q73" s="587"/>
      <c r="R73" s="587"/>
      <c r="S73" s="587"/>
      <c r="T73" s="587"/>
      <c r="U73" s="587"/>
      <c r="V73" s="587"/>
      <c r="W73" s="587"/>
      <c r="X73" s="587"/>
      <c r="Y73" s="587"/>
      <c r="Z73" s="587"/>
      <c r="AA73" s="587"/>
      <c r="AB73" s="587"/>
      <c r="AC73" s="587"/>
      <c r="AD73" s="52" t="str">
        <f t="shared" ca="1" si="3"/>
        <v>Vigente</v>
      </c>
      <c r="AE73" s="588" t="str">
        <f t="shared" si="4"/>
        <v xml:space="preserve"> </v>
      </c>
    </row>
    <row r="74" spans="1:31" ht="42" customHeight="1" x14ac:dyDescent="0.2">
      <c r="A74" s="137">
        <v>68</v>
      </c>
      <c r="B74" s="51" t="s">
        <v>333</v>
      </c>
      <c r="C74" s="51" t="s">
        <v>1117</v>
      </c>
      <c r="D74" s="50">
        <v>103336</v>
      </c>
      <c r="E74" s="74" t="e">
        <f>Consolidado!#REF!</f>
        <v>#REF!</v>
      </c>
      <c r="F74" s="74" t="e">
        <f>Consolidado!#REF!</f>
        <v>#REF!</v>
      </c>
      <c r="G74" s="74" t="e">
        <f>Consolidado!#REF!</f>
        <v>#REF!</v>
      </c>
      <c r="H74" s="65" t="e">
        <f t="shared" si="0"/>
        <v>#REF!</v>
      </c>
      <c r="I74" s="68" t="e">
        <f t="shared" si="1"/>
        <v>#REF!</v>
      </c>
      <c r="J74" s="68" t="e">
        <f t="shared" si="2"/>
        <v>#REF!</v>
      </c>
      <c r="K74" s="587"/>
      <c r="L74" s="587"/>
      <c r="M74" s="587"/>
      <c r="N74" s="587"/>
      <c r="O74" s="587"/>
      <c r="P74" s="587"/>
      <c r="Q74" s="587"/>
      <c r="R74" s="587"/>
      <c r="S74" s="587"/>
      <c r="T74" s="587"/>
      <c r="U74" s="587"/>
      <c r="V74" s="587"/>
      <c r="W74" s="587"/>
      <c r="X74" s="587"/>
      <c r="Y74" s="587"/>
      <c r="Z74" s="587"/>
      <c r="AA74" s="587"/>
      <c r="AB74" s="587"/>
      <c r="AC74" s="587"/>
      <c r="AD74" s="52" t="e">
        <f t="shared" ca="1" si="3"/>
        <v>#REF!</v>
      </c>
      <c r="AE74" s="588" t="str">
        <f t="shared" si="4"/>
        <v xml:space="preserve"> </v>
      </c>
    </row>
    <row r="75" spans="1:31" ht="42" customHeight="1" x14ac:dyDescent="0.2">
      <c r="A75" s="137">
        <v>69</v>
      </c>
      <c r="B75" s="51" t="s">
        <v>333</v>
      </c>
      <c r="C75" s="51" t="s">
        <v>1117</v>
      </c>
      <c r="D75" s="50">
        <v>103787</v>
      </c>
      <c r="E75" s="74" t="e">
        <f>Consolidado!#REF!</f>
        <v>#REF!</v>
      </c>
      <c r="F75" s="74" t="e">
        <f>Consolidado!#REF!</f>
        <v>#REF!</v>
      </c>
      <c r="G75" s="74" t="e">
        <f>Consolidado!#REF!</f>
        <v>#REF!</v>
      </c>
      <c r="H75" s="65" t="e">
        <f t="shared" si="0"/>
        <v>#REF!</v>
      </c>
      <c r="I75" s="68" t="e">
        <f t="shared" si="1"/>
        <v>#REF!</v>
      </c>
      <c r="J75" s="68" t="e">
        <f t="shared" si="2"/>
        <v>#REF!</v>
      </c>
      <c r="K75" s="587"/>
      <c r="L75" s="587"/>
      <c r="M75" s="587"/>
      <c r="N75" s="587"/>
      <c r="O75" s="587"/>
      <c r="P75" s="587"/>
      <c r="Q75" s="587"/>
      <c r="R75" s="587"/>
      <c r="S75" s="587"/>
      <c r="T75" s="587"/>
      <c r="U75" s="587"/>
      <c r="V75" s="587"/>
      <c r="W75" s="587"/>
      <c r="X75" s="587"/>
      <c r="Y75" s="587"/>
      <c r="Z75" s="587"/>
      <c r="AA75" s="587"/>
      <c r="AB75" s="587"/>
      <c r="AC75" s="587"/>
      <c r="AD75" s="52" t="e">
        <f t="shared" ca="1" si="3"/>
        <v>#REF!</v>
      </c>
      <c r="AE75" s="588" t="str">
        <f t="shared" si="4"/>
        <v xml:space="preserve"> </v>
      </c>
    </row>
    <row r="76" spans="1:31" ht="42" customHeight="1" x14ac:dyDescent="0.2">
      <c r="A76" s="137">
        <v>70</v>
      </c>
      <c r="B76" s="51" t="s">
        <v>333</v>
      </c>
      <c r="C76" s="51" t="s">
        <v>362</v>
      </c>
      <c r="D76" s="50">
        <v>104296</v>
      </c>
      <c r="E76" s="368">
        <f>Consolidado!$AU$54</f>
        <v>6404</v>
      </c>
      <c r="F76" s="68">
        <f>Consolidado!$AV$54</f>
        <v>45036</v>
      </c>
      <c r="G76" s="74">
        <f>Consolidado!$AW$54</f>
        <v>4</v>
      </c>
      <c r="H76" s="65">
        <f t="shared" si="0"/>
        <v>46073</v>
      </c>
      <c r="I76" s="68">
        <f t="shared" si="1"/>
        <v>46132</v>
      </c>
      <c r="J76" s="68">
        <f t="shared" si="2"/>
        <v>46497</v>
      </c>
      <c r="K76" s="587"/>
      <c r="L76" s="587"/>
      <c r="M76" s="587"/>
      <c r="N76" s="587"/>
      <c r="O76" s="587"/>
      <c r="P76" s="587"/>
      <c r="Q76" s="587"/>
      <c r="R76" s="587"/>
      <c r="S76" s="587"/>
      <c r="T76" s="587"/>
      <c r="U76" s="587"/>
      <c r="V76" s="587"/>
      <c r="W76" s="587"/>
      <c r="X76" s="587"/>
      <c r="Y76" s="587"/>
      <c r="Z76" s="587"/>
      <c r="AA76" s="587"/>
      <c r="AB76" s="587"/>
      <c r="AC76" s="587"/>
      <c r="AD76" s="52" t="str">
        <f t="shared" ca="1" si="3"/>
        <v>Vigente</v>
      </c>
      <c r="AE76" s="588" t="str">
        <f t="shared" si="4"/>
        <v xml:space="preserve"> </v>
      </c>
    </row>
    <row r="77" spans="1:31" ht="42" customHeight="1" x14ac:dyDescent="0.2">
      <c r="A77" s="137">
        <v>71</v>
      </c>
      <c r="B77" s="51" t="s">
        <v>333</v>
      </c>
      <c r="C77" s="51" t="s">
        <v>387</v>
      </c>
      <c r="D77" s="50">
        <v>104456</v>
      </c>
      <c r="E77" s="74" t="e">
        <f>Consolidado!#REF!</f>
        <v>#REF!</v>
      </c>
      <c r="F77" s="74" t="e">
        <f>Consolidado!#REF!</f>
        <v>#REF!</v>
      </c>
      <c r="G77" s="74" t="e">
        <f>Consolidado!#REF!</f>
        <v>#REF!</v>
      </c>
      <c r="H77" s="65" t="e">
        <f t="shared" si="0"/>
        <v>#REF!</v>
      </c>
      <c r="I77" s="68" t="e">
        <f t="shared" si="1"/>
        <v>#REF!</v>
      </c>
      <c r="J77" s="68" t="e">
        <f t="shared" si="2"/>
        <v>#REF!</v>
      </c>
      <c r="K77" s="587"/>
      <c r="L77" s="587"/>
      <c r="M77" s="587"/>
      <c r="N77" s="587"/>
      <c r="O77" s="587"/>
      <c r="P77" s="587"/>
      <c r="Q77" s="587"/>
      <c r="R77" s="587"/>
      <c r="S77" s="587"/>
      <c r="T77" s="587"/>
      <c r="U77" s="587"/>
      <c r="V77" s="587"/>
      <c r="W77" s="587"/>
      <c r="X77" s="587"/>
      <c r="Y77" s="587"/>
      <c r="Z77" s="587"/>
      <c r="AA77" s="587"/>
      <c r="AB77" s="587"/>
      <c r="AC77" s="587"/>
      <c r="AD77" s="52" t="e">
        <f t="shared" ca="1" si="3"/>
        <v>#REF!</v>
      </c>
      <c r="AE77" s="588" t="str">
        <f t="shared" si="4"/>
        <v xml:space="preserve"> </v>
      </c>
    </row>
    <row r="78" spans="1:31" ht="42" customHeight="1" x14ac:dyDescent="0.2">
      <c r="A78" s="137">
        <v>72</v>
      </c>
      <c r="B78" s="51" t="s">
        <v>333</v>
      </c>
      <c r="C78" s="51" t="s">
        <v>1118</v>
      </c>
      <c r="D78" s="50">
        <v>104622</v>
      </c>
      <c r="E78" s="74" t="e">
        <f>Consolidado!#REF!</f>
        <v>#REF!</v>
      </c>
      <c r="F78" s="74" t="e">
        <f>Consolidado!#REF!</f>
        <v>#REF!</v>
      </c>
      <c r="G78" s="74" t="e">
        <f>Consolidado!#REF!</f>
        <v>#REF!</v>
      </c>
      <c r="H78" s="65" t="e">
        <f t="shared" si="0"/>
        <v>#REF!</v>
      </c>
      <c r="I78" s="68" t="e">
        <f t="shared" si="1"/>
        <v>#REF!</v>
      </c>
      <c r="J78" s="68" t="e">
        <f t="shared" si="2"/>
        <v>#REF!</v>
      </c>
      <c r="K78" s="587"/>
      <c r="L78" s="587"/>
      <c r="M78" s="587"/>
      <c r="N78" s="587"/>
      <c r="O78" s="587"/>
      <c r="P78" s="587"/>
      <c r="Q78" s="587"/>
      <c r="R78" s="587"/>
      <c r="S78" s="587"/>
      <c r="T78" s="587"/>
      <c r="U78" s="587"/>
      <c r="V78" s="587"/>
      <c r="W78" s="587"/>
      <c r="X78" s="587"/>
      <c r="Y78" s="587"/>
      <c r="Z78" s="587"/>
      <c r="AA78" s="587"/>
      <c r="AB78" s="587"/>
      <c r="AC78" s="587"/>
      <c r="AD78" s="52" t="e">
        <f t="shared" ca="1" si="3"/>
        <v>#REF!</v>
      </c>
      <c r="AE78" s="588" t="str">
        <f t="shared" si="4"/>
        <v xml:space="preserve"> </v>
      </c>
    </row>
    <row r="79" spans="1:31" ht="42" customHeight="1" x14ac:dyDescent="0.2">
      <c r="A79" s="137">
        <v>73</v>
      </c>
      <c r="B79" s="51" t="s">
        <v>333</v>
      </c>
      <c r="C79" s="51" t="s">
        <v>1119</v>
      </c>
      <c r="D79" s="50">
        <v>104678</v>
      </c>
      <c r="E79" s="74" t="e">
        <f>Consolidado!#REF!</f>
        <v>#REF!</v>
      </c>
      <c r="F79" s="74" t="e">
        <f>Consolidado!#REF!</f>
        <v>#REF!</v>
      </c>
      <c r="G79" s="74" t="e">
        <f>Consolidado!#REF!</f>
        <v>#REF!</v>
      </c>
      <c r="H79" s="65" t="e">
        <f t="shared" si="0"/>
        <v>#REF!</v>
      </c>
      <c r="I79" s="68" t="e">
        <f t="shared" si="1"/>
        <v>#REF!</v>
      </c>
      <c r="J79" s="68" t="e">
        <f t="shared" si="2"/>
        <v>#REF!</v>
      </c>
      <c r="K79" s="587"/>
      <c r="L79" s="587"/>
      <c r="M79" s="587"/>
      <c r="N79" s="587"/>
      <c r="O79" s="587"/>
      <c r="P79" s="587"/>
      <c r="Q79" s="587"/>
      <c r="R79" s="587"/>
      <c r="S79" s="587"/>
      <c r="T79" s="587"/>
      <c r="U79" s="587"/>
      <c r="V79" s="587"/>
      <c r="W79" s="587"/>
      <c r="X79" s="587"/>
      <c r="Y79" s="587"/>
      <c r="Z79" s="587"/>
      <c r="AA79" s="587"/>
      <c r="AB79" s="587"/>
      <c r="AC79" s="587"/>
      <c r="AD79" s="52" t="e">
        <f t="shared" ca="1" si="3"/>
        <v>#REF!</v>
      </c>
      <c r="AE79" s="588" t="str">
        <f t="shared" si="4"/>
        <v xml:space="preserve"> </v>
      </c>
    </row>
    <row r="80" spans="1:31" ht="42" customHeight="1" x14ac:dyDescent="0.2">
      <c r="A80" s="137">
        <v>74</v>
      </c>
      <c r="B80" s="51" t="s">
        <v>333</v>
      </c>
      <c r="C80" s="51" t="s">
        <v>1120</v>
      </c>
      <c r="D80" s="50">
        <v>105456</v>
      </c>
      <c r="E80" s="74" t="e">
        <f>Consolidado!#REF!</f>
        <v>#REF!</v>
      </c>
      <c r="F80" s="74" t="e">
        <f>Consolidado!#REF!</f>
        <v>#REF!</v>
      </c>
      <c r="G80" s="74" t="e">
        <f>Consolidado!#REF!</f>
        <v>#REF!</v>
      </c>
      <c r="H80" s="65" t="e">
        <f t="shared" si="0"/>
        <v>#REF!</v>
      </c>
      <c r="I80" s="68" t="e">
        <f t="shared" si="1"/>
        <v>#REF!</v>
      </c>
      <c r="J80" s="68" t="e">
        <f t="shared" si="2"/>
        <v>#REF!</v>
      </c>
      <c r="K80" s="587"/>
      <c r="L80" s="587"/>
      <c r="M80" s="587"/>
      <c r="N80" s="587"/>
      <c r="O80" s="587"/>
      <c r="P80" s="587"/>
      <c r="Q80" s="587"/>
      <c r="R80" s="587"/>
      <c r="S80" s="587"/>
      <c r="T80" s="587"/>
      <c r="U80" s="587"/>
      <c r="V80" s="587"/>
      <c r="W80" s="587"/>
      <c r="X80" s="587"/>
      <c r="Y80" s="587"/>
      <c r="Z80" s="587"/>
      <c r="AA80" s="587"/>
      <c r="AB80" s="587"/>
      <c r="AC80" s="587"/>
      <c r="AD80" s="52" t="e">
        <f t="shared" ca="1" si="3"/>
        <v>#REF!</v>
      </c>
      <c r="AE80" s="588" t="str">
        <f t="shared" si="4"/>
        <v xml:space="preserve"> </v>
      </c>
    </row>
    <row r="81" spans="1:31" ht="42" customHeight="1" x14ac:dyDescent="0.2">
      <c r="A81" s="137">
        <v>75</v>
      </c>
      <c r="B81" s="51" t="s">
        <v>333</v>
      </c>
      <c r="C81" s="51" t="s">
        <v>1121</v>
      </c>
      <c r="D81" s="50">
        <v>105457</v>
      </c>
      <c r="E81" s="64" t="e">
        <f>Consolidado!#REF!</f>
        <v>#REF!</v>
      </c>
      <c r="F81" s="64" t="e">
        <f>Consolidado!#REF!</f>
        <v>#REF!</v>
      </c>
      <c r="G81" s="64" t="e">
        <f>Consolidado!#REF!</f>
        <v>#REF!</v>
      </c>
      <c r="H81" s="65" t="e">
        <f t="shared" si="0"/>
        <v>#REF!</v>
      </c>
      <c r="I81" s="68" t="e">
        <f t="shared" si="1"/>
        <v>#REF!</v>
      </c>
      <c r="J81" s="68" t="e">
        <f t="shared" si="2"/>
        <v>#REF!</v>
      </c>
      <c r="K81" s="587"/>
      <c r="L81" s="587"/>
      <c r="M81" s="587"/>
      <c r="N81" s="587"/>
      <c r="O81" s="587"/>
      <c r="P81" s="587"/>
      <c r="Q81" s="587"/>
      <c r="R81" s="587"/>
      <c r="S81" s="587"/>
      <c r="T81" s="587"/>
      <c r="U81" s="587"/>
      <c r="V81" s="587"/>
      <c r="W81" s="587"/>
      <c r="X81" s="587"/>
      <c r="Y81" s="587"/>
      <c r="Z81" s="587"/>
      <c r="AA81" s="587"/>
      <c r="AB81" s="587"/>
      <c r="AC81" s="587"/>
      <c r="AD81" s="52" t="e">
        <f t="shared" ca="1" si="3"/>
        <v>#REF!</v>
      </c>
      <c r="AE81" s="588" t="str">
        <f t="shared" si="4"/>
        <v xml:space="preserve"> </v>
      </c>
    </row>
    <row r="82" spans="1:31" ht="42" customHeight="1" x14ac:dyDescent="0.2">
      <c r="A82" s="137">
        <v>76</v>
      </c>
      <c r="B82" s="51" t="s">
        <v>333</v>
      </c>
      <c r="C82" s="51" t="s">
        <v>367</v>
      </c>
      <c r="D82" s="50">
        <v>105733</v>
      </c>
      <c r="E82" s="74">
        <f>Consolidado!$AU$55</f>
        <v>0</v>
      </c>
      <c r="F82" s="68">
        <f>Consolidado!$AV$55</f>
        <v>0</v>
      </c>
      <c r="G82" s="74">
        <f>Consolidado!$AW$55</f>
        <v>0</v>
      </c>
      <c r="H82" s="65" t="e">
        <f t="shared" si="0"/>
        <v>#NUM!</v>
      </c>
      <c r="I82" s="68" t="e">
        <f t="shared" si="1"/>
        <v>#NUM!</v>
      </c>
      <c r="J82" s="68">
        <f t="shared" si="2"/>
        <v>0</v>
      </c>
      <c r="K82" s="587"/>
      <c r="L82" s="587"/>
      <c r="M82" s="587"/>
      <c r="N82" s="587"/>
      <c r="O82" s="587"/>
      <c r="P82" s="587"/>
      <c r="Q82" s="587"/>
      <c r="R82" s="587"/>
      <c r="S82" s="587"/>
      <c r="T82" s="587"/>
      <c r="U82" s="587"/>
      <c r="V82" s="587"/>
      <c r="W82" s="587"/>
      <c r="X82" s="587"/>
      <c r="Y82" s="587"/>
      <c r="Z82" s="587"/>
      <c r="AA82" s="587"/>
      <c r="AB82" s="587"/>
      <c r="AC82" s="587"/>
      <c r="AD82" s="52" t="str">
        <f t="shared" ca="1" si="3"/>
        <v>En proceso</v>
      </c>
      <c r="AE82" s="588" t="str">
        <f t="shared" si="4"/>
        <v xml:space="preserve"> </v>
      </c>
    </row>
    <row r="83" spans="1:31" ht="42" customHeight="1" x14ac:dyDescent="0.2">
      <c r="A83" s="137">
        <v>77</v>
      </c>
      <c r="B83" s="51" t="s">
        <v>333</v>
      </c>
      <c r="C83" s="51" t="s">
        <v>357</v>
      </c>
      <c r="D83" s="50">
        <v>106091</v>
      </c>
      <c r="E83" s="368">
        <f>Consolidado!$AU$56</f>
        <v>14237</v>
      </c>
      <c r="F83" s="68">
        <f>Consolidado!$AV$56</f>
        <v>45161</v>
      </c>
      <c r="G83" s="74">
        <f>Consolidado!$AW$56</f>
        <v>4</v>
      </c>
      <c r="H83" s="65">
        <f t="shared" si="0"/>
        <v>46196</v>
      </c>
      <c r="I83" s="68">
        <f t="shared" si="1"/>
        <v>46257</v>
      </c>
      <c r="J83" s="68">
        <f t="shared" si="2"/>
        <v>46622</v>
      </c>
      <c r="K83" s="587"/>
      <c r="L83" s="587"/>
      <c r="M83" s="587"/>
      <c r="N83" s="587"/>
      <c r="O83" s="587"/>
      <c r="P83" s="587"/>
      <c r="Q83" s="587"/>
      <c r="R83" s="587"/>
      <c r="S83" s="587"/>
      <c r="T83" s="587"/>
      <c r="U83" s="587"/>
      <c r="V83" s="587"/>
      <c r="W83" s="587"/>
      <c r="X83" s="587"/>
      <c r="Y83" s="587"/>
      <c r="Z83" s="587"/>
      <c r="AA83" s="587"/>
      <c r="AB83" s="587"/>
      <c r="AC83" s="587"/>
      <c r="AD83" s="52" t="str">
        <f t="shared" ca="1" si="3"/>
        <v>Vigente</v>
      </c>
      <c r="AE83" s="588" t="str">
        <f t="shared" si="4"/>
        <v xml:space="preserve"> </v>
      </c>
    </row>
    <row r="84" spans="1:31" ht="42" customHeight="1" x14ac:dyDescent="0.2">
      <c r="A84" s="167">
        <v>78</v>
      </c>
      <c r="B84" s="51" t="s">
        <v>413</v>
      </c>
      <c r="C84" s="51" t="s">
        <v>562</v>
      </c>
      <c r="D84" s="50">
        <v>229</v>
      </c>
      <c r="E84" s="368" t="e">
        <f>Consolidado!#REF!</f>
        <v>#REF!</v>
      </c>
      <c r="F84" s="68" t="e">
        <f>Consolidado!#REF!</f>
        <v>#REF!</v>
      </c>
      <c r="G84" s="74" t="e">
        <f>Consolidado!#REF!</f>
        <v>#REF!</v>
      </c>
      <c r="H84" s="65" t="e">
        <f t="shared" si="0"/>
        <v>#REF!</v>
      </c>
      <c r="I84" s="68" t="e">
        <f t="shared" si="1"/>
        <v>#REF!</v>
      </c>
      <c r="J84" s="68" t="e">
        <f t="shared" si="2"/>
        <v>#REF!</v>
      </c>
      <c r="K84" s="587"/>
      <c r="L84" s="587"/>
      <c r="M84" s="587"/>
      <c r="N84" s="587"/>
      <c r="O84" s="587"/>
      <c r="P84" s="587"/>
      <c r="Q84" s="587"/>
      <c r="R84" s="587"/>
      <c r="S84" s="587"/>
      <c r="T84" s="587"/>
      <c r="U84" s="587"/>
      <c r="V84" s="587"/>
      <c r="W84" s="587"/>
      <c r="X84" s="587"/>
      <c r="Y84" s="587"/>
      <c r="Z84" s="587"/>
      <c r="AA84" s="587"/>
      <c r="AB84" s="587"/>
      <c r="AC84" s="587"/>
      <c r="AD84" s="52" t="e">
        <f t="shared" ca="1" si="3"/>
        <v>#REF!</v>
      </c>
      <c r="AE84" s="588" t="str">
        <f t="shared" si="4"/>
        <v xml:space="preserve"> </v>
      </c>
    </row>
    <row r="85" spans="1:31" ht="42" customHeight="1" x14ac:dyDescent="0.2">
      <c r="A85" s="167">
        <v>79</v>
      </c>
      <c r="B85" s="51" t="s">
        <v>413</v>
      </c>
      <c r="C85" s="51" t="s">
        <v>546</v>
      </c>
      <c r="D85" s="50">
        <v>256</v>
      </c>
      <c r="E85" s="368" t="e">
        <f>Consolidado!#REF!</f>
        <v>#REF!</v>
      </c>
      <c r="F85" s="68" t="e">
        <f>Consolidado!#REF!</f>
        <v>#REF!</v>
      </c>
      <c r="G85" s="74" t="e">
        <f>Consolidado!#REF!</f>
        <v>#REF!</v>
      </c>
      <c r="H85" s="65" t="e">
        <f t="shared" si="0"/>
        <v>#REF!</v>
      </c>
      <c r="I85" s="68" t="e">
        <f t="shared" si="1"/>
        <v>#REF!</v>
      </c>
      <c r="J85" s="68" t="e">
        <f t="shared" si="2"/>
        <v>#REF!</v>
      </c>
      <c r="K85" s="587" t="s">
        <v>1104</v>
      </c>
      <c r="L85" s="587"/>
      <c r="M85" s="587"/>
      <c r="N85" s="587"/>
      <c r="O85" s="587"/>
      <c r="P85" s="587"/>
      <c r="Q85" s="587"/>
      <c r="R85" s="587"/>
      <c r="S85" s="587"/>
      <c r="T85" s="587"/>
      <c r="U85" s="587"/>
      <c r="V85" s="587"/>
      <c r="W85" s="587"/>
      <c r="X85" s="587"/>
      <c r="Y85" s="587"/>
      <c r="Z85" s="587"/>
      <c r="AA85" s="587"/>
      <c r="AB85" s="587"/>
      <c r="AC85" s="587"/>
      <c r="AD85" s="52" t="e">
        <f t="shared" ca="1" si="3"/>
        <v>#REF!</v>
      </c>
      <c r="AE85" s="588">
        <f t="shared" si="4"/>
        <v>1</v>
      </c>
    </row>
    <row r="86" spans="1:31" ht="42" customHeight="1" x14ac:dyDescent="0.2">
      <c r="A86" s="167">
        <v>80</v>
      </c>
      <c r="B86" s="51" t="s">
        <v>413</v>
      </c>
      <c r="C86" s="51" t="s">
        <v>1018</v>
      </c>
      <c r="D86" s="50">
        <v>2130</v>
      </c>
      <c r="E86" s="368" t="e">
        <f>Consolidado!#REF!</f>
        <v>#REF!</v>
      </c>
      <c r="F86" s="68" t="e">
        <f>Consolidado!#REF!</f>
        <v>#REF!</v>
      </c>
      <c r="G86" s="74" t="e">
        <f>Consolidado!#REF!</f>
        <v>#REF!</v>
      </c>
      <c r="H86" s="65" t="e">
        <f t="shared" si="0"/>
        <v>#REF!</v>
      </c>
      <c r="I86" s="68" t="e">
        <f t="shared" si="1"/>
        <v>#REF!</v>
      </c>
      <c r="J86" s="68" t="e">
        <f t="shared" si="2"/>
        <v>#REF!</v>
      </c>
      <c r="K86" s="587"/>
      <c r="L86" s="587"/>
      <c r="M86" s="587"/>
      <c r="N86" s="587"/>
      <c r="O86" s="587"/>
      <c r="P86" s="587"/>
      <c r="Q86" s="587"/>
      <c r="R86" s="587"/>
      <c r="S86" s="587"/>
      <c r="T86" s="587"/>
      <c r="U86" s="587"/>
      <c r="V86" s="587"/>
      <c r="W86" s="587"/>
      <c r="X86" s="587"/>
      <c r="Y86" s="587"/>
      <c r="Z86" s="587"/>
      <c r="AA86" s="587"/>
      <c r="AB86" s="587"/>
      <c r="AC86" s="587"/>
      <c r="AD86" s="52" t="e">
        <f t="shared" ca="1" si="3"/>
        <v>#REF!</v>
      </c>
      <c r="AE86" s="588" t="str">
        <f t="shared" si="4"/>
        <v xml:space="preserve"> </v>
      </c>
    </row>
    <row r="87" spans="1:31" ht="42" customHeight="1" x14ac:dyDescent="0.2">
      <c r="A87" s="167">
        <v>81</v>
      </c>
      <c r="B87" s="51" t="s">
        <v>413</v>
      </c>
      <c r="C87" s="51" t="s">
        <v>438</v>
      </c>
      <c r="D87" s="50">
        <v>3048</v>
      </c>
      <c r="E87" s="368">
        <f>Consolidado!$AU$60</f>
        <v>8333</v>
      </c>
      <c r="F87" s="68">
        <f>Consolidado!$AV$60</f>
        <v>43686</v>
      </c>
      <c r="G87" s="74">
        <f>Consolidado!$AW$60</f>
        <v>4</v>
      </c>
      <c r="H87" s="65">
        <f t="shared" si="0"/>
        <v>44721</v>
      </c>
      <c r="I87" s="68">
        <f t="shared" si="1"/>
        <v>44782</v>
      </c>
      <c r="J87" s="68">
        <f t="shared" si="2"/>
        <v>45147</v>
      </c>
      <c r="K87" s="587"/>
      <c r="L87" s="587"/>
      <c r="M87" s="587"/>
      <c r="N87" s="587"/>
      <c r="O87" s="587"/>
      <c r="P87" s="587"/>
      <c r="Q87" s="587"/>
      <c r="R87" s="587"/>
      <c r="S87" s="587"/>
      <c r="T87" s="587"/>
      <c r="U87" s="587"/>
      <c r="V87" s="587"/>
      <c r="W87" s="587"/>
      <c r="X87" s="587" t="s">
        <v>1104</v>
      </c>
      <c r="Y87" s="587"/>
      <c r="Z87" s="587"/>
      <c r="AA87" s="587"/>
      <c r="AB87" s="587"/>
      <c r="AC87" s="587"/>
      <c r="AD87" s="52" t="str">
        <f t="shared" ca="1" si="3"/>
        <v>En proceso</v>
      </c>
      <c r="AE87" s="588">
        <f t="shared" si="4"/>
        <v>14</v>
      </c>
    </row>
    <row r="88" spans="1:31" ht="42" customHeight="1" x14ac:dyDescent="0.2">
      <c r="A88" s="167">
        <v>82</v>
      </c>
      <c r="B88" s="51" t="s">
        <v>413</v>
      </c>
      <c r="C88" s="51" t="s">
        <v>1062</v>
      </c>
      <c r="D88" s="50">
        <v>3636</v>
      </c>
      <c r="E88" s="368">
        <f>Consolidado!$AU$61</f>
        <v>0</v>
      </c>
      <c r="F88" s="59">
        <f>Consolidado!$AV$61</f>
        <v>0</v>
      </c>
      <c r="G88" s="74">
        <f>Consolidado!$AW$61</f>
        <v>0</v>
      </c>
      <c r="H88" s="65" t="e">
        <f t="shared" si="0"/>
        <v>#NUM!</v>
      </c>
      <c r="I88" s="68" t="e">
        <f t="shared" si="1"/>
        <v>#NUM!</v>
      </c>
      <c r="J88" s="68">
        <f t="shared" si="2"/>
        <v>0</v>
      </c>
      <c r="K88" s="587"/>
      <c r="L88" s="587"/>
      <c r="M88" s="587"/>
      <c r="N88" s="587"/>
      <c r="O88" s="587"/>
      <c r="P88" s="587"/>
      <c r="Q88" s="587"/>
      <c r="R88" s="587"/>
      <c r="S88" s="587"/>
      <c r="T88" s="587"/>
      <c r="U88" s="587"/>
      <c r="V88" s="587"/>
      <c r="W88" s="587"/>
      <c r="X88" s="587"/>
      <c r="Y88" s="596"/>
      <c r="Z88" s="587"/>
      <c r="AA88" s="587"/>
      <c r="AB88" s="587"/>
      <c r="AC88" s="587"/>
      <c r="AD88" s="52" t="str">
        <f t="shared" ca="1" si="3"/>
        <v>En proceso</v>
      </c>
      <c r="AE88" s="588" t="str">
        <f t="shared" si="4"/>
        <v xml:space="preserve"> </v>
      </c>
    </row>
    <row r="89" spans="1:31" ht="42" customHeight="1" x14ac:dyDescent="0.2">
      <c r="A89" s="167">
        <v>83</v>
      </c>
      <c r="B89" s="51" t="s">
        <v>413</v>
      </c>
      <c r="C89" s="51" t="s">
        <v>1063</v>
      </c>
      <c r="D89" s="50">
        <v>106574</v>
      </c>
      <c r="E89" s="368">
        <f>Consolidado!$AU$62</f>
        <v>0</v>
      </c>
      <c r="F89" s="68">
        <f>Consolidado!$AV$62</f>
        <v>0</v>
      </c>
      <c r="G89" s="74">
        <f>Consolidado!$AW$62</f>
        <v>0</v>
      </c>
      <c r="H89" s="65" t="e">
        <f t="shared" si="0"/>
        <v>#NUM!</v>
      </c>
      <c r="I89" s="68" t="e">
        <f t="shared" si="1"/>
        <v>#NUM!</v>
      </c>
      <c r="J89" s="68">
        <f t="shared" si="2"/>
        <v>0</v>
      </c>
      <c r="K89" s="587"/>
      <c r="L89" s="587"/>
      <c r="M89" s="587"/>
      <c r="N89" s="587"/>
      <c r="O89" s="587"/>
      <c r="P89" s="587"/>
      <c r="Q89" s="587"/>
      <c r="R89" s="587"/>
      <c r="S89" s="587"/>
      <c r="T89" s="587"/>
      <c r="U89" s="587"/>
      <c r="V89" s="587"/>
      <c r="W89" s="587"/>
      <c r="X89" s="587"/>
      <c r="Y89" s="587"/>
      <c r="Z89" s="587"/>
      <c r="AA89" s="587"/>
      <c r="AB89" s="587"/>
      <c r="AC89" s="587"/>
      <c r="AD89" s="52" t="str">
        <f t="shared" ca="1" si="3"/>
        <v>En proceso</v>
      </c>
      <c r="AE89" s="588" t="str">
        <f t="shared" si="4"/>
        <v xml:space="preserve"> </v>
      </c>
    </row>
    <row r="90" spans="1:31" ht="42" customHeight="1" x14ac:dyDescent="0.2">
      <c r="A90" s="167">
        <v>84</v>
      </c>
      <c r="B90" s="51" t="s">
        <v>413</v>
      </c>
      <c r="C90" s="51" t="s">
        <v>1019</v>
      </c>
      <c r="D90" s="50">
        <v>4010</v>
      </c>
      <c r="E90" s="368">
        <f>Consolidado!$AU$63</f>
        <v>0</v>
      </c>
      <c r="F90" s="68">
        <f>Consolidado!$AV$63</f>
        <v>0</v>
      </c>
      <c r="G90" s="74">
        <f>Consolidado!$AW$63</f>
        <v>0</v>
      </c>
      <c r="H90" s="65" t="e">
        <f t="shared" si="0"/>
        <v>#NUM!</v>
      </c>
      <c r="I90" s="68" t="e">
        <f t="shared" si="1"/>
        <v>#NUM!</v>
      </c>
      <c r="J90" s="68">
        <f t="shared" si="2"/>
        <v>0</v>
      </c>
      <c r="K90" s="587"/>
      <c r="L90" s="587"/>
      <c r="M90" s="587"/>
      <c r="N90" s="587"/>
      <c r="O90" s="587"/>
      <c r="P90" s="587"/>
      <c r="Q90" s="587"/>
      <c r="R90" s="587"/>
      <c r="S90" s="587"/>
      <c r="T90" s="587"/>
      <c r="U90" s="587"/>
      <c r="V90" s="587"/>
      <c r="W90" s="587"/>
      <c r="X90" s="587"/>
      <c r="Y90" s="587"/>
      <c r="Z90" s="587"/>
      <c r="AA90" s="587"/>
      <c r="AB90" s="587"/>
      <c r="AC90" s="587"/>
      <c r="AD90" s="52" t="str">
        <f t="shared" ca="1" si="3"/>
        <v>En proceso</v>
      </c>
      <c r="AE90" s="588" t="str">
        <f t="shared" si="4"/>
        <v xml:space="preserve"> </v>
      </c>
    </row>
    <row r="91" spans="1:31" ht="42" customHeight="1" x14ac:dyDescent="0.2">
      <c r="A91" s="167">
        <v>85</v>
      </c>
      <c r="B91" s="51" t="s">
        <v>413</v>
      </c>
      <c r="C91" s="51" t="s">
        <v>1026</v>
      </c>
      <c r="D91" s="50">
        <v>12098</v>
      </c>
      <c r="E91" s="593">
        <f>Consolidado!$AU$64</f>
        <v>7456</v>
      </c>
      <c r="F91" s="63">
        <f>Consolidado!$AV$64</f>
        <v>44316</v>
      </c>
      <c r="G91" s="64">
        <f>Consolidado!$AW$64</f>
        <v>6</v>
      </c>
      <c r="H91" s="65">
        <f t="shared" si="0"/>
        <v>46081</v>
      </c>
      <c r="I91" s="68">
        <f t="shared" si="1"/>
        <v>46142</v>
      </c>
      <c r="J91" s="68">
        <f t="shared" si="2"/>
        <v>46507</v>
      </c>
      <c r="K91" s="587"/>
      <c r="L91" s="587"/>
      <c r="M91" s="587"/>
      <c r="N91" s="587"/>
      <c r="O91" s="587"/>
      <c r="P91" s="587"/>
      <c r="Q91" s="587"/>
      <c r="R91" s="587"/>
      <c r="S91" s="587"/>
      <c r="T91" s="587"/>
      <c r="U91" s="587"/>
      <c r="V91" s="587"/>
      <c r="W91" s="587"/>
      <c r="X91" s="587"/>
      <c r="Y91" s="587"/>
      <c r="Z91" s="587"/>
      <c r="AA91" s="587"/>
      <c r="AB91" s="587"/>
      <c r="AC91" s="587"/>
      <c r="AD91" s="52" t="str">
        <f t="shared" ca="1" si="3"/>
        <v>Vigente</v>
      </c>
      <c r="AE91" s="588" t="str">
        <f t="shared" si="4"/>
        <v xml:space="preserve"> </v>
      </c>
    </row>
    <row r="92" spans="1:31" ht="42" customHeight="1" x14ac:dyDescent="0.2">
      <c r="A92" s="167">
        <v>86</v>
      </c>
      <c r="B92" s="51" t="s">
        <v>413</v>
      </c>
      <c r="C92" s="51" t="s">
        <v>1122</v>
      </c>
      <c r="D92" s="50">
        <v>106545</v>
      </c>
      <c r="E92" s="368">
        <f>Consolidado!$AU$65</f>
        <v>0</v>
      </c>
      <c r="F92" s="68">
        <f>Consolidado!$AV$65</f>
        <v>0</v>
      </c>
      <c r="G92" s="74">
        <f>Consolidado!$AW$65</f>
        <v>0</v>
      </c>
      <c r="H92" s="65" t="e">
        <f t="shared" si="0"/>
        <v>#NUM!</v>
      </c>
      <c r="I92" s="68" t="e">
        <f t="shared" si="1"/>
        <v>#NUM!</v>
      </c>
      <c r="J92" s="68">
        <f t="shared" si="2"/>
        <v>0</v>
      </c>
      <c r="K92" s="587"/>
      <c r="L92" s="587"/>
      <c r="M92" s="587"/>
      <c r="N92" s="587"/>
      <c r="O92" s="587"/>
      <c r="P92" s="587"/>
      <c r="Q92" s="587"/>
      <c r="R92" s="587"/>
      <c r="S92" s="587"/>
      <c r="T92" s="587"/>
      <c r="U92" s="587"/>
      <c r="V92" s="587"/>
      <c r="W92" s="587"/>
      <c r="X92" s="587"/>
      <c r="Y92" s="587"/>
      <c r="Z92" s="587"/>
      <c r="AA92" s="587"/>
      <c r="AB92" s="587"/>
      <c r="AC92" s="587"/>
      <c r="AD92" s="52" t="str">
        <f t="shared" ca="1" si="3"/>
        <v>En proceso</v>
      </c>
      <c r="AE92" s="588" t="str">
        <f t="shared" si="4"/>
        <v xml:space="preserve"> </v>
      </c>
    </row>
    <row r="93" spans="1:31" ht="42" customHeight="1" x14ac:dyDescent="0.2">
      <c r="A93" s="167">
        <v>87</v>
      </c>
      <c r="B93" s="51" t="s">
        <v>413</v>
      </c>
      <c r="C93" s="51" t="s">
        <v>490</v>
      </c>
      <c r="D93" s="50">
        <v>106794</v>
      </c>
      <c r="E93" s="368">
        <f>Consolidado!$AU$66</f>
        <v>0</v>
      </c>
      <c r="F93" s="68">
        <f>Consolidado!$AV$66</f>
        <v>0</v>
      </c>
      <c r="G93" s="74">
        <f>Consolidado!$AW$66</f>
        <v>0</v>
      </c>
      <c r="H93" s="65" t="e">
        <f t="shared" si="0"/>
        <v>#NUM!</v>
      </c>
      <c r="I93" s="68" t="e">
        <f t="shared" si="1"/>
        <v>#NUM!</v>
      </c>
      <c r="J93" s="68">
        <f t="shared" si="2"/>
        <v>0</v>
      </c>
      <c r="K93" s="587"/>
      <c r="L93" s="587"/>
      <c r="M93" s="587"/>
      <c r="N93" s="587"/>
      <c r="O93" s="587"/>
      <c r="P93" s="587"/>
      <c r="Q93" s="587"/>
      <c r="R93" s="587"/>
      <c r="S93" s="587"/>
      <c r="T93" s="587"/>
      <c r="U93" s="587"/>
      <c r="V93" s="587"/>
      <c r="W93" s="587"/>
      <c r="X93" s="587"/>
      <c r="Y93" s="587"/>
      <c r="Z93" s="587"/>
      <c r="AA93" s="587"/>
      <c r="AB93" s="587"/>
      <c r="AC93" s="587"/>
      <c r="AD93" s="52" t="str">
        <f t="shared" ca="1" si="3"/>
        <v>En proceso</v>
      </c>
      <c r="AE93" s="588" t="str">
        <f t="shared" si="4"/>
        <v xml:space="preserve"> </v>
      </c>
    </row>
    <row r="94" spans="1:31" ht="42" customHeight="1" x14ac:dyDescent="0.2">
      <c r="A94" s="167">
        <v>88</v>
      </c>
      <c r="B94" s="51" t="s">
        <v>413</v>
      </c>
      <c r="C94" s="51" t="s">
        <v>474</v>
      </c>
      <c r="D94" s="50">
        <v>106651</v>
      </c>
      <c r="E94" s="368">
        <f>Consolidado!$AU$67</f>
        <v>0</v>
      </c>
      <c r="F94" s="59">
        <f>Consolidado!$AV$67</f>
        <v>0</v>
      </c>
      <c r="G94" s="74">
        <f>Consolidado!$AW$67</f>
        <v>0</v>
      </c>
      <c r="H94" s="65" t="e">
        <f t="shared" si="0"/>
        <v>#NUM!</v>
      </c>
      <c r="I94" s="68" t="e">
        <f t="shared" si="1"/>
        <v>#NUM!</v>
      </c>
      <c r="J94" s="68">
        <f t="shared" si="2"/>
        <v>0</v>
      </c>
      <c r="K94" s="587"/>
      <c r="L94" s="587"/>
      <c r="M94" s="587"/>
      <c r="N94" s="587"/>
      <c r="O94" s="587"/>
      <c r="P94" s="587"/>
      <c r="Q94" s="587"/>
      <c r="R94" s="587"/>
      <c r="S94" s="587"/>
      <c r="T94" s="587"/>
      <c r="U94" s="587"/>
      <c r="V94" s="587"/>
      <c r="W94" s="587" t="s">
        <v>1104</v>
      </c>
      <c r="X94" s="587"/>
      <c r="Y94" s="587"/>
      <c r="Z94" s="587"/>
      <c r="AA94" s="587"/>
      <c r="AB94" s="587"/>
      <c r="AC94" s="587"/>
      <c r="AD94" s="52" t="str">
        <f t="shared" ca="1" si="3"/>
        <v>En proceso</v>
      </c>
      <c r="AE94" s="588">
        <f t="shared" si="4"/>
        <v>13</v>
      </c>
    </row>
    <row r="95" spans="1:31" ht="42" customHeight="1" x14ac:dyDescent="0.2">
      <c r="A95" s="167">
        <v>89</v>
      </c>
      <c r="B95" s="51" t="s">
        <v>413</v>
      </c>
      <c r="C95" s="51" t="s">
        <v>1123</v>
      </c>
      <c r="D95" s="50">
        <v>52650</v>
      </c>
      <c r="E95" s="64" t="e">
        <f>Consolidado!#REF!</f>
        <v>#REF!</v>
      </c>
      <c r="F95" s="64" t="e">
        <f>Consolidado!#REF!</f>
        <v>#REF!</v>
      </c>
      <c r="G95" s="64" t="e">
        <f>Consolidado!#REF!</f>
        <v>#REF!</v>
      </c>
      <c r="H95" s="65" t="e">
        <f t="shared" si="0"/>
        <v>#REF!</v>
      </c>
      <c r="I95" s="68" t="e">
        <f t="shared" si="1"/>
        <v>#REF!</v>
      </c>
      <c r="J95" s="68" t="e">
        <f t="shared" si="2"/>
        <v>#REF!</v>
      </c>
      <c r="K95" s="587"/>
      <c r="L95" s="587"/>
      <c r="M95" s="587"/>
      <c r="N95" s="587"/>
      <c r="O95" s="587"/>
      <c r="P95" s="587"/>
      <c r="Q95" s="587"/>
      <c r="R95" s="587"/>
      <c r="S95" s="587"/>
      <c r="T95" s="587"/>
      <c r="U95" s="587"/>
      <c r="V95" s="587"/>
      <c r="W95" s="587"/>
      <c r="X95" s="587"/>
      <c r="Y95" s="587"/>
      <c r="Z95" s="587"/>
      <c r="AA95" s="587"/>
      <c r="AB95" s="587"/>
      <c r="AC95" s="587"/>
      <c r="AD95" s="52" t="e">
        <f t="shared" ca="1" si="3"/>
        <v>#REF!</v>
      </c>
      <c r="AE95" s="588" t="str">
        <f t="shared" si="4"/>
        <v xml:space="preserve"> </v>
      </c>
    </row>
    <row r="96" spans="1:31" ht="42" customHeight="1" x14ac:dyDescent="0.2">
      <c r="A96" s="167">
        <v>90</v>
      </c>
      <c r="B96" s="51" t="s">
        <v>413</v>
      </c>
      <c r="C96" s="51" t="s">
        <v>446</v>
      </c>
      <c r="D96" s="50">
        <v>53504</v>
      </c>
      <c r="E96" s="74">
        <f>Consolidado!$AU$68</f>
        <v>0</v>
      </c>
      <c r="F96" s="68">
        <f>Consolidado!$AV$68</f>
        <v>0</v>
      </c>
      <c r="G96" s="74">
        <f>Consolidado!$AW$68</f>
        <v>0</v>
      </c>
      <c r="H96" s="65" t="e">
        <f t="shared" si="0"/>
        <v>#NUM!</v>
      </c>
      <c r="I96" s="68" t="e">
        <f t="shared" si="1"/>
        <v>#NUM!</v>
      </c>
      <c r="J96" s="68">
        <f t="shared" si="2"/>
        <v>0</v>
      </c>
      <c r="K96" s="587"/>
      <c r="L96" s="587"/>
      <c r="M96" s="587"/>
      <c r="N96" s="587"/>
      <c r="O96" s="587"/>
      <c r="P96" s="587"/>
      <c r="Q96" s="587"/>
      <c r="R96" s="587"/>
      <c r="S96" s="587"/>
      <c r="T96" s="587"/>
      <c r="U96" s="587"/>
      <c r="V96" s="587"/>
      <c r="W96" s="587"/>
      <c r="X96" s="587"/>
      <c r="Y96" s="587"/>
      <c r="Z96" s="587"/>
      <c r="AA96" s="587"/>
      <c r="AB96" s="587"/>
      <c r="AC96" s="587"/>
      <c r="AD96" s="52" t="str">
        <f t="shared" ca="1" si="3"/>
        <v>En proceso</v>
      </c>
      <c r="AE96" s="588" t="str">
        <f t="shared" si="4"/>
        <v xml:space="preserve"> </v>
      </c>
    </row>
    <row r="97" spans="1:31" ht="42" customHeight="1" x14ac:dyDescent="0.2">
      <c r="A97" s="167">
        <v>91</v>
      </c>
      <c r="B97" s="51" t="s">
        <v>413</v>
      </c>
      <c r="C97" s="51" t="s">
        <v>433</v>
      </c>
      <c r="D97" s="50">
        <v>53791</v>
      </c>
      <c r="E97" s="368">
        <f>Consolidado!$AU$69</f>
        <v>2311</v>
      </c>
      <c r="F97" s="68">
        <f>Consolidado!$AV$69</f>
        <v>44621</v>
      </c>
      <c r="G97" s="74">
        <f>Consolidado!$AW$69</f>
        <v>4</v>
      </c>
      <c r="H97" s="65">
        <f t="shared" si="0"/>
        <v>45658</v>
      </c>
      <c r="I97" s="68">
        <f t="shared" si="1"/>
        <v>45717</v>
      </c>
      <c r="J97" s="68">
        <f t="shared" si="2"/>
        <v>46082</v>
      </c>
      <c r="K97" s="587"/>
      <c r="L97" s="587"/>
      <c r="M97" s="587"/>
      <c r="N97" s="587"/>
      <c r="O97" s="587"/>
      <c r="P97" s="587"/>
      <c r="Q97" s="587"/>
      <c r="R97" s="587"/>
      <c r="S97" s="587"/>
      <c r="T97" s="587"/>
      <c r="U97" s="587"/>
      <c r="V97" s="587"/>
      <c r="W97" s="587"/>
      <c r="X97" s="587"/>
      <c r="Y97" s="587"/>
      <c r="Z97" s="587"/>
      <c r="AA97" s="587"/>
      <c r="AB97" s="587"/>
      <c r="AC97" s="587"/>
      <c r="AD97" s="52" t="str">
        <f t="shared" ca="1" si="3"/>
        <v>En proceso</v>
      </c>
      <c r="AE97" s="588" t="str">
        <f t="shared" si="4"/>
        <v xml:space="preserve"> </v>
      </c>
    </row>
    <row r="98" spans="1:31" ht="42" customHeight="1" x14ac:dyDescent="0.2">
      <c r="A98" s="167">
        <v>92</v>
      </c>
      <c r="B98" s="51" t="s">
        <v>413</v>
      </c>
      <c r="C98" s="51" t="s">
        <v>557</v>
      </c>
      <c r="D98" s="50">
        <v>53943</v>
      </c>
      <c r="E98" s="74" t="e">
        <f>Consolidado!#REF!</f>
        <v>#REF!</v>
      </c>
      <c r="F98" s="74" t="e">
        <f>Consolidado!#REF!</f>
        <v>#REF!</v>
      </c>
      <c r="G98" s="74" t="e">
        <f>Consolidado!#REF!</f>
        <v>#REF!</v>
      </c>
      <c r="H98" s="65" t="e">
        <f t="shared" si="0"/>
        <v>#REF!</v>
      </c>
      <c r="I98" s="68" t="e">
        <f t="shared" si="1"/>
        <v>#REF!</v>
      </c>
      <c r="J98" s="68" t="e">
        <f t="shared" si="2"/>
        <v>#REF!</v>
      </c>
      <c r="K98" s="587"/>
      <c r="L98" s="587"/>
      <c r="M98" s="587"/>
      <c r="N98" s="587"/>
      <c r="O98" s="587"/>
      <c r="P98" s="587"/>
      <c r="Q98" s="587"/>
      <c r="R98" s="587"/>
      <c r="S98" s="587"/>
      <c r="T98" s="587"/>
      <c r="U98" s="587"/>
      <c r="V98" s="587"/>
      <c r="W98" s="587"/>
      <c r="X98" s="587"/>
      <c r="Y98" s="587"/>
      <c r="Z98" s="587"/>
      <c r="AA98" s="587"/>
      <c r="AB98" s="587"/>
      <c r="AC98" s="587"/>
      <c r="AD98" s="52" t="e">
        <f t="shared" ca="1" si="3"/>
        <v>#REF!</v>
      </c>
      <c r="AE98" s="588" t="str">
        <f t="shared" si="4"/>
        <v xml:space="preserve"> </v>
      </c>
    </row>
    <row r="99" spans="1:31" ht="42" customHeight="1" x14ac:dyDescent="0.2">
      <c r="A99" s="167">
        <v>93</v>
      </c>
      <c r="B99" s="51" t="s">
        <v>413</v>
      </c>
      <c r="C99" s="51" t="s">
        <v>525</v>
      </c>
      <c r="D99" s="50">
        <v>90576</v>
      </c>
      <c r="E99" s="368">
        <f>Consolidado!$AU$70</f>
        <v>2312</v>
      </c>
      <c r="F99" s="68">
        <f>Consolidado!$AV$70</f>
        <v>44621</v>
      </c>
      <c r="G99" s="74">
        <f>Consolidado!$AW$70</f>
        <v>4</v>
      </c>
      <c r="H99" s="65">
        <f t="shared" si="0"/>
        <v>45658</v>
      </c>
      <c r="I99" s="68">
        <f t="shared" si="1"/>
        <v>45717</v>
      </c>
      <c r="J99" s="68">
        <f t="shared" si="2"/>
        <v>46082</v>
      </c>
      <c r="K99" s="587"/>
      <c r="L99" s="587"/>
      <c r="M99" s="587"/>
      <c r="N99" s="587"/>
      <c r="O99" s="587"/>
      <c r="P99" s="587"/>
      <c r="Q99" s="587"/>
      <c r="R99" s="587"/>
      <c r="S99" s="587"/>
      <c r="T99" s="587"/>
      <c r="U99" s="587"/>
      <c r="V99" s="587"/>
      <c r="W99" s="587"/>
      <c r="X99" s="587"/>
      <c r="Y99" s="587"/>
      <c r="Z99" s="587"/>
      <c r="AA99" s="587"/>
      <c r="AB99" s="587"/>
      <c r="AC99" s="587"/>
      <c r="AD99" s="52" t="str">
        <f t="shared" ca="1" si="3"/>
        <v>En proceso</v>
      </c>
      <c r="AE99" s="588" t="str">
        <f t="shared" si="4"/>
        <v xml:space="preserve"> </v>
      </c>
    </row>
    <row r="100" spans="1:31" ht="42" customHeight="1" x14ac:dyDescent="0.2">
      <c r="A100" s="167">
        <v>94</v>
      </c>
      <c r="B100" s="51" t="s">
        <v>413</v>
      </c>
      <c r="C100" s="51" t="s">
        <v>552</v>
      </c>
      <c r="D100" s="50">
        <v>90909</v>
      </c>
      <c r="E100" s="368">
        <f>Consolidado!$AU$71</f>
        <v>1109</v>
      </c>
      <c r="F100" s="68">
        <f>Consolidado!$AV$71</f>
        <v>44960</v>
      </c>
      <c r="G100" s="74">
        <f>Consolidado!$AW$71</f>
        <v>6</v>
      </c>
      <c r="H100" s="65">
        <f t="shared" si="0"/>
        <v>46724</v>
      </c>
      <c r="I100" s="68">
        <f t="shared" si="1"/>
        <v>46786</v>
      </c>
      <c r="J100" s="68">
        <f t="shared" si="2"/>
        <v>47152</v>
      </c>
      <c r="K100" s="587"/>
      <c r="L100" s="587"/>
      <c r="M100" s="587"/>
      <c r="N100" s="587"/>
      <c r="O100" s="587"/>
      <c r="P100" s="587"/>
      <c r="Q100" s="587"/>
      <c r="R100" s="587"/>
      <c r="S100" s="587"/>
      <c r="T100" s="587"/>
      <c r="U100" s="587"/>
      <c r="V100" s="587"/>
      <c r="W100" s="587"/>
      <c r="X100" s="587"/>
      <c r="Y100" s="587"/>
      <c r="Z100" s="587"/>
      <c r="AA100" s="587"/>
      <c r="AB100" s="587"/>
      <c r="AC100" s="587"/>
      <c r="AD100" s="52" t="str">
        <f t="shared" ca="1" si="3"/>
        <v>Vigente</v>
      </c>
      <c r="AE100" s="588" t="str">
        <f t="shared" si="4"/>
        <v xml:space="preserve"> </v>
      </c>
    </row>
    <row r="101" spans="1:31" ht="42" customHeight="1" x14ac:dyDescent="0.2">
      <c r="A101" s="167">
        <v>95</v>
      </c>
      <c r="B101" s="51" t="s">
        <v>413</v>
      </c>
      <c r="C101" s="51" t="s">
        <v>427</v>
      </c>
      <c r="D101" s="50">
        <v>103476</v>
      </c>
      <c r="E101" s="368">
        <f>Consolidado!$AU$72</f>
        <v>1110</v>
      </c>
      <c r="F101" s="68">
        <f>Consolidado!$AV$72</f>
        <v>44960</v>
      </c>
      <c r="G101" s="74">
        <f>Consolidado!$AW$72</f>
        <v>6</v>
      </c>
      <c r="H101" s="65">
        <f t="shared" si="0"/>
        <v>46724</v>
      </c>
      <c r="I101" s="68">
        <f t="shared" si="1"/>
        <v>46786</v>
      </c>
      <c r="J101" s="68">
        <f t="shared" si="2"/>
        <v>47152</v>
      </c>
      <c r="K101" s="587"/>
      <c r="L101" s="587"/>
      <c r="M101" s="587"/>
      <c r="N101" s="587"/>
      <c r="O101" s="587"/>
      <c r="P101" s="587"/>
      <c r="Q101" s="587"/>
      <c r="R101" s="587"/>
      <c r="S101" s="587"/>
      <c r="T101" s="587"/>
      <c r="U101" s="587"/>
      <c r="V101" s="587"/>
      <c r="W101" s="587"/>
      <c r="X101" s="587"/>
      <c r="Y101" s="587"/>
      <c r="Z101" s="587"/>
      <c r="AA101" s="587"/>
      <c r="AB101" s="587"/>
      <c r="AC101" s="587"/>
      <c r="AD101" s="52" t="str">
        <f t="shared" ca="1" si="3"/>
        <v>Vigente</v>
      </c>
      <c r="AE101" s="588" t="str">
        <f t="shared" si="4"/>
        <v xml:space="preserve"> </v>
      </c>
    </row>
    <row r="102" spans="1:31" ht="42" customHeight="1" x14ac:dyDescent="0.2">
      <c r="A102" s="167">
        <v>96</v>
      </c>
      <c r="B102" s="51" t="s">
        <v>413</v>
      </c>
      <c r="C102" s="51" t="s">
        <v>427</v>
      </c>
      <c r="D102" s="50">
        <v>103504</v>
      </c>
      <c r="E102" s="74">
        <f>Consolidado!$AU$73</f>
        <v>0</v>
      </c>
      <c r="F102" s="68">
        <f>Consolidado!$AV$73</f>
        <v>0</v>
      </c>
      <c r="G102" s="74">
        <f>Consolidado!$AW$73</f>
        <v>0</v>
      </c>
      <c r="H102" s="65" t="e">
        <f t="shared" si="0"/>
        <v>#NUM!</v>
      </c>
      <c r="I102" s="68" t="e">
        <f t="shared" si="1"/>
        <v>#NUM!</v>
      </c>
      <c r="J102" s="68">
        <f t="shared" si="2"/>
        <v>0</v>
      </c>
      <c r="K102" s="587"/>
      <c r="L102" s="587"/>
      <c r="M102" s="587"/>
      <c r="N102" s="587"/>
      <c r="O102" s="587"/>
      <c r="P102" s="587"/>
      <c r="Q102" s="587"/>
      <c r="R102" s="587"/>
      <c r="S102" s="587"/>
      <c r="T102" s="587"/>
      <c r="U102" s="587"/>
      <c r="V102" s="587"/>
      <c r="W102" s="587"/>
      <c r="X102" s="587"/>
      <c r="Y102" s="587"/>
      <c r="Z102" s="587"/>
      <c r="AA102" s="587"/>
      <c r="AB102" s="587"/>
      <c r="AC102" s="587"/>
      <c r="AD102" s="52" t="str">
        <f t="shared" ca="1" si="3"/>
        <v>En proceso</v>
      </c>
      <c r="AE102" s="588" t="str">
        <f t="shared" si="4"/>
        <v xml:space="preserve"> </v>
      </c>
    </row>
    <row r="103" spans="1:31" ht="42" customHeight="1" x14ac:dyDescent="0.2">
      <c r="A103" s="167">
        <v>97</v>
      </c>
      <c r="B103" s="51" t="s">
        <v>413</v>
      </c>
      <c r="C103" s="51" t="s">
        <v>1124</v>
      </c>
      <c r="D103" s="50">
        <v>104063</v>
      </c>
      <c r="E103" s="64" t="e">
        <f>Consolidado!#REF!</f>
        <v>#REF!</v>
      </c>
      <c r="F103" s="64" t="e">
        <f>Consolidado!#REF!</f>
        <v>#REF!</v>
      </c>
      <c r="G103" s="64" t="e">
        <f>Consolidado!#REF!</f>
        <v>#REF!</v>
      </c>
      <c r="H103" s="65" t="e">
        <f t="shared" si="0"/>
        <v>#REF!</v>
      </c>
      <c r="I103" s="68" t="e">
        <f t="shared" si="1"/>
        <v>#REF!</v>
      </c>
      <c r="J103" s="68" t="e">
        <f t="shared" si="2"/>
        <v>#REF!</v>
      </c>
      <c r="K103" s="587"/>
      <c r="L103" s="587"/>
      <c r="M103" s="587"/>
      <c r="N103" s="587"/>
      <c r="O103" s="587"/>
      <c r="P103" s="587"/>
      <c r="Q103" s="587"/>
      <c r="R103" s="587"/>
      <c r="S103" s="587"/>
      <c r="T103" s="587"/>
      <c r="U103" s="587"/>
      <c r="V103" s="587"/>
      <c r="W103" s="587"/>
      <c r="X103" s="587"/>
      <c r="Y103" s="587"/>
      <c r="Z103" s="587"/>
      <c r="AA103" s="587"/>
      <c r="AB103" s="587"/>
      <c r="AC103" s="587"/>
      <c r="AD103" s="52" t="e">
        <f t="shared" ca="1" si="3"/>
        <v>#REF!</v>
      </c>
      <c r="AE103" s="588" t="str">
        <f t="shared" si="4"/>
        <v xml:space="preserve"> </v>
      </c>
    </row>
    <row r="104" spans="1:31" ht="42" customHeight="1" x14ac:dyDescent="0.2">
      <c r="A104" s="167">
        <v>98</v>
      </c>
      <c r="B104" s="51" t="s">
        <v>413</v>
      </c>
      <c r="C104" s="51" t="s">
        <v>456</v>
      </c>
      <c r="D104" s="50">
        <v>104303</v>
      </c>
      <c r="E104" s="74">
        <f>Consolidado!$AU$74</f>
        <v>0</v>
      </c>
      <c r="F104" s="68">
        <f>Consolidado!$AV$74</f>
        <v>0</v>
      </c>
      <c r="G104" s="74">
        <f>Consolidado!$AW$74</f>
        <v>0</v>
      </c>
      <c r="H104" s="65" t="e">
        <f t="shared" si="0"/>
        <v>#NUM!</v>
      </c>
      <c r="I104" s="68" t="e">
        <f t="shared" si="1"/>
        <v>#NUM!</v>
      </c>
      <c r="J104" s="68">
        <f t="shared" si="2"/>
        <v>0</v>
      </c>
      <c r="K104" s="587"/>
      <c r="L104" s="587"/>
      <c r="M104" s="587"/>
      <c r="N104" s="587"/>
      <c r="O104" s="587"/>
      <c r="P104" s="587"/>
      <c r="Q104" s="587"/>
      <c r="R104" s="587"/>
      <c r="S104" s="587"/>
      <c r="T104" s="587"/>
      <c r="U104" s="587"/>
      <c r="V104" s="587"/>
      <c r="W104" s="587"/>
      <c r="X104" s="587"/>
      <c r="Y104" s="587"/>
      <c r="Z104" s="587"/>
      <c r="AA104" s="587"/>
      <c r="AB104" s="587"/>
      <c r="AC104" s="587"/>
      <c r="AD104" s="52" t="str">
        <f t="shared" ca="1" si="3"/>
        <v>En proceso</v>
      </c>
      <c r="AE104" s="588" t="str">
        <f t="shared" si="4"/>
        <v xml:space="preserve"> </v>
      </c>
    </row>
    <row r="105" spans="1:31" ht="42" customHeight="1" x14ac:dyDescent="0.2">
      <c r="A105" s="167">
        <v>99</v>
      </c>
      <c r="B105" s="51" t="s">
        <v>413</v>
      </c>
      <c r="C105" s="51" t="s">
        <v>1125</v>
      </c>
      <c r="D105" s="50">
        <v>104520</v>
      </c>
      <c r="E105" s="74" t="e">
        <f>Consolidado!#REF!</f>
        <v>#REF!</v>
      </c>
      <c r="F105" s="74" t="e">
        <f>Consolidado!#REF!</f>
        <v>#REF!</v>
      </c>
      <c r="G105" s="74" t="e">
        <f>Consolidado!#REF!</f>
        <v>#REF!</v>
      </c>
      <c r="H105" s="65" t="e">
        <f t="shared" si="0"/>
        <v>#REF!</v>
      </c>
      <c r="I105" s="68" t="e">
        <f t="shared" si="1"/>
        <v>#REF!</v>
      </c>
      <c r="J105" s="68" t="e">
        <f t="shared" si="2"/>
        <v>#REF!</v>
      </c>
      <c r="K105" s="587"/>
      <c r="L105" s="587"/>
      <c r="M105" s="587"/>
      <c r="N105" s="587"/>
      <c r="O105" s="587"/>
      <c r="P105" s="587"/>
      <c r="Q105" s="587"/>
      <c r="R105" s="587"/>
      <c r="S105" s="587"/>
      <c r="T105" s="587"/>
      <c r="U105" s="587"/>
      <c r="V105" s="587"/>
      <c r="W105" s="587"/>
      <c r="X105" s="587"/>
      <c r="Y105" s="587"/>
      <c r="Z105" s="587"/>
      <c r="AA105" s="587"/>
      <c r="AB105" s="587"/>
      <c r="AC105" s="587"/>
      <c r="AD105" s="52" t="e">
        <f t="shared" ca="1" si="3"/>
        <v>#REF!</v>
      </c>
      <c r="AE105" s="588" t="str">
        <f t="shared" si="4"/>
        <v xml:space="preserve"> </v>
      </c>
    </row>
    <row r="106" spans="1:31" ht="42" customHeight="1" x14ac:dyDescent="0.2">
      <c r="A106" s="167">
        <v>100</v>
      </c>
      <c r="B106" s="51" t="s">
        <v>413</v>
      </c>
      <c r="C106" s="51" t="s">
        <v>1125</v>
      </c>
      <c r="D106" s="50">
        <v>104521</v>
      </c>
      <c r="E106" s="74" t="e">
        <f>Consolidado!#REF!</f>
        <v>#REF!</v>
      </c>
      <c r="F106" s="74" t="e">
        <f>Consolidado!#REF!</f>
        <v>#REF!</v>
      </c>
      <c r="G106" s="74" t="e">
        <f>Consolidado!#REF!</f>
        <v>#REF!</v>
      </c>
      <c r="H106" s="65" t="e">
        <f t="shared" si="0"/>
        <v>#REF!</v>
      </c>
      <c r="I106" s="68" t="e">
        <f t="shared" si="1"/>
        <v>#REF!</v>
      </c>
      <c r="J106" s="68" t="e">
        <f t="shared" si="2"/>
        <v>#REF!</v>
      </c>
      <c r="K106" s="587"/>
      <c r="L106" s="587"/>
      <c r="M106" s="587"/>
      <c r="N106" s="587"/>
      <c r="O106" s="587"/>
      <c r="P106" s="587"/>
      <c r="Q106" s="587"/>
      <c r="R106" s="587"/>
      <c r="S106" s="587"/>
      <c r="T106" s="587"/>
      <c r="U106" s="587"/>
      <c r="V106" s="587"/>
      <c r="W106" s="587"/>
      <c r="X106" s="587"/>
      <c r="Y106" s="587"/>
      <c r="Z106" s="587"/>
      <c r="AA106" s="587"/>
      <c r="AB106" s="587"/>
      <c r="AC106" s="587"/>
      <c r="AD106" s="52" t="e">
        <f t="shared" ca="1" si="3"/>
        <v>#REF!</v>
      </c>
      <c r="AE106" s="588" t="str">
        <f t="shared" si="4"/>
        <v xml:space="preserve"> </v>
      </c>
    </row>
    <row r="107" spans="1:31" ht="42" customHeight="1" x14ac:dyDescent="0.2">
      <c r="A107" s="167">
        <v>101</v>
      </c>
      <c r="B107" s="51" t="s">
        <v>413</v>
      </c>
      <c r="C107" s="51" t="s">
        <v>1125</v>
      </c>
      <c r="D107" s="50">
        <v>104522</v>
      </c>
      <c r="E107" s="74" t="e">
        <f>Consolidado!#REF!</f>
        <v>#REF!</v>
      </c>
      <c r="F107" s="74" t="e">
        <f>Consolidado!#REF!</f>
        <v>#REF!</v>
      </c>
      <c r="G107" s="74" t="e">
        <f>Consolidado!#REF!</f>
        <v>#REF!</v>
      </c>
      <c r="H107" s="65" t="e">
        <f t="shared" si="0"/>
        <v>#REF!</v>
      </c>
      <c r="I107" s="68" t="e">
        <f t="shared" si="1"/>
        <v>#REF!</v>
      </c>
      <c r="J107" s="68" t="e">
        <f t="shared" si="2"/>
        <v>#REF!</v>
      </c>
      <c r="K107" s="587"/>
      <c r="L107" s="587"/>
      <c r="M107" s="587"/>
      <c r="N107" s="587"/>
      <c r="O107" s="587"/>
      <c r="P107" s="587"/>
      <c r="Q107" s="587"/>
      <c r="R107" s="587"/>
      <c r="S107" s="587"/>
      <c r="T107" s="587"/>
      <c r="U107" s="587"/>
      <c r="V107" s="587"/>
      <c r="W107" s="587"/>
      <c r="X107" s="587"/>
      <c r="Y107" s="587"/>
      <c r="Z107" s="587"/>
      <c r="AA107" s="587"/>
      <c r="AB107" s="587"/>
      <c r="AC107" s="587"/>
      <c r="AD107" s="52" t="e">
        <f t="shared" ca="1" si="3"/>
        <v>#REF!</v>
      </c>
      <c r="AE107" s="588" t="str">
        <f t="shared" si="4"/>
        <v xml:space="preserve"> </v>
      </c>
    </row>
    <row r="108" spans="1:31" ht="42" customHeight="1" x14ac:dyDescent="0.2">
      <c r="A108" s="167">
        <v>102</v>
      </c>
      <c r="B108" s="51" t="s">
        <v>413</v>
      </c>
      <c r="C108" s="51" t="s">
        <v>1125</v>
      </c>
      <c r="D108" s="50">
        <v>104523</v>
      </c>
      <c r="E108" s="74" t="e">
        <f>Consolidado!#REF!</f>
        <v>#REF!</v>
      </c>
      <c r="F108" s="74" t="e">
        <f>Consolidado!#REF!</f>
        <v>#REF!</v>
      </c>
      <c r="G108" s="74" t="e">
        <f>Consolidado!#REF!</f>
        <v>#REF!</v>
      </c>
      <c r="H108" s="65" t="e">
        <f t="shared" si="0"/>
        <v>#REF!</v>
      </c>
      <c r="I108" s="68" t="e">
        <f t="shared" si="1"/>
        <v>#REF!</v>
      </c>
      <c r="J108" s="68" t="e">
        <f t="shared" si="2"/>
        <v>#REF!</v>
      </c>
      <c r="K108" s="587"/>
      <c r="L108" s="587"/>
      <c r="M108" s="587"/>
      <c r="N108" s="587"/>
      <c r="O108" s="587"/>
      <c r="P108" s="587"/>
      <c r="Q108" s="587"/>
      <c r="R108" s="587"/>
      <c r="S108" s="587"/>
      <c r="T108" s="587"/>
      <c r="U108" s="587"/>
      <c r="V108" s="587"/>
      <c r="W108" s="587"/>
      <c r="X108" s="587"/>
      <c r="Y108" s="587"/>
      <c r="Z108" s="587"/>
      <c r="AA108" s="587"/>
      <c r="AB108" s="587"/>
      <c r="AC108" s="587"/>
      <c r="AD108" s="52" t="e">
        <f t="shared" ca="1" si="3"/>
        <v>#REF!</v>
      </c>
      <c r="AE108" s="588" t="str">
        <f t="shared" si="4"/>
        <v xml:space="preserve"> </v>
      </c>
    </row>
    <row r="109" spans="1:31" ht="42" customHeight="1" x14ac:dyDescent="0.2">
      <c r="A109" s="167">
        <v>103</v>
      </c>
      <c r="B109" s="51" t="s">
        <v>413</v>
      </c>
      <c r="C109" s="51" t="s">
        <v>1077</v>
      </c>
      <c r="D109" s="50">
        <v>104621</v>
      </c>
      <c r="E109" s="368">
        <f>Consolidado!$AU$75</f>
        <v>7568</v>
      </c>
      <c r="F109" s="68">
        <f>Consolidado!$AV$75</f>
        <v>45054</v>
      </c>
      <c r="G109" s="74">
        <f>Consolidado!$AW$75</f>
        <v>4</v>
      </c>
      <c r="H109" s="65">
        <f t="shared" si="0"/>
        <v>46089</v>
      </c>
      <c r="I109" s="68">
        <f t="shared" si="1"/>
        <v>46150</v>
      </c>
      <c r="J109" s="68">
        <f t="shared" si="2"/>
        <v>46515</v>
      </c>
      <c r="K109" s="587"/>
      <c r="L109" s="587"/>
      <c r="M109" s="587"/>
      <c r="N109" s="587"/>
      <c r="O109" s="587"/>
      <c r="P109" s="587"/>
      <c r="Q109" s="587"/>
      <c r="R109" s="587"/>
      <c r="S109" s="587"/>
      <c r="T109" s="587"/>
      <c r="U109" s="587"/>
      <c r="V109" s="587"/>
      <c r="W109" s="587"/>
      <c r="X109" s="587"/>
      <c r="Y109" s="587"/>
      <c r="Z109" s="587"/>
      <c r="AA109" s="587"/>
      <c r="AB109" s="587"/>
      <c r="AC109" s="587"/>
      <c r="AD109" s="52" t="str">
        <f t="shared" ca="1" si="3"/>
        <v>Vigente</v>
      </c>
      <c r="AE109" s="588" t="str">
        <f t="shared" si="4"/>
        <v xml:space="preserve"> </v>
      </c>
    </row>
    <row r="110" spans="1:31" ht="42" customHeight="1" x14ac:dyDescent="0.2">
      <c r="A110" s="167">
        <v>104</v>
      </c>
      <c r="B110" s="51" t="s">
        <v>413</v>
      </c>
      <c r="C110" s="51" t="s">
        <v>1126</v>
      </c>
      <c r="D110" s="50">
        <v>104784</v>
      </c>
      <c r="E110" s="74" t="e">
        <f>Consolidado!#REF!</f>
        <v>#REF!</v>
      </c>
      <c r="F110" s="74" t="e">
        <f>Consolidado!#REF!</f>
        <v>#REF!</v>
      </c>
      <c r="G110" s="74" t="e">
        <f>Consolidado!#REF!</f>
        <v>#REF!</v>
      </c>
      <c r="H110" s="65" t="e">
        <f t="shared" si="0"/>
        <v>#REF!</v>
      </c>
      <c r="I110" s="68" t="e">
        <f t="shared" si="1"/>
        <v>#REF!</v>
      </c>
      <c r="J110" s="68" t="e">
        <f t="shared" si="2"/>
        <v>#REF!</v>
      </c>
      <c r="K110" s="587"/>
      <c r="L110" s="587"/>
      <c r="M110" s="587"/>
      <c r="N110" s="587"/>
      <c r="O110" s="587"/>
      <c r="P110" s="587"/>
      <c r="Q110" s="587"/>
      <c r="R110" s="587"/>
      <c r="S110" s="587"/>
      <c r="T110" s="587"/>
      <c r="U110" s="587"/>
      <c r="V110" s="587"/>
      <c r="W110" s="587"/>
      <c r="X110" s="587"/>
      <c r="Y110" s="587"/>
      <c r="Z110" s="587"/>
      <c r="AA110" s="587"/>
      <c r="AB110" s="587"/>
      <c r="AC110" s="587"/>
      <c r="AD110" s="52" t="e">
        <f t="shared" ca="1" si="3"/>
        <v>#REF!</v>
      </c>
      <c r="AE110" s="588" t="str">
        <f t="shared" si="4"/>
        <v xml:space="preserve"> </v>
      </c>
    </row>
    <row r="111" spans="1:31" ht="42" customHeight="1" x14ac:dyDescent="0.2">
      <c r="A111" s="167">
        <v>105</v>
      </c>
      <c r="B111" s="51" t="s">
        <v>413</v>
      </c>
      <c r="C111" s="51" t="s">
        <v>1127</v>
      </c>
      <c r="D111" s="50">
        <v>104822</v>
      </c>
      <c r="E111" s="74" t="e">
        <f>Consolidado!#REF!</f>
        <v>#REF!</v>
      </c>
      <c r="F111" s="74" t="e">
        <f>Consolidado!#REF!</f>
        <v>#REF!</v>
      </c>
      <c r="G111" s="74" t="e">
        <f>Consolidado!#REF!</f>
        <v>#REF!</v>
      </c>
      <c r="H111" s="65" t="e">
        <f t="shared" si="0"/>
        <v>#REF!</v>
      </c>
      <c r="I111" s="68" t="e">
        <f t="shared" si="1"/>
        <v>#REF!</v>
      </c>
      <c r="J111" s="68" t="e">
        <f t="shared" si="2"/>
        <v>#REF!</v>
      </c>
      <c r="K111" s="587"/>
      <c r="L111" s="587"/>
      <c r="M111" s="587"/>
      <c r="N111" s="587"/>
      <c r="O111" s="587"/>
      <c r="P111" s="587"/>
      <c r="Q111" s="587"/>
      <c r="R111" s="587"/>
      <c r="S111" s="587"/>
      <c r="T111" s="587"/>
      <c r="U111" s="587"/>
      <c r="V111" s="587"/>
      <c r="W111" s="587"/>
      <c r="X111" s="587"/>
      <c r="Y111" s="587"/>
      <c r="Z111" s="587"/>
      <c r="AA111" s="587"/>
      <c r="AB111" s="587"/>
      <c r="AC111" s="587"/>
      <c r="AD111" s="52" t="e">
        <f t="shared" ca="1" si="3"/>
        <v>#REF!</v>
      </c>
      <c r="AE111" s="588" t="str">
        <f t="shared" si="4"/>
        <v xml:space="preserve"> </v>
      </c>
    </row>
    <row r="112" spans="1:31" ht="42" customHeight="1" x14ac:dyDescent="0.2">
      <c r="A112" s="167">
        <v>106</v>
      </c>
      <c r="B112" s="51" t="s">
        <v>413</v>
      </c>
      <c r="C112" s="51" t="s">
        <v>1125</v>
      </c>
      <c r="D112" s="50">
        <v>105168</v>
      </c>
      <c r="E112" s="74" t="e">
        <f>Consolidado!#REF!</f>
        <v>#REF!</v>
      </c>
      <c r="F112" s="74" t="e">
        <f>Consolidado!#REF!</f>
        <v>#REF!</v>
      </c>
      <c r="G112" s="74" t="e">
        <f>Consolidado!#REF!</f>
        <v>#REF!</v>
      </c>
      <c r="H112" s="65" t="e">
        <f t="shared" si="0"/>
        <v>#REF!</v>
      </c>
      <c r="I112" s="68" t="e">
        <f t="shared" si="1"/>
        <v>#REF!</v>
      </c>
      <c r="J112" s="68" t="e">
        <f t="shared" si="2"/>
        <v>#REF!</v>
      </c>
      <c r="K112" s="587"/>
      <c r="L112" s="587"/>
      <c r="M112" s="587"/>
      <c r="N112" s="587"/>
      <c r="O112" s="587"/>
      <c r="P112" s="587"/>
      <c r="Q112" s="587"/>
      <c r="R112" s="587"/>
      <c r="S112" s="587"/>
      <c r="T112" s="587"/>
      <c r="U112" s="587"/>
      <c r="V112" s="587"/>
      <c r="W112" s="587"/>
      <c r="X112" s="587"/>
      <c r="Y112" s="587"/>
      <c r="Z112" s="587"/>
      <c r="AA112" s="587"/>
      <c r="AB112" s="587"/>
      <c r="AC112" s="587"/>
      <c r="AD112" s="52" t="e">
        <f t="shared" ca="1" si="3"/>
        <v>#REF!</v>
      </c>
      <c r="AE112" s="588" t="str">
        <f t="shared" si="4"/>
        <v xml:space="preserve"> </v>
      </c>
    </row>
    <row r="113" spans="1:31" ht="42" customHeight="1" x14ac:dyDescent="0.2">
      <c r="A113" s="167">
        <v>107</v>
      </c>
      <c r="B113" s="51" t="s">
        <v>413</v>
      </c>
      <c r="C113" s="51" t="s">
        <v>1125</v>
      </c>
      <c r="D113" s="50">
        <v>105275</v>
      </c>
      <c r="E113" s="74" t="e">
        <f>Consolidado!#REF!</f>
        <v>#REF!</v>
      </c>
      <c r="F113" s="74" t="e">
        <f>Consolidado!#REF!</f>
        <v>#REF!</v>
      </c>
      <c r="G113" s="74" t="e">
        <f>Consolidado!#REF!</f>
        <v>#REF!</v>
      </c>
      <c r="H113" s="65" t="e">
        <f t="shared" si="0"/>
        <v>#REF!</v>
      </c>
      <c r="I113" s="68" t="e">
        <f t="shared" si="1"/>
        <v>#REF!</v>
      </c>
      <c r="J113" s="68" t="e">
        <f t="shared" si="2"/>
        <v>#REF!</v>
      </c>
      <c r="K113" s="587"/>
      <c r="L113" s="587"/>
      <c r="M113" s="587"/>
      <c r="N113" s="587"/>
      <c r="O113" s="587"/>
      <c r="P113" s="587"/>
      <c r="Q113" s="587"/>
      <c r="R113" s="587"/>
      <c r="S113" s="587"/>
      <c r="T113" s="587"/>
      <c r="U113" s="587"/>
      <c r="V113" s="587"/>
      <c r="W113" s="587"/>
      <c r="X113" s="587"/>
      <c r="Y113" s="587"/>
      <c r="Z113" s="587"/>
      <c r="AA113" s="587"/>
      <c r="AB113" s="587"/>
      <c r="AC113" s="587"/>
      <c r="AD113" s="52" t="e">
        <f t="shared" ca="1" si="3"/>
        <v>#REF!</v>
      </c>
      <c r="AE113" s="588" t="str">
        <f t="shared" si="4"/>
        <v xml:space="preserve"> </v>
      </c>
    </row>
    <row r="114" spans="1:31" ht="42" customHeight="1" x14ac:dyDescent="0.2">
      <c r="A114" s="167">
        <v>108</v>
      </c>
      <c r="B114" s="51" t="s">
        <v>413</v>
      </c>
      <c r="C114" s="51" t="s">
        <v>1125</v>
      </c>
      <c r="D114" s="50">
        <v>105276</v>
      </c>
      <c r="E114" s="74" t="e">
        <f>Consolidado!#REF!</f>
        <v>#REF!</v>
      </c>
      <c r="F114" s="74" t="e">
        <f>Consolidado!#REF!</f>
        <v>#REF!</v>
      </c>
      <c r="G114" s="74" t="e">
        <f>Consolidado!#REF!</f>
        <v>#REF!</v>
      </c>
      <c r="H114" s="65" t="e">
        <f t="shared" si="0"/>
        <v>#REF!</v>
      </c>
      <c r="I114" s="68" t="e">
        <f t="shared" si="1"/>
        <v>#REF!</v>
      </c>
      <c r="J114" s="68" t="e">
        <f t="shared" si="2"/>
        <v>#REF!</v>
      </c>
      <c r="K114" s="587"/>
      <c r="L114" s="587"/>
      <c r="M114" s="587"/>
      <c r="N114" s="587"/>
      <c r="O114" s="587"/>
      <c r="P114" s="587"/>
      <c r="Q114" s="587"/>
      <c r="R114" s="587"/>
      <c r="S114" s="587"/>
      <c r="T114" s="587"/>
      <c r="U114" s="587"/>
      <c r="V114" s="587"/>
      <c r="W114" s="587"/>
      <c r="X114" s="587"/>
      <c r="Y114" s="587"/>
      <c r="Z114" s="587"/>
      <c r="AA114" s="587"/>
      <c r="AB114" s="587"/>
      <c r="AC114" s="587"/>
      <c r="AD114" s="52" t="e">
        <f t="shared" ca="1" si="3"/>
        <v>#REF!</v>
      </c>
      <c r="AE114" s="588" t="str">
        <f t="shared" si="4"/>
        <v xml:space="preserve"> </v>
      </c>
    </row>
    <row r="115" spans="1:31" ht="42" customHeight="1" x14ac:dyDescent="0.2">
      <c r="A115" s="167">
        <v>109</v>
      </c>
      <c r="B115" s="51" t="s">
        <v>413</v>
      </c>
      <c r="C115" s="51" t="s">
        <v>1125</v>
      </c>
      <c r="D115" s="50">
        <v>105277</v>
      </c>
      <c r="E115" s="74" t="e">
        <f>Consolidado!#REF!</f>
        <v>#REF!</v>
      </c>
      <c r="F115" s="74" t="e">
        <f>Consolidado!#REF!</f>
        <v>#REF!</v>
      </c>
      <c r="G115" s="74" t="e">
        <f>Consolidado!#REF!</f>
        <v>#REF!</v>
      </c>
      <c r="H115" s="65" t="e">
        <f t="shared" si="0"/>
        <v>#REF!</v>
      </c>
      <c r="I115" s="68" t="e">
        <f t="shared" si="1"/>
        <v>#REF!</v>
      </c>
      <c r="J115" s="68" t="e">
        <f t="shared" si="2"/>
        <v>#REF!</v>
      </c>
      <c r="K115" s="587"/>
      <c r="L115" s="587"/>
      <c r="M115" s="587"/>
      <c r="N115" s="587"/>
      <c r="O115" s="587"/>
      <c r="P115" s="587"/>
      <c r="Q115" s="587"/>
      <c r="R115" s="587"/>
      <c r="S115" s="587"/>
      <c r="T115" s="587"/>
      <c r="U115" s="587"/>
      <c r="V115" s="587"/>
      <c r="W115" s="587"/>
      <c r="X115" s="587"/>
      <c r="Y115" s="587"/>
      <c r="Z115" s="587"/>
      <c r="AA115" s="587"/>
      <c r="AB115" s="587"/>
      <c r="AC115" s="587"/>
      <c r="AD115" s="52" t="e">
        <f t="shared" ca="1" si="3"/>
        <v>#REF!</v>
      </c>
      <c r="AE115" s="588" t="str">
        <f t="shared" si="4"/>
        <v xml:space="preserve"> </v>
      </c>
    </row>
    <row r="116" spans="1:31" ht="42" customHeight="1" x14ac:dyDescent="0.2">
      <c r="A116" s="167">
        <v>110</v>
      </c>
      <c r="B116" s="51" t="s">
        <v>413</v>
      </c>
      <c r="C116" s="51" t="s">
        <v>1125</v>
      </c>
      <c r="D116" s="50">
        <v>105278</v>
      </c>
      <c r="E116" s="74" t="e">
        <f>Consolidado!#REF!</f>
        <v>#REF!</v>
      </c>
      <c r="F116" s="74" t="e">
        <f>Consolidado!#REF!</f>
        <v>#REF!</v>
      </c>
      <c r="G116" s="74" t="e">
        <f>Consolidado!#REF!</f>
        <v>#REF!</v>
      </c>
      <c r="H116" s="65" t="e">
        <f t="shared" si="0"/>
        <v>#REF!</v>
      </c>
      <c r="I116" s="68" t="e">
        <f t="shared" si="1"/>
        <v>#REF!</v>
      </c>
      <c r="J116" s="68" t="e">
        <f t="shared" si="2"/>
        <v>#REF!</v>
      </c>
      <c r="K116" s="587"/>
      <c r="L116" s="587"/>
      <c r="M116" s="587"/>
      <c r="N116" s="587"/>
      <c r="O116" s="587"/>
      <c r="P116" s="587"/>
      <c r="Q116" s="587"/>
      <c r="R116" s="587"/>
      <c r="S116" s="587"/>
      <c r="T116" s="587"/>
      <c r="U116" s="587"/>
      <c r="V116" s="587"/>
      <c r="W116" s="587"/>
      <c r="X116" s="587"/>
      <c r="Y116" s="587"/>
      <c r="Z116" s="587"/>
      <c r="AA116" s="587"/>
      <c r="AB116" s="587"/>
      <c r="AC116" s="587"/>
      <c r="AD116" s="52" t="e">
        <f t="shared" ca="1" si="3"/>
        <v>#REF!</v>
      </c>
      <c r="AE116" s="588" t="str">
        <f t="shared" si="4"/>
        <v xml:space="preserve"> </v>
      </c>
    </row>
    <row r="117" spans="1:31" ht="42" customHeight="1" x14ac:dyDescent="0.2">
      <c r="A117" s="167">
        <v>111</v>
      </c>
      <c r="B117" s="51" t="s">
        <v>413</v>
      </c>
      <c r="C117" s="51" t="s">
        <v>521</v>
      </c>
      <c r="D117" s="50">
        <v>105532</v>
      </c>
      <c r="E117" s="593">
        <f>Consolidado!$AU$76</f>
        <v>8922</v>
      </c>
      <c r="F117" s="63">
        <f>Consolidado!$AV$76</f>
        <v>45075</v>
      </c>
      <c r="G117" s="64">
        <f>Consolidado!$AW$76</f>
        <v>6</v>
      </c>
      <c r="H117" s="65">
        <f t="shared" si="0"/>
        <v>46841</v>
      </c>
      <c r="I117" s="68">
        <f t="shared" si="1"/>
        <v>46902</v>
      </c>
      <c r="J117" s="68">
        <f t="shared" si="2"/>
        <v>47267</v>
      </c>
      <c r="K117" s="587"/>
      <c r="L117" s="587"/>
      <c r="M117" s="587"/>
      <c r="N117" s="587"/>
      <c r="O117" s="587"/>
      <c r="P117" s="587"/>
      <c r="Q117" s="587"/>
      <c r="R117" s="587"/>
      <c r="S117" s="587"/>
      <c r="T117" s="587"/>
      <c r="U117" s="587"/>
      <c r="V117" s="587"/>
      <c r="W117" s="587"/>
      <c r="X117" s="587"/>
      <c r="Y117" s="587"/>
      <c r="Z117" s="587"/>
      <c r="AA117" s="587"/>
      <c r="AB117" s="587"/>
      <c r="AC117" s="587"/>
      <c r="AD117" s="52" t="str">
        <f t="shared" ca="1" si="3"/>
        <v>Vigente</v>
      </c>
      <c r="AE117" s="588" t="str">
        <f t="shared" si="4"/>
        <v xml:space="preserve"> </v>
      </c>
    </row>
    <row r="118" spans="1:31" ht="42" customHeight="1" x14ac:dyDescent="0.2">
      <c r="A118" s="167">
        <v>112</v>
      </c>
      <c r="B118" s="51" t="s">
        <v>413</v>
      </c>
      <c r="C118" s="51" t="s">
        <v>498</v>
      </c>
      <c r="D118" s="50">
        <v>105533</v>
      </c>
      <c r="E118" s="74" t="str">
        <f>Consolidado!$AU$77</f>
        <v>N/A</v>
      </c>
      <c r="F118" s="68" t="str">
        <f>Consolidado!$AV$77</f>
        <v>N/A</v>
      </c>
      <c r="G118" s="74" t="str">
        <f>Consolidado!$AW$77</f>
        <v>N/A</v>
      </c>
      <c r="H118" s="65" t="e">
        <f t="shared" si="0"/>
        <v>#VALUE!</v>
      </c>
      <c r="I118" s="68" t="e">
        <f t="shared" si="1"/>
        <v>#VALUE!</v>
      </c>
      <c r="J118" s="68" t="e">
        <f t="shared" si="2"/>
        <v>#VALUE!</v>
      </c>
      <c r="K118" s="587"/>
      <c r="L118" s="587"/>
      <c r="M118" s="587"/>
      <c r="N118" s="587"/>
      <c r="O118" s="587"/>
      <c r="P118" s="587"/>
      <c r="Q118" s="587"/>
      <c r="R118" s="587"/>
      <c r="S118" s="587"/>
      <c r="T118" s="587"/>
      <c r="U118" s="587"/>
      <c r="V118" s="587"/>
      <c r="W118" s="587"/>
      <c r="X118" s="587"/>
      <c r="Y118" s="587"/>
      <c r="Z118" s="587"/>
      <c r="AA118" s="587"/>
      <c r="AB118" s="587"/>
      <c r="AC118" s="587"/>
      <c r="AD118" s="52" t="e">
        <f t="shared" ca="1" si="3"/>
        <v>#VALUE!</v>
      </c>
      <c r="AE118" s="588" t="str">
        <f t="shared" si="4"/>
        <v xml:space="preserve"> </v>
      </c>
    </row>
    <row r="119" spans="1:31" ht="42" customHeight="1" x14ac:dyDescent="0.2">
      <c r="A119" s="167">
        <v>113</v>
      </c>
      <c r="B119" s="51" t="s">
        <v>413</v>
      </c>
      <c r="C119" s="51" t="s">
        <v>535</v>
      </c>
      <c r="D119" s="50">
        <v>105656</v>
      </c>
      <c r="E119" s="74" t="e">
        <f>Consolidado!#REF!</f>
        <v>#REF!</v>
      </c>
      <c r="F119" s="74" t="e">
        <f>Consolidado!#REF!</f>
        <v>#REF!</v>
      </c>
      <c r="G119" s="74" t="e">
        <f>Consolidado!#REF!</f>
        <v>#REF!</v>
      </c>
      <c r="H119" s="65" t="e">
        <f t="shared" si="0"/>
        <v>#REF!</v>
      </c>
      <c r="I119" s="68" t="e">
        <f t="shared" si="1"/>
        <v>#REF!</v>
      </c>
      <c r="J119" s="68" t="e">
        <f t="shared" si="2"/>
        <v>#REF!</v>
      </c>
      <c r="K119" s="587"/>
      <c r="L119" s="587"/>
      <c r="M119" s="587"/>
      <c r="N119" s="587"/>
      <c r="O119" s="587"/>
      <c r="P119" s="587"/>
      <c r="Q119" s="587"/>
      <c r="R119" s="587"/>
      <c r="S119" s="587"/>
      <c r="T119" s="587"/>
      <c r="U119" s="587"/>
      <c r="V119" s="587"/>
      <c r="W119" s="587"/>
      <c r="X119" s="587"/>
      <c r="Y119" s="587"/>
      <c r="Z119" s="587"/>
      <c r="AA119" s="587"/>
      <c r="AB119" s="587"/>
      <c r="AC119" s="587"/>
      <c r="AD119" s="52" t="e">
        <f t="shared" ca="1" si="3"/>
        <v>#REF!</v>
      </c>
      <c r="AE119" s="588" t="str">
        <f t="shared" si="4"/>
        <v xml:space="preserve"> </v>
      </c>
    </row>
    <row r="120" spans="1:31" ht="42" customHeight="1" x14ac:dyDescent="0.2">
      <c r="A120" s="167">
        <v>114</v>
      </c>
      <c r="B120" s="51" t="s">
        <v>413</v>
      </c>
      <c r="C120" s="51" t="s">
        <v>540</v>
      </c>
      <c r="D120" s="50">
        <v>105661</v>
      </c>
      <c r="E120" s="74">
        <f>Consolidado!$AU$78</f>
        <v>0</v>
      </c>
      <c r="F120" s="68">
        <f>Consolidado!$AV$78</f>
        <v>0</v>
      </c>
      <c r="G120" s="74">
        <f>Consolidado!$AW$78</f>
        <v>0</v>
      </c>
      <c r="H120" s="65" t="e">
        <f t="shared" si="0"/>
        <v>#NUM!</v>
      </c>
      <c r="I120" s="68" t="e">
        <f t="shared" si="1"/>
        <v>#NUM!</v>
      </c>
      <c r="J120" s="68">
        <f t="shared" si="2"/>
        <v>0</v>
      </c>
      <c r="K120" s="587"/>
      <c r="L120" s="587"/>
      <c r="M120" s="587"/>
      <c r="N120" s="587"/>
      <c r="O120" s="587"/>
      <c r="P120" s="587"/>
      <c r="Q120" s="587"/>
      <c r="R120" s="587"/>
      <c r="S120" s="587"/>
      <c r="T120" s="587"/>
      <c r="U120" s="587"/>
      <c r="V120" s="587"/>
      <c r="W120" s="587"/>
      <c r="X120" s="587"/>
      <c r="Y120" s="587"/>
      <c r="Z120" s="587"/>
      <c r="AA120" s="587"/>
      <c r="AB120" s="587"/>
      <c r="AC120" s="587"/>
      <c r="AD120" s="52" t="str">
        <f t="shared" ca="1" si="3"/>
        <v>En proceso</v>
      </c>
      <c r="AE120" s="588" t="str">
        <f t="shared" si="4"/>
        <v xml:space="preserve"> </v>
      </c>
    </row>
    <row r="121" spans="1:31" ht="42" customHeight="1" x14ac:dyDescent="0.2">
      <c r="A121" s="167">
        <v>115</v>
      </c>
      <c r="B121" s="51" t="s">
        <v>413</v>
      </c>
      <c r="C121" s="51" t="s">
        <v>502</v>
      </c>
      <c r="D121" s="50">
        <v>105772</v>
      </c>
      <c r="E121" s="368">
        <f>Consolidado!$AU$79</f>
        <v>16903</v>
      </c>
      <c r="F121" s="68">
        <f>Consolidado!$AV$79</f>
        <v>45189</v>
      </c>
      <c r="G121" s="74">
        <f>Consolidado!$AW$79</f>
        <v>6</v>
      </c>
      <c r="H121" s="65">
        <f t="shared" si="0"/>
        <v>46954</v>
      </c>
      <c r="I121" s="68">
        <f t="shared" si="1"/>
        <v>47016</v>
      </c>
      <c r="J121" s="68">
        <f t="shared" si="2"/>
        <v>47381</v>
      </c>
      <c r="K121" s="587"/>
      <c r="L121" s="587"/>
      <c r="M121" s="587"/>
      <c r="N121" s="587"/>
      <c r="O121" s="587"/>
      <c r="P121" s="587"/>
      <c r="Q121" s="587"/>
      <c r="R121" s="587"/>
      <c r="S121" s="587"/>
      <c r="T121" s="587"/>
      <c r="U121" s="587"/>
      <c r="V121" s="587"/>
      <c r="W121" s="587"/>
      <c r="X121" s="587"/>
      <c r="Y121" s="587"/>
      <c r="Z121" s="587"/>
      <c r="AA121" s="587"/>
      <c r="AB121" s="587"/>
      <c r="AC121" s="587"/>
      <c r="AD121" s="52" t="str">
        <f t="shared" ca="1" si="3"/>
        <v>Vigente</v>
      </c>
      <c r="AE121" s="588" t="str">
        <f t="shared" si="4"/>
        <v xml:space="preserve"> </v>
      </c>
    </row>
    <row r="122" spans="1:31" ht="42" customHeight="1" x14ac:dyDescent="0.2">
      <c r="A122" s="167">
        <v>116</v>
      </c>
      <c r="B122" s="51" t="s">
        <v>413</v>
      </c>
      <c r="C122" s="51" t="s">
        <v>570</v>
      </c>
      <c r="D122" s="50">
        <v>106198</v>
      </c>
      <c r="E122" s="74">
        <f>Consolidado!$AU$80</f>
        <v>0</v>
      </c>
      <c r="F122" s="68">
        <f>Consolidado!$AV$80</f>
        <v>0</v>
      </c>
      <c r="G122" s="74">
        <f>Consolidado!$AW$80</f>
        <v>0</v>
      </c>
      <c r="H122" s="65" t="e">
        <f t="shared" si="0"/>
        <v>#NUM!</v>
      </c>
      <c r="I122" s="68" t="e">
        <f t="shared" si="1"/>
        <v>#NUM!</v>
      </c>
      <c r="J122" s="68">
        <f t="shared" si="2"/>
        <v>0</v>
      </c>
      <c r="K122" s="587"/>
      <c r="L122" s="587"/>
      <c r="M122" s="587"/>
      <c r="N122" s="587"/>
      <c r="O122" s="587"/>
      <c r="P122" s="587"/>
      <c r="Q122" s="587"/>
      <c r="R122" s="587"/>
      <c r="S122" s="587"/>
      <c r="T122" s="587"/>
      <c r="U122" s="587"/>
      <c r="V122" s="587"/>
      <c r="W122" s="587"/>
      <c r="X122" s="587"/>
      <c r="Y122" s="587"/>
      <c r="Z122" s="587"/>
      <c r="AA122" s="587"/>
      <c r="AB122" s="587"/>
      <c r="AC122" s="587"/>
      <c r="AD122" s="52" t="str">
        <f t="shared" ca="1" si="3"/>
        <v>En proceso</v>
      </c>
      <c r="AE122" s="588" t="str">
        <f t="shared" si="4"/>
        <v xml:space="preserve"> </v>
      </c>
    </row>
    <row r="123" spans="1:31" ht="42" customHeight="1" x14ac:dyDescent="0.2">
      <c r="A123" s="167">
        <v>117</v>
      </c>
      <c r="B123" s="51" t="s">
        <v>413</v>
      </c>
      <c r="C123" s="51" t="s">
        <v>1020</v>
      </c>
      <c r="D123" s="50">
        <v>106421</v>
      </c>
      <c r="E123" s="74">
        <f>Consolidado!$AU$81</f>
        <v>0</v>
      </c>
      <c r="F123" s="68">
        <f>Consolidado!$AV$81</f>
        <v>0</v>
      </c>
      <c r="G123" s="74">
        <f>Consolidado!$AW$81</f>
        <v>0</v>
      </c>
      <c r="H123" s="65" t="e">
        <f t="shared" si="0"/>
        <v>#NUM!</v>
      </c>
      <c r="I123" s="68" t="e">
        <f t="shared" si="1"/>
        <v>#NUM!</v>
      </c>
      <c r="J123" s="68">
        <f t="shared" si="2"/>
        <v>0</v>
      </c>
      <c r="K123" s="587"/>
      <c r="L123" s="587"/>
      <c r="M123" s="587"/>
      <c r="N123" s="587"/>
      <c r="O123" s="587"/>
      <c r="P123" s="587"/>
      <c r="Q123" s="587"/>
      <c r="R123" s="587"/>
      <c r="S123" s="587"/>
      <c r="T123" s="587"/>
      <c r="U123" s="587"/>
      <c r="V123" s="587"/>
      <c r="W123" s="587"/>
      <c r="X123" s="587"/>
      <c r="Y123" s="587"/>
      <c r="Z123" s="587"/>
      <c r="AA123" s="587"/>
      <c r="AB123" s="587"/>
      <c r="AC123" s="587"/>
      <c r="AD123" s="52" t="str">
        <f t="shared" ca="1" si="3"/>
        <v>En proceso</v>
      </c>
      <c r="AE123" s="588" t="str">
        <f t="shared" si="4"/>
        <v xml:space="preserve"> </v>
      </c>
    </row>
    <row r="124" spans="1:31" ht="42" customHeight="1" x14ac:dyDescent="0.2">
      <c r="A124" s="167">
        <v>118</v>
      </c>
      <c r="B124" s="51" t="s">
        <v>413</v>
      </c>
      <c r="C124" s="51" t="s">
        <v>1020</v>
      </c>
      <c r="D124" s="50">
        <v>106422</v>
      </c>
      <c r="E124" s="368">
        <f>Consolidado!$AU$82</f>
        <v>22249</v>
      </c>
      <c r="F124" s="68">
        <f>Consolidado!$AV$82</f>
        <v>45253</v>
      </c>
      <c r="G124" s="74">
        <f>Consolidado!$AW$82</f>
        <v>6</v>
      </c>
      <c r="H124" s="65">
        <f t="shared" si="0"/>
        <v>47019</v>
      </c>
      <c r="I124" s="68">
        <f t="shared" si="1"/>
        <v>47080</v>
      </c>
      <c r="J124" s="68">
        <f t="shared" si="2"/>
        <v>47445</v>
      </c>
      <c r="K124" s="587"/>
      <c r="L124" s="587"/>
      <c r="M124" s="587"/>
      <c r="N124" s="587"/>
      <c r="O124" s="587"/>
      <c r="P124" s="587"/>
      <c r="Q124" s="587"/>
      <c r="R124" s="587"/>
      <c r="S124" s="587"/>
      <c r="T124" s="587"/>
      <c r="U124" s="587"/>
      <c r="V124" s="587"/>
      <c r="W124" s="587"/>
      <c r="X124" s="587"/>
      <c r="Y124" s="587"/>
      <c r="Z124" s="587"/>
      <c r="AA124" s="587"/>
      <c r="AB124" s="587"/>
      <c r="AC124" s="587"/>
      <c r="AD124" s="52" t="str">
        <f t="shared" ca="1" si="3"/>
        <v>Vigente</v>
      </c>
      <c r="AE124" s="588" t="str">
        <f t="shared" si="4"/>
        <v xml:space="preserve"> </v>
      </c>
    </row>
    <row r="125" spans="1:31" ht="42" customHeight="1" x14ac:dyDescent="0.2">
      <c r="A125" s="167">
        <v>119</v>
      </c>
      <c r="B125" s="51" t="s">
        <v>413</v>
      </c>
      <c r="C125" s="51" t="s">
        <v>530</v>
      </c>
      <c r="D125" s="50">
        <v>7172</v>
      </c>
      <c r="E125" s="368">
        <f>Consolidado!$AU$83</f>
        <v>0</v>
      </c>
      <c r="F125" s="68">
        <f>Consolidado!$AV$83</f>
        <v>0</v>
      </c>
      <c r="G125" s="74">
        <f>Consolidado!$AW$83</f>
        <v>0</v>
      </c>
      <c r="H125" s="65" t="e">
        <f t="shared" si="0"/>
        <v>#NUM!</v>
      </c>
      <c r="I125" s="68" t="e">
        <f t="shared" si="1"/>
        <v>#NUM!</v>
      </c>
      <c r="J125" s="68">
        <f t="shared" si="2"/>
        <v>0</v>
      </c>
      <c r="K125" s="587"/>
      <c r="L125" s="587"/>
      <c r="M125" s="587"/>
      <c r="N125" s="587"/>
      <c r="O125" s="587"/>
      <c r="P125" s="587"/>
      <c r="Q125" s="587"/>
      <c r="R125" s="587"/>
      <c r="S125" s="587"/>
      <c r="T125" s="587"/>
      <c r="U125" s="587"/>
      <c r="V125" s="587"/>
      <c r="W125" s="587"/>
      <c r="X125" s="587"/>
      <c r="Y125" s="587"/>
      <c r="Z125" s="587"/>
      <c r="AA125" s="587"/>
      <c r="AB125" s="587"/>
      <c r="AC125" s="587"/>
      <c r="AD125" s="52" t="str">
        <f t="shared" ca="1" si="3"/>
        <v>En proceso</v>
      </c>
      <c r="AE125" s="588" t="str">
        <f t="shared" si="4"/>
        <v xml:space="preserve"> </v>
      </c>
    </row>
    <row r="126" spans="1:31" ht="42" customHeight="1" x14ac:dyDescent="0.2">
      <c r="A126" s="597">
        <v>120</v>
      </c>
      <c r="B126" s="51" t="s">
        <v>574</v>
      </c>
      <c r="C126" s="51" t="s">
        <v>1128</v>
      </c>
      <c r="D126" s="50">
        <v>245</v>
      </c>
      <c r="E126" s="64" t="e">
        <f>Consolidado!#REF!</f>
        <v>#REF!</v>
      </c>
      <c r="F126" s="64" t="e">
        <f>Consolidado!#REF!</f>
        <v>#REF!</v>
      </c>
      <c r="G126" s="64" t="e">
        <f>Consolidado!#REF!</f>
        <v>#REF!</v>
      </c>
      <c r="H126" s="65" t="e">
        <f t="shared" si="0"/>
        <v>#REF!</v>
      </c>
      <c r="I126" s="68" t="e">
        <f t="shared" si="1"/>
        <v>#REF!</v>
      </c>
      <c r="J126" s="68" t="e">
        <f t="shared" si="2"/>
        <v>#REF!</v>
      </c>
      <c r="K126" s="587"/>
      <c r="L126" s="587"/>
      <c r="M126" s="587"/>
      <c r="N126" s="587"/>
      <c r="O126" s="587"/>
      <c r="P126" s="587"/>
      <c r="Q126" s="587"/>
      <c r="R126" s="587"/>
      <c r="S126" s="587"/>
      <c r="T126" s="587"/>
      <c r="U126" s="587"/>
      <c r="V126" s="587"/>
      <c r="W126" s="587"/>
      <c r="X126" s="587"/>
      <c r="Y126" s="587"/>
      <c r="Z126" s="587"/>
      <c r="AA126" s="587"/>
      <c r="AB126" s="587"/>
      <c r="AC126" s="587"/>
      <c r="AD126" s="52" t="e">
        <f t="shared" ca="1" si="3"/>
        <v>#REF!</v>
      </c>
      <c r="AE126" s="588" t="str">
        <f t="shared" si="4"/>
        <v xml:space="preserve"> </v>
      </c>
    </row>
    <row r="127" spans="1:31" ht="42" customHeight="1" x14ac:dyDescent="0.2">
      <c r="A127" s="597">
        <v>121</v>
      </c>
      <c r="B127" s="51" t="s">
        <v>574</v>
      </c>
      <c r="C127" s="51" t="s">
        <v>591</v>
      </c>
      <c r="D127" s="50">
        <v>4080</v>
      </c>
      <c r="E127" s="74" t="e">
        <f>Consolidado!#REF!</f>
        <v>#REF!</v>
      </c>
      <c r="F127" s="74" t="e">
        <f>Consolidado!#REF!</f>
        <v>#REF!</v>
      </c>
      <c r="G127" s="74" t="e">
        <f>Consolidado!#REF!</f>
        <v>#REF!</v>
      </c>
      <c r="H127" s="65" t="e">
        <f t="shared" si="0"/>
        <v>#REF!</v>
      </c>
      <c r="I127" s="68" t="e">
        <f t="shared" si="1"/>
        <v>#REF!</v>
      </c>
      <c r="J127" s="68" t="e">
        <f t="shared" si="2"/>
        <v>#REF!</v>
      </c>
      <c r="K127" s="587"/>
      <c r="L127" s="587"/>
      <c r="M127" s="587"/>
      <c r="N127" s="587"/>
      <c r="O127" s="587"/>
      <c r="P127" s="587"/>
      <c r="Q127" s="587"/>
      <c r="R127" s="587"/>
      <c r="S127" s="587"/>
      <c r="T127" s="587"/>
      <c r="U127" s="587"/>
      <c r="V127" s="587"/>
      <c r="W127" s="587"/>
      <c r="X127" s="587"/>
      <c r="Y127" s="587"/>
      <c r="Z127" s="587"/>
      <c r="AA127" s="587"/>
      <c r="AB127" s="587"/>
      <c r="AC127" s="587"/>
      <c r="AD127" s="52" t="e">
        <f t="shared" ca="1" si="3"/>
        <v>#REF!</v>
      </c>
      <c r="AE127" s="588" t="str">
        <f t="shared" si="4"/>
        <v xml:space="preserve"> </v>
      </c>
    </row>
    <row r="128" spans="1:31" ht="42" customHeight="1" x14ac:dyDescent="0.2">
      <c r="A128" s="597">
        <v>122</v>
      </c>
      <c r="B128" s="51" t="s">
        <v>574</v>
      </c>
      <c r="C128" s="51" t="s">
        <v>1064</v>
      </c>
      <c r="D128" s="50">
        <v>8170</v>
      </c>
      <c r="E128" s="74">
        <f>Consolidado!$AU$87</f>
        <v>0</v>
      </c>
      <c r="F128" s="68">
        <f>Consolidado!$AV$87</f>
        <v>0</v>
      </c>
      <c r="G128" s="74">
        <f>Consolidado!$AW$87</f>
        <v>0</v>
      </c>
      <c r="H128" s="65" t="e">
        <f t="shared" si="0"/>
        <v>#NUM!</v>
      </c>
      <c r="I128" s="68" t="e">
        <f t="shared" si="1"/>
        <v>#NUM!</v>
      </c>
      <c r="J128" s="68">
        <f t="shared" si="2"/>
        <v>0</v>
      </c>
      <c r="K128" s="587"/>
      <c r="L128" s="587"/>
      <c r="M128" s="587"/>
      <c r="N128" s="587"/>
      <c r="O128" s="587"/>
      <c r="P128" s="587"/>
      <c r="Q128" s="587"/>
      <c r="R128" s="587"/>
      <c r="S128" s="587"/>
      <c r="T128" s="587"/>
      <c r="U128" s="587"/>
      <c r="V128" s="587"/>
      <c r="W128" s="573"/>
      <c r="X128" s="587"/>
      <c r="Y128" s="587"/>
      <c r="Z128" s="587"/>
      <c r="AA128" s="587"/>
      <c r="AB128" s="587"/>
      <c r="AC128" s="587"/>
      <c r="AD128" s="52" t="str">
        <f t="shared" ca="1" si="3"/>
        <v>En proceso</v>
      </c>
      <c r="AE128" s="588" t="str">
        <f t="shared" si="4"/>
        <v xml:space="preserve"> </v>
      </c>
    </row>
    <row r="129" spans="1:31" ht="42" customHeight="1" x14ac:dyDescent="0.2">
      <c r="A129" s="597">
        <v>123</v>
      </c>
      <c r="B129" s="51" t="s">
        <v>574</v>
      </c>
      <c r="C129" s="51" t="s">
        <v>1065</v>
      </c>
      <c r="D129" s="50">
        <v>102182</v>
      </c>
      <c r="E129" s="74">
        <f>Consolidado!$AU$88</f>
        <v>0</v>
      </c>
      <c r="F129" s="68">
        <f>Consolidado!$AV$88</f>
        <v>0</v>
      </c>
      <c r="G129" s="74">
        <f>Consolidado!$AW$88</f>
        <v>0</v>
      </c>
      <c r="H129" s="65" t="e">
        <f t="shared" si="0"/>
        <v>#NUM!</v>
      </c>
      <c r="I129" s="68" t="e">
        <f t="shared" si="1"/>
        <v>#NUM!</v>
      </c>
      <c r="J129" s="68">
        <f t="shared" si="2"/>
        <v>0</v>
      </c>
      <c r="K129" s="587"/>
      <c r="L129" s="587"/>
      <c r="M129" s="587"/>
      <c r="N129" s="587"/>
      <c r="O129" s="587"/>
      <c r="P129" s="587"/>
      <c r="Q129" s="587"/>
      <c r="R129" s="587"/>
      <c r="S129" s="587"/>
      <c r="T129" s="587"/>
      <c r="U129" s="587"/>
      <c r="V129" s="587"/>
      <c r="W129" s="587"/>
      <c r="X129" s="587"/>
      <c r="Y129" s="587"/>
      <c r="Z129" s="587"/>
      <c r="AA129" s="587"/>
      <c r="AB129" s="587"/>
      <c r="AC129" s="587"/>
      <c r="AD129" s="52" t="str">
        <f t="shared" ca="1" si="3"/>
        <v>En proceso</v>
      </c>
      <c r="AE129" s="588" t="str">
        <f t="shared" si="4"/>
        <v xml:space="preserve"> </v>
      </c>
    </row>
    <row r="130" spans="1:31" ht="42" customHeight="1" x14ac:dyDescent="0.2">
      <c r="A130" s="597">
        <v>124</v>
      </c>
      <c r="B130" s="51" t="s">
        <v>574</v>
      </c>
      <c r="C130" s="51" t="s">
        <v>1065</v>
      </c>
      <c r="D130" s="50">
        <v>233</v>
      </c>
      <c r="E130" s="74">
        <f>Consolidado!$AU$89</f>
        <v>0</v>
      </c>
      <c r="F130" s="68">
        <f>Consolidado!$AV$89</f>
        <v>0</v>
      </c>
      <c r="G130" s="74">
        <f>Consolidado!$AW$89</f>
        <v>0</v>
      </c>
      <c r="H130" s="65" t="e">
        <f t="shared" si="0"/>
        <v>#NUM!</v>
      </c>
      <c r="I130" s="68" t="e">
        <f t="shared" si="1"/>
        <v>#NUM!</v>
      </c>
      <c r="J130" s="68">
        <f t="shared" si="2"/>
        <v>0</v>
      </c>
      <c r="K130" s="587"/>
      <c r="L130" s="587"/>
      <c r="M130" s="587"/>
      <c r="N130" s="587"/>
      <c r="O130" s="587"/>
      <c r="P130" s="587"/>
      <c r="Q130" s="587"/>
      <c r="R130" s="587"/>
      <c r="S130" s="587"/>
      <c r="T130" s="587"/>
      <c r="U130" s="587"/>
      <c r="V130" s="587"/>
      <c r="W130" s="587"/>
      <c r="X130" s="587"/>
      <c r="Y130" s="587"/>
      <c r="Z130" s="587"/>
      <c r="AA130" s="587"/>
      <c r="AB130" s="587"/>
      <c r="AC130" s="587"/>
      <c r="AD130" s="52" t="str">
        <f t="shared" ca="1" si="3"/>
        <v>En proceso</v>
      </c>
      <c r="AE130" s="588" t="str">
        <f t="shared" si="4"/>
        <v xml:space="preserve"> </v>
      </c>
    </row>
    <row r="131" spans="1:31" ht="42" customHeight="1" x14ac:dyDescent="0.2">
      <c r="A131" s="597">
        <v>125</v>
      </c>
      <c r="B131" s="51" t="s">
        <v>574</v>
      </c>
      <c r="C131" s="51" t="s">
        <v>1129</v>
      </c>
      <c r="D131" s="50">
        <v>102484</v>
      </c>
      <c r="E131" s="74" t="e">
        <f>Consolidado!#REF!</f>
        <v>#REF!</v>
      </c>
      <c r="F131" s="74" t="e">
        <f>Consolidado!#REF!</f>
        <v>#REF!</v>
      </c>
      <c r="G131" s="74" t="e">
        <f>Consolidado!#REF!</f>
        <v>#REF!</v>
      </c>
      <c r="H131" s="65" t="e">
        <f t="shared" si="0"/>
        <v>#REF!</v>
      </c>
      <c r="I131" s="68" t="e">
        <f t="shared" si="1"/>
        <v>#REF!</v>
      </c>
      <c r="J131" s="68" t="e">
        <f t="shared" si="2"/>
        <v>#REF!</v>
      </c>
      <c r="K131" s="587"/>
      <c r="L131" s="587"/>
      <c r="M131" s="587"/>
      <c r="N131" s="587"/>
      <c r="O131" s="587"/>
      <c r="P131" s="587"/>
      <c r="Q131" s="587"/>
      <c r="R131" s="587"/>
      <c r="S131" s="587"/>
      <c r="T131" s="587"/>
      <c r="U131" s="587"/>
      <c r="V131" s="587"/>
      <c r="W131" s="587"/>
      <c r="X131" s="587"/>
      <c r="Y131" s="587"/>
      <c r="Z131" s="587"/>
      <c r="AA131" s="587"/>
      <c r="AB131" s="587"/>
      <c r="AC131" s="587"/>
      <c r="AD131" s="52" t="e">
        <f t="shared" ca="1" si="3"/>
        <v>#REF!</v>
      </c>
      <c r="AE131" s="588" t="str">
        <f t="shared" si="4"/>
        <v xml:space="preserve"> </v>
      </c>
    </row>
    <row r="132" spans="1:31" ht="42" customHeight="1" x14ac:dyDescent="0.2">
      <c r="A132" s="597">
        <v>126</v>
      </c>
      <c r="B132" s="51" t="s">
        <v>574</v>
      </c>
      <c r="C132" s="51" t="s">
        <v>600</v>
      </c>
      <c r="D132" s="50">
        <v>102803</v>
      </c>
      <c r="E132" s="64">
        <f>Consolidado!$AU$90</f>
        <v>0</v>
      </c>
      <c r="F132" s="63">
        <f>Consolidado!$AV$90</f>
        <v>0</v>
      </c>
      <c r="G132" s="64">
        <f>Consolidado!$AW$90</f>
        <v>0</v>
      </c>
      <c r="H132" s="65" t="e">
        <f t="shared" si="0"/>
        <v>#NUM!</v>
      </c>
      <c r="I132" s="68" t="e">
        <f t="shared" si="1"/>
        <v>#NUM!</v>
      </c>
      <c r="J132" s="68">
        <f t="shared" si="2"/>
        <v>0</v>
      </c>
      <c r="K132" s="587"/>
      <c r="L132" s="587"/>
      <c r="M132" s="587"/>
      <c r="N132" s="587"/>
      <c r="O132" s="587"/>
      <c r="P132" s="587"/>
      <c r="Q132" s="587"/>
      <c r="R132" s="587"/>
      <c r="S132" s="587"/>
      <c r="T132" s="587"/>
      <c r="U132" s="587"/>
      <c r="V132" s="587"/>
      <c r="W132" s="587"/>
      <c r="X132" s="587"/>
      <c r="Y132" s="587"/>
      <c r="Z132" s="587"/>
      <c r="AA132" s="587"/>
      <c r="AB132" s="587"/>
      <c r="AC132" s="587"/>
      <c r="AD132" s="52" t="str">
        <f t="shared" ca="1" si="3"/>
        <v>En proceso</v>
      </c>
      <c r="AE132" s="588" t="str">
        <f t="shared" si="4"/>
        <v xml:space="preserve"> </v>
      </c>
    </row>
    <row r="133" spans="1:31" ht="42" customHeight="1" x14ac:dyDescent="0.2">
      <c r="A133" s="597">
        <v>127</v>
      </c>
      <c r="B133" s="51" t="s">
        <v>574</v>
      </c>
      <c r="C133" s="51" t="s">
        <v>1130</v>
      </c>
      <c r="D133" s="50">
        <v>103197</v>
      </c>
      <c r="E133" s="64" t="e">
        <f>Consolidado!#REF!</f>
        <v>#REF!</v>
      </c>
      <c r="F133" s="64" t="e">
        <f>Consolidado!#REF!</f>
        <v>#REF!</v>
      </c>
      <c r="G133" s="64" t="e">
        <f>Consolidado!#REF!</f>
        <v>#REF!</v>
      </c>
      <c r="H133" s="65" t="e">
        <f t="shared" si="0"/>
        <v>#REF!</v>
      </c>
      <c r="I133" s="68" t="e">
        <f t="shared" si="1"/>
        <v>#REF!</v>
      </c>
      <c r="J133" s="68" t="e">
        <f t="shared" si="2"/>
        <v>#REF!</v>
      </c>
      <c r="K133" s="587"/>
      <c r="L133" s="587"/>
      <c r="M133" s="587"/>
      <c r="N133" s="587"/>
      <c r="O133" s="587"/>
      <c r="P133" s="587"/>
      <c r="Q133" s="587"/>
      <c r="R133" s="587"/>
      <c r="S133" s="587"/>
      <c r="T133" s="587"/>
      <c r="U133" s="587"/>
      <c r="V133" s="587"/>
      <c r="W133" s="587"/>
      <c r="X133" s="587"/>
      <c r="Y133" s="587"/>
      <c r="Z133" s="587"/>
      <c r="AA133" s="587"/>
      <c r="AB133" s="587"/>
      <c r="AC133" s="587"/>
      <c r="AD133" s="52" t="e">
        <f t="shared" ca="1" si="3"/>
        <v>#REF!</v>
      </c>
      <c r="AE133" s="588" t="str">
        <f t="shared" si="4"/>
        <v xml:space="preserve"> </v>
      </c>
    </row>
    <row r="134" spans="1:31" ht="42" customHeight="1" x14ac:dyDescent="0.2">
      <c r="A134" s="597">
        <v>128</v>
      </c>
      <c r="B134" s="51" t="s">
        <v>574</v>
      </c>
      <c r="C134" s="51" t="s">
        <v>1021</v>
      </c>
      <c r="D134" s="50">
        <v>106623</v>
      </c>
      <c r="E134" s="64" t="str">
        <f>Consolidado!$AU$91</f>
        <v>N/A</v>
      </c>
      <c r="F134" s="63" t="str">
        <f>Consolidado!$AV$91</f>
        <v>N/A</v>
      </c>
      <c r="G134" s="64" t="str">
        <f>Consolidado!$AW$91</f>
        <v>N/A</v>
      </c>
      <c r="H134" s="65" t="e">
        <f t="shared" si="0"/>
        <v>#VALUE!</v>
      </c>
      <c r="I134" s="68" t="e">
        <f t="shared" si="1"/>
        <v>#VALUE!</v>
      </c>
      <c r="J134" s="68" t="e">
        <f t="shared" si="2"/>
        <v>#VALUE!</v>
      </c>
      <c r="K134" s="587"/>
      <c r="L134" s="587"/>
      <c r="M134" s="587"/>
      <c r="N134" s="587"/>
      <c r="O134" s="587"/>
      <c r="P134" s="587"/>
      <c r="Q134" s="587"/>
      <c r="R134" s="587"/>
      <c r="S134" s="587"/>
      <c r="T134" s="587"/>
      <c r="U134" s="587"/>
      <c r="V134" s="587"/>
      <c r="W134" s="587"/>
      <c r="X134" s="587"/>
      <c r="Y134" s="587"/>
      <c r="Z134" s="587"/>
      <c r="AA134" s="587"/>
      <c r="AB134" s="587"/>
      <c r="AC134" s="587"/>
      <c r="AD134" s="52" t="e">
        <f t="shared" ca="1" si="3"/>
        <v>#VALUE!</v>
      </c>
      <c r="AE134" s="588" t="str">
        <f t="shared" si="4"/>
        <v xml:space="preserve"> </v>
      </c>
    </row>
    <row r="135" spans="1:31" ht="42" customHeight="1" x14ac:dyDescent="0.2">
      <c r="A135" s="597">
        <v>129</v>
      </c>
      <c r="B135" s="51" t="s">
        <v>574</v>
      </c>
      <c r="C135" s="51" t="s">
        <v>1131</v>
      </c>
      <c r="D135" s="50">
        <v>103335</v>
      </c>
      <c r="E135" s="64" t="e">
        <f>Consolidado!#REF!</f>
        <v>#REF!</v>
      </c>
      <c r="F135" s="64" t="e">
        <f>Consolidado!#REF!</f>
        <v>#REF!</v>
      </c>
      <c r="G135" s="64" t="e">
        <f>Consolidado!#REF!</f>
        <v>#REF!</v>
      </c>
      <c r="H135" s="65" t="e">
        <f t="shared" si="0"/>
        <v>#REF!</v>
      </c>
      <c r="I135" s="68" t="e">
        <f t="shared" si="1"/>
        <v>#REF!</v>
      </c>
      <c r="J135" s="68" t="e">
        <f t="shared" si="2"/>
        <v>#REF!</v>
      </c>
      <c r="K135" s="587"/>
      <c r="L135" s="587"/>
      <c r="M135" s="587"/>
      <c r="N135" s="587"/>
      <c r="O135" s="587"/>
      <c r="P135" s="587"/>
      <c r="Q135" s="587"/>
      <c r="R135" s="587"/>
      <c r="S135" s="587"/>
      <c r="T135" s="587"/>
      <c r="U135" s="587"/>
      <c r="V135" s="587"/>
      <c r="W135" s="587"/>
      <c r="X135" s="587"/>
      <c r="Y135" s="587"/>
      <c r="Z135" s="587"/>
      <c r="AA135" s="587"/>
      <c r="AB135" s="587"/>
      <c r="AC135" s="587"/>
      <c r="AD135" s="52" t="e">
        <f t="shared" ca="1" si="3"/>
        <v>#REF!</v>
      </c>
      <c r="AE135" s="588" t="str">
        <f t="shared" si="4"/>
        <v xml:space="preserve"> </v>
      </c>
    </row>
    <row r="136" spans="1:31" ht="42" customHeight="1" x14ac:dyDescent="0.2">
      <c r="A136" s="597">
        <v>130</v>
      </c>
      <c r="B136" s="51" t="s">
        <v>574</v>
      </c>
      <c r="C136" s="51" t="s">
        <v>1132</v>
      </c>
      <c r="D136" s="72">
        <v>103480</v>
      </c>
      <c r="E136" s="74" t="e">
        <f>Consolidado!#REF!</f>
        <v>#REF!</v>
      </c>
      <c r="F136" s="74" t="e">
        <f>Consolidado!#REF!</f>
        <v>#REF!</v>
      </c>
      <c r="G136" s="74" t="e">
        <f>Consolidado!#REF!</f>
        <v>#REF!</v>
      </c>
      <c r="H136" s="65" t="e">
        <f t="shared" si="0"/>
        <v>#REF!</v>
      </c>
      <c r="I136" s="68" t="e">
        <f t="shared" si="1"/>
        <v>#REF!</v>
      </c>
      <c r="J136" s="68" t="e">
        <f t="shared" si="2"/>
        <v>#REF!</v>
      </c>
      <c r="K136" s="587"/>
      <c r="L136" s="587"/>
      <c r="M136" s="587"/>
      <c r="N136" s="587"/>
      <c r="O136" s="587"/>
      <c r="P136" s="587"/>
      <c r="Q136" s="587"/>
      <c r="R136" s="587"/>
      <c r="S136" s="587"/>
      <c r="T136" s="587"/>
      <c r="U136" s="587"/>
      <c r="V136" s="587"/>
      <c r="W136" s="587"/>
      <c r="X136" s="587"/>
      <c r="Y136" s="587"/>
      <c r="Z136" s="587"/>
      <c r="AA136" s="587"/>
      <c r="AB136" s="587"/>
      <c r="AC136" s="587"/>
      <c r="AD136" s="52" t="e">
        <f t="shared" ca="1" si="3"/>
        <v>#REF!</v>
      </c>
      <c r="AE136" s="588" t="str">
        <f t="shared" si="4"/>
        <v xml:space="preserve"> </v>
      </c>
    </row>
    <row r="137" spans="1:31" ht="42" customHeight="1" x14ac:dyDescent="0.2">
      <c r="A137" s="597">
        <v>131</v>
      </c>
      <c r="B137" s="51" t="s">
        <v>574</v>
      </c>
      <c r="C137" s="51" t="s">
        <v>1133</v>
      </c>
      <c r="D137" s="50">
        <v>103513</v>
      </c>
      <c r="E137" s="74" t="e">
        <f>Consolidado!#REF!</f>
        <v>#REF!</v>
      </c>
      <c r="F137" s="74" t="e">
        <f>Consolidado!#REF!</f>
        <v>#REF!</v>
      </c>
      <c r="G137" s="74" t="e">
        <f>Consolidado!#REF!</f>
        <v>#REF!</v>
      </c>
      <c r="H137" s="65" t="e">
        <f t="shared" si="0"/>
        <v>#REF!</v>
      </c>
      <c r="I137" s="68" t="e">
        <f t="shared" si="1"/>
        <v>#REF!</v>
      </c>
      <c r="J137" s="68" t="e">
        <f t="shared" si="2"/>
        <v>#REF!</v>
      </c>
      <c r="K137" s="587"/>
      <c r="L137" s="587"/>
      <c r="M137" s="587"/>
      <c r="N137" s="587"/>
      <c r="O137" s="587"/>
      <c r="P137" s="587"/>
      <c r="Q137" s="587"/>
      <c r="R137" s="587"/>
      <c r="S137" s="587"/>
      <c r="T137" s="587"/>
      <c r="U137" s="587"/>
      <c r="V137" s="587"/>
      <c r="W137" s="587"/>
      <c r="X137" s="587"/>
      <c r="Y137" s="587"/>
      <c r="Z137" s="587"/>
      <c r="AA137" s="587"/>
      <c r="AB137" s="587"/>
      <c r="AC137" s="587"/>
      <c r="AD137" s="52" t="e">
        <f t="shared" ca="1" si="3"/>
        <v>#REF!</v>
      </c>
      <c r="AE137" s="588" t="str">
        <f t="shared" si="4"/>
        <v xml:space="preserve"> </v>
      </c>
    </row>
    <row r="138" spans="1:31" ht="42" customHeight="1" x14ac:dyDescent="0.2">
      <c r="A138" s="597">
        <v>132</v>
      </c>
      <c r="B138" s="51" t="s">
        <v>574</v>
      </c>
      <c r="C138" s="51" t="s">
        <v>596</v>
      </c>
      <c r="D138" s="50">
        <v>103788</v>
      </c>
      <c r="E138" s="64" t="str">
        <f>Consolidado!$AU$92</f>
        <v>N/A</v>
      </c>
      <c r="F138" s="63" t="str">
        <f>Consolidado!$AV$92</f>
        <v>N/A</v>
      </c>
      <c r="G138" s="64" t="str">
        <f>Consolidado!$AW$92</f>
        <v>N/A</v>
      </c>
      <c r="H138" s="65" t="e">
        <f t="shared" si="0"/>
        <v>#VALUE!</v>
      </c>
      <c r="I138" s="68" t="e">
        <f t="shared" si="1"/>
        <v>#VALUE!</v>
      </c>
      <c r="J138" s="68" t="e">
        <f t="shared" si="2"/>
        <v>#VALUE!</v>
      </c>
      <c r="K138" s="587"/>
      <c r="L138" s="587"/>
      <c r="M138" s="587"/>
      <c r="N138" s="587"/>
      <c r="O138" s="587"/>
      <c r="P138" s="587"/>
      <c r="Q138" s="587"/>
      <c r="R138" s="587"/>
      <c r="S138" s="587"/>
      <c r="T138" s="587"/>
      <c r="U138" s="587"/>
      <c r="V138" s="587"/>
      <c r="W138" s="587"/>
      <c r="X138" s="587"/>
      <c r="Y138" s="587"/>
      <c r="Z138" s="587"/>
      <c r="AA138" s="587"/>
      <c r="AB138" s="587"/>
      <c r="AC138" s="587"/>
      <c r="AD138" s="52" t="e">
        <f t="shared" ca="1" si="3"/>
        <v>#VALUE!</v>
      </c>
      <c r="AE138" s="588" t="str">
        <f t="shared" si="4"/>
        <v xml:space="preserve"> </v>
      </c>
    </row>
    <row r="139" spans="1:31" ht="42" customHeight="1" x14ac:dyDescent="0.2">
      <c r="A139" s="597">
        <v>133</v>
      </c>
      <c r="B139" s="51" t="s">
        <v>574</v>
      </c>
      <c r="C139" s="51" t="s">
        <v>1134</v>
      </c>
      <c r="D139" s="50">
        <v>103789</v>
      </c>
      <c r="E139" s="64" t="e">
        <f>Consolidado!#REF!</f>
        <v>#REF!</v>
      </c>
      <c r="F139" s="64" t="e">
        <f>Consolidado!#REF!</f>
        <v>#REF!</v>
      </c>
      <c r="G139" s="64" t="e">
        <f>Consolidado!#REF!</f>
        <v>#REF!</v>
      </c>
      <c r="H139" s="65" t="e">
        <f t="shared" si="0"/>
        <v>#REF!</v>
      </c>
      <c r="I139" s="68" t="e">
        <f t="shared" si="1"/>
        <v>#REF!</v>
      </c>
      <c r="J139" s="68" t="e">
        <f t="shared" si="2"/>
        <v>#REF!</v>
      </c>
      <c r="K139" s="587"/>
      <c r="L139" s="587"/>
      <c r="M139" s="587"/>
      <c r="N139" s="587"/>
      <c r="O139" s="587"/>
      <c r="P139" s="587"/>
      <c r="Q139" s="587"/>
      <c r="R139" s="587"/>
      <c r="S139" s="587"/>
      <c r="T139" s="587"/>
      <c r="U139" s="587"/>
      <c r="V139" s="587"/>
      <c r="W139" s="587"/>
      <c r="X139" s="587"/>
      <c r="Y139" s="587"/>
      <c r="Z139" s="587"/>
      <c r="AA139" s="587"/>
      <c r="AB139" s="587"/>
      <c r="AC139" s="587"/>
      <c r="AD139" s="52" t="e">
        <f t="shared" ca="1" si="3"/>
        <v>#REF!</v>
      </c>
      <c r="AE139" s="588" t="str">
        <f t="shared" si="4"/>
        <v xml:space="preserve"> </v>
      </c>
    </row>
    <row r="140" spans="1:31" ht="42" customHeight="1" x14ac:dyDescent="0.2">
      <c r="A140" s="597">
        <v>134</v>
      </c>
      <c r="B140" s="51" t="s">
        <v>574</v>
      </c>
      <c r="C140" s="51" t="s">
        <v>1129</v>
      </c>
      <c r="D140" s="50">
        <v>104098</v>
      </c>
      <c r="E140" s="74" t="e">
        <f>Consolidado!#REF!</f>
        <v>#REF!</v>
      </c>
      <c r="F140" s="74" t="e">
        <f>Consolidado!#REF!</f>
        <v>#REF!</v>
      </c>
      <c r="G140" s="74" t="e">
        <f>Consolidado!#REF!</f>
        <v>#REF!</v>
      </c>
      <c r="H140" s="65" t="e">
        <f t="shared" si="0"/>
        <v>#REF!</v>
      </c>
      <c r="I140" s="68" t="e">
        <f t="shared" si="1"/>
        <v>#REF!</v>
      </c>
      <c r="J140" s="68" t="e">
        <f t="shared" si="2"/>
        <v>#REF!</v>
      </c>
      <c r="K140" s="587"/>
      <c r="L140" s="587"/>
      <c r="M140" s="587"/>
      <c r="N140" s="587"/>
      <c r="O140" s="587"/>
      <c r="P140" s="587"/>
      <c r="Q140" s="587"/>
      <c r="R140" s="587"/>
      <c r="S140" s="587"/>
      <c r="T140" s="587"/>
      <c r="U140" s="587"/>
      <c r="V140" s="587"/>
      <c r="W140" s="587"/>
      <c r="X140" s="587"/>
      <c r="Y140" s="587"/>
      <c r="Z140" s="587"/>
      <c r="AA140" s="587"/>
      <c r="AB140" s="587"/>
      <c r="AC140" s="587"/>
      <c r="AD140" s="52" t="e">
        <f t="shared" ca="1" si="3"/>
        <v>#REF!</v>
      </c>
      <c r="AE140" s="588" t="str">
        <f t="shared" si="4"/>
        <v xml:space="preserve"> </v>
      </c>
    </row>
    <row r="141" spans="1:31" ht="42" customHeight="1" x14ac:dyDescent="0.2">
      <c r="A141" s="597">
        <v>135</v>
      </c>
      <c r="B141" s="51" t="s">
        <v>574</v>
      </c>
      <c r="C141" s="51" t="s">
        <v>1135</v>
      </c>
      <c r="D141" s="50">
        <v>105221</v>
      </c>
      <c r="E141" s="74" t="e">
        <f>Consolidado!#REF!</f>
        <v>#REF!</v>
      </c>
      <c r="F141" s="74" t="e">
        <f>Consolidado!#REF!</f>
        <v>#REF!</v>
      </c>
      <c r="G141" s="74" t="e">
        <f>Consolidado!#REF!</f>
        <v>#REF!</v>
      </c>
      <c r="H141" s="65" t="e">
        <f t="shared" si="0"/>
        <v>#REF!</v>
      </c>
      <c r="I141" s="68" t="e">
        <f t="shared" si="1"/>
        <v>#REF!</v>
      </c>
      <c r="J141" s="68" t="e">
        <f t="shared" si="2"/>
        <v>#REF!</v>
      </c>
      <c r="K141" s="587"/>
      <c r="L141" s="587"/>
      <c r="M141" s="587"/>
      <c r="N141" s="587"/>
      <c r="O141" s="587"/>
      <c r="P141" s="587"/>
      <c r="Q141" s="587"/>
      <c r="R141" s="587"/>
      <c r="S141" s="587"/>
      <c r="T141" s="587"/>
      <c r="U141" s="587"/>
      <c r="V141" s="587"/>
      <c r="W141" s="587"/>
      <c r="X141" s="587"/>
      <c r="Y141" s="587"/>
      <c r="Z141" s="587"/>
      <c r="AA141" s="587"/>
      <c r="AB141" s="587"/>
      <c r="AC141" s="587"/>
      <c r="AD141" s="52" t="e">
        <f t="shared" ca="1" si="3"/>
        <v>#REF!</v>
      </c>
      <c r="AE141" s="588" t="str">
        <f t="shared" si="4"/>
        <v xml:space="preserve"> </v>
      </c>
    </row>
    <row r="142" spans="1:31" ht="42" customHeight="1" x14ac:dyDescent="0.2">
      <c r="A142" s="597">
        <v>136</v>
      </c>
      <c r="B142" s="51" t="s">
        <v>574</v>
      </c>
      <c r="C142" s="51" t="s">
        <v>1136</v>
      </c>
      <c r="D142" s="50">
        <v>105566</v>
      </c>
      <c r="E142" s="74" t="e">
        <f>Consolidado!#REF!</f>
        <v>#REF!</v>
      </c>
      <c r="F142" s="74" t="e">
        <f>Consolidado!#REF!</f>
        <v>#REF!</v>
      </c>
      <c r="G142" s="74" t="e">
        <f>Consolidado!#REF!</f>
        <v>#REF!</v>
      </c>
      <c r="H142" s="65" t="e">
        <f t="shared" si="0"/>
        <v>#REF!</v>
      </c>
      <c r="I142" s="68" t="e">
        <f t="shared" si="1"/>
        <v>#REF!</v>
      </c>
      <c r="J142" s="68" t="e">
        <f t="shared" si="2"/>
        <v>#REF!</v>
      </c>
      <c r="K142" s="587"/>
      <c r="L142" s="587"/>
      <c r="M142" s="587"/>
      <c r="N142" s="587"/>
      <c r="O142" s="587"/>
      <c r="P142" s="587"/>
      <c r="Q142" s="587"/>
      <c r="R142" s="587"/>
      <c r="S142" s="587"/>
      <c r="T142" s="587"/>
      <c r="U142" s="587"/>
      <c r="V142" s="587"/>
      <c r="W142" s="587"/>
      <c r="X142" s="587"/>
      <c r="Y142" s="587"/>
      <c r="Z142" s="587"/>
      <c r="AA142" s="587"/>
      <c r="AB142" s="587"/>
      <c r="AC142" s="587"/>
      <c r="AD142" s="52" t="e">
        <f t="shared" ca="1" si="3"/>
        <v>#REF!</v>
      </c>
      <c r="AE142" s="588" t="str">
        <f t="shared" si="4"/>
        <v xml:space="preserve"> </v>
      </c>
    </row>
    <row r="143" spans="1:31" ht="42" customHeight="1" x14ac:dyDescent="0.2">
      <c r="A143" s="597">
        <v>137</v>
      </c>
      <c r="B143" s="51" t="s">
        <v>574</v>
      </c>
      <c r="C143" s="51" t="s">
        <v>1137</v>
      </c>
      <c r="D143" s="50">
        <v>105571</v>
      </c>
      <c r="E143" s="74" t="e">
        <f>Consolidado!#REF!</f>
        <v>#REF!</v>
      </c>
      <c r="F143" s="74" t="e">
        <f>Consolidado!#REF!</f>
        <v>#REF!</v>
      </c>
      <c r="G143" s="74" t="e">
        <f>Consolidado!#REF!</f>
        <v>#REF!</v>
      </c>
      <c r="H143" s="65" t="e">
        <f t="shared" si="0"/>
        <v>#REF!</v>
      </c>
      <c r="I143" s="68" t="e">
        <f t="shared" si="1"/>
        <v>#REF!</v>
      </c>
      <c r="J143" s="68" t="e">
        <f t="shared" si="2"/>
        <v>#REF!</v>
      </c>
      <c r="K143" s="587"/>
      <c r="L143" s="587"/>
      <c r="M143" s="587"/>
      <c r="N143" s="587"/>
      <c r="O143" s="587"/>
      <c r="P143" s="587"/>
      <c r="Q143" s="587"/>
      <c r="R143" s="587"/>
      <c r="S143" s="587"/>
      <c r="T143" s="587"/>
      <c r="U143" s="587"/>
      <c r="V143" s="587"/>
      <c r="W143" s="587"/>
      <c r="X143" s="587"/>
      <c r="Y143" s="587"/>
      <c r="Z143" s="587"/>
      <c r="AA143" s="587"/>
      <c r="AB143" s="587"/>
      <c r="AC143" s="587"/>
      <c r="AD143" s="52" t="e">
        <f t="shared" ca="1" si="3"/>
        <v>#REF!</v>
      </c>
      <c r="AE143" s="588" t="str">
        <f t="shared" si="4"/>
        <v xml:space="preserve"> </v>
      </c>
    </row>
    <row r="144" spans="1:31" ht="42" customHeight="1" x14ac:dyDescent="0.2">
      <c r="A144" s="598">
        <v>138</v>
      </c>
      <c r="B144" s="51" t="s">
        <v>609</v>
      </c>
      <c r="C144" s="51" t="s">
        <v>657</v>
      </c>
      <c r="D144" s="50">
        <v>222</v>
      </c>
      <c r="E144" s="74" t="str">
        <f>Consolidado!$AU$94</f>
        <v>N/A</v>
      </c>
      <c r="F144" s="68" t="str">
        <f>Consolidado!$AV$94</f>
        <v>N/A</v>
      </c>
      <c r="G144" s="74" t="str">
        <f>Consolidado!$AW$94</f>
        <v>N/A</v>
      </c>
      <c r="H144" s="65" t="e">
        <f t="shared" si="0"/>
        <v>#VALUE!</v>
      </c>
      <c r="I144" s="68" t="e">
        <f t="shared" si="1"/>
        <v>#VALUE!</v>
      </c>
      <c r="J144" s="68" t="e">
        <f t="shared" si="2"/>
        <v>#VALUE!</v>
      </c>
      <c r="K144" s="587"/>
      <c r="L144" s="587"/>
      <c r="M144" s="587"/>
      <c r="N144" s="587"/>
      <c r="O144" s="587"/>
      <c r="P144" s="587"/>
      <c r="Q144" s="587"/>
      <c r="R144" s="587"/>
      <c r="S144" s="587"/>
      <c r="T144" s="587"/>
      <c r="U144" s="587"/>
      <c r="V144" s="587"/>
      <c r="W144" s="587"/>
      <c r="X144" s="587"/>
      <c r="Y144" s="587"/>
      <c r="Z144" s="587"/>
      <c r="AA144" s="587"/>
      <c r="AB144" s="587"/>
      <c r="AC144" s="587"/>
      <c r="AD144" s="52" t="e">
        <f t="shared" ca="1" si="3"/>
        <v>#VALUE!</v>
      </c>
      <c r="AE144" s="588" t="str">
        <f t="shared" si="4"/>
        <v xml:space="preserve"> </v>
      </c>
    </row>
    <row r="145" spans="1:31" ht="42" customHeight="1" x14ac:dyDescent="0.2">
      <c r="A145" s="598">
        <v>139</v>
      </c>
      <c r="B145" s="51" t="s">
        <v>609</v>
      </c>
      <c r="C145" s="51" t="s">
        <v>644</v>
      </c>
      <c r="D145" s="50">
        <v>236</v>
      </c>
      <c r="E145" s="368">
        <f>Consolidado!$AU$95</f>
        <v>0</v>
      </c>
      <c r="F145" s="59">
        <f>Consolidado!$AV$95</f>
        <v>0</v>
      </c>
      <c r="G145" s="74">
        <f>Consolidado!$AW$95</f>
        <v>0</v>
      </c>
      <c r="H145" s="65" t="e">
        <f t="shared" si="0"/>
        <v>#NUM!</v>
      </c>
      <c r="I145" s="68" t="e">
        <f t="shared" si="1"/>
        <v>#NUM!</v>
      </c>
      <c r="J145" s="68">
        <f t="shared" si="2"/>
        <v>0</v>
      </c>
      <c r="K145" s="587"/>
      <c r="L145" s="587"/>
      <c r="M145" s="573"/>
      <c r="N145" s="587"/>
      <c r="O145" s="587"/>
      <c r="P145" s="587"/>
      <c r="Q145" s="587"/>
      <c r="R145" s="587"/>
      <c r="S145" s="587"/>
      <c r="T145" s="587"/>
      <c r="U145" s="587"/>
      <c r="V145" s="587"/>
      <c r="W145" s="587"/>
      <c r="X145" s="587"/>
      <c r="Y145" s="587"/>
      <c r="Z145" s="587"/>
      <c r="AA145" s="587"/>
      <c r="AB145" s="587"/>
      <c r="AC145" s="587"/>
      <c r="AD145" s="52" t="str">
        <f t="shared" ca="1" si="3"/>
        <v>En proceso</v>
      </c>
      <c r="AE145" s="588" t="str">
        <f t="shared" si="4"/>
        <v xml:space="preserve"> </v>
      </c>
    </row>
    <row r="146" spans="1:31" ht="42" customHeight="1" x14ac:dyDescent="0.2">
      <c r="A146" s="598">
        <v>140</v>
      </c>
      <c r="B146" s="51" t="s">
        <v>609</v>
      </c>
      <c r="C146" s="51" t="s">
        <v>610</v>
      </c>
      <c r="D146" s="50">
        <v>246</v>
      </c>
      <c r="E146" s="64">
        <f>Consolidado!$AU$96</f>
        <v>0</v>
      </c>
      <c r="F146" s="63">
        <f>Consolidado!$AV$96</f>
        <v>0</v>
      </c>
      <c r="G146" s="64">
        <f>Consolidado!$AW$96</f>
        <v>0</v>
      </c>
      <c r="H146" s="65" t="e">
        <f t="shared" si="0"/>
        <v>#NUM!</v>
      </c>
      <c r="I146" s="68" t="e">
        <f t="shared" si="1"/>
        <v>#NUM!</v>
      </c>
      <c r="J146" s="68">
        <f t="shared" si="2"/>
        <v>0</v>
      </c>
      <c r="K146" s="587"/>
      <c r="L146" s="587"/>
      <c r="M146" s="587"/>
      <c r="N146" s="587"/>
      <c r="O146" s="587"/>
      <c r="P146" s="587"/>
      <c r="Q146" s="587"/>
      <c r="R146" s="587"/>
      <c r="S146" s="587"/>
      <c r="T146" s="587"/>
      <c r="U146" s="587"/>
      <c r="V146" s="587"/>
      <c r="W146" s="587"/>
      <c r="X146" s="587"/>
      <c r="Y146" s="587"/>
      <c r="Z146" s="587"/>
      <c r="AA146" s="587"/>
      <c r="AB146" s="587"/>
      <c r="AC146" s="587"/>
      <c r="AD146" s="52" t="str">
        <f t="shared" ca="1" si="3"/>
        <v>En proceso</v>
      </c>
      <c r="AE146" s="588" t="str">
        <f t="shared" si="4"/>
        <v xml:space="preserve"> </v>
      </c>
    </row>
    <row r="147" spans="1:31" ht="42" customHeight="1" x14ac:dyDescent="0.2">
      <c r="A147" s="598">
        <v>141</v>
      </c>
      <c r="B147" s="51" t="s">
        <v>609</v>
      </c>
      <c r="C147" s="51" t="s">
        <v>638</v>
      </c>
      <c r="D147" s="50">
        <v>4730</v>
      </c>
      <c r="E147" s="64">
        <f>Consolidado!$AU$97</f>
        <v>0</v>
      </c>
      <c r="F147" s="63">
        <f>Consolidado!$AV$97</f>
        <v>0</v>
      </c>
      <c r="G147" s="64">
        <f>Consolidado!$AW$97</f>
        <v>0</v>
      </c>
      <c r="H147" s="65" t="e">
        <f t="shared" si="0"/>
        <v>#NUM!</v>
      </c>
      <c r="I147" s="68" t="e">
        <f t="shared" si="1"/>
        <v>#NUM!</v>
      </c>
      <c r="J147" s="68">
        <f t="shared" si="2"/>
        <v>0</v>
      </c>
      <c r="K147" s="587"/>
      <c r="L147" s="587"/>
      <c r="M147" s="587"/>
      <c r="N147" s="587"/>
      <c r="O147" s="587"/>
      <c r="P147" s="587"/>
      <c r="Q147" s="587"/>
      <c r="R147" s="587"/>
      <c r="S147" s="587"/>
      <c r="T147" s="587"/>
      <c r="U147" s="587"/>
      <c r="V147" s="587"/>
      <c r="W147" s="587"/>
      <c r="X147" s="587"/>
      <c r="Y147" s="587"/>
      <c r="Z147" s="587"/>
      <c r="AA147" s="587"/>
      <c r="AB147" s="587"/>
      <c r="AC147" s="587"/>
      <c r="AD147" s="52" t="str">
        <f t="shared" ca="1" si="3"/>
        <v>En proceso</v>
      </c>
      <c r="AE147" s="588" t="str">
        <f t="shared" si="4"/>
        <v xml:space="preserve"> </v>
      </c>
    </row>
    <row r="148" spans="1:31" ht="42" customHeight="1" x14ac:dyDescent="0.2">
      <c r="A148" s="598">
        <v>142</v>
      </c>
      <c r="B148" s="51" t="s">
        <v>609</v>
      </c>
      <c r="C148" s="51" t="s">
        <v>627</v>
      </c>
      <c r="D148" s="50">
        <v>8704</v>
      </c>
      <c r="E148" s="74" t="str">
        <f>Consolidado!$AU$99</f>
        <v>N/A</v>
      </c>
      <c r="F148" s="68" t="str">
        <f>Consolidado!$AV$99</f>
        <v>N/A</v>
      </c>
      <c r="G148" s="74" t="str">
        <f>Consolidado!$AW$99</f>
        <v>N/A</v>
      </c>
      <c r="H148" s="65" t="e">
        <f t="shared" si="0"/>
        <v>#VALUE!</v>
      </c>
      <c r="I148" s="68" t="e">
        <f t="shared" si="1"/>
        <v>#VALUE!</v>
      </c>
      <c r="J148" s="68" t="e">
        <f t="shared" si="2"/>
        <v>#VALUE!</v>
      </c>
      <c r="K148" s="587"/>
      <c r="L148" s="587"/>
      <c r="M148" s="587"/>
      <c r="N148" s="587"/>
      <c r="O148" s="587"/>
      <c r="P148" s="587"/>
      <c r="Q148" s="587"/>
      <c r="R148" s="587"/>
      <c r="S148" s="587"/>
      <c r="T148" s="587"/>
      <c r="U148" s="587"/>
      <c r="V148" s="587"/>
      <c r="W148" s="587"/>
      <c r="X148" s="587"/>
      <c r="Y148" s="587"/>
      <c r="Z148" s="587"/>
      <c r="AA148" s="587"/>
      <c r="AB148" s="587"/>
      <c r="AC148" s="587"/>
      <c r="AD148" s="52" t="e">
        <f t="shared" ca="1" si="3"/>
        <v>#VALUE!</v>
      </c>
      <c r="AE148" s="588" t="str">
        <f t="shared" si="4"/>
        <v xml:space="preserve"> </v>
      </c>
    </row>
    <row r="149" spans="1:31" ht="42" customHeight="1" x14ac:dyDescent="0.2">
      <c r="A149" s="598">
        <v>143</v>
      </c>
      <c r="B149" s="51" t="s">
        <v>609</v>
      </c>
      <c r="C149" s="51" t="s">
        <v>1138</v>
      </c>
      <c r="D149" s="50">
        <v>9299</v>
      </c>
      <c r="E149" s="64" t="e">
        <f>Consolidado!#REF!</f>
        <v>#REF!</v>
      </c>
      <c r="F149" s="64" t="e">
        <f>Consolidado!#REF!</f>
        <v>#REF!</v>
      </c>
      <c r="G149" s="64" t="e">
        <f>Consolidado!#REF!</f>
        <v>#REF!</v>
      </c>
      <c r="H149" s="65" t="e">
        <f t="shared" si="0"/>
        <v>#REF!</v>
      </c>
      <c r="I149" s="68" t="e">
        <f t="shared" si="1"/>
        <v>#REF!</v>
      </c>
      <c r="J149" s="68" t="e">
        <f t="shared" si="2"/>
        <v>#REF!</v>
      </c>
      <c r="K149" s="587"/>
      <c r="L149" s="587"/>
      <c r="M149" s="587"/>
      <c r="N149" s="587"/>
      <c r="O149" s="587"/>
      <c r="P149" s="587"/>
      <c r="Q149" s="587"/>
      <c r="R149" s="587"/>
      <c r="S149" s="587"/>
      <c r="T149" s="587"/>
      <c r="U149" s="587"/>
      <c r="V149" s="587"/>
      <c r="W149" s="587"/>
      <c r="X149" s="587"/>
      <c r="Y149" s="587"/>
      <c r="Z149" s="587"/>
      <c r="AA149" s="587"/>
      <c r="AB149" s="587"/>
      <c r="AC149" s="587"/>
      <c r="AD149" s="52" t="e">
        <f t="shared" ca="1" si="3"/>
        <v>#REF!</v>
      </c>
      <c r="AE149" s="588" t="str">
        <f t="shared" si="4"/>
        <v xml:space="preserve"> </v>
      </c>
    </row>
    <row r="150" spans="1:31" ht="42" customHeight="1" x14ac:dyDescent="0.2">
      <c r="A150" s="598">
        <v>144</v>
      </c>
      <c r="B150" s="51" t="s">
        <v>609</v>
      </c>
      <c r="C150" s="51" t="s">
        <v>644</v>
      </c>
      <c r="D150" s="50">
        <v>102471</v>
      </c>
      <c r="E150" s="74" t="e">
        <f>Consolidado!#REF!</f>
        <v>#REF!</v>
      </c>
      <c r="F150" s="74" t="e">
        <f>Consolidado!#REF!</f>
        <v>#REF!</v>
      </c>
      <c r="G150" s="74" t="e">
        <f>Consolidado!#REF!</f>
        <v>#REF!</v>
      </c>
      <c r="H150" s="65" t="e">
        <f t="shared" si="0"/>
        <v>#REF!</v>
      </c>
      <c r="I150" s="68" t="e">
        <f t="shared" si="1"/>
        <v>#REF!</v>
      </c>
      <c r="J150" s="68" t="e">
        <f t="shared" si="2"/>
        <v>#REF!</v>
      </c>
      <c r="K150" s="587"/>
      <c r="L150" s="587"/>
      <c r="M150" s="587"/>
      <c r="N150" s="587"/>
      <c r="O150" s="587"/>
      <c r="P150" s="587"/>
      <c r="Q150" s="587"/>
      <c r="R150" s="587"/>
      <c r="S150" s="587"/>
      <c r="T150" s="587"/>
      <c r="U150" s="587"/>
      <c r="V150" s="587"/>
      <c r="W150" s="587"/>
      <c r="X150" s="587"/>
      <c r="Y150" s="587"/>
      <c r="Z150" s="587"/>
      <c r="AA150" s="587"/>
      <c r="AB150" s="587"/>
      <c r="AC150" s="587"/>
      <c r="AD150" s="52" t="e">
        <f t="shared" ca="1" si="3"/>
        <v>#REF!</v>
      </c>
      <c r="AE150" s="588" t="str">
        <f t="shared" si="4"/>
        <v xml:space="preserve"> </v>
      </c>
    </row>
    <row r="151" spans="1:31" ht="42" customHeight="1" x14ac:dyDescent="0.2">
      <c r="A151" s="598">
        <v>145</v>
      </c>
      <c r="B151" s="51" t="s">
        <v>609</v>
      </c>
      <c r="C151" s="193" t="s">
        <v>1139</v>
      </c>
      <c r="D151" s="50">
        <v>104524</v>
      </c>
      <c r="E151" s="74" t="e">
        <f>Consolidado!#REF!</f>
        <v>#REF!</v>
      </c>
      <c r="F151" s="74" t="e">
        <f>Consolidado!#REF!</f>
        <v>#REF!</v>
      </c>
      <c r="G151" s="74" t="e">
        <f>Consolidado!#REF!</f>
        <v>#REF!</v>
      </c>
      <c r="H151" s="65" t="e">
        <f t="shared" si="0"/>
        <v>#REF!</v>
      </c>
      <c r="I151" s="68" t="e">
        <f t="shared" si="1"/>
        <v>#REF!</v>
      </c>
      <c r="J151" s="68" t="e">
        <f t="shared" si="2"/>
        <v>#REF!</v>
      </c>
      <c r="K151" s="599"/>
      <c r="L151" s="599"/>
      <c r="M151" s="599"/>
      <c r="N151" s="599"/>
      <c r="O151" s="599"/>
      <c r="P151" s="599"/>
      <c r="Q151" s="599"/>
      <c r="R151" s="599"/>
      <c r="S151" s="599"/>
      <c r="T151" s="599"/>
      <c r="U151" s="599"/>
      <c r="V151" s="599"/>
      <c r="W151" s="599"/>
      <c r="X151" s="599"/>
      <c r="Y151" s="599"/>
      <c r="Z151" s="599"/>
      <c r="AA151" s="599"/>
      <c r="AB151" s="599"/>
      <c r="AC151" s="599"/>
      <c r="AD151" s="52" t="e">
        <f t="shared" ca="1" si="3"/>
        <v>#REF!</v>
      </c>
      <c r="AE151" s="588" t="str">
        <f t="shared" si="4"/>
        <v xml:space="preserve"> </v>
      </c>
    </row>
    <row r="152" spans="1:31" ht="42" customHeight="1" x14ac:dyDescent="0.2">
      <c r="A152" s="598">
        <v>146</v>
      </c>
      <c r="B152" s="51" t="s">
        <v>609</v>
      </c>
      <c r="C152" s="51" t="s">
        <v>665</v>
      </c>
      <c r="D152" s="50">
        <v>104525</v>
      </c>
      <c r="E152" s="74">
        <f>Consolidado!$AU$101</f>
        <v>0</v>
      </c>
      <c r="F152" s="68">
        <f>Consolidado!$AV$101</f>
        <v>0</v>
      </c>
      <c r="G152" s="74">
        <f>Consolidado!$AW$101</f>
        <v>0</v>
      </c>
      <c r="H152" s="65" t="e">
        <f t="shared" si="0"/>
        <v>#NUM!</v>
      </c>
      <c r="I152" s="68" t="e">
        <f t="shared" si="1"/>
        <v>#NUM!</v>
      </c>
      <c r="J152" s="68">
        <f t="shared" si="2"/>
        <v>0</v>
      </c>
      <c r="K152" s="587"/>
      <c r="L152" s="587"/>
      <c r="M152" s="587"/>
      <c r="N152" s="587"/>
      <c r="O152" s="587"/>
      <c r="P152" s="587"/>
      <c r="Q152" s="587"/>
      <c r="R152" s="587"/>
      <c r="S152" s="587"/>
      <c r="T152" s="587"/>
      <c r="U152" s="587"/>
      <c r="V152" s="587"/>
      <c r="W152" s="587"/>
      <c r="X152" s="587"/>
      <c r="Y152" s="587"/>
      <c r="Z152" s="587"/>
      <c r="AA152" s="587"/>
      <c r="AB152" s="587"/>
      <c r="AC152" s="587"/>
      <c r="AD152" s="52" t="str">
        <f t="shared" ca="1" si="3"/>
        <v>En proceso</v>
      </c>
      <c r="AE152" s="588" t="str">
        <f t="shared" si="4"/>
        <v xml:space="preserve"> </v>
      </c>
    </row>
    <row r="153" spans="1:31" ht="42" customHeight="1" x14ac:dyDescent="0.2">
      <c r="A153" s="598">
        <v>147</v>
      </c>
      <c r="B153" s="51" t="s">
        <v>609</v>
      </c>
      <c r="C153" s="51" t="s">
        <v>648</v>
      </c>
      <c r="D153" s="50">
        <v>104528</v>
      </c>
      <c r="E153" s="74">
        <f>Consolidado!$AU$102</f>
        <v>0</v>
      </c>
      <c r="F153" s="68">
        <f>Consolidado!$AV$102</f>
        <v>0</v>
      </c>
      <c r="G153" s="74">
        <f>Consolidado!$AW$102</f>
        <v>0</v>
      </c>
      <c r="H153" s="65" t="e">
        <f t="shared" si="0"/>
        <v>#NUM!</v>
      </c>
      <c r="I153" s="68" t="e">
        <f t="shared" si="1"/>
        <v>#NUM!</v>
      </c>
      <c r="J153" s="68">
        <f t="shared" si="2"/>
        <v>0</v>
      </c>
      <c r="K153" s="587"/>
      <c r="L153" s="587"/>
      <c r="M153" s="587"/>
      <c r="N153" s="587"/>
      <c r="O153" s="587"/>
      <c r="P153" s="587"/>
      <c r="Q153" s="587"/>
      <c r="R153" s="587"/>
      <c r="S153" s="587"/>
      <c r="T153" s="587"/>
      <c r="U153" s="587"/>
      <c r="V153" s="587"/>
      <c r="W153" s="587"/>
      <c r="X153" s="587"/>
      <c r="Y153" s="587"/>
      <c r="Z153" s="587"/>
      <c r="AA153" s="587"/>
      <c r="AB153" s="587"/>
      <c r="AC153" s="587"/>
      <c r="AD153" s="52" t="str">
        <f t="shared" ca="1" si="3"/>
        <v>En proceso</v>
      </c>
      <c r="AE153" s="588" t="str">
        <f t="shared" si="4"/>
        <v xml:space="preserve"> </v>
      </c>
    </row>
    <row r="154" spans="1:31" ht="42" customHeight="1" x14ac:dyDescent="0.2">
      <c r="A154" s="598">
        <v>148</v>
      </c>
      <c r="B154" s="51" t="s">
        <v>609</v>
      </c>
      <c r="C154" s="181" t="s">
        <v>1078</v>
      </c>
      <c r="D154" s="72">
        <v>104611</v>
      </c>
      <c r="E154" s="74">
        <f>Consolidado!$AU$103</f>
        <v>0</v>
      </c>
      <c r="F154" s="68">
        <f>Consolidado!$AV$103</f>
        <v>0</v>
      </c>
      <c r="G154" s="74">
        <f>Consolidado!$AW$103</f>
        <v>0</v>
      </c>
      <c r="H154" s="65" t="e">
        <f t="shared" si="0"/>
        <v>#NUM!</v>
      </c>
      <c r="I154" s="68" t="e">
        <f t="shared" si="1"/>
        <v>#NUM!</v>
      </c>
      <c r="J154" s="68">
        <f t="shared" si="2"/>
        <v>0</v>
      </c>
      <c r="K154" s="587"/>
      <c r="L154" s="587"/>
      <c r="M154" s="587"/>
      <c r="N154" s="587"/>
      <c r="O154" s="587"/>
      <c r="P154" s="587"/>
      <c r="Q154" s="587"/>
      <c r="R154" s="587"/>
      <c r="S154" s="587"/>
      <c r="T154" s="587"/>
      <c r="U154" s="587"/>
      <c r="V154" s="587"/>
      <c r="W154" s="587"/>
      <c r="X154" s="587"/>
      <c r="Y154" s="587"/>
      <c r="Z154" s="587"/>
      <c r="AA154" s="587"/>
      <c r="AB154" s="587"/>
      <c r="AC154" s="587"/>
      <c r="AD154" s="52" t="str">
        <f t="shared" ca="1" si="3"/>
        <v>En proceso</v>
      </c>
      <c r="AE154" s="588" t="str">
        <f t="shared" si="4"/>
        <v xml:space="preserve"> </v>
      </c>
    </row>
    <row r="155" spans="1:31" ht="42" customHeight="1" x14ac:dyDescent="0.2">
      <c r="A155" s="598">
        <v>149</v>
      </c>
      <c r="B155" s="51" t="s">
        <v>609</v>
      </c>
      <c r="C155" s="181" t="s">
        <v>673</v>
      </c>
      <c r="D155" s="50">
        <v>105455</v>
      </c>
      <c r="E155" s="74">
        <f>Consolidado!$AU$104</f>
        <v>0</v>
      </c>
      <c r="F155" s="68">
        <f>Consolidado!$AV$104</f>
        <v>0</v>
      </c>
      <c r="G155" s="74">
        <f>Consolidado!$AW$104</f>
        <v>0</v>
      </c>
      <c r="H155" s="65" t="e">
        <f t="shared" si="0"/>
        <v>#NUM!</v>
      </c>
      <c r="I155" s="68" t="e">
        <f t="shared" si="1"/>
        <v>#NUM!</v>
      </c>
      <c r="J155" s="68">
        <f t="shared" si="2"/>
        <v>0</v>
      </c>
      <c r="K155" s="587"/>
      <c r="L155" s="587"/>
      <c r="M155" s="587"/>
      <c r="N155" s="587"/>
      <c r="O155" s="587"/>
      <c r="P155" s="587"/>
      <c r="Q155" s="587"/>
      <c r="R155" s="587"/>
      <c r="S155" s="587"/>
      <c r="T155" s="587"/>
      <c r="U155" s="587"/>
      <c r="V155" s="587"/>
      <c r="W155" s="587"/>
      <c r="X155" s="587"/>
      <c r="Y155" s="587"/>
      <c r="Z155" s="587"/>
      <c r="AA155" s="587"/>
      <c r="AB155" s="587"/>
      <c r="AC155" s="587"/>
      <c r="AD155" s="52" t="str">
        <f t="shared" ca="1" si="3"/>
        <v>En proceso</v>
      </c>
      <c r="AE155" s="588" t="str">
        <f t="shared" si="4"/>
        <v xml:space="preserve"> </v>
      </c>
    </row>
    <row r="156" spans="1:31" ht="42" customHeight="1" x14ac:dyDescent="0.2">
      <c r="A156" s="598">
        <v>150</v>
      </c>
      <c r="B156" s="51" t="s">
        <v>609</v>
      </c>
      <c r="C156" s="181" t="s">
        <v>623</v>
      </c>
      <c r="D156" s="50">
        <v>109143</v>
      </c>
      <c r="E156" s="74">
        <f>+Consolidado!$AU$105</f>
        <v>0</v>
      </c>
      <c r="F156" s="68">
        <f>+Consolidado!$AV$105</f>
        <v>0</v>
      </c>
      <c r="G156" s="74">
        <f>+Consolidado!$AW$105</f>
        <v>0</v>
      </c>
      <c r="H156" s="65" t="e">
        <f t="shared" si="0"/>
        <v>#NUM!</v>
      </c>
      <c r="I156" s="68" t="e">
        <f t="shared" si="1"/>
        <v>#NUM!</v>
      </c>
      <c r="J156" s="68">
        <f t="shared" si="2"/>
        <v>0</v>
      </c>
      <c r="K156" s="587"/>
      <c r="L156" s="587"/>
      <c r="M156" s="587"/>
      <c r="N156" s="587"/>
      <c r="O156" s="587"/>
      <c r="P156" s="587"/>
      <c r="Q156" s="587"/>
      <c r="R156" s="587"/>
      <c r="S156" s="587"/>
      <c r="T156" s="587"/>
      <c r="U156" s="587"/>
      <c r="V156" s="587"/>
      <c r="W156" s="587"/>
      <c r="X156" s="587"/>
      <c r="Y156" s="587"/>
      <c r="Z156" s="587"/>
      <c r="AA156" s="587"/>
      <c r="AB156" s="587"/>
      <c r="AC156" s="587"/>
      <c r="AD156" s="52"/>
      <c r="AE156" s="588"/>
    </row>
    <row r="157" spans="1:31" ht="42" customHeight="1" x14ac:dyDescent="0.2">
      <c r="A157" s="598">
        <v>151</v>
      </c>
      <c r="B157" s="51" t="s">
        <v>609</v>
      </c>
      <c r="C157" s="181" t="s">
        <v>618</v>
      </c>
      <c r="D157" s="50">
        <v>108684</v>
      </c>
      <c r="E157" s="74">
        <f>+Consolidado!AU106</f>
        <v>0</v>
      </c>
      <c r="F157" s="68">
        <f>+Consolidado!$AV$106</f>
        <v>0</v>
      </c>
      <c r="G157" s="74">
        <f>+Consolidado!$AW$106</f>
        <v>0</v>
      </c>
      <c r="H157" s="65" t="e">
        <f t="shared" si="0"/>
        <v>#NUM!</v>
      </c>
      <c r="I157" s="68" t="e">
        <f t="shared" si="1"/>
        <v>#NUM!</v>
      </c>
      <c r="J157" s="68">
        <f t="shared" si="2"/>
        <v>0</v>
      </c>
      <c r="K157" s="587"/>
      <c r="L157" s="587"/>
      <c r="M157" s="587"/>
      <c r="N157" s="587"/>
      <c r="O157" s="587"/>
      <c r="P157" s="587"/>
      <c r="Q157" s="587"/>
      <c r="R157" s="587"/>
      <c r="S157" s="587"/>
      <c r="T157" s="587"/>
      <c r="U157" s="587"/>
      <c r="V157" s="587"/>
      <c r="W157" s="587"/>
      <c r="X157" s="587"/>
      <c r="Y157" s="587"/>
      <c r="Z157" s="587"/>
      <c r="AA157" s="587"/>
      <c r="AB157" s="587"/>
      <c r="AC157" s="587"/>
      <c r="AD157" s="52"/>
      <c r="AE157" s="588"/>
    </row>
    <row r="158" spans="1:31" ht="42" customHeight="1" x14ac:dyDescent="0.2">
      <c r="A158" s="598">
        <v>152</v>
      </c>
      <c r="B158" s="51" t="s">
        <v>609</v>
      </c>
      <c r="C158" s="181" t="s">
        <v>677</v>
      </c>
      <c r="D158" s="50">
        <v>105480</v>
      </c>
      <c r="E158" s="64" t="e">
        <f>Consolidado!#REF!</f>
        <v>#REF!</v>
      </c>
      <c r="F158" s="64" t="e">
        <f>Consolidado!#REF!</f>
        <v>#REF!</v>
      </c>
      <c r="G158" s="64" t="e">
        <f>Consolidado!#REF!</f>
        <v>#REF!</v>
      </c>
      <c r="H158" s="65" t="e">
        <f t="shared" si="0"/>
        <v>#REF!</v>
      </c>
      <c r="I158" s="68" t="e">
        <f t="shared" si="1"/>
        <v>#REF!</v>
      </c>
      <c r="J158" s="68" t="e">
        <f t="shared" si="2"/>
        <v>#REF!</v>
      </c>
      <c r="K158" s="587"/>
      <c r="L158" s="587"/>
      <c r="M158" s="587"/>
      <c r="N158" s="587"/>
      <c r="O158" s="587"/>
      <c r="P158" s="587"/>
      <c r="Q158" s="587"/>
      <c r="R158" s="587"/>
      <c r="S158" s="587"/>
      <c r="T158" s="587"/>
      <c r="U158" s="587"/>
      <c r="V158" s="587"/>
      <c r="W158" s="587"/>
      <c r="X158" s="587"/>
      <c r="Y158" s="587"/>
      <c r="Z158" s="587"/>
      <c r="AA158" s="587"/>
      <c r="AB158" s="587"/>
      <c r="AC158" s="587"/>
      <c r="AD158" s="52" t="e">
        <f t="shared" ref="AD158:AD175" ca="1" si="8">IF(J158="N/A","N/A",IF(J158&gt;TODAY(),"Vigente","En proceso"))</f>
        <v>#REF!</v>
      </c>
      <c r="AE158" s="588" t="str">
        <f t="shared" ref="AE158:AE175" si="9">IF(K158="X",1,IF(L158="X",2,IF(M158="X",3,IF(N158="X",4,IF(O158="X",5,IF(P158="X",6,IF(Q158="X",7,IF(R158="X",8,IF(S158="X",9,IF(T158="X",10,IF(U158="X",11,IF(V158="X",12,IF(W158="X",13,IF(X158="X",14,IF(Y158="X",15,IF(Z158="X",16,IF(AA158="X",17,IF(AB158="X",18,IF(AC158="X",19," ")))))))))))))))))))</f>
        <v xml:space="preserve"> </v>
      </c>
    </row>
    <row r="159" spans="1:31" ht="42" customHeight="1" x14ac:dyDescent="0.2">
      <c r="A159" s="598">
        <v>153</v>
      </c>
      <c r="B159" s="51" t="s">
        <v>609</v>
      </c>
      <c r="C159" s="51" t="s">
        <v>686</v>
      </c>
      <c r="D159" s="50">
        <v>106111</v>
      </c>
      <c r="E159" s="368">
        <f>Consolidado!$AU$108</f>
        <v>8598</v>
      </c>
      <c r="F159" s="68">
        <f>Consolidado!$AV$108</f>
        <v>45071</v>
      </c>
      <c r="G159" s="74">
        <f>Consolidado!$AW$108</f>
        <v>6</v>
      </c>
      <c r="H159" s="65">
        <f t="shared" si="0"/>
        <v>46837</v>
      </c>
      <c r="I159" s="68">
        <f t="shared" si="1"/>
        <v>46898</v>
      </c>
      <c r="J159" s="68">
        <f t="shared" si="2"/>
        <v>47263</v>
      </c>
      <c r="K159" s="587"/>
      <c r="L159" s="587"/>
      <c r="M159" s="587"/>
      <c r="N159" s="587"/>
      <c r="O159" s="587"/>
      <c r="P159" s="587"/>
      <c r="Q159" s="587"/>
      <c r="R159" s="587"/>
      <c r="S159" s="587"/>
      <c r="T159" s="587"/>
      <c r="U159" s="587"/>
      <c r="V159" s="587"/>
      <c r="W159" s="587"/>
      <c r="X159" s="587"/>
      <c r="Y159" s="587"/>
      <c r="Z159" s="587"/>
      <c r="AA159" s="587"/>
      <c r="AB159" s="587"/>
      <c r="AC159" s="587"/>
      <c r="AD159" s="52" t="str">
        <f t="shared" ca="1" si="8"/>
        <v>Vigente</v>
      </c>
      <c r="AE159" s="588" t="str">
        <f t="shared" si="9"/>
        <v xml:space="preserve"> </v>
      </c>
    </row>
    <row r="160" spans="1:31" ht="42" customHeight="1" x14ac:dyDescent="0.2">
      <c r="A160" s="198">
        <v>154</v>
      </c>
      <c r="B160" s="51" t="s">
        <v>691</v>
      </c>
      <c r="C160" s="51" t="s">
        <v>720</v>
      </c>
      <c r="D160" s="50">
        <v>223</v>
      </c>
      <c r="E160" s="368" t="str">
        <f>Consolidado!$AU$110</f>
        <v>N/A</v>
      </c>
      <c r="F160" s="68" t="str">
        <f>Consolidado!$AV$110</f>
        <v>N/A</v>
      </c>
      <c r="G160" s="74" t="str">
        <f>Consolidado!$AW$110</f>
        <v>N/A</v>
      </c>
      <c r="H160" s="65" t="e">
        <f t="shared" si="0"/>
        <v>#VALUE!</v>
      </c>
      <c r="I160" s="68" t="e">
        <f t="shared" si="1"/>
        <v>#VALUE!</v>
      </c>
      <c r="J160" s="68" t="e">
        <f t="shared" si="2"/>
        <v>#VALUE!</v>
      </c>
      <c r="K160" s="587"/>
      <c r="L160" s="587"/>
      <c r="M160" s="587"/>
      <c r="N160" s="587"/>
      <c r="O160" s="587"/>
      <c r="P160" s="587"/>
      <c r="Q160" s="587"/>
      <c r="R160" s="587"/>
      <c r="S160" s="587"/>
      <c r="T160" s="587"/>
      <c r="U160" s="587"/>
      <c r="V160" s="587"/>
      <c r="W160" s="587"/>
      <c r="X160" s="587"/>
      <c r="Y160" s="587"/>
      <c r="Z160" s="587"/>
      <c r="AA160" s="587"/>
      <c r="AB160" s="587"/>
      <c r="AC160" s="587"/>
      <c r="AD160" s="52" t="e">
        <f t="shared" ca="1" si="8"/>
        <v>#VALUE!</v>
      </c>
      <c r="AE160" s="588" t="str">
        <f t="shared" si="9"/>
        <v xml:space="preserve"> </v>
      </c>
    </row>
    <row r="161" spans="1:31" ht="42" customHeight="1" x14ac:dyDescent="0.2">
      <c r="A161" s="198">
        <v>155</v>
      </c>
      <c r="B161" s="51" t="s">
        <v>691</v>
      </c>
      <c r="C161" s="51" t="s">
        <v>702</v>
      </c>
      <c r="D161" s="50">
        <v>238</v>
      </c>
      <c r="E161" s="368" t="str">
        <f>Consolidado!$AU$111</f>
        <v>N/A</v>
      </c>
      <c r="F161" s="68" t="str">
        <f>+Consolidado!AV111</f>
        <v>N/A</v>
      </c>
      <c r="G161" s="74" t="str">
        <f>Consolidado!$AW$111</f>
        <v>N/A</v>
      </c>
      <c r="H161" s="65" t="e">
        <f t="shared" si="0"/>
        <v>#VALUE!</v>
      </c>
      <c r="I161" s="68" t="e">
        <f t="shared" si="1"/>
        <v>#VALUE!</v>
      </c>
      <c r="J161" s="68" t="e">
        <f t="shared" si="2"/>
        <v>#VALUE!</v>
      </c>
      <c r="K161" s="587"/>
      <c r="L161" s="587"/>
      <c r="M161" s="587"/>
      <c r="N161" s="587"/>
      <c r="O161" s="587"/>
      <c r="P161" s="587"/>
      <c r="Q161" s="587"/>
      <c r="R161" s="587"/>
      <c r="S161" s="587"/>
      <c r="T161" s="587"/>
      <c r="U161" s="587"/>
      <c r="V161" s="587"/>
      <c r="W161" s="587"/>
      <c r="X161" s="587"/>
      <c r="Y161" s="596"/>
      <c r="Z161" s="587"/>
      <c r="AA161" s="587"/>
      <c r="AB161" s="587"/>
      <c r="AC161" s="587"/>
      <c r="AD161" s="52" t="e">
        <f t="shared" ca="1" si="8"/>
        <v>#VALUE!</v>
      </c>
      <c r="AE161" s="588" t="str">
        <f t="shared" si="9"/>
        <v xml:space="preserve"> </v>
      </c>
    </row>
    <row r="162" spans="1:31" ht="42" customHeight="1" x14ac:dyDescent="0.2">
      <c r="A162" s="198">
        <v>156</v>
      </c>
      <c r="B162" s="51" t="s">
        <v>691</v>
      </c>
      <c r="C162" s="51" t="s">
        <v>733</v>
      </c>
      <c r="D162" s="50">
        <v>252</v>
      </c>
      <c r="E162" s="368">
        <f>Consolidado!$AU$112</f>
        <v>4006</v>
      </c>
      <c r="F162" s="68">
        <f>Consolidado!$AV$112</f>
        <v>43567</v>
      </c>
      <c r="G162" s="74">
        <f>Consolidado!$AW$112</f>
        <v>8</v>
      </c>
      <c r="H162" s="65">
        <f t="shared" si="0"/>
        <v>46065</v>
      </c>
      <c r="I162" s="68">
        <f t="shared" si="1"/>
        <v>46124</v>
      </c>
      <c r="J162" s="68">
        <f t="shared" si="2"/>
        <v>46489</v>
      </c>
      <c r="K162" s="587"/>
      <c r="L162" s="587"/>
      <c r="M162" s="587"/>
      <c r="N162" s="587"/>
      <c r="O162" s="587"/>
      <c r="P162" s="587"/>
      <c r="Q162" s="587"/>
      <c r="R162" s="587"/>
      <c r="S162" s="587"/>
      <c r="T162" s="587"/>
      <c r="U162" s="587"/>
      <c r="V162" s="587"/>
      <c r="W162" s="587"/>
      <c r="X162" s="587"/>
      <c r="Y162" s="587"/>
      <c r="Z162" s="587"/>
      <c r="AA162" s="587"/>
      <c r="AB162" s="587"/>
      <c r="AC162" s="587"/>
      <c r="AD162" s="52" t="str">
        <f t="shared" ca="1" si="8"/>
        <v>Vigente</v>
      </c>
      <c r="AE162" s="588" t="str">
        <f t="shared" si="9"/>
        <v xml:space="preserve"> </v>
      </c>
    </row>
    <row r="163" spans="1:31" ht="42" customHeight="1" x14ac:dyDescent="0.2">
      <c r="A163" s="198">
        <v>157</v>
      </c>
      <c r="B163" s="51" t="s">
        <v>691</v>
      </c>
      <c r="C163" s="51" t="s">
        <v>692</v>
      </c>
      <c r="D163" s="50">
        <v>4615</v>
      </c>
      <c r="E163" s="593">
        <f>Consolidado!$AU$113</f>
        <v>7576</v>
      </c>
      <c r="F163" s="63">
        <f>Consolidado!$AV$113</f>
        <v>43670</v>
      </c>
      <c r="G163" s="64">
        <f>Consolidado!$AW$113</f>
        <v>8</v>
      </c>
      <c r="H163" s="65">
        <f t="shared" si="0"/>
        <v>46166</v>
      </c>
      <c r="I163" s="68">
        <f t="shared" si="1"/>
        <v>46227</v>
      </c>
      <c r="J163" s="68">
        <f t="shared" si="2"/>
        <v>46592</v>
      </c>
      <c r="K163" s="587"/>
      <c r="L163" s="587"/>
      <c r="M163" s="587"/>
      <c r="N163" s="587"/>
      <c r="O163" s="587"/>
      <c r="P163" s="587"/>
      <c r="Q163" s="587"/>
      <c r="R163" s="587"/>
      <c r="S163" s="587"/>
      <c r="T163" s="587"/>
      <c r="U163" s="587"/>
      <c r="V163" s="587"/>
      <c r="W163" s="587"/>
      <c r="X163" s="587"/>
      <c r="Y163" s="587"/>
      <c r="Z163" s="587"/>
      <c r="AA163" s="587"/>
      <c r="AB163" s="587"/>
      <c r="AC163" s="587"/>
      <c r="AD163" s="52" t="str">
        <f t="shared" ca="1" si="8"/>
        <v>Vigente</v>
      </c>
      <c r="AE163" s="588" t="str">
        <f t="shared" si="9"/>
        <v xml:space="preserve"> </v>
      </c>
    </row>
    <row r="164" spans="1:31" ht="42" customHeight="1" x14ac:dyDescent="0.2">
      <c r="A164" s="198">
        <v>158</v>
      </c>
      <c r="B164" s="51" t="s">
        <v>691</v>
      </c>
      <c r="C164" s="51" t="s">
        <v>770</v>
      </c>
      <c r="D164" s="50">
        <v>7519</v>
      </c>
      <c r="E164" s="368">
        <f>Consolidado!$AU$114</f>
        <v>0</v>
      </c>
      <c r="F164" s="68">
        <f>Consolidado!$AV$114</f>
        <v>0</v>
      </c>
      <c r="G164" s="74">
        <f>Consolidado!$AW$114</f>
        <v>0</v>
      </c>
      <c r="H164" s="65" t="e">
        <f t="shared" si="0"/>
        <v>#NUM!</v>
      </c>
      <c r="I164" s="68" t="e">
        <f t="shared" si="1"/>
        <v>#NUM!</v>
      </c>
      <c r="J164" s="68">
        <f t="shared" si="2"/>
        <v>0</v>
      </c>
      <c r="K164" s="587"/>
      <c r="L164" s="587"/>
      <c r="M164" s="587"/>
      <c r="N164" s="587"/>
      <c r="O164" s="587"/>
      <c r="P164" s="587"/>
      <c r="Q164" s="587"/>
      <c r="R164" s="587"/>
      <c r="S164" s="587"/>
      <c r="T164" s="587"/>
      <c r="U164" s="587"/>
      <c r="V164" s="587"/>
      <c r="W164" s="587"/>
      <c r="X164" s="587"/>
      <c r="Y164" s="587"/>
      <c r="Z164" s="587"/>
      <c r="AA164" s="587"/>
      <c r="AB164" s="573"/>
      <c r="AC164" s="587"/>
      <c r="AD164" s="52" t="str">
        <f t="shared" ca="1" si="8"/>
        <v>En proceso</v>
      </c>
      <c r="AE164" s="588" t="str">
        <f t="shared" si="9"/>
        <v xml:space="preserve"> </v>
      </c>
    </row>
    <row r="165" spans="1:31" ht="42" customHeight="1" x14ac:dyDescent="0.2">
      <c r="A165" s="198">
        <v>159</v>
      </c>
      <c r="B165" s="51" t="s">
        <v>691</v>
      </c>
      <c r="C165" s="51" t="s">
        <v>727</v>
      </c>
      <c r="D165" s="50">
        <v>7520</v>
      </c>
      <c r="E165" s="368">
        <f>Consolidado!$AU$115</f>
        <v>13233</v>
      </c>
      <c r="F165" s="68">
        <f>Consolidado!$AV$115</f>
        <v>44029</v>
      </c>
      <c r="G165" s="74">
        <f>Consolidado!$AW$115</f>
        <v>6</v>
      </c>
      <c r="H165" s="65">
        <f t="shared" si="0"/>
        <v>45794</v>
      </c>
      <c r="I165" s="68">
        <f t="shared" si="1"/>
        <v>45855</v>
      </c>
      <c r="J165" s="68">
        <f t="shared" si="2"/>
        <v>46220</v>
      </c>
      <c r="K165" s="587"/>
      <c r="L165" s="587"/>
      <c r="M165" s="587"/>
      <c r="N165" s="587"/>
      <c r="O165" s="587"/>
      <c r="P165" s="587"/>
      <c r="Q165" s="587"/>
      <c r="R165" s="587"/>
      <c r="S165" s="587"/>
      <c r="T165" s="587"/>
      <c r="U165" s="587"/>
      <c r="V165" s="587"/>
      <c r="W165" s="587"/>
      <c r="X165" s="587"/>
      <c r="Y165" s="587"/>
      <c r="Z165" s="587"/>
      <c r="AA165" s="587"/>
      <c r="AB165" s="587"/>
      <c r="AC165" s="587"/>
      <c r="AD165" s="52" t="str">
        <f t="shared" ca="1" si="8"/>
        <v>Vigente</v>
      </c>
      <c r="AE165" s="588" t="str">
        <f t="shared" si="9"/>
        <v xml:space="preserve"> </v>
      </c>
    </row>
    <row r="166" spans="1:31" ht="42" customHeight="1" x14ac:dyDescent="0.2">
      <c r="A166" s="198">
        <v>160</v>
      </c>
      <c r="B166" s="51" t="s">
        <v>691</v>
      </c>
      <c r="C166" s="51" t="s">
        <v>1140</v>
      </c>
      <c r="D166" s="50">
        <v>19814</v>
      </c>
      <c r="E166" s="64" t="e">
        <f>Consolidado!#REF!</f>
        <v>#REF!</v>
      </c>
      <c r="F166" s="64" t="e">
        <f>Consolidado!#REF!</f>
        <v>#REF!</v>
      </c>
      <c r="G166" s="64" t="e">
        <f>Consolidado!#REF!</f>
        <v>#REF!</v>
      </c>
      <c r="H166" s="65" t="e">
        <f t="shared" si="0"/>
        <v>#REF!</v>
      </c>
      <c r="I166" s="68" t="e">
        <f t="shared" si="1"/>
        <v>#REF!</v>
      </c>
      <c r="J166" s="68" t="e">
        <f t="shared" si="2"/>
        <v>#REF!</v>
      </c>
      <c r="K166" s="587"/>
      <c r="L166" s="587"/>
      <c r="M166" s="587"/>
      <c r="N166" s="587"/>
      <c r="O166" s="587"/>
      <c r="P166" s="587"/>
      <c r="Q166" s="587"/>
      <c r="R166" s="587"/>
      <c r="S166" s="587"/>
      <c r="T166" s="587"/>
      <c r="U166" s="587"/>
      <c r="V166" s="587"/>
      <c r="W166" s="587"/>
      <c r="X166" s="587"/>
      <c r="Y166" s="587"/>
      <c r="Z166" s="587"/>
      <c r="AA166" s="587"/>
      <c r="AB166" s="587"/>
      <c r="AC166" s="587"/>
      <c r="AD166" s="52" t="e">
        <f t="shared" ca="1" si="8"/>
        <v>#REF!</v>
      </c>
      <c r="AE166" s="588" t="str">
        <f t="shared" si="9"/>
        <v xml:space="preserve"> </v>
      </c>
    </row>
    <row r="167" spans="1:31" ht="42" customHeight="1" x14ac:dyDescent="0.2">
      <c r="A167" s="198">
        <v>161</v>
      </c>
      <c r="B167" s="51" t="s">
        <v>691</v>
      </c>
      <c r="C167" s="51" t="s">
        <v>764</v>
      </c>
      <c r="D167" s="50">
        <v>53505</v>
      </c>
      <c r="E167" s="368">
        <f>Consolidado!$AU$116</f>
        <v>3248</v>
      </c>
      <c r="F167" s="59">
        <f>Consolidado!$AV$116</f>
        <v>43895</v>
      </c>
      <c r="G167" s="74">
        <f>Consolidado!$AW$116</f>
        <v>8</v>
      </c>
      <c r="H167" s="65">
        <f t="shared" si="0"/>
        <v>46392</v>
      </c>
      <c r="I167" s="68">
        <f t="shared" si="1"/>
        <v>46451</v>
      </c>
      <c r="J167" s="68">
        <f t="shared" si="2"/>
        <v>46817</v>
      </c>
      <c r="K167" s="587"/>
      <c r="L167" s="587"/>
      <c r="M167" s="587"/>
      <c r="N167" s="587"/>
      <c r="O167" s="587"/>
      <c r="P167" s="587"/>
      <c r="Q167" s="587"/>
      <c r="R167" s="587"/>
      <c r="S167" s="587"/>
      <c r="T167" s="587"/>
      <c r="U167" s="587"/>
      <c r="V167" s="587"/>
      <c r="W167" s="587"/>
      <c r="X167" s="587"/>
      <c r="Y167" s="587"/>
      <c r="Z167" s="587"/>
      <c r="AA167" s="587"/>
      <c r="AB167" s="587"/>
      <c r="AC167" s="587"/>
      <c r="AD167" s="52" t="str">
        <f t="shared" ca="1" si="8"/>
        <v>Vigente</v>
      </c>
      <c r="AE167" s="588" t="str">
        <f t="shared" si="9"/>
        <v xml:space="preserve"> </v>
      </c>
    </row>
    <row r="168" spans="1:31" ht="42" customHeight="1" x14ac:dyDescent="0.2">
      <c r="A168" s="198">
        <v>162</v>
      </c>
      <c r="B168" s="51" t="s">
        <v>691</v>
      </c>
      <c r="C168" s="51" t="s">
        <v>738</v>
      </c>
      <c r="D168" s="50">
        <v>53918</v>
      </c>
      <c r="E168" s="368">
        <f>Consolidado!$AU$117</f>
        <v>0</v>
      </c>
      <c r="F168" s="68">
        <f>Consolidado!$AV$117</f>
        <v>0</v>
      </c>
      <c r="G168" s="74">
        <f>Consolidado!$AW$117</f>
        <v>0</v>
      </c>
      <c r="H168" s="65" t="e">
        <f t="shared" si="0"/>
        <v>#NUM!</v>
      </c>
      <c r="I168" s="68" t="e">
        <f t="shared" si="1"/>
        <v>#NUM!</v>
      </c>
      <c r="J168" s="68">
        <f t="shared" si="2"/>
        <v>0</v>
      </c>
      <c r="K168" s="587"/>
      <c r="L168" s="587" t="s">
        <v>1104</v>
      </c>
      <c r="M168" s="587"/>
      <c r="N168" s="587"/>
      <c r="O168" s="587"/>
      <c r="P168" s="587"/>
      <c r="Q168" s="587"/>
      <c r="R168" s="587"/>
      <c r="S168" s="587"/>
      <c r="T168" s="587"/>
      <c r="U168" s="587"/>
      <c r="V168" s="587"/>
      <c r="W168" s="587"/>
      <c r="X168" s="587"/>
      <c r="Y168" s="587"/>
      <c r="Z168" s="587"/>
      <c r="AA168" s="587"/>
      <c r="AB168" s="587"/>
      <c r="AC168" s="587"/>
      <c r="AD168" s="52" t="str">
        <f t="shared" ca="1" si="8"/>
        <v>En proceso</v>
      </c>
      <c r="AE168" s="588">
        <f t="shared" si="9"/>
        <v>2</v>
      </c>
    </row>
    <row r="169" spans="1:31" ht="42" customHeight="1" x14ac:dyDescent="0.2">
      <c r="A169" s="198">
        <v>163</v>
      </c>
      <c r="B169" s="51" t="s">
        <v>691</v>
      </c>
      <c r="C169" s="51" t="s">
        <v>758</v>
      </c>
      <c r="D169" s="50">
        <v>54103</v>
      </c>
      <c r="E169" s="368">
        <f>Consolidado!$AU$118</f>
        <v>16771</v>
      </c>
      <c r="F169" s="59">
        <f>Consolidado!$AV$118</f>
        <v>44447</v>
      </c>
      <c r="G169" s="74">
        <f>Consolidado!$AW$118</f>
        <v>6</v>
      </c>
      <c r="H169" s="65">
        <f t="shared" si="0"/>
        <v>46211</v>
      </c>
      <c r="I169" s="68">
        <f t="shared" si="1"/>
        <v>46273</v>
      </c>
      <c r="J169" s="68">
        <f t="shared" si="2"/>
        <v>46638</v>
      </c>
      <c r="K169" s="587"/>
      <c r="L169" s="587"/>
      <c r="M169" s="587"/>
      <c r="N169" s="587"/>
      <c r="O169" s="587"/>
      <c r="P169" s="587"/>
      <c r="Q169" s="587"/>
      <c r="R169" s="587"/>
      <c r="S169" s="587"/>
      <c r="T169" s="587"/>
      <c r="U169" s="587"/>
      <c r="V169" s="587"/>
      <c r="W169" s="587"/>
      <c r="X169" s="587"/>
      <c r="Y169" s="587"/>
      <c r="Z169" s="587"/>
      <c r="AA169" s="587"/>
      <c r="AB169" s="587"/>
      <c r="AC169" s="587"/>
      <c r="AD169" s="52" t="str">
        <f t="shared" ca="1" si="8"/>
        <v>Vigente</v>
      </c>
      <c r="AE169" s="588" t="str">
        <f t="shared" si="9"/>
        <v xml:space="preserve"> </v>
      </c>
    </row>
    <row r="170" spans="1:31" ht="42" customHeight="1" x14ac:dyDescent="0.2">
      <c r="A170" s="198">
        <v>164</v>
      </c>
      <c r="B170" s="51" t="s">
        <v>691</v>
      </c>
      <c r="C170" s="51" t="s">
        <v>751</v>
      </c>
      <c r="D170" s="50">
        <v>55175</v>
      </c>
      <c r="E170" s="368">
        <f>Consolidado!$AU$119</f>
        <v>0</v>
      </c>
      <c r="F170" s="68">
        <f>Consolidado!$AV$119</f>
        <v>0</v>
      </c>
      <c r="G170" s="74">
        <f>Consolidado!$AW$119</f>
        <v>0</v>
      </c>
      <c r="H170" s="65" t="e">
        <f t="shared" si="0"/>
        <v>#NUM!</v>
      </c>
      <c r="I170" s="68" t="e">
        <f t="shared" si="1"/>
        <v>#NUM!</v>
      </c>
      <c r="J170" s="68">
        <f t="shared" si="2"/>
        <v>0</v>
      </c>
      <c r="K170" s="587"/>
      <c r="L170" s="587"/>
      <c r="M170" s="587"/>
      <c r="N170" s="587"/>
      <c r="O170" s="587"/>
      <c r="P170" s="587"/>
      <c r="Q170" s="587"/>
      <c r="R170" s="587"/>
      <c r="S170" s="587"/>
      <c r="T170" s="587"/>
      <c r="U170" s="587"/>
      <c r="V170" s="587"/>
      <c r="W170" s="587"/>
      <c r="X170" s="587"/>
      <c r="Y170" s="587"/>
      <c r="Z170" s="587"/>
      <c r="AA170" s="587"/>
      <c r="AB170" s="587"/>
      <c r="AC170" s="587"/>
      <c r="AD170" s="52" t="str">
        <f t="shared" ca="1" si="8"/>
        <v>En proceso</v>
      </c>
      <c r="AE170" s="588" t="str">
        <f t="shared" si="9"/>
        <v xml:space="preserve"> </v>
      </c>
    </row>
    <row r="171" spans="1:31" ht="42" customHeight="1" x14ac:dyDescent="0.2">
      <c r="A171" s="198">
        <v>165</v>
      </c>
      <c r="B171" s="51" t="s">
        <v>691</v>
      </c>
      <c r="C171" s="51" t="s">
        <v>710</v>
      </c>
      <c r="D171" s="50">
        <v>90930</v>
      </c>
      <c r="E171" s="368" t="str">
        <f>Consolidado!$AU$120</f>
        <v>N/A</v>
      </c>
      <c r="F171" s="68" t="str">
        <f>Consolidado!$AV$120</f>
        <v>N/A</v>
      </c>
      <c r="G171" s="74" t="str">
        <f>Consolidado!$AW$120</f>
        <v>N/A</v>
      </c>
      <c r="H171" s="65" t="e">
        <f t="shared" si="0"/>
        <v>#VALUE!</v>
      </c>
      <c r="I171" s="68" t="e">
        <f t="shared" si="1"/>
        <v>#VALUE!</v>
      </c>
      <c r="J171" s="68" t="e">
        <f t="shared" si="2"/>
        <v>#VALUE!</v>
      </c>
      <c r="K171" s="587"/>
      <c r="L171" s="587"/>
      <c r="M171" s="587"/>
      <c r="N171" s="587"/>
      <c r="O171" s="587"/>
      <c r="P171" s="587"/>
      <c r="Q171" s="587"/>
      <c r="R171" s="587"/>
      <c r="S171" s="587"/>
      <c r="T171" s="587"/>
      <c r="U171" s="587"/>
      <c r="V171" s="587"/>
      <c r="W171" s="587"/>
      <c r="X171" s="587"/>
      <c r="Y171" s="587"/>
      <c r="Z171" s="587"/>
      <c r="AA171" s="587"/>
      <c r="AB171" s="587"/>
      <c r="AC171" s="587"/>
      <c r="AD171" s="52" t="e">
        <f t="shared" ca="1" si="8"/>
        <v>#VALUE!</v>
      </c>
      <c r="AE171" s="588" t="str">
        <f t="shared" si="9"/>
        <v xml:space="preserve"> </v>
      </c>
    </row>
    <row r="172" spans="1:31" ht="42" customHeight="1" x14ac:dyDescent="0.2">
      <c r="A172" s="198">
        <v>166</v>
      </c>
      <c r="B172" s="51" t="s">
        <v>691</v>
      </c>
      <c r="C172" s="51" t="s">
        <v>692</v>
      </c>
      <c r="D172" s="50">
        <v>101755</v>
      </c>
      <c r="E172" s="593">
        <f>Consolidado!$AU$121</f>
        <v>20074</v>
      </c>
      <c r="F172" s="63">
        <f>Consolidado!$AV$121</f>
        <v>45230</v>
      </c>
      <c r="G172" s="64">
        <f>Consolidado!$AW$121</f>
        <v>4</v>
      </c>
      <c r="H172" s="65">
        <f t="shared" si="0"/>
        <v>46265</v>
      </c>
      <c r="I172" s="68">
        <f t="shared" si="1"/>
        <v>46326</v>
      </c>
      <c r="J172" s="68">
        <f t="shared" si="2"/>
        <v>46691</v>
      </c>
      <c r="K172" s="587"/>
      <c r="L172" s="587"/>
      <c r="M172" s="587"/>
      <c r="N172" s="587"/>
      <c r="O172" s="587"/>
      <c r="P172" s="587"/>
      <c r="Q172" s="587"/>
      <c r="R172" s="587"/>
      <c r="S172" s="587"/>
      <c r="T172" s="587"/>
      <c r="U172" s="587"/>
      <c r="V172" s="587"/>
      <c r="W172" s="587"/>
      <c r="X172" s="587"/>
      <c r="Y172" s="587"/>
      <c r="Z172" s="587"/>
      <c r="AA172" s="587"/>
      <c r="AB172" s="587"/>
      <c r="AC172" s="587"/>
      <c r="AD172" s="52" t="str">
        <f t="shared" ca="1" si="8"/>
        <v>Vigente</v>
      </c>
      <c r="AE172" s="588" t="str">
        <f t="shared" si="9"/>
        <v xml:space="preserve"> </v>
      </c>
    </row>
    <row r="173" spans="1:31" ht="42" customHeight="1" x14ac:dyDescent="0.2">
      <c r="A173" s="198">
        <v>167</v>
      </c>
      <c r="B173" s="208" t="s">
        <v>691</v>
      </c>
      <c r="C173" s="208" t="s">
        <v>743</v>
      </c>
      <c r="D173" s="207">
        <v>104646</v>
      </c>
      <c r="E173" s="600">
        <f>Consolidado!$AU$122</f>
        <v>20075</v>
      </c>
      <c r="F173" s="601">
        <f>Consolidado!$AV$122</f>
        <v>45230</v>
      </c>
      <c r="G173" s="602">
        <f>Consolidado!$AW$122</f>
        <v>6</v>
      </c>
      <c r="H173" s="65">
        <f t="shared" si="0"/>
        <v>46996</v>
      </c>
      <c r="I173" s="68">
        <f t="shared" si="1"/>
        <v>47057</v>
      </c>
      <c r="J173" s="68">
        <f t="shared" si="2"/>
        <v>47422</v>
      </c>
      <c r="K173" s="603"/>
      <c r="L173" s="603"/>
      <c r="M173" s="603"/>
      <c r="N173" s="603"/>
      <c r="O173" s="603"/>
      <c r="P173" s="603"/>
      <c r="Q173" s="603"/>
      <c r="R173" s="603"/>
      <c r="S173" s="603"/>
      <c r="T173" s="603"/>
      <c r="U173" s="603"/>
      <c r="V173" s="603"/>
      <c r="W173" s="603"/>
      <c r="X173" s="603"/>
      <c r="Y173" s="603"/>
      <c r="Z173" s="603"/>
      <c r="AA173" s="603"/>
      <c r="AB173" s="603"/>
      <c r="AC173" s="603"/>
      <c r="AD173" s="52" t="str">
        <f t="shared" ca="1" si="8"/>
        <v>Vigente</v>
      </c>
      <c r="AE173" s="588" t="str">
        <f t="shared" si="9"/>
        <v xml:space="preserve"> </v>
      </c>
    </row>
    <row r="174" spans="1:31" ht="42" customHeight="1" x14ac:dyDescent="0.2">
      <c r="A174" s="198">
        <v>168</v>
      </c>
      <c r="B174" s="208" t="s">
        <v>691</v>
      </c>
      <c r="C174" s="208" t="s">
        <v>748</v>
      </c>
      <c r="D174" s="207">
        <v>105149</v>
      </c>
      <c r="E174" s="604">
        <f>Consolidado!$AU$123</f>
        <v>20747</v>
      </c>
      <c r="F174" s="605">
        <f>Consolidado!$AV$123</f>
        <v>45232</v>
      </c>
      <c r="G174" s="606">
        <f>Consolidado!$AW$123</f>
        <v>6</v>
      </c>
      <c r="H174" s="65">
        <f t="shared" si="0"/>
        <v>46998</v>
      </c>
      <c r="I174" s="68">
        <f t="shared" si="1"/>
        <v>47059</v>
      </c>
      <c r="J174" s="68">
        <f t="shared" si="2"/>
        <v>47424</v>
      </c>
      <c r="K174" s="603"/>
      <c r="L174" s="603"/>
      <c r="M174" s="603"/>
      <c r="N174" s="603"/>
      <c r="O174" s="603"/>
      <c r="P174" s="603"/>
      <c r="Q174" s="603"/>
      <c r="R174" s="603"/>
      <c r="S174" s="603"/>
      <c r="T174" s="603"/>
      <c r="U174" s="603"/>
      <c r="V174" s="603"/>
      <c r="W174" s="603"/>
      <c r="X174" s="603"/>
      <c r="Y174" s="603"/>
      <c r="Z174" s="603"/>
      <c r="AA174" s="603"/>
      <c r="AB174" s="603"/>
      <c r="AC174" s="603"/>
      <c r="AD174" s="52" t="str">
        <f t="shared" ca="1" si="8"/>
        <v>Vigente</v>
      </c>
      <c r="AE174" s="588" t="str">
        <f t="shared" si="9"/>
        <v xml:space="preserve"> </v>
      </c>
    </row>
    <row r="175" spans="1:31" ht="42" customHeight="1" x14ac:dyDescent="0.2">
      <c r="A175" s="607">
        <v>169</v>
      </c>
      <c r="B175" s="608" t="s">
        <v>691</v>
      </c>
      <c r="C175" s="608" t="s">
        <v>727</v>
      </c>
      <c r="D175" s="609">
        <v>105430</v>
      </c>
      <c r="E175" s="610" t="e">
        <f>Consolidado!#REF!</f>
        <v>#REF!</v>
      </c>
      <c r="F175" s="610" t="e">
        <f>Consolidado!#REF!</f>
        <v>#REF!</v>
      </c>
      <c r="G175" s="610" t="e">
        <f>Consolidado!#REF!</f>
        <v>#REF!</v>
      </c>
      <c r="H175" s="611" t="e">
        <f t="shared" si="0"/>
        <v>#REF!</v>
      </c>
      <c r="I175" s="612" t="e">
        <f t="shared" si="1"/>
        <v>#REF!</v>
      </c>
      <c r="J175" s="612" t="e">
        <f t="shared" si="2"/>
        <v>#REF!</v>
      </c>
      <c r="K175" s="613"/>
      <c r="L175" s="613"/>
      <c r="M175" s="613"/>
      <c r="N175" s="613"/>
      <c r="O175" s="613"/>
      <c r="P175" s="613"/>
      <c r="Q175" s="613"/>
      <c r="R175" s="613"/>
      <c r="S175" s="613"/>
      <c r="T175" s="613"/>
      <c r="U175" s="613"/>
      <c r="V175" s="613"/>
      <c r="W175" s="613"/>
      <c r="X175" s="613"/>
      <c r="Y175" s="613"/>
      <c r="Z175" s="613"/>
      <c r="AA175" s="613"/>
      <c r="AB175" s="613"/>
      <c r="AC175" s="613"/>
      <c r="AD175" s="614" t="e">
        <f t="shared" ca="1" si="8"/>
        <v>#REF!</v>
      </c>
      <c r="AE175" s="615" t="str">
        <f t="shared" si="9"/>
        <v xml:space="preserve"> </v>
      </c>
    </row>
  </sheetData>
  <mergeCells count="4">
    <mergeCell ref="A1:J1"/>
    <mergeCell ref="A2:D2"/>
    <mergeCell ref="A3:D3"/>
    <mergeCell ref="A4:D4"/>
  </mergeCells>
  <pageMargins left="0.7" right="0.7" top="0.75" bottom="0.75" header="0" footer="0"/>
  <pageSetup orientation="portrait"/>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2:V18"/>
  <sheetViews>
    <sheetView workbookViewId="0"/>
  </sheetViews>
  <sheetFormatPr baseColWidth="10" defaultColWidth="12.5703125" defaultRowHeight="15" customHeight="1" x14ac:dyDescent="0.2"/>
  <cols>
    <col min="1" max="1" width="3.42578125" customWidth="1"/>
    <col min="2" max="2" width="49.140625" customWidth="1"/>
    <col min="3" max="26" width="10.140625" customWidth="1"/>
  </cols>
  <sheetData>
    <row r="2" spans="1:22" ht="12.75" customHeight="1" x14ac:dyDescent="0.2">
      <c r="A2" s="340"/>
      <c r="B2" s="340"/>
      <c r="C2" s="341" t="s">
        <v>0</v>
      </c>
      <c r="D2" s="340"/>
      <c r="E2" s="340"/>
      <c r="F2" s="340"/>
      <c r="G2" s="330"/>
      <c r="H2" s="616" t="s">
        <v>950</v>
      </c>
      <c r="I2" s="617" t="s">
        <v>1141</v>
      </c>
      <c r="J2" s="618"/>
      <c r="K2" s="619"/>
      <c r="L2" s="340"/>
      <c r="M2" s="334"/>
      <c r="N2" s="339"/>
      <c r="O2" s="339"/>
      <c r="P2" s="339"/>
      <c r="Q2" s="339"/>
      <c r="R2" s="339"/>
      <c r="S2" s="339"/>
      <c r="T2" s="339"/>
      <c r="U2" s="339"/>
      <c r="V2" s="339"/>
    </row>
    <row r="3" spans="1:22" ht="12.75" customHeight="1" x14ac:dyDescent="0.2">
      <c r="A3" s="340"/>
      <c r="B3" s="340"/>
      <c r="C3" s="341" t="s">
        <v>1142</v>
      </c>
      <c r="D3" s="340"/>
      <c r="E3" s="340"/>
      <c r="F3" s="342"/>
      <c r="G3" s="620" t="s">
        <v>1143</v>
      </c>
      <c r="H3" s="621">
        <f ca="1">V16</f>
        <v>26</v>
      </c>
      <c r="I3" s="622" t="s">
        <v>1144</v>
      </c>
      <c r="J3" s="623"/>
      <c r="K3" s="619"/>
      <c r="L3" s="340"/>
      <c r="M3" s="334"/>
      <c r="N3" s="339"/>
      <c r="O3" s="339"/>
      <c r="P3" s="339"/>
      <c r="Q3" s="339"/>
      <c r="R3" s="339"/>
      <c r="S3" s="339"/>
      <c r="T3" s="339"/>
      <c r="U3" s="339"/>
      <c r="V3" s="339"/>
    </row>
    <row r="4" spans="1:22" ht="12.75" customHeight="1" x14ac:dyDescent="0.2">
      <c r="A4" s="340"/>
      <c r="B4" s="340"/>
      <c r="C4" s="349" t="s">
        <v>1145</v>
      </c>
      <c r="D4" s="340"/>
      <c r="E4" s="340"/>
      <c r="F4" s="340"/>
      <c r="G4" s="624"/>
      <c r="H4" s="625"/>
      <c r="I4" s="626"/>
      <c r="J4" s="627"/>
      <c r="K4" s="340"/>
      <c r="L4" s="340"/>
      <c r="M4" s="334"/>
      <c r="N4" s="339"/>
      <c r="O4" s="339"/>
      <c r="P4" s="339"/>
      <c r="Q4" s="339"/>
      <c r="R4" s="339"/>
      <c r="S4" s="339"/>
      <c r="T4" s="339"/>
      <c r="U4" s="339"/>
      <c r="V4" s="339"/>
    </row>
    <row r="5" spans="1:22" ht="12.75" customHeight="1" x14ac:dyDescent="0.2">
      <c r="A5" s="339"/>
      <c r="B5" s="339"/>
      <c r="C5" s="339"/>
      <c r="D5" s="339"/>
      <c r="E5" s="339"/>
      <c r="F5" s="339"/>
      <c r="G5" s="628"/>
      <c r="H5" s="628"/>
      <c r="I5" s="628"/>
      <c r="J5" s="628"/>
      <c r="K5" s="339"/>
      <c r="L5" s="339"/>
      <c r="M5" s="334"/>
      <c r="N5" s="339"/>
      <c r="O5" s="339"/>
      <c r="P5" s="339"/>
      <c r="Q5" s="339"/>
      <c r="R5" s="339"/>
      <c r="S5" s="339"/>
      <c r="T5" s="339"/>
      <c r="U5" s="339"/>
      <c r="V5" s="339"/>
    </row>
    <row r="6" spans="1:22" ht="12.75" customHeight="1" x14ac:dyDescent="0.2">
      <c r="A6" s="629" t="s">
        <v>961</v>
      </c>
      <c r="B6" s="629" t="s">
        <v>19</v>
      </c>
      <c r="C6" s="629" t="s">
        <v>1084</v>
      </c>
      <c r="D6" s="629" t="s">
        <v>1085</v>
      </c>
      <c r="E6" s="629" t="s">
        <v>1086</v>
      </c>
      <c r="F6" s="629" t="s">
        <v>1087</v>
      </c>
      <c r="G6" s="629" t="s">
        <v>1088</v>
      </c>
      <c r="H6" s="629" t="s">
        <v>1089</v>
      </c>
      <c r="I6" s="629" t="s">
        <v>1090</v>
      </c>
      <c r="J6" s="629" t="s">
        <v>1091</v>
      </c>
      <c r="K6" s="629" t="s">
        <v>1092</v>
      </c>
      <c r="L6" s="629" t="s">
        <v>1093</v>
      </c>
      <c r="M6" s="629" t="s">
        <v>1094</v>
      </c>
      <c r="N6" s="629" t="s">
        <v>1095</v>
      </c>
      <c r="O6" s="629" t="s">
        <v>1096</v>
      </c>
      <c r="P6" s="629" t="s">
        <v>1097</v>
      </c>
      <c r="Q6" s="629" t="s">
        <v>1098</v>
      </c>
      <c r="R6" s="629" t="s">
        <v>1099</v>
      </c>
      <c r="S6" s="629" t="s">
        <v>1100</v>
      </c>
      <c r="T6" s="629" t="s">
        <v>1101</v>
      </c>
      <c r="U6" s="629" t="s">
        <v>1102</v>
      </c>
      <c r="V6" s="629" t="s">
        <v>1146</v>
      </c>
    </row>
    <row r="7" spans="1:22" ht="15.75" customHeight="1" x14ac:dyDescent="0.2">
      <c r="A7" s="533">
        <v>1</v>
      </c>
      <c r="B7" s="630" t="s">
        <v>74</v>
      </c>
      <c r="C7" s="631">
        <f>COUNTIF('Rutas AAC'!K7:K13,"X")</f>
        <v>0</v>
      </c>
      <c r="D7" s="631">
        <f>COUNTIF('Rutas AAC'!L7:L13,"X")</f>
        <v>0</v>
      </c>
      <c r="E7" s="631">
        <f>COUNTIF('Rutas AAC'!M7:M13,"X")</f>
        <v>0</v>
      </c>
      <c r="F7" s="631">
        <f>COUNTIF('Rutas AAC'!N7:N13,"X")</f>
        <v>0</v>
      </c>
      <c r="G7" s="631">
        <f>COUNTIF('Rutas AAC'!O7:O13,"X")</f>
        <v>0</v>
      </c>
      <c r="H7" s="631">
        <f>COUNTIF('Rutas AAC'!P7:P13,"X")</f>
        <v>0</v>
      </c>
      <c r="I7" s="631">
        <f>COUNTIF('Rutas AAC'!Q7:Q13,"X")</f>
        <v>0</v>
      </c>
      <c r="J7" s="631">
        <f>COUNTIF('Rutas AAC'!R7:R13,"X")</f>
        <v>0</v>
      </c>
      <c r="K7" s="631">
        <f>COUNTIF('Rutas AAC'!S7:S13,"X")</f>
        <v>0</v>
      </c>
      <c r="L7" s="631">
        <f>COUNTIF('Rutas AAC'!T7:T13,"X")</f>
        <v>0</v>
      </c>
      <c r="M7" s="631">
        <f>COUNTIF('Rutas AAC'!U7:U13,"X")</f>
        <v>0</v>
      </c>
      <c r="N7" s="631">
        <f>COUNTIF('Rutas AAC'!V7:V13,"X")</f>
        <v>0</v>
      </c>
      <c r="O7" s="631">
        <f>COUNTIF('Rutas AAC'!W7:W13,"X")</f>
        <v>0</v>
      </c>
      <c r="P7" s="631">
        <f>COUNTIF('Rutas AAC'!X7:X13,"X")</f>
        <v>0</v>
      </c>
      <c r="Q7" s="631">
        <f>COUNTIF('Rutas AAC'!Y7:Y13,"X")</f>
        <v>0</v>
      </c>
      <c r="R7" s="631">
        <f>COUNTIF('Rutas AAC'!Z7:Z13,"X")</f>
        <v>0</v>
      </c>
      <c r="S7" s="631">
        <f>COUNTIF('Rutas AAC'!AA7:AA13,"X")</f>
        <v>0</v>
      </c>
      <c r="T7" s="631">
        <f>COUNTIF('Rutas AAC'!AB7:AB13,"X")</f>
        <v>0</v>
      </c>
      <c r="U7" s="631">
        <f>COUNTIF('Rutas AAC'!AC7:AC13,"X")</f>
        <v>0</v>
      </c>
      <c r="V7" s="631">
        <f ca="1">COUNTIF('Rutas AAC'!AD7:AD13,"Vigente")</f>
        <v>4</v>
      </c>
    </row>
    <row r="8" spans="1:22" ht="15.75" customHeight="1" x14ac:dyDescent="0.2">
      <c r="A8" s="632">
        <v>2</v>
      </c>
      <c r="B8" s="630" t="s">
        <v>1147</v>
      </c>
      <c r="C8" s="631">
        <f>COUNTIF('Rutas AAC'!K14:K27,"X")</f>
        <v>0</v>
      </c>
      <c r="D8" s="631">
        <f>COUNTIF('Rutas AAC'!L14:L27,"X")</f>
        <v>0</v>
      </c>
      <c r="E8" s="631">
        <f>COUNTIF('Rutas AAC'!M14:M27,"X")</f>
        <v>0</v>
      </c>
      <c r="F8" s="631">
        <f>COUNTIF('Rutas AAC'!N14:N27,"X")</f>
        <v>0</v>
      </c>
      <c r="G8" s="631">
        <f>COUNTIF('Rutas AAC'!O14:O27,"X")</f>
        <v>0</v>
      </c>
      <c r="H8" s="631">
        <f>COUNTIF('Rutas AAC'!P14:P27,"X")</f>
        <v>0</v>
      </c>
      <c r="I8" s="631">
        <f>COUNTIF('Rutas AAC'!Q14:Q27,"X")</f>
        <v>0</v>
      </c>
      <c r="J8" s="631">
        <f>COUNTIF('Rutas AAC'!R14:R27,"X")</f>
        <v>0</v>
      </c>
      <c r="K8" s="631">
        <f>COUNTIF('Rutas AAC'!S14:S27,"X")</f>
        <v>0</v>
      </c>
      <c r="L8" s="631">
        <f>COUNTIF('Rutas AAC'!T14:T27,"X")</f>
        <v>0</v>
      </c>
      <c r="M8" s="631">
        <f>COUNTIF('Rutas AAC'!U14:U27,"X")</f>
        <v>0</v>
      </c>
      <c r="N8" s="631">
        <f>COUNTIF('Rutas AAC'!V14:V27,"X")</f>
        <v>0</v>
      </c>
      <c r="O8" s="631">
        <f>COUNTIF('Rutas AAC'!W14:W27,"X")</f>
        <v>1</v>
      </c>
      <c r="P8" s="631">
        <f>COUNTIF('Rutas AAC'!X14:X27,"X")</f>
        <v>0</v>
      </c>
      <c r="Q8" s="631">
        <f>COUNTIF('Rutas AAC'!Y14:Y27,"X")</f>
        <v>0</v>
      </c>
      <c r="R8" s="631">
        <f>COUNTIF('Rutas AAC'!Z14:Z27,"X")</f>
        <v>0</v>
      </c>
      <c r="S8" s="631">
        <f>COUNTIF('Rutas AAC'!AA14:AA27,"X")</f>
        <v>0</v>
      </c>
      <c r="T8" s="631">
        <f>COUNTIF('Rutas AAC'!AB14:AB27,"X")</f>
        <v>0</v>
      </c>
      <c r="U8" s="631">
        <f>COUNTIF('Rutas AAC'!AC14:AC27,"X")</f>
        <v>0</v>
      </c>
      <c r="V8" s="631">
        <f ca="1">COUNTIF('Rutas AAC'!AD14:AD27,"Vigente")</f>
        <v>2</v>
      </c>
    </row>
    <row r="9" spans="1:22" ht="15.75" customHeight="1" x14ac:dyDescent="0.2">
      <c r="A9" s="633">
        <v>3</v>
      </c>
      <c r="B9" s="630" t="s">
        <v>823</v>
      </c>
      <c r="C9" s="631">
        <f>COUNTIF('Rutas AAC'!K28:K47,"X")</f>
        <v>0</v>
      </c>
      <c r="D9" s="631">
        <f>COUNTIF('Rutas AAC'!L28:L47,"X")</f>
        <v>1</v>
      </c>
      <c r="E9" s="631">
        <f>COUNTIF('Rutas AAC'!M28:M47,"X")</f>
        <v>0</v>
      </c>
      <c r="F9" s="631">
        <f>COUNTIF('Rutas AAC'!N28:N47,"X")</f>
        <v>0</v>
      </c>
      <c r="G9" s="631">
        <f>COUNTIF('Rutas AAC'!O28:O47,"X")</f>
        <v>0</v>
      </c>
      <c r="H9" s="631">
        <f>COUNTIF('Rutas AAC'!P28:P47,"X")</f>
        <v>0</v>
      </c>
      <c r="I9" s="631">
        <f>COUNTIF('Rutas AAC'!Q28:Q47,"X")</f>
        <v>0</v>
      </c>
      <c r="J9" s="631">
        <f>COUNTIF('Rutas AAC'!R28:R47,"X")</f>
        <v>0</v>
      </c>
      <c r="K9" s="631">
        <f>COUNTIF('Rutas AAC'!S28:S47,"X")</f>
        <v>0</v>
      </c>
      <c r="L9" s="631">
        <f>COUNTIF('Rutas AAC'!T28:T47,"X")</f>
        <v>0</v>
      </c>
      <c r="M9" s="631">
        <f>COUNTIF('Rutas AAC'!U28:U47,"X")</f>
        <v>0</v>
      </c>
      <c r="N9" s="631">
        <f>COUNTIF('Rutas AAC'!V28:V47,"X")</f>
        <v>0</v>
      </c>
      <c r="O9" s="631">
        <f>COUNTIF('Rutas AAC'!W28:W47,"X")</f>
        <v>0</v>
      </c>
      <c r="P9" s="631">
        <f>COUNTIF('Rutas AAC'!X28:X47,"X")</f>
        <v>0</v>
      </c>
      <c r="Q9" s="631">
        <f>COUNTIF('Rutas AAC'!Y28:Y47,"X")</f>
        <v>0</v>
      </c>
      <c r="R9" s="631">
        <f>COUNTIF('Rutas AAC'!Z28:Z47,"X")</f>
        <v>0</v>
      </c>
      <c r="S9" s="631">
        <f>COUNTIF('Rutas AAC'!AA28:AA47,"X")</f>
        <v>0</v>
      </c>
      <c r="T9" s="631">
        <f>COUNTIF('Rutas AAC'!AB28:AB47,"X")</f>
        <v>0</v>
      </c>
      <c r="U9" s="631">
        <f>COUNTIF('Rutas AAC'!AC28:AC47,"X")</f>
        <v>0</v>
      </c>
      <c r="V9" s="631">
        <f ca="1">COUNTIF('Rutas AAC'!AD28:AD47,"Vigente")</f>
        <v>0</v>
      </c>
    </row>
    <row r="10" spans="1:22" ht="15.75" customHeight="1" x14ac:dyDescent="0.2">
      <c r="A10" s="634">
        <v>4</v>
      </c>
      <c r="B10" s="630" t="s">
        <v>1148</v>
      </c>
      <c r="C10" s="631">
        <f>COUNTIF('Rutas AAC'!K48:K61,"X")</f>
        <v>0</v>
      </c>
      <c r="D10" s="631">
        <f>COUNTIF('Rutas AAC'!L48:L61,"X")</f>
        <v>0</v>
      </c>
      <c r="E10" s="631">
        <f>COUNTIF('Rutas AAC'!M48:M61,"X")</f>
        <v>0</v>
      </c>
      <c r="F10" s="631">
        <f>COUNTIF('Rutas AAC'!N48:N61,"X")</f>
        <v>0</v>
      </c>
      <c r="G10" s="631">
        <f>COUNTIF('Rutas AAC'!O48:O61,"X")</f>
        <v>0</v>
      </c>
      <c r="H10" s="631">
        <f>COUNTIF('Rutas AAC'!P48:P61,"X")</f>
        <v>0</v>
      </c>
      <c r="I10" s="631">
        <f>COUNTIF('Rutas AAC'!Q48:Q61,"X")</f>
        <v>0</v>
      </c>
      <c r="J10" s="631">
        <f>COUNTIF('Rutas AAC'!R48:R61,"X")</f>
        <v>0</v>
      </c>
      <c r="K10" s="631">
        <f>COUNTIF('Rutas AAC'!S48:S61,"X")</f>
        <v>0</v>
      </c>
      <c r="L10" s="631">
        <f>COUNTIF('Rutas AAC'!T48:T61,"X")</f>
        <v>0</v>
      </c>
      <c r="M10" s="631">
        <f>COUNTIF('Rutas AAC'!U48:U61,"X")</f>
        <v>0</v>
      </c>
      <c r="N10" s="631">
        <f>COUNTIF('Rutas AAC'!V48:V61,"X")</f>
        <v>0</v>
      </c>
      <c r="O10" s="631">
        <f>COUNTIF('Rutas AAC'!W48:W61,"X")</f>
        <v>2</v>
      </c>
      <c r="P10" s="631">
        <f>COUNTIF('Rutas AAC'!X48:X61,"X")</f>
        <v>0</v>
      </c>
      <c r="Q10" s="631">
        <f>COUNTIF('Rutas AAC'!Y48:Y61,"X")</f>
        <v>0</v>
      </c>
      <c r="R10" s="631">
        <f>COUNTIF('Rutas AAC'!Z48:Z61,"X")</f>
        <v>0</v>
      </c>
      <c r="S10" s="631">
        <f>COUNTIF('Rutas AAC'!AA48:AA61,"X")</f>
        <v>0</v>
      </c>
      <c r="T10" s="631">
        <f>COUNTIF('Rutas AAC'!AB48:AB61,"X")</f>
        <v>0</v>
      </c>
      <c r="U10" s="631">
        <f>COUNTIF('Rutas AAC'!AC48:AC61,"X")</f>
        <v>0</v>
      </c>
      <c r="V10" s="631">
        <f ca="1">COUNTIF('Rutas AAC'!AD48:AD61,"Vigente")</f>
        <v>1</v>
      </c>
    </row>
    <row r="11" spans="1:22" ht="15.75" customHeight="1" x14ac:dyDescent="0.2">
      <c r="A11" s="543">
        <v>5</v>
      </c>
      <c r="B11" s="630" t="s">
        <v>333</v>
      </c>
      <c r="C11" s="631">
        <f>COUNTIF('Rutas AAC'!K62:K83,"X")</f>
        <v>0</v>
      </c>
      <c r="D11" s="631">
        <f>COUNTIF('Rutas AAC'!L62:L83,"X")</f>
        <v>0</v>
      </c>
      <c r="E11" s="631">
        <f>COUNTIF('Rutas AAC'!M62:M83,"X")</f>
        <v>0</v>
      </c>
      <c r="F11" s="631">
        <f>COUNTIF('Rutas AAC'!N62:N83,"X")</f>
        <v>0</v>
      </c>
      <c r="G11" s="631">
        <f>COUNTIF('Rutas AAC'!O62:O83,"X")</f>
        <v>0</v>
      </c>
      <c r="H11" s="631">
        <f>COUNTIF('Rutas AAC'!P62:P83,"X")</f>
        <v>0</v>
      </c>
      <c r="I11" s="631">
        <f>COUNTIF('Rutas AAC'!Q62:Q83,"X")</f>
        <v>0</v>
      </c>
      <c r="J11" s="631">
        <f>COUNTIF('Rutas AAC'!R62:R83,"X")</f>
        <v>0</v>
      </c>
      <c r="K11" s="631">
        <f>COUNTIF('Rutas AAC'!S62:S83,"X")</f>
        <v>0</v>
      </c>
      <c r="L11" s="631">
        <f>COUNTIF('Rutas AAC'!T62:T83,"X")</f>
        <v>0</v>
      </c>
      <c r="M11" s="631">
        <f>COUNTIF('Rutas AAC'!U62:U83,"X")</f>
        <v>0</v>
      </c>
      <c r="N11" s="631">
        <f>COUNTIF('Rutas AAC'!V62:V83,"X")</f>
        <v>0</v>
      </c>
      <c r="O11" s="631">
        <f>COUNTIF('Rutas AAC'!W62:W83,"X")</f>
        <v>1</v>
      </c>
      <c r="P11" s="631">
        <f>COUNTIF('Rutas AAC'!X62:X83,"X")</f>
        <v>0</v>
      </c>
      <c r="Q11" s="631">
        <f>COUNTIF('Rutas AAC'!Y62:Y83,"X")</f>
        <v>0</v>
      </c>
      <c r="R11" s="631">
        <f>COUNTIF('Rutas AAC'!Z62:Z83,"X")</f>
        <v>0</v>
      </c>
      <c r="S11" s="631">
        <f>COUNTIF('Rutas AAC'!AA62:AA83,"X")</f>
        <v>0</v>
      </c>
      <c r="T11" s="631">
        <f>COUNTIF('Rutas AAC'!AB62:AB83,"X")</f>
        <v>0</v>
      </c>
      <c r="U11" s="631">
        <f>COUNTIF('Rutas AAC'!AC62:AC83,"X")</f>
        <v>0</v>
      </c>
      <c r="V11" s="631">
        <f ca="1">COUNTIF('Rutas AAC'!AD62:AD83,"Vigente")</f>
        <v>3</v>
      </c>
    </row>
    <row r="12" spans="1:22" ht="15.75" customHeight="1" x14ac:dyDescent="0.2">
      <c r="A12" s="544">
        <v>6</v>
      </c>
      <c r="B12" s="630" t="s">
        <v>413</v>
      </c>
      <c r="C12" s="631">
        <f>COUNTIF('Rutas AAC'!K84:K125,"X")</f>
        <v>1</v>
      </c>
      <c r="D12" s="631">
        <f>COUNTIF('Rutas AAC'!L84:L125,"X")</f>
        <v>0</v>
      </c>
      <c r="E12" s="631">
        <f>COUNTIF('Rutas AAC'!M84:M125,"X")</f>
        <v>0</v>
      </c>
      <c r="F12" s="631">
        <f>COUNTIF('Rutas AAC'!N84:N125,"X")</f>
        <v>0</v>
      </c>
      <c r="G12" s="631">
        <f>COUNTIF('Rutas AAC'!O84:O125,"X")</f>
        <v>0</v>
      </c>
      <c r="H12" s="631">
        <f>COUNTIF('Rutas AAC'!P84:P125,"X")</f>
        <v>0</v>
      </c>
      <c r="I12" s="631">
        <f>COUNTIF('Rutas AAC'!Q84:Q125,"X")</f>
        <v>0</v>
      </c>
      <c r="J12" s="631">
        <f>COUNTIF('Rutas AAC'!R84:R125,"X")</f>
        <v>0</v>
      </c>
      <c r="K12" s="631">
        <f>COUNTIF('Rutas AAC'!S84:S125,"X")</f>
        <v>0</v>
      </c>
      <c r="L12" s="631">
        <f>COUNTIF('Rutas AAC'!T84:T125,"X")</f>
        <v>0</v>
      </c>
      <c r="M12" s="631">
        <f>COUNTIF('Rutas AAC'!U84:U125,"X")</f>
        <v>0</v>
      </c>
      <c r="N12" s="631">
        <f>COUNTIF('Rutas AAC'!V84:V125,"X")</f>
        <v>0</v>
      </c>
      <c r="O12" s="631">
        <f>COUNTIF('Rutas AAC'!W84:W125,"X")</f>
        <v>1</v>
      </c>
      <c r="P12" s="631">
        <f>COUNTIF('Rutas AAC'!X84:X125,"X")</f>
        <v>1</v>
      </c>
      <c r="Q12" s="631">
        <f>COUNTIF('Rutas AAC'!Y84:Y125,"X")</f>
        <v>0</v>
      </c>
      <c r="R12" s="631">
        <f>COUNTIF('Rutas AAC'!Z84:Z125,"X")</f>
        <v>0</v>
      </c>
      <c r="S12" s="631">
        <f>COUNTIF('Rutas AAC'!AA84:AA125,"X")</f>
        <v>0</v>
      </c>
      <c r="T12" s="631">
        <f>COUNTIF('Rutas AAC'!AB84:AB125,"X")</f>
        <v>0</v>
      </c>
      <c r="U12" s="631">
        <f>COUNTIF('Rutas AAC'!AC84:AC125,"X")</f>
        <v>0</v>
      </c>
      <c r="V12" s="631">
        <f ca="1">COUNTIF('Rutas AAC'!AD84:AD125,"Vigente")</f>
        <v>7</v>
      </c>
    </row>
    <row r="13" spans="1:22" ht="15.75" customHeight="1" x14ac:dyDescent="0.2">
      <c r="A13" s="546">
        <v>7</v>
      </c>
      <c r="B13" s="630" t="s">
        <v>895</v>
      </c>
      <c r="C13" s="631">
        <f>COUNTIF('Rutas AAC'!K126:K143,"X")</f>
        <v>0</v>
      </c>
      <c r="D13" s="631">
        <f>COUNTIF('Rutas AAC'!L126:L143,"X")</f>
        <v>0</v>
      </c>
      <c r="E13" s="631">
        <f>COUNTIF('Rutas AAC'!M126:M143,"X")</f>
        <v>0</v>
      </c>
      <c r="F13" s="631">
        <f>COUNTIF('Rutas AAC'!N126:N143,"X")</f>
        <v>0</v>
      </c>
      <c r="G13" s="631">
        <f>COUNTIF('Rutas AAC'!O126:O143,"X")</f>
        <v>0</v>
      </c>
      <c r="H13" s="631">
        <f>COUNTIF('Rutas AAC'!P126:P143,"X")</f>
        <v>0</v>
      </c>
      <c r="I13" s="631">
        <f>COUNTIF('Rutas AAC'!Q126:Q143,"X")</f>
        <v>0</v>
      </c>
      <c r="J13" s="631">
        <f>COUNTIF('Rutas AAC'!R126:R143,"X")</f>
        <v>0</v>
      </c>
      <c r="K13" s="631">
        <f>COUNTIF('Rutas AAC'!S126:S143,"X")</f>
        <v>0</v>
      </c>
      <c r="L13" s="631">
        <f>COUNTIF('Rutas AAC'!T126:T143,"X")</f>
        <v>0</v>
      </c>
      <c r="M13" s="631">
        <f>COUNTIF('Rutas AAC'!U126:U143,"X")</f>
        <v>0</v>
      </c>
      <c r="N13" s="631">
        <f>COUNTIF('Rutas AAC'!V126:V143,"X")</f>
        <v>0</v>
      </c>
      <c r="O13" s="631">
        <f>COUNTIF('Rutas AAC'!W126:W143,"X")</f>
        <v>0</v>
      </c>
      <c r="P13" s="631">
        <f>COUNTIF('Rutas AAC'!X126:X143,"X")</f>
        <v>0</v>
      </c>
      <c r="Q13" s="631">
        <f>COUNTIF('Rutas AAC'!Y126:Y143,"X")</f>
        <v>0</v>
      </c>
      <c r="R13" s="631">
        <f>COUNTIF('Rutas AAC'!Z126:Z143,"X")</f>
        <v>0</v>
      </c>
      <c r="S13" s="631">
        <f>COUNTIF('Rutas AAC'!AA126:AA143,"X")</f>
        <v>0</v>
      </c>
      <c r="T13" s="631">
        <f>COUNTIF('Rutas AAC'!AB126:AB143,"X")</f>
        <v>0</v>
      </c>
      <c r="U13" s="631">
        <f>COUNTIF('Rutas AAC'!AC126:AC143,"X")</f>
        <v>0</v>
      </c>
      <c r="V13" s="631">
        <f ca="1">COUNTIF('Rutas AAC'!AD126:AD143,"Vigente")</f>
        <v>0</v>
      </c>
    </row>
    <row r="14" spans="1:22" ht="15.75" customHeight="1" x14ac:dyDescent="0.2">
      <c r="A14" s="547">
        <v>8</v>
      </c>
      <c r="B14" s="630" t="s">
        <v>904</v>
      </c>
      <c r="C14" s="631">
        <f>COUNTIF('Rutas AAC'!K144:K159,"X")</f>
        <v>0</v>
      </c>
      <c r="D14" s="631">
        <f>COUNTIF('Rutas AAC'!L144:L159,"X")</f>
        <v>0</v>
      </c>
      <c r="E14" s="631">
        <f>COUNTIF('Rutas AAC'!M144:M159,"X")</f>
        <v>0</v>
      </c>
      <c r="F14" s="631">
        <f>COUNTIF('Rutas AAC'!N144:N159,"X")</f>
        <v>0</v>
      </c>
      <c r="G14" s="631">
        <f>COUNTIF('Rutas AAC'!O144:O159,"X")</f>
        <v>0</v>
      </c>
      <c r="H14" s="631">
        <f>COUNTIF('Rutas AAC'!P144:P159,"X")</f>
        <v>0</v>
      </c>
      <c r="I14" s="631">
        <f>COUNTIF('Rutas AAC'!Q144:Q159,"X")</f>
        <v>0</v>
      </c>
      <c r="J14" s="631">
        <f>COUNTIF('Rutas AAC'!R144:R159,"X")</f>
        <v>0</v>
      </c>
      <c r="K14" s="631">
        <f>COUNTIF('Rutas AAC'!S144:S159,"X")</f>
        <v>0</v>
      </c>
      <c r="L14" s="631">
        <f>COUNTIF('Rutas AAC'!T144:T159,"X")</f>
        <v>0</v>
      </c>
      <c r="M14" s="631">
        <f>COUNTIF('Rutas AAC'!U144:U159,"X")</f>
        <v>0</v>
      </c>
      <c r="N14" s="631">
        <f>COUNTIF('Rutas AAC'!V144:V159,"X")</f>
        <v>0</v>
      </c>
      <c r="O14" s="631">
        <f>COUNTIF('Rutas AAC'!W144:W159,"X")</f>
        <v>0</v>
      </c>
      <c r="P14" s="631">
        <f>COUNTIF('Rutas AAC'!X144:X159,"X")</f>
        <v>0</v>
      </c>
      <c r="Q14" s="631">
        <f>COUNTIF('Rutas AAC'!Y144:Y159,"X")</f>
        <v>0</v>
      </c>
      <c r="R14" s="631">
        <f>COUNTIF('Rutas AAC'!Z144:Z159,"X")</f>
        <v>0</v>
      </c>
      <c r="S14" s="631">
        <f>COUNTIF('Rutas AAC'!AA144:AA159,"X")</f>
        <v>0</v>
      </c>
      <c r="T14" s="631">
        <f>COUNTIF('Rutas AAC'!AB144:AB159,"X")</f>
        <v>0</v>
      </c>
      <c r="U14" s="631">
        <f>COUNTIF('Rutas AAC'!AC144:AC159,"X")</f>
        <v>0</v>
      </c>
      <c r="V14" s="631">
        <f ca="1">COUNTIF('Rutas AAC'!AD144:AD159,"Vigente")</f>
        <v>1</v>
      </c>
    </row>
    <row r="15" spans="1:22" ht="15.75" customHeight="1" x14ac:dyDescent="0.2">
      <c r="A15" s="548">
        <v>9</v>
      </c>
      <c r="B15" s="630" t="s">
        <v>924</v>
      </c>
      <c r="C15" s="631">
        <f>COUNTIF('Rutas AAC'!K160:K175,"X")</f>
        <v>0</v>
      </c>
      <c r="D15" s="631">
        <f>COUNTIF('Rutas AAC'!L160:L175,"X")</f>
        <v>1</v>
      </c>
      <c r="E15" s="631">
        <f>COUNTIF('Rutas AAC'!M160:M175,"X")</f>
        <v>0</v>
      </c>
      <c r="F15" s="631">
        <f>COUNTIF('Rutas AAC'!N160:N175,"X")</f>
        <v>0</v>
      </c>
      <c r="G15" s="631">
        <f>COUNTIF('Rutas AAC'!O160:O175,"X")</f>
        <v>0</v>
      </c>
      <c r="H15" s="631">
        <f>COUNTIF('Rutas AAC'!P160:P175,"X")</f>
        <v>0</v>
      </c>
      <c r="I15" s="631">
        <f>COUNTIF('Rutas AAC'!Q160:Q175,"X")</f>
        <v>0</v>
      </c>
      <c r="J15" s="631">
        <f>COUNTIF('Rutas AAC'!R160:R175,"X")</f>
        <v>0</v>
      </c>
      <c r="K15" s="631">
        <f>COUNTIF('Rutas AAC'!S160:S175,"X")</f>
        <v>0</v>
      </c>
      <c r="L15" s="631">
        <f>COUNTIF('Rutas AAC'!T160:T175,"X")</f>
        <v>0</v>
      </c>
      <c r="M15" s="631">
        <f>COUNTIF('Rutas AAC'!U160:U175,"X")</f>
        <v>0</v>
      </c>
      <c r="N15" s="631">
        <f>COUNTIF('Rutas AAC'!V160:V175,"X")</f>
        <v>0</v>
      </c>
      <c r="O15" s="631">
        <f>COUNTIF('Rutas AAC'!W160:W175,"X")</f>
        <v>0</v>
      </c>
      <c r="P15" s="631">
        <f>COUNTIF('Rutas AAC'!X160:X175,"X")</f>
        <v>0</v>
      </c>
      <c r="Q15" s="631">
        <f>COUNTIF('Rutas AAC'!Y160:Y175,"X")</f>
        <v>0</v>
      </c>
      <c r="R15" s="631">
        <f>COUNTIF('Rutas AAC'!Z160:Z175,"X")</f>
        <v>0</v>
      </c>
      <c r="S15" s="631">
        <f>COUNTIF('Rutas AAC'!AA160:AA175,"X")</f>
        <v>0</v>
      </c>
      <c r="T15" s="631">
        <f>COUNTIF('Rutas AAC'!AB160:AB175,"X")</f>
        <v>0</v>
      </c>
      <c r="U15" s="631">
        <f>COUNTIF('Rutas AAC'!AC160:AC175,"X")</f>
        <v>0</v>
      </c>
      <c r="V15" s="631">
        <f ca="1">COUNTIF('Rutas AAC'!AD160:AD175,"Vigente")</f>
        <v>8</v>
      </c>
    </row>
    <row r="16" spans="1:22" ht="12.75" customHeight="1" x14ac:dyDescent="0.2">
      <c r="A16" s="552"/>
      <c r="B16" s="635" t="s">
        <v>1149</v>
      </c>
      <c r="C16" s="636">
        <f t="shared" ref="C16:V16" si="0">SUM(C7:C15)</f>
        <v>1</v>
      </c>
      <c r="D16" s="636">
        <f t="shared" si="0"/>
        <v>2</v>
      </c>
      <c r="E16" s="636">
        <f t="shared" si="0"/>
        <v>0</v>
      </c>
      <c r="F16" s="636">
        <f t="shared" si="0"/>
        <v>0</v>
      </c>
      <c r="G16" s="636">
        <f t="shared" si="0"/>
        <v>0</v>
      </c>
      <c r="H16" s="636">
        <f t="shared" si="0"/>
        <v>0</v>
      </c>
      <c r="I16" s="636">
        <f t="shared" si="0"/>
        <v>0</v>
      </c>
      <c r="J16" s="636">
        <f t="shared" si="0"/>
        <v>0</v>
      </c>
      <c r="K16" s="636">
        <f t="shared" si="0"/>
        <v>0</v>
      </c>
      <c r="L16" s="636">
        <f t="shared" si="0"/>
        <v>0</v>
      </c>
      <c r="M16" s="636">
        <f t="shared" si="0"/>
        <v>0</v>
      </c>
      <c r="N16" s="636">
        <f t="shared" si="0"/>
        <v>0</v>
      </c>
      <c r="O16" s="636">
        <f t="shared" si="0"/>
        <v>5</v>
      </c>
      <c r="P16" s="636">
        <f t="shared" si="0"/>
        <v>1</v>
      </c>
      <c r="Q16" s="636">
        <f t="shared" si="0"/>
        <v>0</v>
      </c>
      <c r="R16" s="636">
        <f t="shared" si="0"/>
        <v>0</v>
      </c>
      <c r="S16" s="636">
        <f t="shared" si="0"/>
        <v>0</v>
      </c>
      <c r="T16" s="636">
        <f t="shared" si="0"/>
        <v>0</v>
      </c>
      <c r="U16" s="636">
        <f t="shared" si="0"/>
        <v>0</v>
      </c>
      <c r="V16" s="636">
        <f t="shared" ca="1" si="0"/>
        <v>26</v>
      </c>
    </row>
    <row r="17" spans="1:22" ht="12.75" customHeight="1" x14ac:dyDescent="0.2">
      <c r="A17" s="552"/>
      <c r="B17" s="635"/>
      <c r="C17" s="629" t="s">
        <v>1084</v>
      </c>
      <c r="D17" s="629" t="s">
        <v>1085</v>
      </c>
      <c r="E17" s="629" t="s">
        <v>1086</v>
      </c>
      <c r="F17" s="629" t="s">
        <v>1087</v>
      </c>
      <c r="G17" s="629" t="s">
        <v>1088</v>
      </c>
      <c r="H17" s="629" t="s">
        <v>1089</v>
      </c>
      <c r="I17" s="629" t="s">
        <v>1090</v>
      </c>
      <c r="J17" s="629" t="s">
        <v>1091</v>
      </c>
      <c r="K17" s="629" t="s">
        <v>1092</v>
      </c>
      <c r="L17" s="629" t="s">
        <v>1093</v>
      </c>
      <c r="M17" s="629" t="s">
        <v>1094</v>
      </c>
      <c r="N17" s="629" t="s">
        <v>1095</v>
      </c>
      <c r="O17" s="629" t="s">
        <v>1096</v>
      </c>
      <c r="P17" s="629" t="s">
        <v>1097</v>
      </c>
      <c r="Q17" s="629" t="s">
        <v>1098</v>
      </c>
      <c r="R17" s="629" t="s">
        <v>1099</v>
      </c>
      <c r="S17" s="629" t="s">
        <v>1100</v>
      </c>
      <c r="T17" s="629" t="s">
        <v>1101</v>
      </c>
      <c r="U17" s="629" t="s">
        <v>1102</v>
      </c>
      <c r="V17" s="629" t="s">
        <v>1146</v>
      </c>
    </row>
    <row r="18" spans="1:22" ht="12.75" customHeight="1" x14ac:dyDescent="0.2">
      <c r="A18" s="552"/>
      <c r="B18" s="551"/>
      <c r="C18" s="637" t="e">
        <f t="shared" ref="C18:V18" si="1">C16/#REF!</f>
        <v>#REF!</v>
      </c>
      <c r="D18" s="637" t="e">
        <f t="shared" si="1"/>
        <v>#REF!</v>
      </c>
      <c r="E18" s="637" t="e">
        <f t="shared" si="1"/>
        <v>#REF!</v>
      </c>
      <c r="F18" s="637" t="e">
        <f t="shared" si="1"/>
        <v>#REF!</v>
      </c>
      <c r="G18" s="637" t="e">
        <f t="shared" si="1"/>
        <v>#REF!</v>
      </c>
      <c r="H18" s="637" t="e">
        <f t="shared" si="1"/>
        <v>#REF!</v>
      </c>
      <c r="I18" s="637" t="e">
        <f t="shared" si="1"/>
        <v>#REF!</v>
      </c>
      <c r="J18" s="637" t="e">
        <f t="shared" si="1"/>
        <v>#REF!</v>
      </c>
      <c r="K18" s="637" t="e">
        <f t="shared" si="1"/>
        <v>#REF!</v>
      </c>
      <c r="L18" s="637" t="e">
        <f t="shared" si="1"/>
        <v>#REF!</v>
      </c>
      <c r="M18" s="637" t="e">
        <f t="shared" si="1"/>
        <v>#REF!</v>
      </c>
      <c r="N18" s="637" t="e">
        <f t="shared" si="1"/>
        <v>#REF!</v>
      </c>
      <c r="O18" s="637" t="e">
        <f t="shared" si="1"/>
        <v>#REF!</v>
      </c>
      <c r="P18" s="637" t="e">
        <f t="shared" si="1"/>
        <v>#REF!</v>
      </c>
      <c r="Q18" s="637" t="e">
        <f t="shared" si="1"/>
        <v>#REF!</v>
      </c>
      <c r="R18" s="637" t="e">
        <f t="shared" si="1"/>
        <v>#REF!</v>
      </c>
      <c r="S18" s="637" t="e">
        <f t="shared" si="1"/>
        <v>#REF!</v>
      </c>
      <c r="T18" s="637" t="e">
        <f t="shared" si="1"/>
        <v>#REF!</v>
      </c>
      <c r="U18" s="637" t="e">
        <f t="shared" si="1"/>
        <v>#REF!</v>
      </c>
      <c r="V18" s="637" t="e">
        <f t="shared" ca="1" si="1"/>
        <v>#REF!</v>
      </c>
    </row>
  </sheetData>
  <hyperlinks>
    <hyperlink ref="I3" location="null!A1" display="9" xr:uid="{00000000-0004-0000-0D00-000000000000}"/>
  </hyperlink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pageSetUpPr fitToPage="1"/>
  </sheetPr>
  <dimension ref="A1:Z1000"/>
  <sheetViews>
    <sheetView workbookViewId="0"/>
  </sheetViews>
  <sheetFormatPr baseColWidth="10" defaultColWidth="12.5703125" defaultRowHeight="15" customHeight="1" x14ac:dyDescent="0.2"/>
  <cols>
    <col min="1" max="1" width="11.42578125" customWidth="1"/>
    <col min="2" max="2" width="79.5703125" customWidth="1"/>
    <col min="3" max="3" width="11.42578125" customWidth="1"/>
    <col min="4" max="4" width="13.85546875" customWidth="1"/>
    <col min="5" max="5" width="42" customWidth="1"/>
    <col min="6" max="6" width="22.28515625" customWidth="1"/>
    <col min="7" max="7" width="23.5703125" customWidth="1"/>
    <col min="8" max="8" width="20.28515625" customWidth="1"/>
    <col min="9" max="9" width="11.42578125" customWidth="1"/>
    <col min="10" max="10" width="16.42578125" customWidth="1"/>
    <col min="11" max="26" width="11.42578125" customWidth="1"/>
  </cols>
  <sheetData>
    <row r="1" spans="1:26" ht="25.5" customHeight="1" x14ac:dyDescent="0.2">
      <c r="A1" s="554">
        <v>1</v>
      </c>
      <c r="B1" s="554"/>
      <c r="C1" s="638"/>
      <c r="D1" s="554"/>
      <c r="E1" s="554"/>
      <c r="F1" s="329"/>
      <c r="G1" s="639"/>
      <c r="H1" s="640" t="s">
        <v>84</v>
      </c>
      <c r="I1" s="641" t="s">
        <v>96</v>
      </c>
      <c r="J1" s="642" t="s">
        <v>1150</v>
      </c>
      <c r="K1" s="643"/>
    </row>
    <row r="2" spans="1:26" ht="12.75" customHeight="1" x14ac:dyDescent="0.2">
      <c r="A2" s="554"/>
      <c r="B2" s="554"/>
      <c r="C2" s="644" t="s">
        <v>0</v>
      </c>
      <c r="D2" s="554"/>
      <c r="E2" s="554"/>
      <c r="F2" s="329"/>
      <c r="G2" s="645" t="s">
        <v>1151</v>
      </c>
      <c r="H2" s="646">
        <f>COUNTIF(F8:F33,"Pregrado")</f>
        <v>14</v>
      </c>
      <c r="I2" s="646">
        <f>COUNTIF(F8:F33,"Posgrado")</f>
        <v>12</v>
      </c>
      <c r="J2" s="647">
        <f t="shared" ref="J2:J3" si="0">SUM(H2:I2)</f>
        <v>26</v>
      </c>
      <c r="K2" s="643"/>
    </row>
    <row r="3" spans="1:26" ht="12.75" customHeight="1" x14ac:dyDescent="0.2">
      <c r="A3" s="554"/>
      <c r="B3" s="554"/>
      <c r="C3" s="644" t="s">
        <v>1152</v>
      </c>
      <c r="D3" s="554"/>
      <c r="E3" s="554"/>
      <c r="F3" s="329"/>
      <c r="G3" s="645" t="s">
        <v>1153</v>
      </c>
      <c r="H3" s="646">
        <f>COUNTIF(I38:I58,"Pregrado")</f>
        <v>19</v>
      </c>
      <c r="I3" s="646">
        <f>COUNTIF(I38:I58,"Posgrado")</f>
        <v>2</v>
      </c>
      <c r="J3" s="647">
        <f t="shared" si="0"/>
        <v>21</v>
      </c>
      <c r="K3" s="643"/>
    </row>
    <row r="4" spans="1:26" ht="12.75" customHeight="1" x14ac:dyDescent="0.2">
      <c r="A4" s="554"/>
      <c r="B4" s="554"/>
      <c r="C4" s="648" t="s">
        <v>1154</v>
      </c>
      <c r="D4" s="554"/>
      <c r="E4" s="554"/>
      <c r="F4" s="329"/>
      <c r="G4" s="329"/>
      <c r="H4" s="329"/>
      <c r="I4" s="329"/>
      <c r="J4" s="329"/>
      <c r="K4" s="643"/>
    </row>
    <row r="5" spans="1:26" ht="12.75" customHeight="1" x14ac:dyDescent="0.2">
      <c r="A5" s="649"/>
      <c r="B5" s="649"/>
      <c r="C5" s="650"/>
      <c r="D5" s="649"/>
      <c r="E5" s="649"/>
      <c r="F5" s="329"/>
      <c r="G5" s="329"/>
      <c r="H5" s="329"/>
      <c r="I5" s="329"/>
      <c r="J5" s="329"/>
      <c r="K5" s="643"/>
    </row>
    <row r="6" spans="1:26" ht="12.75" customHeight="1" x14ac:dyDescent="0.2">
      <c r="A6" s="817" t="s">
        <v>1155</v>
      </c>
      <c r="B6" s="761"/>
      <c r="C6" s="761"/>
      <c r="D6" s="761"/>
      <c r="E6" s="761"/>
      <c r="F6" s="761"/>
      <c r="G6" s="761"/>
      <c r="H6" s="818"/>
      <c r="I6" s="329"/>
      <c r="J6" s="329"/>
      <c r="K6" s="643"/>
    </row>
    <row r="7" spans="1:26" ht="12.75" customHeight="1" x14ac:dyDescent="0.2">
      <c r="A7" s="651" t="s">
        <v>961</v>
      </c>
      <c r="B7" s="651" t="s">
        <v>20</v>
      </c>
      <c r="C7" s="652" t="s">
        <v>23</v>
      </c>
      <c r="D7" s="653" t="s">
        <v>1156</v>
      </c>
      <c r="E7" s="651" t="s">
        <v>1071</v>
      </c>
      <c r="F7" s="651" t="s">
        <v>1157</v>
      </c>
      <c r="G7" s="653" t="s">
        <v>1158</v>
      </c>
      <c r="H7" s="654" t="s">
        <v>1159</v>
      </c>
      <c r="I7" s="20"/>
      <c r="J7" s="20"/>
      <c r="K7" s="655"/>
    </row>
    <row r="8" spans="1:26" ht="12.75" customHeight="1" x14ac:dyDescent="0.2">
      <c r="A8" s="656">
        <v>7</v>
      </c>
      <c r="B8" s="656" t="s">
        <v>1160</v>
      </c>
      <c r="C8" s="657" t="e">
        <f t="array" ref="C8">INDEX(Consolidado!G:G,MATCH(B8,Consolidado!D:D,0))</f>
        <v>#N/A</v>
      </c>
      <c r="D8" s="656" t="s">
        <v>1161</v>
      </c>
      <c r="E8" s="656" t="s">
        <v>1162</v>
      </c>
      <c r="F8" s="656" t="s">
        <v>84</v>
      </c>
      <c r="G8" s="658">
        <v>45422</v>
      </c>
      <c r="H8" s="659"/>
      <c r="J8" s="20"/>
      <c r="K8" s="660">
        <v>1</v>
      </c>
    </row>
    <row r="9" spans="1:26" ht="12.75" customHeight="1" x14ac:dyDescent="0.2">
      <c r="A9" s="656">
        <v>19</v>
      </c>
      <c r="B9" s="656" t="s">
        <v>339</v>
      </c>
      <c r="C9" s="657">
        <f t="array" ref="C9">INDEX(Consolidado!G:G,MATCH(B9,Consolidado!D:D,0))</f>
        <v>11967</v>
      </c>
      <c r="D9" s="656" t="s">
        <v>1161</v>
      </c>
      <c r="E9" s="656" t="s">
        <v>1163</v>
      </c>
      <c r="F9" s="656" t="s">
        <v>84</v>
      </c>
      <c r="G9" s="658">
        <v>45464</v>
      </c>
      <c r="H9" s="659" t="s">
        <v>1164</v>
      </c>
      <c r="J9" s="20"/>
      <c r="K9" s="660">
        <v>2</v>
      </c>
    </row>
    <row r="10" spans="1:26" ht="12.75" customHeight="1" x14ac:dyDescent="0.2">
      <c r="A10" s="656">
        <v>8</v>
      </c>
      <c r="B10" s="656" t="s">
        <v>1165</v>
      </c>
      <c r="C10" s="657" t="e">
        <f t="array" ref="C10">INDEX(Consolidado!G:G,MATCH(B10,Consolidado!D:D,0))</f>
        <v>#N/A</v>
      </c>
      <c r="D10" s="656" t="s">
        <v>1161</v>
      </c>
      <c r="E10" s="656" t="s">
        <v>1166</v>
      </c>
      <c r="F10" s="656" t="s">
        <v>84</v>
      </c>
      <c r="G10" s="658">
        <v>45422</v>
      </c>
      <c r="H10" s="659"/>
      <c r="J10" s="20"/>
      <c r="K10" s="660">
        <v>3</v>
      </c>
    </row>
    <row r="11" spans="1:26" ht="12.75" customHeight="1" x14ac:dyDescent="0.2">
      <c r="A11" s="656">
        <v>16</v>
      </c>
      <c r="B11" s="656" t="s">
        <v>271</v>
      </c>
      <c r="C11" s="657">
        <f t="array" ref="C11">INDEX(Consolidado!G:G,MATCH(B11,Consolidado!D:D,0))</f>
        <v>244</v>
      </c>
      <c r="D11" s="656" t="s">
        <v>1161</v>
      </c>
      <c r="E11" s="656" t="s">
        <v>1167</v>
      </c>
      <c r="F11" s="656" t="s">
        <v>84</v>
      </c>
      <c r="G11" s="658">
        <v>45422</v>
      </c>
      <c r="H11" s="659"/>
      <c r="J11" s="20"/>
      <c r="K11" s="660">
        <v>4</v>
      </c>
    </row>
    <row r="12" spans="1:26" ht="12.75" customHeight="1" x14ac:dyDescent="0.2">
      <c r="A12" s="656">
        <v>21</v>
      </c>
      <c r="B12" s="656" t="s">
        <v>427</v>
      </c>
      <c r="C12" s="657">
        <f t="array" ref="C12">INDEX(Consolidado!G:G,MATCH(B12,Consolidado!D:D,0))</f>
        <v>103476</v>
      </c>
      <c r="D12" s="656" t="s">
        <v>1161</v>
      </c>
      <c r="E12" s="656" t="s">
        <v>1167</v>
      </c>
      <c r="F12" s="656" t="s">
        <v>96</v>
      </c>
      <c r="G12" s="658">
        <v>45441</v>
      </c>
      <c r="H12" s="661" t="s">
        <v>1168</v>
      </c>
      <c r="J12" s="20"/>
      <c r="K12" s="660">
        <v>5</v>
      </c>
    </row>
    <row r="13" spans="1:26" ht="12.75" customHeight="1" x14ac:dyDescent="0.2">
      <c r="A13" s="656">
        <v>22</v>
      </c>
      <c r="B13" s="656" t="s">
        <v>431</v>
      </c>
      <c r="C13" s="657">
        <f t="array" ref="C13">INDEX(Consolidado!G:G,MATCH(B13,Consolidado!D:D,0))</f>
        <v>103504</v>
      </c>
      <c r="D13" s="656" t="s">
        <v>1161</v>
      </c>
      <c r="E13" s="656" t="s">
        <v>1167</v>
      </c>
      <c r="F13" s="656" t="s">
        <v>96</v>
      </c>
      <c r="G13" s="658">
        <v>45441</v>
      </c>
      <c r="H13" s="661" t="s">
        <v>1169</v>
      </c>
      <c r="J13" s="20"/>
      <c r="K13" s="660">
        <v>6</v>
      </c>
    </row>
    <row r="14" spans="1:26" ht="12.75" customHeight="1" x14ac:dyDescent="0.2">
      <c r="A14" s="656">
        <v>25</v>
      </c>
      <c r="B14" s="656" t="s">
        <v>452</v>
      </c>
      <c r="C14" s="657">
        <f t="array" ref="C14">INDEX(Consolidado!G:G,MATCH(B14,Consolidado!D:D,0))</f>
        <v>104621</v>
      </c>
      <c r="D14" s="656" t="s">
        <v>1161</v>
      </c>
      <c r="E14" s="656" t="s">
        <v>1170</v>
      </c>
      <c r="F14" s="656" t="s">
        <v>96</v>
      </c>
      <c r="G14" s="658">
        <v>45422</v>
      </c>
      <c r="H14" s="659"/>
      <c r="J14" s="20"/>
      <c r="K14" s="660">
        <v>7</v>
      </c>
    </row>
    <row r="15" spans="1:26" ht="12.75" customHeight="1" x14ac:dyDescent="0.2">
      <c r="A15" s="656">
        <v>1</v>
      </c>
      <c r="B15" s="656" t="s">
        <v>75</v>
      </c>
      <c r="C15" s="657">
        <f t="array" ref="C15">INDEX(Consolidado!G:G,MATCH(B15,Consolidado!D:D,0))</f>
        <v>224</v>
      </c>
      <c r="D15" s="656" t="s">
        <v>1161</v>
      </c>
      <c r="E15" s="656" t="s">
        <v>1167</v>
      </c>
      <c r="F15" s="656" t="s">
        <v>84</v>
      </c>
      <c r="G15" s="658">
        <v>45422</v>
      </c>
      <c r="H15" s="659"/>
      <c r="J15" s="20"/>
      <c r="K15" s="660">
        <v>8</v>
      </c>
    </row>
    <row r="16" spans="1:26" ht="12.75" x14ac:dyDescent="0.2">
      <c r="A16" s="662">
        <v>5</v>
      </c>
      <c r="B16" s="663" t="s">
        <v>583</v>
      </c>
      <c r="C16" s="664">
        <f t="array" ref="C16">INDEX(Consolidado!G:G,MATCH(B16,Consolidado!D:D,0))</f>
        <v>8170</v>
      </c>
      <c r="D16" s="663" t="s">
        <v>1161</v>
      </c>
      <c r="E16" s="663" t="s">
        <v>1167</v>
      </c>
      <c r="F16" s="663" t="s">
        <v>84</v>
      </c>
      <c r="G16" s="665">
        <v>45439</v>
      </c>
      <c r="H16" s="666" t="s">
        <v>1171</v>
      </c>
      <c r="I16" s="667"/>
      <c r="J16" s="668"/>
      <c r="K16" s="662">
        <v>9</v>
      </c>
      <c r="L16" s="667"/>
      <c r="M16" s="667"/>
      <c r="N16" s="667"/>
      <c r="O16" s="667"/>
      <c r="P16" s="667"/>
      <c r="Q16" s="667"/>
      <c r="R16" s="667"/>
      <c r="S16" s="667"/>
      <c r="T16" s="667"/>
      <c r="U16" s="667"/>
      <c r="V16" s="667"/>
      <c r="W16" s="667"/>
      <c r="X16" s="667"/>
      <c r="Y16" s="667"/>
      <c r="Z16" s="667"/>
    </row>
    <row r="17" spans="1:11" ht="12.75" customHeight="1" x14ac:dyDescent="0.2">
      <c r="A17" s="656">
        <v>17</v>
      </c>
      <c r="B17" s="669" t="s">
        <v>334</v>
      </c>
      <c r="C17" s="657">
        <f t="array" ref="C17">INDEX(Consolidado!G:G,MATCH(B17,Consolidado!D:D,0))</f>
        <v>108963</v>
      </c>
      <c r="D17" s="656" t="s">
        <v>1161</v>
      </c>
      <c r="E17" s="656" t="s">
        <v>1162</v>
      </c>
      <c r="F17" s="656" t="s">
        <v>84</v>
      </c>
      <c r="G17" s="658">
        <v>45460</v>
      </c>
      <c r="H17" s="659" t="s">
        <v>1172</v>
      </c>
      <c r="J17" s="20"/>
      <c r="K17" s="660">
        <v>10</v>
      </c>
    </row>
    <row r="18" spans="1:11" ht="12.75" customHeight="1" x14ac:dyDescent="0.2">
      <c r="A18" s="656">
        <v>18</v>
      </c>
      <c r="B18" s="670" t="s">
        <v>346</v>
      </c>
      <c r="C18" s="657">
        <f t="array" ref="C18">INDEX(Consolidado!G:G,MATCH(B18,Consolidado!D:D,0))</f>
        <v>4493</v>
      </c>
      <c r="D18" s="656" t="s">
        <v>1161</v>
      </c>
      <c r="E18" s="656" t="s">
        <v>1167</v>
      </c>
      <c r="F18" s="656" t="s">
        <v>84</v>
      </c>
      <c r="G18" s="658">
        <v>45464</v>
      </c>
      <c r="H18" s="659" t="s">
        <v>1173</v>
      </c>
      <c r="J18" s="20"/>
      <c r="K18" s="660">
        <v>11</v>
      </c>
    </row>
    <row r="19" spans="1:11" ht="12.75" customHeight="1" x14ac:dyDescent="0.2">
      <c r="A19" s="656">
        <v>23</v>
      </c>
      <c r="B19" s="656" t="s">
        <v>552</v>
      </c>
      <c r="C19" s="657">
        <f t="array" ref="C19">INDEX(Consolidado!G:G,MATCH(B19,Consolidado!D:D,0))</f>
        <v>90909</v>
      </c>
      <c r="D19" s="656" t="s">
        <v>1161</v>
      </c>
      <c r="E19" s="656" t="s">
        <v>1167</v>
      </c>
      <c r="F19" s="656" t="s">
        <v>96</v>
      </c>
      <c r="G19" s="658">
        <v>45422</v>
      </c>
      <c r="H19" s="659"/>
      <c r="J19" s="20"/>
      <c r="K19" s="660">
        <v>12</v>
      </c>
    </row>
    <row r="20" spans="1:11" ht="12.75" customHeight="1" x14ac:dyDescent="0.2">
      <c r="A20" s="656">
        <v>24</v>
      </c>
      <c r="B20" s="656" t="s">
        <v>535</v>
      </c>
      <c r="C20" s="657">
        <f t="array" ref="C20">INDEX(Consolidado!G:G,MATCH(B20,Consolidado!D:D,0))</f>
        <v>105656</v>
      </c>
      <c r="D20" s="656" t="s">
        <v>1161</v>
      </c>
      <c r="E20" s="656" t="s">
        <v>1163</v>
      </c>
      <c r="F20" s="656" t="s">
        <v>96</v>
      </c>
      <c r="G20" s="658">
        <v>45422</v>
      </c>
      <c r="H20" s="659"/>
      <c r="J20" s="20"/>
      <c r="K20" s="660">
        <v>13</v>
      </c>
    </row>
    <row r="21" spans="1:11" ht="12.75" x14ac:dyDescent="0.2">
      <c r="A21" s="656">
        <v>6</v>
      </c>
      <c r="B21" s="656" t="s">
        <v>591</v>
      </c>
      <c r="C21" s="657">
        <f t="array" ref="C21">INDEX(Consolidado!G:G,MATCH(B21,Consolidado!D:D,0))</f>
        <v>4080</v>
      </c>
      <c r="D21" s="656" t="s">
        <v>1161</v>
      </c>
      <c r="E21" s="656" t="s">
        <v>1167</v>
      </c>
      <c r="F21" s="656" t="s">
        <v>84</v>
      </c>
      <c r="G21" s="658">
        <v>45527</v>
      </c>
      <c r="H21" s="661" t="s">
        <v>1174</v>
      </c>
      <c r="J21" s="20"/>
      <c r="K21" s="660">
        <v>14</v>
      </c>
    </row>
    <row r="22" spans="1:11" ht="12.75" customHeight="1" x14ac:dyDescent="0.2">
      <c r="A22" s="656">
        <v>20</v>
      </c>
      <c r="B22" s="656" t="s">
        <v>420</v>
      </c>
      <c r="C22" s="657">
        <f t="array" ref="C22">INDEX(Consolidado!G:G,MATCH(B22,Consolidado!D:D,0))</f>
        <v>3636</v>
      </c>
      <c r="D22" s="656" t="s">
        <v>1161</v>
      </c>
      <c r="E22" s="656" t="s">
        <v>1167</v>
      </c>
      <c r="F22" s="656" t="s">
        <v>84</v>
      </c>
      <c r="G22" s="658">
        <v>45422</v>
      </c>
      <c r="H22" s="659"/>
      <c r="J22" s="20"/>
      <c r="K22" s="660">
        <v>15</v>
      </c>
    </row>
    <row r="23" spans="1:11" ht="12.75" customHeight="1" x14ac:dyDescent="0.2">
      <c r="A23" s="656">
        <v>2</v>
      </c>
      <c r="B23" s="656" t="s">
        <v>172</v>
      </c>
      <c r="C23" s="657">
        <f t="array" ref="C23">INDEX(Consolidado!G:G,MATCH(B23,Consolidado!D:D,0))</f>
        <v>9833</v>
      </c>
      <c r="D23" s="656" t="s">
        <v>1161</v>
      </c>
      <c r="E23" s="656" t="s">
        <v>1175</v>
      </c>
      <c r="F23" s="656" t="s">
        <v>84</v>
      </c>
      <c r="G23" s="658">
        <v>45422</v>
      </c>
      <c r="H23" s="659" t="s">
        <v>1176</v>
      </c>
      <c r="J23" s="20"/>
      <c r="K23" s="660">
        <v>16</v>
      </c>
    </row>
    <row r="24" spans="1:11" ht="12.75" customHeight="1" x14ac:dyDescent="0.2">
      <c r="A24" s="656">
        <v>3</v>
      </c>
      <c r="B24" s="656" t="s">
        <v>165</v>
      </c>
      <c r="C24" s="657">
        <f t="array" ref="C24">INDEX(Consolidado!G:G,MATCH(B24,Consolidado!D:D,0))</f>
        <v>103231</v>
      </c>
      <c r="D24" s="656" t="s">
        <v>1161</v>
      </c>
      <c r="E24" s="671" t="s">
        <v>1167</v>
      </c>
      <c r="F24" s="656" t="s">
        <v>96</v>
      </c>
      <c r="G24" s="658">
        <v>45441</v>
      </c>
      <c r="H24" s="661" t="s">
        <v>1177</v>
      </c>
      <c r="J24" s="20"/>
      <c r="K24" s="660">
        <v>17</v>
      </c>
    </row>
    <row r="25" spans="1:11" ht="12.75" customHeight="1" x14ac:dyDescent="0.2">
      <c r="A25" s="656">
        <v>4</v>
      </c>
      <c r="B25" s="656" t="s">
        <v>250</v>
      </c>
      <c r="C25" s="657">
        <f t="array" ref="C25">INDEX(Consolidado!G:G,MATCH(B25,Consolidado!D:D,0))</f>
        <v>18679</v>
      </c>
      <c r="D25" s="656" t="s">
        <v>1161</v>
      </c>
      <c r="E25" s="671" t="s">
        <v>1166</v>
      </c>
      <c r="F25" s="656" t="s">
        <v>84</v>
      </c>
      <c r="G25" s="658">
        <v>45462</v>
      </c>
      <c r="H25" s="659" t="s">
        <v>1178</v>
      </c>
      <c r="J25" s="20"/>
      <c r="K25" s="660">
        <v>18</v>
      </c>
    </row>
    <row r="26" spans="1:11" ht="12.75" customHeight="1" x14ac:dyDescent="0.2">
      <c r="A26" s="656">
        <v>9</v>
      </c>
      <c r="B26" s="656" t="s">
        <v>627</v>
      </c>
      <c r="C26" s="657">
        <f t="array" ref="C26">INDEX(Consolidado!G:G,MATCH(B26,Consolidado!D:D,0))</f>
        <v>8704</v>
      </c>
      <c r="D26" s="656" t="s">
        <v>1161</v>
      </c>
      <c r="E26" s="671" t="s">
        <v>1166</v>
      </c>
      <c r="F26" s="656" t="s">
        <v>84</v>
      </c>
      <c r="G26" s="658">
        <v>45447</v>
      </c>
      <c r="H26" s="661" t="s">
        <v>1179</v>
      </c>
      <c r="I26" s="20"/>
      <c r="J26" s="20"/>
      <c r="K26" s="655"/>
    </row>
    <row r="27" spans="1:11" ht="12.75" customHeight="1" x14ac:dyDescent="0.2">
      <c r="A27" s="656">
        <v>10</v>
      </c>
      <c r="B27" s="656" t="s">
        <v>657</v>
      </c>
      <c r="C27" s="657">
        <f t="array" ref="C27">INDEX(Consolidado!G:G,MATCH(B27,Consolidado!D:D,0))</f>
        <v>222</v>
      </c>
      <c r="D27" s="656" t="s">
        <v>1161</v>
      </c>
      <c r="E27" s="671" t="s">
        <v>1162</v>
      </c>
      <c r="F27" s="656" t="s">
        <v>84</v>
      </c>
      <c r="G27" s="658">
        <v>45447</v>
      </c>
      <c r="H27" s="661" t="s">
        <v>1180</v>
      </c>
      <c r="I27" s="20"/>
      <c r="J27" s="20"/>
      <c r="K27" s="655"/>
    </row>
    <row r="28" spans="1:11" ht="12.75" customHeight="1" x14ac:dyDescent="0.2">
      <c r="A28" s="656">
        <v>11</v>
      </c>
      <c r="B28" s="670" t="s">
        <v>665</v>
      </c>
      <c r="C28" s="657" t="str">
        <f t="array" ref="C28">INDEX(Consolidado!G:G,MATCH(B28,Consolidado!D:D,0))</f>
        <v>110867 (p)</v>
      </c>
      <c r="D28" s="656" t="s">
        <v>1161</v>
      </c>
      <c r="E28" s="671" t="s">
        <v>1167</v>
      </c>
      <c r="F28" s="656" t="s">
        <v>96</v>
      </c>
      <c r="G28" s="658">
        <v>45422</v>
      </c>
      <c r="H28" s="661" t="s">
        <v>1181</v>
      </c>
      <c r="I28" s="20"/>
      <c r="J28" s="20"/>
      <c r="K28" s="655"/>
    </row>
    <row r="29" spans="1:11" ht="15" customHeight="1" x14ac:dyDescent="0.2">
      <c r="A29" s="656">
        <v>12</v>
      </c>
      <c r="B29" s="656" t="s">
        <v>652</v>
      </c>
      <c r="C29" s="657">
        <f t="array" ref="C29">INDEX(Consolidado!G:G,MATCH(B29,Consolidado!D:D,0))</f>
        <v>104611</v>
      </c>
      <c r="D29" s="656" t="s">
        <v>1161</v>
      </c>
      <c r="E29" s="671" t="s">
        <v>1167</v>
      </c>
      <c r="F29" s="656" t="s">
        <v>96</v>
      </c>
      <c r="G29" s="658">
        <v>45422</v>
      </c>
      <c r="H29" s="661" t="s">
        <v>1182</v>
      </c>
      <c r="I29" s="20"/>
      <c r="J29" s="20"/>
      <c r="K29" s="655"/>
    </row>
    <row r="30" spans="1:11" ht="12.75" customHeight="1" x14ac:dyDescent="0.2">
      <c r="A30" s="656">
        <v>13</v>
      </c>
      <c r="B30" s="656" t="s">
        <v>303</v>
      </c>
      <c r="C30" s="657">
        <f t="array" ref="C30">INDEX(Consolidado!G:G,MATCH(B30,Consolidado!D:D,0))</f>
        <v>11546</v>
      </c>
      <c r="D30" s="656" t="s">
        <v>1161</v>
      </c>
      <c r="E30" s="671" t="s">
        <v>1183</v>
      </c>
      <c r="F30" s="656" t="s">
        <v>96</v>
      </c>
      <c r="G30" s="658">
        <v>45460</v>
      </c>
      <c r="H30" s="659" t="s">
        <v>1184</v>
      </c>
      <c r="I30" s="20"/>
      <c r="J30" s="20"/>
      <c r="K30" s="655"/>
    </row>
    <row r="31" spans="1:11" ht="12.75" customHeight="1" x14ac:dyDescent="0.2">
      <c r="A31" s="656">
        <v>14</v>
      </c>
      <c r="B31" s="656" t="s">
        <v>275</v>
      </c>
      <c r="C31" s="657">
        <f t="array" ref="C31">INDEX(Consolidado!G:G,MATCH(B31,Consolidado!D:D,0))</f>
        <v>242</v>
      </c>
      <c r="D31" s="656" t="s">
        <v>1161</v>
      </c>
      <c r="E31" s="671" t="s">
        <v>1183</v>
      </c>
      <c r="F31" s="656" t="s">
        <v>96</v>
      </c>
      <c r="G31" s="658">
        <v>45460</v>
      </c>
      <c r="H31" s="659" t="s">
        <v>1185</v>
      </c>
      <c r="I31" s="20"/>
      <c r="J31" s="20"/>
      <c r="K31" s="655"/>
    </row>
    <row r="32" spans="1:11" ht="12.75" customHeight="1" x14ac:dyDescent="0.2">
      <c r="A32" s="656">
        <v>15</v>
      </c>
      <c r="B32" s="656" t="s">
        <v>280</v>
      </c>
      <c r="C32" s="657">
        <f t="array" ref="C32">INDEX(Consolidado!G:G,MATCH(B32,Consolidado!D:D,0))</f>
        <v>241</v>
      </c>
      <c r="D32" s="656" t="s">
        <v>1161</v>
      </c>
      <c r="E32" s="671" t="s">
        <v>1183</v>
      </c>
      <c r="F32" s="656" t="s">
        <v>96</v>
      </c>
      <c r="G32" s="658">
        <v>45460</v>
      </c>
      <c r="H32" s="659" t="s">
        <v>1186</v>
      </c>
      <c r="I32" s="20"/>
      <c r="J32" s="20"/>
      <c r="K32" s="655"/>
    </row>
    <row r="33" spans="1:11" ht="12.75" customHeight="1" x14ac:dyDescent="0.2">
      <c r="A33" s="656">
        <v>16</v>
      </c>
      <c r="B33" s="656" t="s">
        <v>296</v>
      </c>
      <c r="C33" s="657">
        <f t="array" ref="C33">INDEX(Consolidado!G:G,MATCH(B33,Consolidado!D:D,0))</f>
        <v>243</v>
      </c>
      <c r="D33" s="656" t="s">
        <v>1161</v>
      </c>
      <c r="E33" s="671" t="s">
        <v>1183</v>
      </c>
      <c r="F33" s="656" t="s">
        <v>96</v>
      </c>
      <c r="G33" s="658">
        <v>45460</v>
      </c>
      <c r="H33" s="659" t="s">
        <v>1187</v>
      </c>
      <c r="I33" s="20"/>
      <c r="K33" s="672"/>
    </row>
    <row r="34" spans="1:11" ht="12.75" customHeight="1" x14ac:dyDescent="0.2">
      <c r="A34" s="20"/>
      <c r="B34" s="20"/>
      <c r="C34" s="673"/>
      <c r="D34" s="20"/>
      <c r="E34" s="20"/>
      <c r="F34" s="20"/>
      <c r="G34" s="20"/>
      <c r="H34" s="20"/>
      <c r="I34" s="20"/>
    </row>
    <row r="35" spans="1:11" ht="12.75" customHeight="1" x14ac:dyDescent="0.2">
      <c r="A35" s="20"/>
      <c r="B35" s="20"/>
      <c r="C35" s="673"/>
      <c r="D35" s="20"/>
      <c r="E35" s="20"/>
      <c r="F35" s="20"/>
      <c r="G35" s="20"/>
      <c r="H35" s="20"/>
      <c r="I35" s="20"/>
      <c r="K35" s="672"/>
    </row>
    <row r="36" spans="1:11" ht="12.75" customHeight="1" x14ac:dyDescent="0.2">
      <c r="A36" s="819" t="s">
        <v>1188</v>
      </c>
      <c r="B36" s="820"/>
      <c r="C36" s="820"/>
      <c r="D36" s="820"/>
      <c r="E36" s="820"/>
      <c r="F36" s="820"/>
      <c r="G36" s="820"/>
      <c r="H36" s="820"/>
      <c r="I36" s="820"/>
      <c r="K36" s="672"/>
    </row>
    <row r="37" spans="1:11" ht="12.75" customHeight="1" x14ac:dyDescent="0.2">
      <c r="A37" s="674" t="s">
        <v>961</v>
      </c>
      <c r="B37" s="674" t="s">
        <v>962</v>
      </c>
      <c r="C37" s="675" t="s">
        <v>23</v>
      </c>
      <c r="D37" s="676" t="s">
        <v>62</v>
      </c>
      <c r="E37" s="676" t="s">
        <v>963</v>
      </c>
      <c r="F37" s="676" t="s">
        <v>48</v>
      </c>
      <c r="G37" s="677" t="s">
        <v>1189</v>
      </c>
      <c r="H37" s="651" t="s">
        <v>965</v>
      </c>
      <c r="I37" s="651" t="s">
        <v>1157</v>
      </c>
      <c r="K37" s="672"/>
    </row>
    <row r="38" spans="1:11" ht="27" customHeight="1" x14ac:dyDescent="0.2">
      <c r="A38" s="678">
        <v>1</v>
      </c>
      <c r="B38" s="678" t="s">
        <v>702</v>
      </c>
      <c r="C38" s="679">
        <v>238</v>
      </c>
      <c r="D38" s="678">
        <v>4006</v>
      </c>
      <c r="E38" s="680">
        <v>43567</v>
      </c>
      <c r="F38" s="678">
        <v>8</v>
      </c>
      <c r="G38" s="681">
        <v>46065</v>
      </c>
      <c r="H38" s="680">
        <v>46489</v>
      </c>
      <c r="I38" s="656" t="s">
        <v>84</v>
      </c>
      <c r="K38" s="672"/>
    </row>
    <row r="39" spans="1:11" ht="27" customHeight="1" x14ac:dyDescent="0.2">
      <c r="A39" s="678">
        <v>2</v>
      </c>
      <c r="B39" s="678" t="s">
        <v>381</v>
      </c>
      <c r="C39" s="679">
        <v>13062</v>
      </c>
      <c r="D39" s="678">
        <v>6404</v>
      </c>
      <c r="E39" s="680">
        <v>45036</v>
      </c>
      <c r="F39" s="678">
        <v>4</v>
      </c>
      <c r="G39" s="681">
        <f>EDATE(E39,(F39*12)-14)</f>
        <v>46073</v>
      </c>
      <c r="H39" s="680">
        <v>46497</v>
      </c>
      <c r="I39" s="656" t="s">
        <v>84</v>
      </c>
      <c r="K39" s="672"/>
    </row>
    <row r="40" spans="1:11" ht="27" customHeight="1" x14ac:dyDescent="0.2">
      <c r="A40" s="678">
        <v>3</v>
      </c>
      <c r="B40" s="678" t="s">
        <v>438</v>
      </c>
      <c r="C40" s="679">
        <v>3048</v>
      </c>
      <c r="D40" s="678">
        <v>7456</v>
      </c>
      <c r="E40" s="680">
        <v>44316</v>
      </c>
      <c r="F40" s="678">
        <v>6</v>
      </c>
      <c r="G40" s="681">
        <v>46081</v>
      </c>
      <c r="H40" s="680">
        <v>46507</v>
      </c>
      <c r="I40" s="656" t="s">
        <v>84</v>
      </c>
      <c r="K40" s="672"/>
    </row>
    <row r="41" spans="1:11" ht="27" customHeight="1" x14ac:dyDescent="0.2">
      <c r="A41" s="678">
        <v>4</v>
      </c>
      <c r="B41" s="678" t="s">
        <v>710</v>
      </c>
      <c r="C41" s="679">
        <v>90930</v>
      </c>
      <c r="D41" s="678">
        <v>7576</v>
      </c>
      <c r="E41" s="680">
        <v>43670</v>
      </c>
      <c r="F41" s="678">
        <v>8</v>
      </c>
      <c r="G41" s="681">
        <v>46166</v>
      </c>
      <c r="H41" s="680">
        <v>46592</v>
      </c>
      <c r="I41" s="656" t="s">
        <v>96</v>
      </c>
      <c r="K41" s="672"/>
    </row>
    <row r="42" spans="1:11" ht="27" customHeight="1" x14ac:dyDescent="0.2">
      <c r="A42" s="678">
        <v>5</v>
      </c>
      <c r="B42" s="678" t="s">
        <v>738</v>
      </c>
      <c r="C42" s="679">
        <v>53918</v>
      </c>
      <c r="D42" s="678">
        <v>16771</v>
      </c>
      <c r="E42" s="680">
        <v>44447</v>
      </c>
      <c r="F42" s="678">
        <v>6</v>
      </c>
      <c r="G42" s="681">
        <v>46211</v>
      </c>
      <c r="H42" s="680">
        <v>46638</v>
      </c>
      <c r="I42" s="656" t="s">
        <v>96</v>
      </c>
      <c r="K42" s="672"/>
    </row>
    <row r="43" spans="1:11" ht="27" customHeight="1" x14ac:dyDescent="0.2">
      <c r="A43" s="678">
        <v>6</v>
      </c>
      <c r="B43" s="678" t="s">
        <v>968</v>
      </c>
      <c r="C43" s="679">
        <v>55202</v>
      </c>
      <c r="D43" s="678">
        <v>23018</v>
      </c>
      <c r="E43" s="680">
        <v>44530</v>
      </c>
      <c r="F43" s="678">
        <v>6</v>
      </c>
      <c r="G43" s="681">
        <v>46295</v>
      </c>
      <c r="H43" s="680">
        <v>46721</v>
      </c>
      <c r="I43" s="656" t="s">
        <v>84</v>
      </c>
      <c r="K43" s="672"/>
    </row>
    <row r="44" spans="1:11" ht="27" customHeight="1" x14ac:dyDescent="0.2">
      <c r="A44" s="678">
        <v>7</v>
      </c>
      <c r="B44" s="678" t="s">
        <v>966</v>
      </c>
      <c r="C44" s="679">
        <v>7171</v>
      </c>
      <c r="D44" s="678">
        <v>2305</v>
      </c>
      <c r="E44" s="680">
        <v>44621</v>
      </c>
      <c r="F44" s="678">
        <v>6</v>
      </c>
      <c r="G44" s="681">
        <v>46388</v>
      </c>
      <c r="H44" s="680">
        <v>46813</v>
      </c>
      <c r="I44" s="656" t="s">
        <v>84</v>
      </c>
      <c r="K44" s="672"/>
    </row>
    <row r="45" spans="1:11" ht="27" customHeight="1" x14ac:dyDescent="0.2">
      <c r="A45" s="678">
        <v>8</v>
      </c>
      <c r="B45" s="678" t="s">
        <v>727</v>
      </c>
      <c r="C45" s="679">
        <v>7520</v>
      </c>
      <c r="D45" s="678">
        <v>3248</v>
      </c>
      <c r="E45" s="680">
        <v>43895</v>
      </c>
      <c r="F45" s="678">
        <v>8</v>
      </c>
      <c r="G45" s="681">
        <v>46392</v>
      </c>
      <c r="H45" s="680">
        <v>46817</v>
      </c>
      <c r="I45" s="656" t="s">
        <v>84</v>
      </c>
      <c r="K45" s="672"/>
    </row>
    <row r="46" spans="1:11" ht="27" customHeight="1" x14ac:dyDescent="0.2">
      <c r="A46" s="678">
        <v>9</v>
      </c>
      <c r="B46" s="678" t="s">
        <v>482</v>
      </c>
      <c r="C46" s="679">
        <v>106574</v>
      </c>
      <c r="D46" s="678">
        <v>1109</v>
      </c>
      <c r="E46" s="680">
        <v>44960</v>
      </c>
      <c r="F46" s="678">
        <v>6</v>
      </c>
      <c r="G46" s="681">
        <v>46724</v>
      </c>
      <c r="H46" s="680">
        <v>47152</v>
      </c>
      <c r="I46" s="656" t="s">
        <v>84</v>
      </c>
      <c r="K46" s="672"/>
    </row>
    <row r="47" spans="1:11" ht="27" customHeight="1" x14ac:dyDescent="0.2">
      <c r="A47" s="678">
        <v>10</v>
      </c>
      <c r="B47" s="678" t="s">
        <v>490</v>
      </c>
      <c r="C47" s="679">
        <v>106794</v>
      </c>
      <c r="D47" s="678">
        <v>1110</v>
      </c>
      <c r="E47" s="680">
        <v>44960</v>
      </c>
      <c r="F47" s="678">
        <v>6</v>
      </c>
      <c r="G47" s="681">
        <v>46724</v>
      </c>
      <c r="H47" s="680">
        <v>47152</v>
      </c>
      <c r="I47" s="656" t="s">
        <v>84</v>
      </c>
      <c r="K47" s="672"/>
    </row>
    <row r="48" spans="1:11" ht="27" customHeight="1" x14ac:dyDescent="0.2">
      <c r="A48" s="678">
        <v>11</v>
      </c>
      <c r="B48" s="678" t="s">
        <v>101</v>
      </c>
      <c r="C48" s="679">
        <v>225</v>
      </c>
      <c r="D48" s="678">
        <v>1042</v>
      </c>
      <c r="E48" s="680">
        <v>44960</v>
      </c>
      <c r="F48" s="678">
        <v>6</v>
      </c>
      <c r="G48" s="681">
        <v>46724</v>
      </c>
      <c r="H48" s="680">
        <v>47152</v>
      </c>
      <c r="I48" s="656" t="s">
        <v>84</v>
      </c>
      <c r="K48" s="672"/>
    </row>
    <row r="49" spans="1:11" ht="27" customHeight="1" x14ac:dyDescent="0.2">
      <c r="A49" s="678">
        <v>12</v>
      </c>
      <c r="B49" s="678" t="s">
        <v>109</v>
      </c>
      <c r="C49" s="679">
        <v>54801</v>
      </c>
      <c r="D49" s="678">
        <v>1037</v>
      </c>
      <c r="E49" s="680">
        <v>44960</v>
      </c>
      <c r="F49" s="678">
        <v>6</v>
      </c>
      <c r="G49" s="681">
        <v>46724</v>
      </c>
      <c r="H49" s="680">
        <v>47152</v>
      </c>
      <c r="I49" s="656" t="s">
        <v>84</v>
      </c>
      <c r="K49" s="672"/>
    </row>
    <row r="50" spans="1:11" ht="27" customHeight="1" x14ac:dyDescent="0.2">
      <c r="A50" s="678">
        <v>13</v>
      </c>
      <c r="B50" s="678" t="s">
        <v>117</v>
      </c>
      <c r="C50" s="679">
        <v>4963</v>
      </c>
      <c r="D50" s="678">
        <v>6400</v>
      </c>
      <c r="E50" s="680">
        <v>45036</v>
      </c>
      <c r="F50" s="678">
        <v>6</v>
      </c>
      <c r="G50" s="681">
        <f t="shared" ref="G50:G58" si="1">EDATE(E50,(F50*12)-14)</f>
        <v>46803</v>
      </c>
      <c r="H50" s="680">
        <v>47228</v>
      </c>
      <c r="I50" s="656" t="s">
        <v>84</v>
      </c>
      <c r="K50" s="672"/>
    </row>
    <row r="51" spans="1:11" ht="27" customHeight="1" x14ac:dyDescent="0.2">
      <c r="A51" s="678">
        <v>14</v>
      </c>
      <c r="B51" s="678" t="s">
        <v>126</v>
      </c>
      <c r="C51" s="679">
        <v>11067</v>
      </c>
      <c r="D51" s="678">
        <v>6402</v>
      </c>
      <c r="E51" s="680">
        <v>45036</v>
      </c>
      <c r="F51" s="678">
        <v>4</v>
      </c>
      <c r="G51" s="681">
        <f t="shared" si="1"/>
        <v>46073</v>
      </c>
      <c r="H51" s="680">
        <v>46498</v>
      </c>
      <c r="I51" s="656" t="s">
        <v>84</v>
      </c>
      <c r="K51" s="672"/>
    </row>
    <row r="52" spans="1:11" ht="27" customHeight="1" x14ac:dyDescent="0.2">
      <c r="A52" s="678">
        <v>15</v>
      </c>
      <c r="B52" s="678" t="s">
        <v>971</v>
      </c>
      <c r="C52" s="679">
        <v>106575</v>
      </c>
      <c r="D52" s="678">
        <v>6405</v>
      </c>
      <c r="E52" s="680">
        <v>45036</v>
      </c>
      <c r="F52" s="678">
        <v>4</v>
      </c>
      <c r="G52" s="681">
        <f t="shared" si="1"/>
        <v>46073</v>
      </c>
      <c r="H52" s="680">
        <f t="shared" ref="H52:H58" si="2">EDATE(E52,(F52*12))</f>
        <v>46497</v>
      </c>
      <c r="I52" s="656" t="s">
        <v>84</v>
      </c>
      <c r="K52" s="672"/>
    </row>
    <row r="53" spans="1:11" ht="27" customHeight="1" x14ac:dyDescent="0.2">
      <c r="A53" s="678">
        <v>16</v>
      </c>
      <c r="B53" s="678" t="s">
        <v>508</v>
      </c>
      <c r="C53" s="679">
        <v>4010</v>
      </c>
      <c r="D53" s="678">
        <v>7568</v>
      </c>
      <c r="E53" s="680">
        <v>45054</v>
      </c>
      <c r="F53" s="678">
        <v>4</v>
      </c>
      <c r="G53" s="681">
        <f t="shared" si="1"/>
        <v>46089</v>
      </c>
      <c r="H53" s="680">
        <f t="shared" si="2"/>
        <v>46515</v>
      </c>
      <c r="I53" s="656" t="s">
        <v>84</v>
      </c>
      <c r="K53" s="672"/>
    </row>
    <row r="54" spans="1:11" ht="27" customHeight="1" x14ac:dyDescent="0.2">
      <c r="A54" s="678">
        <v>17</v>
      </c>
      <c r="B54" s="678" t="s">
        <v>237</v>
      </c>
      <c r="C54" s="679">
        <v>8441</v>
      </c>
      <c r="D54" s="678">
        <v>8576</v>
      </c>
      <c r="E54" s="680">
        <v>45071</v>
      </c>
      <c r="F54" s="678">
        <v>4</v>
      </c>
      <c r="G54" s="681">
        <f t="shared" si="1"/>
        <v>46106</v>
      </c>
      <c r="H54" s="680">
        <f t="shared" si="2"/>
        <v>46532</v>
      </c>
      <c r="I54" s="656" t="s">
        <v>84</v>
      </c>
      <c r="K54" s="672"/>
    </row>
    <row r="55" spans="1:11" ht="27" customHeight="1" x14ac:dyDescent="0.2">
      <c r="A55" s="678">
        <v>18</v>
      </c>
      <c r="B55" s="678" t="s">
        <v>644</v>
      </c>
      <c r="C55" s="679">
        <v>236</v>
      </c>
      <c r="D55" s="678">
        <v>8598</v>
      </c>
      <c r="E55" s="680">
        <v>45071</v>
      </c>
      <c r="F55" s="678">
        <v>6</v>
      </c>
      <c r="G55" s="681">
        <f t="shared" si="1"/>
        <v>46837</v>
      </c>
      <c r="H55" s="680">
        <f t="shared" si="2"/>
        <v>47263</v>
      </c>
      <c r="I55" s="656" t="s">
        <v>84</v>
      </c>
      <c r="K55" s="672"/>
    </row>
    <row r="56" spans="1:11" ht="27" customHeight="1" x14ac:dyDescent="0.2">
      <c r="A56" s="678">
        <v>19</v>
      </c>
      <c r="B56" s="678" t="s">
        <v>515</v>
      </c>
      <c r="C56" s="679">
        <v>2130</v>
      </c>
      <c r="D56" s="678">
        <v>8922</v>
      </c>
      <c r="E56" s="680">
        <v>45075</v>
      </c>
      <c r="F56" s="678">
        <v>6</v>
      </c>
      <c r="G56" s="681">
        <f t="shared" si="1"/>
        <v>46841</v>
      </c>
      <c r="H56" s="680">
        <f t="shared" si="2"/>
        <v>47267</v>
      </c>
      <c r="I56" s="656" t="s">
        <v>84</v>
      </c>
      <c r="K56" s="672"/>
    </row>
    <row r="57" spans="1:11" ht="27" customHeight="1" x14ac:dyDescent="0.2">
      <c r="A57" s="678">
        <v>20</v>
      </c>
      <c r="B57" s="678" t="s">
        <v>408</v>
      </c>
      <c r="C57" s="679">
        <v>232</v>
      </c>
      <c r="D57" s="678">
        <v>10048</v>
      </c>
      <c r="E57" s="680">
        <v>45100</v>
      </c>
      <c r="F57" s="678">
        <v>8</v>
      </c>
      <c r="G57" s="681">
        <f t="shared" si="1"/>
        <v>47596</v>
      </c>
      <c r="H57" s="680">
        <f t="shared" si="2"/>
        <v>48022</v>
      </c>
      <c r="I57" s="656" t="s">
        <v>84</v>
      </c>
      <c r="K57" s="672"/>
    </row>
    <row r="58" spans="1:11" ht="27" customHeight="1" x14ac:dyDescent="0.2">
      <c r="A58" s="678">
        <v>21</v>
      </c>
      <c r="B58" s="678" t="s">
        <v>310</v>
      </c>
      <c r="C58" s="679">
        <v>5269</v>
      </c>
      <c r="D58" s="682">
        <v>10687</v>
      </c>
      <c r="E58" s="680">
        <v>45112</v>
      </c>
      <c r="F58" s="678">
        <v>6</v>
      </c>
      <c r="G58" s="681">
        <f t="shared" si="1"/>
        <v>46878</v>
      </c>
      <c r="H58" s="680">
        <f t="shared" si="2"/>
        <v>47304</v>
      </c>
      <c r="I58" s="656" t="s">
        <v>84</v>
      </c>
      <c r="K58" s="672"/>
    </row>
    <row r="59" spans="1:11" ht="12.75" x14ac:dyDescent="0.2">
      <c r="C59" s="683"/>
      <c r="K59" s="672"/>
    </row>
    <row r="60" spans="1:11" ht="12.75" x14ac:dyDescent="0.2">
      <c r="C60" s="683"/>
      <c r="K60" s="672"/>
    </row>
    <row r="61" spans="1:11" ht="12.75" x14ac:dyDescent="0.2">
      <c r="C61" s="683"/>
      <c r="K61" s="672"/>
    </row>
    <row r="62" spans="1:11" ht="12.75" x14ac:dyDescent="0.2">
      <c r="C62" s="683"/>
      <c r="K62" s="672"/>
    </row>
    <row r="63" spans="1:11" ht="12.75" x14ac:dyDescent="0.2">
      <c r="C63" s="683"/>
      <c r="K63" s="672"/>
    </row>
    <row r="64" spans="1:11" ht="12.75" x14ac:dyDescent="0.2">
      <c r="C64" s="683"/>
      <c r="K64" s="672"/>
    </row>
    <row r="65" spans="3:11" ht="12.75" x14ac:dyDescent="0.2">
      <c r="C65" s="683"/>
      <c r="K65" s="672"/>
    </row>
    <row r="66" spans="3:11" ht="12.75" x14ac:dyDescent="0.2">
      <c r="C66" s="683"/>
      <c r="K66" s="672"/>
    </row>
    <row r="67" spans="3:11" ht="12.75" x14ac:dyDescent="0.2">
      <c r="C67" s="683"/>
      <c r="K67" s="672"/>
    </row>
    <row r="68" spans="3:11" ht="12.75" x14ac:dyDescent="0.2">
      <c r="C68" s="683"/>
      <c r="K68" s="672"/>
    </row>
    <row r="69" spans="3:11" ht="12.75" x14ac:dyDescent="0.2">
      <c r="C69" s="683"/>
      <c r="K69" s="672"/>
    </row>
    <row r="70" spans="3:11" ht="12.75" x14ac:dyDescent="0.2">
      <c r="C70" s="683"/>
      <c r="K70" s="672"/>
    </row>
    <row r="71" spans="3:11" ht="12.75" x14ac:dyDescent="0.2">
      <c r="C71" s="683"/>
      <c r="K71" s="672"/>
    </row>
    <row r="72" spans="3:11" ht="12.75" x14ac:dyDescent="0.2">
      <c r="C72" s="683"/>
      <c r="K72" s="672"/>
    </row>
    <row r="73" spans="3:11" ht="12.75" x14ac:dyDescent="0.2">
      <c r="C73" s="683"/>
      <c r="K73" s="672"/>
    </row>
    <row r="74" spans="3:11" ht="12.75" x14ac:dyDescent="0.2">
      <c r="C74" s="683"/>
      <c r="K74" s="672"/>
    </row>
    <row r="75" spans="3:11" ht="12.75" x14ac:dyDescent="0.2">
      <c r="C75" s="683"/>
      <c r="K75" s="672"/>
    </row>
    <row r="76" spans="3:11" ht="12.75" x14ac:dyDescent="0.2">
      <c r="C76" s="683"/>
      <c r="K76" s="672"/>
    </row>
    <row r="77" spans="3:11" ht="12.75" x14ac:dyDescent="0.2">
      <c r="C77" s="683"/>
      <c r="K77" s="672"/>
    </row>
    <row r="78" spans="3:11" ht="12.75" x14ac:dyDescent="0.2">
      <c r="C78" s="683"/>
      <c r="K78" s="672"/>
    </row>
    <row r="79" spans="3:11" ht="12.75" x14ac:dyDescent="0.2">
      <c r="C79" s="683"/>
      <c r="K79" s="672"/>
    </row>
    <row r="80" spans="3:11" ht="12.75" x14ac:dyDescent="0.2">
      <c r="C80" s="683"/>
      <c r="K80" s="672"/>
    </row>
    <row r="81" spans="3:11" ht="12.75" x14ac:dyDescent="0.2">
      <c r="C81" s="683"/>
      <c r="K81" s="672"/>
    </row>
    <row r="82" spans="3:11" ht="12.75" x14ac:dyDescent="0.2">
      <c r="C82" s="683"/>
      <c r="K82" s="672"/>
    </row>
    <row r="83" spans="3:11" ht="12.75" x14ac:dyDescent="0.2">
      <c r="C83" s="683"/>
      <c r="K83" s="672"/>
    </row>
    <row r="84" spans="3:11" ht="12.75" x14ac:dyDescent="0.2">
      <c r="C84" s="683"/>
      <c r="K84" s="672"/>
    </row>
    <row r="85" spans="3:11" ht="12.75" x14ac:dyDescent="0.2">
      <c r="C85" s="683"/>
      <c r="K85" s="672"/>
    </row>
    <row r="86" spans="3:11" ht="12.75" x14ac:dyDescent="0.2">
      <c r="C86" s="683"/>
      <c r="K86" s="672"/>
    </row>
    <row r="87" spans="3:11" ht="12.75" x14ac:dyDescent="0.2">
      <c r="C87" s="683"/>
      <c r="K87" s="672"/>
    </row>
    <row r="88" spans="3:11" ht="12.75" x14ac:dyDescent="0.2">
      <c r="C88" s="683"/>
      <c r="K88" s="672"/>
    </row>
    <row r="89" spans="3:11" ht="12.75" x14ac:dyDescent="0.2">
      <c r="C89" s="683"/>
      <c r="K89" s="672"/>
    </row>
    <row r="90" spans="3:11" ht="12.75" x14ac:dyDescent="0.2">
      <c r="C90" s="683"/>
      <c r="K90" s="672"/>
    </row>
    <row r="91" spans="3:11" ht="12.75" x14ac:dyDescent="0.2">
      <c r="C91" s="683"/>
      <c r="K91" s="672"/>
    </row>
    <row r="92" spans="3:11" ht="12.75" x14ac:dyDescent="0.2">
      <c r="C92" s="683"/>
      <c r="K92" s="672"/>
    </row>
    <row r="93" spans="3:11" ht="12.75" x14ac:dyDescent="0.2">
      <c r="C93" s="683"/>
      <c r="K93" s="672"/>
    </row>
    <row r="94" spans="3:11" ht="12.75" x14ac:dyDescent="0.2">
      <c r="C94" s="683"/>
      <c r="K94" s="672"/>
    </row>
    <row r="95" spans="3:11" ht="12.75" x14ac:dyDescent="0.2">
      <c r="C95" s="683"/>
      <c r="K95" s="672"/>
    </row>
    <row r="96" spans="3:11" ht="12.75" x14ac:dyDescent="0.2">
      <c r="C96" s="683"/>
      <c r="K96" s="672"/>
    </row>
    <row r="97" spans="3:11" ht="12.75" x14ac:dyDescent="0.2">
      <c r="C97" s="683"/>
      <c r="K97" s="672"/>
    </row>
    <row r="98" spans="3:11" ht="12.75" x14ac:dyDescent="0.2">
      <c r="C98" s="683"/>
      <c r="K98" s="672"/>
    </row>
    <row r="99" spans="3:11" ht="12.75" x14ac:dyDescent="0.2">
      <c r="C99" s="683"/>
      <c r="K99" s="672"/>
    </row>
    <row r="100" spans="3:11" ht="12.75" x14ac:dyDescent="0.2">
      <c r="C100" s="683"/>
      <c r="K100" s="672"/>
    </row>
    <row r="101" spans="3:11" ht="12.75" x14ac:dyDescent="0.2">
      <c r="C101" s="683"/>
      <c r="K101" s="672"/>
    </row>
    <row r="102" spans="3:11" ht="12.75" x14ac:dyDescent="0.2">
      <c r="C102" s="683"/>
      <c r="K102" s="672"/>
    </row>
    <row r="103" spans="3:11" ht="12.75" x14ac:dyDescent="0.2">
      <c r="C103" s="683"/>
      <c r="K103" s="672"/>
    </row>
    <row r="104" spans="3:11" ht="12.75" x14ac:dyDescent="0.2">
      <c r="C104" s="683"/>
      <c r="K104" s="672"/>
    </row>
    <row r="105" spans="3:11" ht="12.75" x14ac:dyDescent="0.2">
      <c r="C105" s="683"/>
      <c r="K105" s="672"/>
    </row>
    <row r="106" spans="3:11" ht="12.75" x14ac:dyDescent="0.2">
      <c r="C106" s="683"/>
      <c r="K106" s="672"/>
    </row>
    <row r="107" spans="3:11" ht="12.75" x14ac:dyDescent="0.2">
      <c r="C107" s="683"/>
      <c r="K107" s="672"/>
    </row>
    <row r="108" spans="3:11" ht="12.75" x14ac:dyDescent="0.2">
      <c r="C108" s="683"/>
      <c r="K108" s="672"/>
    </row>
    <row r="109" spans="3:11" ht="12.75" x14ac:dyDescent="0.2">
      <c r="C109" s="683"/>
      <c r="K109" s="672"/>
    </row>
    <row r="110" spans="3:11" ht="12.75" x14ac:dyDescent="0.2">
      <c r="C110" s="683"/>
      <c r="K110" s="672"/>
    </row>
    <row r="111" spans="3:11" ht="12.75" x14ac:dyDescent="0.2">
      <c r="C111" s="683"/>
      <c r="K111" s="672"/>
    </row>
    <row r="112" spans="3:11" ht="12.75" x14ac:dyDescent="0.2">
      <c r="C112" s="683"/>
      <c r="K112" s="672"/>
    </row>
    <row r="113" spans="3:11" ht="12.75" x14ac:dyDescent="0.2">
      <c r="C113" s="683"/>
      <c r="K113" s="672"/>
    </row>
    <row r="114" spans="3:11" ht="12.75" x14ac:dyDescent="0.2">
      <c r="C114" s="683"/>
      <c r="K114" s="672"/>
    </row>
    <row r="115" spans="3:11" ht="12.75" x14ac:dyDescent="0.2">
      <c r="C115" s="683"/>
      <c r="K115" s="672"/>
    </row>
    <row r="116" spans="3:11" ht="12.75" x14ac:dyDescent="0.2">
      <c r="C116" s="683"/>
      <c r="K116" s="672"/>
    </row>
    <row r="117" spans="3:11" ht="12.75" x14ac:dyDescent="0.2">
      <c r="C117" s="683"/>
      <c r="K117" s="672"/>
    </row>
    <row r="118" spans="3:11" ht="12.75" x14ac:dyDescent="0.2">
      <c r="C118" s="683"/>
      <c r="K118" s="672"/>
    </row>
    <row r="119" spans="3:11" ht="12.75" x14ac:dyDescent="0.2">
      <c r="C119" s="683"/>
      <c r="K119" s="672"/>
    </row>
    <row r="120" spans="3:11" ht="12.75" x14ac:dyDescent="0.2">
      <c r="C120" s="683"/>
      <c r="K120" s="672"/>
    </row>
    <row r="121" spans="3:11" ht="12.75" x14ac:dyDescent="0.2">
      <c r="C121" s="683"/>
      <c r="K121" s="672"/>
    </row>
    <row r="122" spans="3:11" ht="12.75" x14ac:dyDescent="0.2">
      <c r="C122" s="683"/>
      <c r="K122" s="672"/>
    </row>
    <row r="123" spans="3:11" ht="12.75" x14ac:dyDescent="0.2">
      <c r="C123" s="683"/>
      <c r="K123" s="672"/>
    </row>
    <row r="124" spans="3:11" ht="12.75" x14ac:dyDescent="0.2">
      <c r="C124" s="683"/>
      <c r="K124" s="672"/>
    </row>
    <row r="125" spans="3:11" ht="12.75" x14ac:dyDescent="0.2">
      <c r="C125" s="683"/>
      <c r="K125" s="672"/>
    </row>
    <row r="126" spans="3:11" ht="12.75" x14ac:dyDescent="0.2">
      <c r="C126" s="683"/>
      <c r="K126" s="672"/>
    </row>
    <row r="127" spans="3:11" ht="12.75" x14ac:dyDescent="0.2">
      <c r="C127" s="683"/>
      <c r="K127" s="672"/>
    </row>
    <row r="128" spans="3:11" ht="12.75" x14ac:dyDescent="0.2">
      <c r="C128" s="683"/>
      <c r="K128" s="672"/>
    </row>
    <row r="129" spans="3:11" ht="12.75" x14ac:dyDescent="0.2">
      <c r="C129" s="683"/>
      <c r="K129" s="672"/>
    </row>
    <row r="130" spans="3:11" ht="12.75" x14ac:dyDescent="0.2">
      <c r="C130" s="683"/>
      <c r="K130" s="672"/>
    </row>
    <row r="131" spans="3:11" ht="12.75" x14ac:dyDescent="0.2">
      <c r="C131" s="683"/>
      <c r="K131" s="672"/>
    </row>
    <row r="132" spans="3:11" ht="12.75" x14ac:dyDescent="0.2">
      <c r="C132" s="683"/>
      <c r="K132" s="672"/>
    </row>
    <row r="133" spans="3:11" ht="12.75" x14ac:dyDescent="0.2">
      <c r="C133" s="683"/>
      <c r="K133" s="672"/>
    </row>
    <row r="134" spans="3:11" ht="12.75" x14ac:dyDescent="0.2">
      <c r="C134" s="683"/>
      <c r="K134" s="672"/>
    </row>
    <row r="135" spans="3:11" ht="12.75" x14ac:dyDescent="0.2">
      <c r="C135" s="683"/>
      <c r="K135" s="672"/>
    </row>
    <row r="136" spans="3:11" ht="12.75" x14ac:dyDescent="0.2">
      <c r="C136" s="683"/>
      <c r="K136" s="672"/>
    </row>
    <row r="137" spans="3:11" ht="12.75" x14ac:dyDescent="0.2">
      <c r="C137" s="683"/>
      <c r="K137" s="672"/>
    </row>
    <row r="138" spans="3:11" ht="12.75" x14ac:dyDescent="0.2">
      <c r="C138" s="683"/>
      <c r="K138" s="672"/>
    </row>
    <row r="139" spans="3:11" ht="12.75" x14ac:dyDescent="0.2">
      <c r="C139" s="683"/>
      <c r="K139" s="672"/>
    </row>
    <row r="140" spans="3:11" ht="12.75" x14ac:dyDescent="0.2">
      <c r="C140" s="683"/>
      <c r="K140" s="672"/>
    </row>
    <row r="141" spans="3:11" ht="12.75" x14ac:dyDescent="0.2">
      <c r="C141" s="683"/>
      <c r="K141" s="672"/>
    </row>
    <row r="142" spans="3:11" ht="12.75" x14ac:dyDescent="0.2">
      <c r="C142" s="683"/>
      <c r="K142" s="672"/>
    </row>
    <row r="143" spans="3:11" ht="12.75" x14ac:dyDescent="0.2">
      <c r="C143" s="683"/>
      <c r="K143" s="672"/>
    </row>
    <row r="144" spans="3:11" ht="12.75" x14ac:dyDescent="0.2">
      <c r="C144" s="683"/>
      <c r="K144" s="672"/>
    </row>
    <row r="145" spans="3:11" ht="12.75" x14ac:dyDescent="0.2">
      <c r="C145" s="683"/>
      <c r="K145" s="672"/>
    </row>
    <row r="146" spans="3:11" ht="12.75" x14ac:dyDescent="0.2">
      <c r="C146" s="683"/>
      <c r="K146" s="672"/>
    </row>
    <row r="147" spans="3:11" ht="12.75" x14ac:dyDescent="0.2">
      <c r="C147" s="683"/>
      <c r="K147" s="672"/>
    </row>
    <row r="148" spans="3:11" ht="12.75" x14ac:dyDescent="0.2">
      <c r="C148" s="683"/>
      <c r="K148" s="672"/>
    </row>
    <row r="149" spans="3:11" ht="12.75" x14ac:dyDescent="0.2">
      <c r="C149" s="683"/>
      <c r="K149" s="672"/>
    </row>
    <row r="150" spans="3:11" ht="12.75" x14ac:dyDescent="0.2">
      <c r="C150" s="683"/>
      <c r="K150" s="672"/>
    </row>
    <row r="151" spans="3:11" ht="12.75" x14ac:dyDescent="0.2">
      <c r="C151" s="683"/>
      <c r="K151" s="672"/>
    </row>
    <row r="152" spans="3:11" ht="12.75" x14ac:dyDescent="0.2">
      <c r="C152" s="683"/>
      <c r="K152" s="672"/>
    </row>
    <row r="153" spans="3:11" ht="12.75" x14ac:dyDescent="0.2">
      <c r="C153" s="683"/>
      <c r="K153" s="672"/>
    </row>
    <row r="154" spans="3:11" ht="12.75" x14ac:dyDescent="0.2">
      <c r="C154" s="683"/>
      <c r="K154" s="672"/>
    </row>
    <row r="155" spans="3:11" ht="12.75" x14ac:dyDescent="0.2">
      <c r="C155" s="683"/>
      <c r="K155" s="672"/>
    </row>
    <row r="156" spans="3:11" ht="12.75" x14ac:dyDescent="0.2">
      <c r="C156" s="683"/>
      <c r="K156" s="672"/>
    </row>
    <row r="157" spans="3:11" ht="12.75" x14ac:dyDescent="0.2">
      <c r="C157" s="683"/>
      <c r="K157" s="672"/>
    </row>
    <row r="158" spans="3:11" ht="12.75" x14ac:dyDescent="0.2">
      <c r="C158" s="683"/>
      <c r="K158" s="672"/>
    </row>
    <row r="159" spans="3:11" ht="12.75" x14ac:dyDescent="0.2">
      <c r="C159" s="683"/>
      <c r="K159" s="672"/>
    </row>
    <row r="160" spans="3:11" ht="12.75" x14ac:dyDescent="0.2">
      <c r="C160" s="683"/>
      <c r="K160" s="672"/>
    </row>
    <row r="161" spans="3:11" ht="12.75" x14ac:dyDescent="0.2">
      <c r="C161" s="683"/>
      <c r="K161" s="672"/>
    </row>
    <row r="162" spans="3:11" ht="12.75" x14ac:dyDescent="0.2">
      <c r="C162" s="683"/>
      <c r="K162" s="672"/>
    </row>
    <row r="163" spans="3:11" ht="12.75" x14ac:dyDescent="0.2">
      <c r="C163" s="683"/>
      <c r="K163" s="672"/>
    </row>
    <row r="164" spans="3:11" ht="12.75" x14ac:dyDescent="0.2">
      <c r="C164" s="683"/>
      <c r="K164" s="672"/>
    </row>
    <row r="165" spans="3:11" ht="12.75" x14ac:dyDescent="0.2">
      <c r="C165" s="683"/>
      <c r="K165" s="672"/>
    </row>
    <row r="166" spans="3:11" ht="12.75" x14ac:dyDescent="0.2">
      <c r="C166" s="683"/>
      <c r="K166" s="672"/>
    </row>
    <row r="167" spans="3:11" ht="12.75" x14ac:dyDescent="0.2">
      <c r="C167" s="683"/>
      <c r="K167" s="672"/>
    </row>
    <row r="168" spans="3:11" ht="12.75" x14ac:dyDescent="0.2">
      <c r="C168" s="683"/>
      <c r="K168" s="672"/>
    </row>
    <row r="169" spans="3:11" ht="12.75" x14ac:dyDescent="0.2">
      <c r="C169" s="683"/>
      <c r="K169" s="672"/>
    </row>
    <row r="170" spans="3:11" ht="12.75" x14ac:dyDescent="0.2">
      <c r="C170" s="683"/>
      <c r="K170" s="672"/>
    </row>
    <row r="171" spans="3:11" ht="12.75" x14ac:dyDescent="0.2">
      <c r="C171" s="683"/>
      <c r="K171" s="672"/>
    </row>
    <row r="172" spans="3:11" ht="12.75" x14ac:dyDescent="0.2">
      <c r="C172" s="683"/>
      <c r="K172" s="672"/>
    </row>
    <row r="173" spans="3:11" ht="12.75" x14ac:dyDescent="0.2">
      <c r="C173" s="683"/>
      <c r="K173" s="672"/>
    </row>
    <row r="174" spans="3:11" ht="12.75" x14ac:dyDescent="0.2">
      <c r="C174" s="683"/>
      <c r="K174" s="672"/>
    </row>
    <row r="175" spans="3:11" ht="12.75" x14ac:dyDescent="0.2">
      <c r="C175" s="683"/>
      <c r="K175" s="672"/>
    </row>
    <row r="176" spans="3:11" ht="12.75" x14ac:dyDescent="0.2">
      <c r="C176" s="683"/>
      <c r="K176" s="672"/>
    </row>
    <row r="177" spans="3:11" ht="12.75" x14ac:dyDescent="0.2">
      <c r="C177" s="683"/>
      <c r="K177" s="672"/>
    </row>
    <row r="178" spans="3:11" ht="12.75" x14ac:dyDescent="0.2">
      <c r="C178" s="683"/>
      <c r="K178" s="672"/>
    </row>
    <row r="179" spans="3:11" ht="12.75" x14ac:dyDescent="0.2">
      <c r="C179" s="683"/>
      <c r="K179" s="672"/>
    </row>
    <row r="180" spans="3:11" ht="12.75" x14ac:dyDescent="0.2">
      <c r="C180" s="683"/>
      <c r="K180" s="672"/>
    </row>
    <row r="181" spans="3:11" ht="12.75" x14ac:dyDescent="0.2">
      <c r="C181" s="683"/>
      <c r="K181" s="672"/>
    </row>
    <row r="182" spans="3:11" ht="12.75" x14ac:dyDescent="0.2">
      <c r="C182" s="683"/>
      <c r="K182" s="672"/>
    </row>
    <row r="183" spans="3:11" ht="12.75" x14ac:dyDescent="0.2">
      <c r="C183" s="683"/>
      <c r="K183" s="672"/>
    </row>
    <row r="184" spans="3:11" ht="12.75" x14ac:dyDescent="0.2">
      <c r="C184" s="683"/>
      <c r="K184" s="672"/>
    </row>
    <row r="185" spans="3:11" ht="12.75" x14ac:dyDescent="0.2">
      <c r="C185" s="683"/>
      <c r="K185" s="672"/>
    </row>
    <row r="186" spans="3:11" ht="12.75" x14ac:dyDescent="0.2">
      <c r="C186" s="683"/>
      <c r="K186" s="672"/>
    </row>
    <row r="187" spans="3:11" ht="12.75" x14ac:dyDescent="0.2">
      <c r="C187" s="683"/>
      <c r="K187" s="672"/>
    </row>
    <row r="188" spans="3:11" ht="12.75" x14ac:dyDescent="0.2">
      <c r="C188" s="683"/>
      <c r="K188" s="672"/>
    </row>
    <row r="189" spans="3:11" ht="12.75" x14ac:dyDescent="0.2">
      <c r="C189" s="683"/>
      <c r="K189" s="672"/>
    </row>
    <row r="190" spans="3:11" ht="12.75" x14ac:dyDescent="0.2">
      <c r="C190" s="683"/>
      <c r="K190" s="672"/>
    </row>
    <row r="191" spans="3:11" ht="12.75" x14ac:dyDescent="0.2">
      <c r="C191" s="683"/>
      <c r="K191" s="672"/>
    </row>
    <row r="192" spans="3:11" ht="12.75" x14ac:dyDescent="0.2">
      <c r="C192" s="683"/>
      <c r="K192" s="672"/>
    </row>
    <row r="193" spans="3:11" ht="12.75" x14ac:dyDescent="0.2">
      <c r="C193" s="683"/>
      <c r="K193" s="672"/>
    </row>
    <row r="194" spans="3:11" ht="12.75" x14ac:dyDescent="0.2">
      <c r="C194" s="683"/>
      <c r="K194" s="672"/>
    </row>
    <row r="195" spans="3:11" ht="12.75" x14ac:dyDescent="0.2">
      <c r="C195" s="683"/>
      <c r="K195" s="672"/>
    </row>
    <row r="196" spans="3:11" ht="12.75" x14ac:dyDescent="0.2">
      <c r="C196" s="683"/>
      <c r="K196" s="672"/>
    </row>
    <row r="197" spans="3:11" ht="12.75" x14ac:dyDescent="0.2">
      <c r="C197" s="683"/>
      <c r="K197" s="672"/>
    </row>
    <row r="198" spans="3:11" ht="12.75" x14ac:dyDescent="0.2">
      <c r="C198" s="683"/>
      <c r="K198" s="672"/>
    </row>
    <row r="199" spans="3:11" ht="12.75" x14ac:dyDescent="0.2">
      <c r="C199" s="683"/>
      <c r="K199" s="672"/>
    </row>
    <row r="200" spans="3:11" ht="12.75" x14ac:dyDescent="0.2">
      <c r="C200" s="683"/>
      <c r="K200" s="672"/>
    </row>
    <row r="201" spans="3:11" ht="12.75" x14ac:dyDescent="0.2">
      <c r="C201" s="683"/>
      <c r="K201" s="672"/>
    </row>
    <row r="202" spans="3:11" ht="12.75" x14ac:dyDescent="0.2">
      <c r="C202" s="683"/>
      <c r="K202" s="672"/>
    </row>
    <row r="203" spans="3:11" ht="12.75" x14ac:dyDescent="0.2">
      <c r="C203" s="683"/>
      <c r="K203" s="672"/>
    </row>
    <row r="204" spans="3:11" ht="12.75" x14ac:dyDescent="0.2">
      <c r="C204" s="683"/>
      <c r="K204" s="672"/>
    </row>
    <row r="205" spans="3:11" ht="12.75" x14ac:dyDescent="0.2">
      <c r="C205" s="683"/>
      <c r="K205" s="672"/>
    </row>
    <row r="206" spans="3:11" ht="12.75" x14ac:dyDescent="0.2">
      <c r="C206" s="683"/>
      <c r="K206" s="672"/>
    </row>
    <row r="207" spans="3:11" ht="12.75" x14ac:dyDescent="0.2">
      <c r="C207" s="683"/>
      <c r="K207" s="672"/>
    </row>
    <row r="208" spans="3:11" ht="12.75" x14ac:dyDescent="0.2">
      <c r="C208" s="683"/>
      <c r="K208" s="672"/>
    </row>
    <row r="209" spans="3:11" ht="12.75" x14ac:dyDescent="0.2">
      <c r="C209" s="683"/>
      <c r="K209" s="672"/>
    </row>
    <row r="210" spans="3:11" ht="12.75" x14ac:dyDescent="0.2">
      <c r="C210" s="683"/>
      <c r="K210" s="672"/>
    </row>
    <row r="211" spans="3:11" ht="12.75" x14ac:dyDescent="0.2">
      <c r="C211" s="683"/>
      <c r="K211" s="672"/>
    </row>
    <row r="212" spans="3:11" ht="12.75" x14ac:dyDescent="0.2">
      <c r="C212" s="683"/>
      <c r="K212" s="672"/>
    </row>
    <row r="213" spans="3:11" ht="12.75" x14ac:dyDescent="0.2">
      <c r="C213" s="683"/>
      <c r="K213" s="672"/>
    </row>
    <row r="214" spans="3:11" ht="12.75" x14ac:dyDescent="0.2">
      <c r="C214" s="683"/>
      <c r="K214" s="672"/>
    </row>
    <row r="215" spans="3:11" ht="12.75" x14ac:dyDescent="0.2">
      <c r="C215" s="683"/>
      <c r="K215" s="672"/>
    </row>
    <row r="216" spans="3:11" ht="12.75" x14ac:dyDescent="0.2">
      <c r="C216" s="683"/>
      <c r="K216" s="672"/>
    </row>
    <row r="217" spans="3:11" ht="12.75" x14ac:dyDescent="0.2">
      <c r="C217" s="683"/>
      <c r="K217" s="672"/>
    </row>
    <row r="218" spans="3:11" ht="12.75" x14ac:dyDescent="0.2">
      <c r="C218" s="683"/>
      <c r="K218" s="672"/>
    </row>
    <row r="219" spans="3:11" ht="12.75" x14ac:dyDescent="0.2">
      <c r="C219" s="683"/>
      <c r="K219" s="672"/>
    </row>
    <row r="220" spans="3:11" ht="12.75" x14ac:dyDescent="0.2">
      <c r="C220" s="683"/>
      <c r="K220" s="672"/>
    </row>
    <row r="221" spans="3:11" ht="12.75" x14ac:dyDescent="0.2">
      <c r="C221" s="683"/>
      <c r="K221" s="672"/>
    </row>
    <row r="222" spans="3:11" ht="12.75" x14ac:dyDescent="0.2">
      <c r="C222" s="683"/>
      <c r="K222" s="672"/>
    </row>
    <row r="223" spans="3:11" ht="12.75" x14ac:dyDescent="0.2">
      <c r="C223" s="683"/>
      <c r="K223" s="672"/>
    </row>
    <row r="224" spans="3:11" ht="12.75" x14ac:dyDescent="0.2">
      <c r="C224" s="683"/>
      <c r="K224" s="672"/>
    </row>
    <row r="225" spans="3:11" ht="12.75" x14ac:dyDescent="0.2">
      <c r="C225" s="683"/>
      <c r="K225" s="672"/>
    </row>
    <row r="226" spans="3:11" ht="12.75" x14ac:dyDescent="0.2">
      <c r="C226" s="683"/>
      <c r="K226" s="672"/>
    </row>
    <row r="227" spans="3:11" ht="12.75" x14ac:dyDescent="0.2">
      <c r="C227" s="683"/>
      <c r="K227" s="672"/>
    </row>
    <row r="228" spans="3:11" ht="12.75" x14ac:dyDescent="0.2">
      <c r="C228" s="683"/>
      <c r="K228" s="672"/>
    </row>
    <row r="229" spans="3:11" ht="12.75" x14ac:dyDescent="0.2">
      <c r="C229" s="683"/>
      <c r="K229" s="672"/>
    </row>
    <row r="230" spans="3:11" ht="12.75" x14ac:dyDescent="0.2">
      <c r="C230" s="683"/>
      <c r="K230" s="672"/>
    </row>
    <row r="231" spans="3:11" ht="12.75" x14ac:dyDescent="0.2">
      <c r="C231" s="683"/>
      <c r="K231" s="672"/>
    </row>
    <row r="232" spans="3:11" ht="12.75" x14ac:dyDescent="0.2">
      <c r="C232" s="683"/>
      <c r="K232" s="672"/>
    </row>
    <row r="233" spans="3:11" ht="12.75" x14ac:dyDescent="0.2">
      <c r="C233" s="683"/>
      <c r="K233" s="672"/>
    </row>
    <row r="234" spans="3:11" ht="12.75" x14ac:dyDescent="0.2">
      <c r="C234" s="683"/>
      <c r="K234" s="672"/>
    </row>
    <row r="235" spans="3:11" ht="12.75" x14ac:dyDescent="0.2">
      <c r="C235" s="683"/>
      <c r="K235" s="672"/>
    </row>
    <row r="236" spans="3:11" ht="12.75" x14ac:dyDescent="0.2">
      <c r="C236" s="683"/>
      <c r="K236" s="672"/>
    </row>
    <row r="237" spans="3:11" ht="12.75" x14ac:dyDescent="0.2">
      <c r="C237" s="683"/>
      <c r="K237" s="672"/>
    </row>
    <row r="238" spans="3:11" ht="12.75" x14ac:dyDescent="0.2">
      <c r="C238" s="683"/>
      <c r="K238" s="672"/>
    </row>
    <row r="239" spans="3:11" ht="12.75" x14ac:dyDescent="0.2">
      <c r="C239" s="683"/>
      <c r="K239" s="672"/>
    </row>
    <row r="240" spans="3:11" ht="12.75" x14ac:dyDescent="0.2">
      <c r="C240" s="683"/>
      <c r="K240" s="672"/>
    </row>
    <row r="241" spans="3:11" ht="12.75" x14ac:dyDescent="0.2">
      <c r="C241" s="683"/>
      <c r="K241" s="672"/>
    </row>
    <row r="242" spans="3:11" ht="12.75" x14ac:dyDescent="0.2">
      <c r="C242" s="683"/>
      <c r="K242" s="672"/>
    </row>
    <row r="243" spans="3:11" ht="12.75" x14ac:dyDescent="0.2">
      <c r="C243" s="683"/>
      <c r="K243" s="672"/>
    </row>
    <row r="244" spans="3:11" ht="12.75" x14ac:dyDescent="0.2">
      <c r="C244" s="683"/>
      <c r="K244" s="672"/>
    </row>
    <row r="245" spans="3:11" ht="12.75" x14ac:dyDescent="0.2">
      <c r="C245" s="683"/>
      <c r="K245" s="672"/>
    </row>
    <row r="246" spans="3:11" ht="12.75" x14ac:dyDescent="0.2">
      <c r="C246" s="683"/>
      <c r="K246" s="672"/>
    </row>
    <row r="247" spans="3:11" ht="12.75" x14ac:dyDescent="0.2">
      <c r="C247" s="683"/>
      <c r="K247" s="672"/>
    </row>
    <row r="248" spans="3:11" ht="12.75" x14ac:dyDescent="0.2">
      <c r="C248" s="683"/>
      <c r="K248" s="672"/>
    </row>
    <row r="249" spans="3:11" ht="12.75" x14ac:dyDescent="0.2">
      <c r="C249" s="683"/>
      <c r="K249" s="672"/>
    </row>
    <row r="250" spans="3:11" ht="12.75" x14ac:dyDescent="0.2">
      <c r="C250" s="683"/>
      <c r="K250" s="672"/>
    </row>
    <row r="251" spans="3:11" ht="12.75" x14ac:dyDescent="0.2">
      <c r="C251" s="683"/>
      <c r="K251" s="672"/>
    </row>
    <row r="252" spans="3:11" ht="12.75" x14ac:dyDescent="0.2">
      <c r="C252" s="683"/>
      <c r="K252" s="672"/>
    </row>
    <row r="253" spans="3:11" ht="12.75" x14ac:dyDescent="0.2">
      <c r="C253" s="683"/>
      <c r="K253" s="672"/>
    </row>
    <row r="254" spans="3:11" ht="12.75" x14ac:dyDescent="0.2">
      <c r="C254" s="683"/>
      <c r="K254" s="672"/>
    </row>
    <row r="255" spans="3:11" ht="12.75" x14ac:dyDescent="0.2">
      <c r="C255" s="683"/>
      <c r="K255" s="672"/>
    </row>
    <row r="256" spans="3:11" ht="12.75" x14ac:dyDescent="0.2">
      <c r="C256" s="683"/>
      <c r="K256" s="672"/>
    </row>
    <row r="257" spans="3:11" ht="12.75" x14ac:dyDescent="0.2">
      <c r="C257" s="683"/>
      <c r="K257" s="672"/>
    </row>
    <row r="258" spans="3:11" ht="12.75" x14ac:dyDescent="0.2">
      <c r="C258" s="683"/>
      <c r="K258" s="672"/>
    </row>
    <row r="259" spans="3:11" ht="12.75" x14ac:dyDescent="0.2">
      <c r="C259" s="683"/>
      <c r="K259" s="672"/>
    </row>
    <row r="260" spans="3:11" ht="12.75" x14ac:dyDescent="0.2">
      <c r="C260" s="683"/>
      <c r="K260" s="672"/>
    </row>
    <row r="261" spans="3:11" ht="12.75" x14ac:dyDescent="0.2">
      <c r="C261" s="683"/>
      <c r="K261" s="672"/>
    </row>
    <row r="262" spans="3:11" ht="12.75" x14ac:dyDescent="0.2">
      <c r="C262" s="683"/>
      <c r="K262" s="672"/>
    </row>
    <row r="263" spans="3:11" ht="12.75" x14ac:dyDescent="0.2">
      <c r="C263" s="683"/>
      <c r="K263" s="672"/>
    </row>
    <row r="264" spans="3:11" ht="12.75" x14ac:dyDescent="0.2">
      <c r="C264" s="683"/>
      <c r="K264" s="672"/>
    </row>
    <row r="265" spans="3:11" ht="12.75" x14ac:dyDescent="0.2">
      <c r="C265" s="683"/>
      <c r="K265" s="672"/>
    </row>
    <row r="266" spans="3:11" ht="12.75" x14ac:dyDescent="0.2">
      <c r="C266" s="683"/>
      <c r="K266" s="672"/>
    </row>
    <row r="267" spans="3:11" ht="12.75" x14ac:dyDescent="0.2">
      <c r="C267" s="683"/>
      <c r="K267" s="672"/>
    </row>
    <row r="268" spans="3:11" ht="12.75" x14ac:dyDescent="0.2">
      <c r="C268" s="683"/>
      <c r="K268" s="672"/>
    </row>
    <row r="269" spans="3:11" ht="12.75" x14ac:dyDescent="0.2">
      <c r="C269" s="683"/>
      <c r="K269" s="672"/>
    </row>
    <row r="270" spans="3:11" ht="12.75" x14ac:dyDescent="0.2">
      <c r="C270" s="683"/>
      <c r="K270" s="672"/>
    </row>
    <row r="271" spans="3:11" ht="12.75" x14ac:dyDescent="0.2">
      <c r="C271" s="683"/>
      <c r="K271" s="672"/>
    </row>
    <row r="272" spans="3:11" ht="12.75" x14ac:dyDescent="0.2">
      <c r="C272" s="683"/>
      <c r="K272" s="672"/>
    </row>
    <row r="273" spans="3:11" ht="12.75" x14ac:dyDescent="0.2">
      <c r="C273" s="683"/>
      <c r="K273" s="672"/>
    </row>
    <row r="274" spans="3:11" ht="12.75" x14ac:dyDescent="0.2">
      <c r="C274" s="683"/>
      <c r="K274" s="672"/>
    </row>
    <row r="275" spans="3:11" ht="12.75" x14ac:dyDescent="0.2">
      <c r="C275" s="683"/>
      <c r="K275" s="672"/>
    </row>
    <row r="276" spans="3:11" ht="12.75" x14ac:dyDescent="0.2">
      <c r="C276" s="683"/>
      <c r="K276" s="672"/>
    </row>
    <row r="277" spans="3:11" ht="12.75" x14ac:dyDescent="0.2">
      <c r="C277" s="683"/>
      <c r="K277" s="672"/>
    </row>
    <row r="278" spans="3:11" ht="12.75" x14ac:dyDescent="0.2">
      <c r="C278" s="683"/>
      <c r="K278" s="672"/>
    </row>
    <row r="279" spans="3:11" ht="12.75" x14ac:dyDescent="0.2">
      <c r="C279" s="683"/>
      <c r="K279" s="672"/>
    </row>
    <row r="280" spans="3:11" ht="12.75" x14ac:dyDescent="0.2">
      <c r="C280" s="683"/>
      <c r="K280" s="672"/>
    </row>
    <row r="281" spans="3:11" ht="12.75" x14ac:dyDescent="0.2">
      <c r="C281" s="683"/>
      <c r="K281" s="672"/>
    </row>
    <row r="282" spans="3:11" ht="12.75" x14ac:dyDescent="0.2">
      <c r="C282" s="683"/>
      <c r="K282" s="672"/>
    </row>
    <row r="283" spans="3:11" ht="12.75" x14ac:dyDescent="0.2">
      <c r="C283" s="683"/>
      <c r="K283" s="672"/>
    </row>
    <row r="284" spans="3:11" ht="12.75" x14ac:dyDescent="0.2">
      <c r="C284" s="683"/>
      <c r="K284" s="672"/>
    </row>
    <row r="285" spans="3:11" ht="12.75" x14ac:dyDescent="0.2">
      <c r="C285" s="683"/>
      <c r="K285" s="672"/>
    </row>
    <row r="286" spans="3:11" ht="12.75" x14ac:dyDescent="0.2">
      <c r="C286" s="683"/>
      <c r="K286" s="672"/>
    </row>
    <row r="287" spans="3:11" ht="12.75" x14ac:dyDescent="0.2">
      <c r="C287" s="683"/>
      <c r="K287" s="672"/>
    </row>
    <row r="288" spans="3:11" ht="12.75" x14ac:dyDescent="0.2">
      <c r="C288" s="683"/>
      <c r="K288" s="672"/>
    </row>
    <row r="289" spans="3:11" ht="12.75" x14ac:dyDescent="0.2">
      <c r="C289" s="683"/>
      <c r="K289" s="672"/>
    </row>
    <row r="290" spans="3:11" ht="12.75" x14ac:dyDescent="0.2">
      <c r="C290" s="683"/>
      <c r="K290" s="672"/>
    </row>
    <row r="291" spans="3:11" ht="12.75" x14ac:dyDescent="0.2">
      <c r="C291" s="683"/>
      <c r="K291" s="672"/>
    </row>
    <row r="292" spans="3:11" ht="12.75" x14ac:dyDescent="0.2">
      <c r="C292" s="683"/>
      <c r="K292" s="672"/>
    </row>
    <row r="293" spans="3:11" ht="12.75" x14ac:dyDescent="0.2">
      <c r="C293" s="683"/>
      <c r="K293" s="672"/>
    </row>
    <row r="294" spans="3:11" ht="12.75" x14ac:dyDescent="0.2">
      <c r="C294" s="683"/>
      <c r="K294" s="672"/>
    </row>
    <row r="295" spans="3:11" ht="12.75" x14ac:dyDescent="0.2">
      <c r="C295" s="683"/>
      <c r="K295" s="672"/>
    </row>
    <row r="296" spans="3:11" ht="12.75" x14ac:dyDescent="0.2">
      <c r="C296" s="683"/>
      <c r="K296" s="672"/>
    </row>
    <row r="297" spans="3:11" ht="12.75" x14ac:dyDescent="0.2">
      <c r="C297" s="683"/>
      <c r="K297" s="672"/>
    </row>
    <row r="298" spans="3:11" ht="12.75" x14ac:dyDescent="0.2">
      <c r="C298" s="683"/>
      <c r="K298" s="672"/>
    </row>
    <row r="299" spans="3:11" ht="12.75" x14ac:dyDescent="0.2">
      <c r="C299" s="683"/>
      <c r="K299" s="672"/>
    </row>
    <row r="300" spans="3:11" ht="12.75" x14ac:dyDescent="0.2">
      <c r="C300" s="683"/>
      <c r="K300" s="672"/>
    </row>
    <row r="301" spans="3:11" ht="12.75" x14ac:dyDescent="0.2">
      <c r="C301" s="683"/>
      <c r="K301" s="672"/>
    </row>
    <row r="302" spans="3:11" ht="12.75" x14ac:dyDescent="0.2">
      <c r="C302" s="683"/>
      <c r="K302" s="672"/>
    </row>
    <row r="303" spans="3:11" ht="12.75" x14ac:dyDescent="0.2">
      <c r="C303" s="683"/>
      <c r="K303" s="672"/>
    </row>
    <row r="304" spans="3:11" ht="12.75" x14ac:dyDescent="0.2">
      <c r="C304" s="683"/>
      <c r="K304" s="672"/>
    </row>
    <row r="305" spans="3:11" ht="12.75" x14ac:dyDescent="0.2">
      <c r="C305" s="683"/>
      <c r="K305" s="672"/>
    </row>
    <row r="306" spans="3:11" ht="12.75" x14ac:dyDescent="0.2">
      <c r="C306" s="683"/>
      <c r="K306" s="672"/>
    </row>
    <row r="307" spans="3:11" ht="12.75" x14ac:dyDescent="0.2">
      <c r="C307" s="683"/>
      <c r="K307" s="672"/>
    </row>
    <row r="308" spans="3:11" ht="12.75" x14ac:dyDescent="0.2">
      <c r="C308" s="683"/>
      <c r="K308" s="672"/>
    </row>
    <row r="309" spans="3:11" ht="12.75" x14ac:dyDescent="0.2">
      <c r="C309" s="683"/>
      <c r="K309" s="672"/>
    </row>
    <row r="310" spans="3:11" ht="12.75" x14ac:dyDescent="0.2">
      <c r="C310" s="683"/>
      <c r="K310" s="672"/>
    </row>
    <row r="311" spans="3:11" ht="12.75" x14ac:dyDescent="0.2">
      <c r="C311" s="683"/>
      <c r="K311" s="672"/>
    </row>
    <row r="312" spans="3:11" ht="12.75" x14ac:dyDescent="0.2">
      <c r="C312" s="683"/>
      <c r="K312" s="672"/>
    </row>
    <row r="313" spans="3:11" ht="12.75" x14ac:dyDescent="0.2">
      <c r="C313" s="683"/>
      <c r="K313" s="672"/>
    </row>
    <row r="314" spans="3:11" ht="12.75" x14ac:dyDescent="0.2">
      <c r="C314" s="683"/>
      <c r="K314" s="672"/>
    </row>
    <row r="315" spans="3:11" ht="12.75" x14ac:dyDescent="0.2">
      <c r="C315" s="683"/>
      <c r="K315" s="672"/>
    </row>
    <row r="316" spans="3:11" ht="12.75" x14ac:dyDescent="0.2">
      <c r="C316" s="683"/>
      <c r="K316" s="672"/>
    </row>
    <row r="317" spans="3:11" ht="12.75" x14ac:dyDescent="0.2">
      <c r="C317" s="683"/>
      <c r="K317" s="672"/>
    </row>
    <row r="318" spans="3:11" ht="12.75" x14ac:dyDescent="0.2">
      <c r="C318" s="683"/>
      <c r="K318" s="672"/>
    </row>
    <row r="319" spans="3:11" ht="12.75" x14ac:dyDescent="0.2">
      <c r="C319" s="683"/>
      <c r="K319" s="672"/>
    </row>
    <row r="320" spans="3:11" ht="12.75" x14ac:dyDescent="0.2">
      <c r="C320" s="683"/>
      <c r="K320" s="672"/>
    </row>
    <row r="321" spans="3:11" ht="12.75" x14ac:dyDescent="0.2">
      <c r="C321" s="683"/>
      <c r="K321" s="672"/>
    </row>
    <row r="322" spans="3:11" ht="12.75" x14ac:dyDescent="0.2">
      <c r="C322" s="683"/>
      <c r="K322" s="672"/>
    </row>
    <row r="323" spans="3:11" ht="12.75" x14ac:dyDescent="0.2">
      <c r="C323" s="683"/>
      <c r="K323" s="672"/>
    </row>
    <row r="324" spans="3:11" ht="12.75" x14ac:dyDescent="0.2">
      <c r="C324" s="683"/>
      <c r="K324" s="672"/>
    </row>
    <row r="325" spans="3:11" ht="12.75" x14ac:dyDescent="0.2">
      <c r="C325" s="683"/>
      <c r="K325" s="672"/>
    </row>
    <row r="326" spans="3:11" ht="12.75" x14ac:dyDescent="0.2">
      <c r="C326" s="683"/>
      <c r="K326" s="672"/>
    </row>
    <row r="327" spans="3:11" ht="12.75" x14ac:dyDescent="0.2">
      <c r="C327" s="683"/>
      <c r="K327" s="672"/>
    </row>
    <row r="328" spans="3:11" ht="12.75" x14ac:dyDescent="0.2">
      <c r="C328" s="683"/>
      <c r="K328" s="672"/>
    </row>
    <row r="329" spans="3:11" ht="12.75" x14ac:dyDescent="0.2">
      <c r="C329" s="683"/>
      <c r="K329" s="672"/>
    </row>
    <row r="330" spans="3:11" ht="12.75" x14ac:dyDescent="0.2">
      <c r="C330" s="683"/>
      <c r="K330" s="672"/>
    </row>
    <row r="331" spans="3:11" ht="12.75" x14ac:dyDescent="0.2">
      <c r="C331" s="683"/>
      <c r="K331" s="672"/>
    </row>
    <row r="332" spans="3:11" ht="12.75" x14ac:dyDescent="0.2">
      <c r="C332" s="683"/>
      <c r="K332" s="672"/>
    </row>
    <row r="333" spans="3:11" ht="12.75" x14ac:dyDescent="0.2">
      <c r="C333" s="683"/>
      <c r="K333" s="672"/>
    </row>
    <row r="334" spans="3:11" ht="12.75" x14ac:dyDescent="0.2">
      <c r="C334" s="683"/>
      <c r="K334" s="672"/>
    </row>
    <row r="335" spans="3:11" ht="12.75" x14ac:dyDescent="0.2">
      <c r="C335" s="683"/>
      <c r="K335" s="672"/>
    </row>
    <row r="336" spans="3:11" ht="12.75" x14ac:dyDescent="0.2">
      <c r="C336" s="683"/>
      <c r="K336" s="672"/>
    </row>
    <row r="337" spans="3:11" ht="12.75" x14ac:dyDescent="0.2">
      <c r="C337" s="683"/>
      <c r="K337" s="672"/>
    </row>
    <row r="338" spans="3:11" ht="12.75" x14ac:dyDescent="0.2">
      <c r="C338" s="683"/>
      <c r="K338" s="672"/>
    </row>
    <row r="339" spans="3:11" ht="12.75" x14ac:dyDescent="0.2">
      <c r="C339" s="683"/>
      <c r="K339" s="672"/>
    </row>
    <row r="340" spans="3:11" ht="12.75" x14ac:dyDescent="0.2">
      <c r="C340" s="683"/>
      <c r="K340" s="672"/>
    </row>
    <row r="341" spans="3:11" ht="12.75" x14ac:dyDescent="0.2">
      <c r="C341" s="683"/>
      <c r="K341" s="672"/>
    </row>
    <row r="342" spans="3:11" ht="12.75" x14ac:dyDescent="0.2">
      <c r="C342" s="683"/>
      <c r="K342" s="672"/>
    </row>
    <row r="343" spans="3:11" ht="12.75" x14ac:dyDescent="0.2">
      <c r="C343" s="683"/>
      <c r="K343" s="672"/>
    </row>
    <row r="344" spans="3:11" ht="12.75" x14ac:dyDescent="0.2">
      <c r="C344" s="683"/>
      <c r="K344" s="672"/>
    </row>
    <row r="345" spans="3:11" ht="12.75" x14ac:dyDescent="0.2">
      <c r="C345" s="683"/>
      <c r="K345" s="672"/>
    </row>
    <row r="346" spans="3:11" ht="12.75" x14ac:dyDescent="0.2">
      <c r="C346" s="683"/>
      <c r="K346" s="672"/>
    </row>
    <row r="347" spans="3:11" ht="12.75" x14ac:dyDescent="0.2">
      <c r="C347" s="683"/>
      <c r="K347" s="672"/>
    </row>
    <row r="348" spans="3:11" ht="12.75" x14ac:dyDescent="0.2">
      <c r="C348" s="683"/>
      <c r="K348" s="672"/>
    </row>
    <row r="349" spans="3:11" ht="12.75" x14ac:dyDescent="0.2">
      <c r="C349" s="683"/>
      <c r="K349" s="672"/>
    </row>
    <row r="350" spans="3:11" ht="12.75" x14ac:dyDescent="0.2">
      <c r="C350" s="683"/>
      <c r="K350" s="672"/>
    </row>
    <row r="351" spans="3:11" ht="12.75" x14ac:dyDescent="0.2">
      <c r="C351" s="683"/>
      <c r="K351" s="672"/>
    </row>
    <row r="352" spans="3:11" ht="12.75" x14ac:dyDescent="0.2">
      <c r="C352" s="683"/>
      <c r="K352" s="672"/>
    </row>
    <row r="353" spans="3:11" ht="12.75" x14ac:dyDescent="0.2">
      <c r="C353" s="683"/>
      <c r="K353" s="672"/>
    </row>
    <row r="354" spans="3:11" ht="12.75" x14ac:dyDescent="0.2">
      <c r="C354" s="683"/>
      <c r="K354" s="672"/>
    </row>
    <row r="355" spans="3:11" ht="12.75" x14ac:dyDescent="0.2">
      <c r="C355" s="683"/>
      <c r="K355" s="672"/>
    </row>
    <row r="356" spans="3:11" ht="12.75" x14ac:dyDescent="0.2">
      <c r="C356" s="683"/>
      <c r="K356" s="672"/>
    </row>
    <row r="357" spans="3:11" ht="12.75" x14ac:dyDescent="0.2">
      <c r="C357" s="683"/>
      <c r="K357" s="672"/>
    </row>
    <row r="358" spans="3:11" ht="12.75" x14ac:dyDescent="0.2">
      <c r="C358" s="683"/>
      <c r="K358" s="672"/>
    </row>
    <row r="359" spans="3:11" ht="12.75" x14ac:dyDescent="0.2">
      <c r="C359" s="683"/>
      <c r="K359" s="672"/>
    </row>
    <row r="360" spans="3:11" ht="12.75" x14ac:dyDescent="0.2">
      <c r="C360" s="683"/>
      <c r="K360" s="672"/>
    </row>
    <row r="361" spans="3:11" ht="12.75" x14ac:dyDescent="0.2">
      <c r="C361" s="683"/>
      <c r="K361" s="672"/>
    </row>
    <row r="362" spans="3:11" ht="12.75" x14ac:dyDescent="0.2">
      <c r="C362" s="683"/>
      <c r="K362" s="672"/>
    </row>
    <row r="363" spans="3:11" ht="12.75" x14ac:dyDescent="0.2">
      <c r="C363" s="683"/>
      <c r="K363" s="672"/>
    </row>
    <row r="364" spans="3:11" ht="12.75" x14ac:dyDescent="0.2">
      <c r="C364" s="683"/>
      <c r="K364" s="672"/>
    </row>
    <row r="365" spans="3:11" ht="12.75" x14ac:dyDescent="0.2">
      <c r="C365" s="683"/>
      <c r="K365" s="672"/>
    </row>
    <row r="366" spans="3:11" ht="12.75" x14ac:dyDescent="0.2">
      <c r="C366" s="683"/>
      <c r="K366" s="672"/>
    </row>
    <row r="367" spans="3:11" ht="12.75" x14ac:dyDescent="0.2">
      <c r="C367" s="683"/>
      <c r="K367" s="672"/>
    </row>
    <row r="368" spans="3:11" ht="12.75" x14ac:dyDescent="0.2">
      <c r="C368" s="683"/>
      <c r="K368" s="672"/>
    </row>
    <row r="369" spans="3:11" ht="12.75" x14ac:dyDescent="0.2">
      <c r="C369" s="683"/>
      <c r="K369" s="672"/>
    </row>
    <row r="370" spans="3:11" ht="12.75" x14ac:dyDescent="0.2">
      <c r="C370" s="683"/>
      <c r="K370" s="672"/>
    </row>
    <row r="371" spans="3:11" ht="12.75" x14ac:dyDescent="0.2">
      <c r="C371" s="683"/>
      <c r="K371" s="672"/>
    </row>
    <row r="372" spans="3:11" ht="12.75" x14ac:dyDescent="0.2">
      <c r="C372" s="683"/>
      <c r="K372" s="672"/>
    </row>
    <row r="373" spans="3:11" ht="12.75" x14ac:dyDescent="0.2">
      <c r="C373" s="683"/>
      <c r="K373" s="672"/>
    </row>
    <row r="374" spans="3:11" ht="12.75" x14ac:dyDescent="0.2">
      <c r="C374" s="683"/>
      <c r="K374" s="672"/>
    </row>
    <row r="375" spans="3:11" ht="12.75" x14ac:dyDescent="0.2">
      <c r="C375" s="683"/>
      <c r="K375" s="672"/>
    </row>
    <row r="376" spans="3:11" ht="12.75" x14ac:dyDescent="0.2">
      <c r="C376" s="683"/>
      <c r="K376" s="672"/>
    </row>
    <row r="377" spans="3:11" ht="12.75" x14ac:dyDescent="0.2">
      <c r="C377" s="683"/>
      <c r="K377" s="672"/>
    </row>
    <row r="378" spans="3:11" ht="12.75" x14ac:dyDescent="0.2">
      <c r="C378" s="683"/>
      <c r="K378" s="672"/>
    </row>
    <row r="379" spans="3:11" ht="12.75" x14ac:dyDescent="0.2">
      <c r="C379" s="683"/>
      <c r="K379" s="672"/>
    </row>
    <row r="380" spans="3:11" ht="12.75" x14ac:dyDescent="0.2">
      <c r="C380" s="683"/>
      <c r="K380" s="672"/>
    </row>
    <row r="381" spans="3:11" ht="12.75" x14ac:dyDescent="0.2">
      <c r="C381" s="683"/>
      <c r="K381" s="672"/>
    </row>
    <row r="382" spans="3:11" ht="12.75" x14ac:dyDescent="0.2">
      <c r="C382" s="683"/>
      <c r="K382" s="672"/>
    </row>
    <row r="383" spans="3:11" ht="12.75" x14ac:dyDescent="0.2">
      <c r="C383" s="683"/>
      <c r="K383" s="672"/>
    </row>
    <row r="384" spans="3:11" ht="12.75" x14ac:dyDescent="0.2">
      <c r="C384" s="683"/>
      <c r="K384" s="672"/>
    </row>
    <row r="385" spans="3:11" ht="12.75" x14ac:dyDescent="0.2">
      <c r="C385" s="683"/>
      <c r="K385" s="672"/>
    </row>
    <row r="386" spans="3:11" ht="12.75" x14ac:dyDescent="0.2">
      <c r="C386" s="683"/>
      <c r="K386" s="672"/>
    </row>
    <row r="387" spans="3:11" ht="12.75" x14ac:dyDescent="0.2">
      <c r="C387" s="683"/>
      <c r="K387" s="672"/>
    </row>
    <row r="388" spans="3:11" ht="12.75" x14ac:dyDescent="0.2">
      <c r="C388" s="683"/>
      <c r="K388" s="672"/>
    </row>
    <row r="389" spans="3:11" ht="12.75" x14ac:dyDescent="0.2">
      <c r="C389" s="683"/>
      <c r="K389" s="672"/>
    </row>
    <row r="390" spans="3:11" ht="12.75" x14ac:dyDescent="0.2">
      <c r="C390" s="683"/>
      <c r="K390" s="672"/>
    </row>
    <row r="391" spans="3:11" ht="12.75" x14ac:dyDescent="0.2">
      <c r="C391" s="683"/>
      <c r="K391" s="672"/>
    </row>
    <row r="392" spans="3:11" ht="12.75" x14ac:dyDescent="0.2">
      <c r="C392" s="683"/>
      <c r="K392" s="672"/>
    </row>
    <row r="393" spans="3:11" ht="12.75" x14ac:dyDescent="0.2">
      <c r="C393" s="683"/>
      <c r="K393" s="672"/>
    </row>
    <row r="394" spans="3:11" ht="12.75" x14ac:dyDescent="0.2">
      <c r="C394" s="683"/>
      <c r="K394" s="672"/>
    </row>
    <row r="395" spans="3:11" ht="12.75" x14ac:dyDescent="0.2">
      <c r="C395" s="683"/>
      <c r="K395" s="672"/>
    </row>
    <row r="396" spans="3:11" ht="12.75" x14ac:dyDescent="0.2">
      <c r="C396" s="683"/>
      <c r="K396" s="672"/>
    </row>
    <row r="397" spans="3:11" ht="12.75" x14ac:dyDescent="0.2">
      <c r="C397" s="683"/>
      <c r="K397" s="672"/>
    </row>
    <row r="398" spans="3:11" ht="12.75" x14ac:dyDescent="0.2">
      <c r="C398" s="683"/>
      <c r="K398" s="672"/>
    </row>
    <row r="399" spans="3:11" ht="12.75" x14ac:dyDescent="0.2">
      <c r="C399" s="683"/>
      <c r="K399" s="672"/>
    </row>
    <row r="400" spans="3:11" ht="12.75" x14ac:dyDescent="0.2">
      <c r="C400" s="683"/>
      <c r="K400" s="672"/>
    </row>
    <row r="401" spans="3:11" ht="12.75" x14ac:dyDescent="0.2">
      <c r="C401" s="683"/>
      <c r="K401" s="672"/>
    </row>
    <row r="402" spans="3:11" ht="12.75" x14ac:dyDescent="0.2">
      <c r="C402" s="683"/>
      <c r="K402" s="672"/>
    </row>
    <row r="403" spans="3:11" ht="12.75" x14ac:dyDescent="0.2">
      <c r="C403" s="683"/>
      <c r="K403" s="672"/>
    </row>
    <row r="404" spans="3:11" ht="12.75" x14ac:dyDescent="0.2">
      <c r="C404" s="683"/>
      <c r="K404" s="672"/>
    </row>
    <row r="405" spans="3:11" ht="12.75" x14ac:dyDescent="0.2">
      <c r="C405" s="683"/>
      <c r="K405" s="672"/>
    </row>
    <row r="406" spans="3:11" ht="12.75" x14ac:dyDescent="0.2">
      <c r="C406" s="683"/>
      <c r="K406" s="672"/>
    </row>
    <row r="407" spans="3:11" ht="12.75" x14ac:dyDescent="0.2">
      <c r="C407" s="683"/>
      <c r="K407" s="672"/>
    </row>
    <row r="408" spans="3:11" ht="12.75" x14ac:dyDescent="0.2">
      <c r="C408" s="683"/>
      <c r="K408" s="672"/>
    </row>
    <row r="409" spans="3:11" ht="12.75" x14ac:dyDescent="0.2">
      <c r="C409" s="683"/>
      <c r="K409" s="672"/>
    </row>
    <row r="410" spans="3:11" ht="12.75" x14ac:dyDescent="0.2">
      <c r="C410" s="683"/>
      <c r="K410" s="672"/>
    </row>
    <row r="411" spans="3:11" ht="12.75" x14ac:dyDescent="0.2">
      <c r="C411" s="683"/>
      <c r="K411" s="672"/>
    </row>
    <row r="412" spans="3:11" ht="12.75" x14ac:dyDescent="0.2">
      <c r="C412" s="683"/>
      <c r="K412" s="672"/>
    </row>
    <row r="413" spans="3:11" ht="12.75" x14ac:dyDescent="0.2">
      <c r="C413" s="683"/>
      <c r="K413" s="672"/>
    </row>
    <row r="414" spans="3:11" ht="12.75" x14ac:dyDescent="0.2">
      <c r="C414" s="683"/>
      <c r="K414" s="672"/>
    </row>
    <row r="415" spans="3:11" ht="12.75" x14ac:dyDescent="0.2">
      <c r="C415" s="683"/>
      <c r="K415" s="672"/>
    </row>
    <row r="416" spans="3:11" ht="12.75" x14ac:dyDescent="0.2">
      <c r="C416" s="683"/>
      <c r="K416" s="672"/>
    </row>
    <row r="417" spans="3:11" ht="12.75" x14ac:dyDescent="0.2">
      <c r="C417" s="683"/>
      <c r="K417" s="672"/>
    </row>
    <row r="418" spans="3:11" ht="12.75" x14ac:dyDescent="0.2">
      <c r="C418" s="683"/>
      <c r="K418" s="672"/>
    </row>
    <row r="419" spans="3:11" ht="12.75" x14ac:dyDescent="0.2">
      <c r="C419" s="683"/>
      <c r="K419" s="672"/>
    </row>
    <row r="420" spans="3:11" ht="12.75" x14ac:dyDescent="0.2">
      <c r="C420" s="683"/>
      <c r="K420" s="672"/>
    </row>
    <row r="421" spans="3:11" ht="12.75" x14ac:dyDescent="0.2">
      <c r="C421" s="683"/>
      <c r="K421" s="672"/>
    </row>
    <row r="422" spans="3:11" ht="12.75" x14ac:dyDescent="0.2">
      <c r="C422" s="683"/>
      <c r="K422" s="672"/>
    </row>
    <row r="423" spans="3:11" ht="12.75" x14ac:dyDescent="0.2">
      <c r="C423" s="683"/>
      <c r="K423" s="672"/>
    </row>
    <row r="424" spans="3:11" ht="12.75" x14ac:dyDescent="0.2">
      <c r="C424" s="683"/>
      <c r="K424" s="672"/>
    </row>
    <row r="425" spans="3:11" ht="12.75" x14ac:dyDescent="0.2">
      <c r="C425" s="683"/>
      <c r="K425" s="672"/>
    </row>
    <row r="426" spans="3:11" ht="12.75" x14ac:dyDescent="0.2">
      <c r="C426" s="683"/>
      <c r="K426" s="672"/>
    </row>
    <row r="427" spans="3:11" ht="12.75" x14ac:dyDescent="0.2">
      <c r="C427" s="683"/>
      <c r="K427" s="672"/>
    </row>
    <row r="428" spans="3:11" ht="12.75" x14ac:dyDescent="0.2">
      <c r="C428" s="683"/>
      <c r="K428" s="672"/>
    </row>
    <row r="429" spans="3:11" ht="12.75" x14ac:dyDescent="0.2">
      <c r="C429" s="683"/>
      <c r="K429" s="672"/>
    </row>
    <row r="430" spans="3:11" ht="12.75" x14ac:dyDescent="0.2">
      <c r="C430" s="683"/>
      <c r="K430" s="672"/>
    </row>
    <row r="431" spans="3:11" ht="12.75" x14ac:dyDescent="0.2">
      <c r="C431" s="683"/>
      <c r="K431" s="672"/>
    </row>
    <row r="432" spans="3:11" ht="12.75" x14ac:dyDescent="0.2">
      <c r="C432" s="683"/>
      <c r="K432" s="672"/>
    </row>
    <row r="433" spans="3:11" ht="12.75" x14ac:dyDescent="0.2">
      <c r="C433" s="683"/>
      <c r="K433" s="672"/>
    </row>
    <row r="434" spans="3:11" ht="12.75" x14ac:dyDescent="0.2">
      <c r="C434" s="683"/>
      <c r="K434" s="672"/>
    </row>
    <row r="435" spans="3:11" ht="12.75" x14ac:dyDescent="0.2">
      <c r="C435" s="683"/>
      <c r="K435" s="672"/>
    </row>
    <row r="436" spans="3:11" ht="12.75" x14ac:dyDescent="0.2">
      <c r="C436" s="683"/>
      <c r="K436" s="672"/>
    </row>
    <row r="437" spans="3:11" ht="12.75" x14ac:dyDescent="0.2">
      <c r="C437" s="683"/>
      <c r="K437" s="672"/>
    </row>
    <row r="438" spans="3:11" ht="12.75" x14ac:dyDescent="0.2">
      <c r="C438" s="683"/>
      <c r="K438" s="672"/>
    </row>
    <row r="439" spans="3:11" ht="12.75" x14ac:dyDescent="0.2">
      <c r="C439" s="683"/>
      <c r="K439" s="672"/>
    </row>
    <row r="440" spans="3:11" ht="12.75" x14ac:dyDescent="0.2">
      <c r="C440" s="683"/>
      <c r="K440" s="672"/>
    </row>
    <row r="441" spans="3:11" ht="12.75" x14ac:dyDescent="0.2">
      <c r="C441" s="683"/>
      <c r="K441" s="672"/>
    </row>
    <row r="442" spans="3:11" ht="12.75" x14ac:dyDescent="0.2">
      <c r="C442" s="683"/>
      <c r="K442" s="672"/>
    </row>
    <row r="443" spans="3:11" ht="12.75" x14ac:dyDescent="0.2">
      <c r="C443" s="683"/>
      <c r="K443" s="672"/>
    </row>
    <row r="444" spans="3:11" ht="12.75" x14ac:dyDescent="0.2">
      <c r="C444" s="683"/>
      <c r="K444" s="672"/>
    </row>
    <row r="445" spans="3:11" ht="12.75" x14ac:dyDescent="0.2">
      <c r="C445" s="683"/>
      <c r="K445" s="672"/>
    </row>
    <row r="446" spans="3:11" ht="12.75" x14ac:dyDescent="0.2">
      <c r="C446" s="683"/>
      <c r="K446" s="672"/>
    </row>
    <row r="447" spans="3:11" ht="12.75" x14ac:dyDescent="0.2">
      <c r="C447" s="683"/>
      <c r="K447" s="672"/>
    </row>
    <row r="448" spans="3:11" ht="12.75" x14ac:dyDescent="0.2">
      <c r="C448" s="683"/>
      <c r="K448" s="672"/>
    </row>
    <row r="449" spans="3:11" ht="12.75" x14ac:dyDescent="0.2">
      <c r="C449" s="683"/>
      <c r="K449" s="672"/>
    </row>
    <row r="450" spans="3:11" ht="12.75" x14ac:dyDescent="0.2">
      <c r="C450" s="683"/>
      <c r="K450" s="672"/>
    </row>
    <row r="451" spans="3:11" ht="12.75" x14ac:dyDescent="0.2">
      <c r="C451" s="683"/>
      <c r="K451" s="672"/>
    </row>
    <row r="452" spans="3:11" ht="12.75" x14ac:dyDescent="0.2">
      <c r="C452" s="683"/>
      <c r="K452" s="672"/>
    </row>
    <row r="453" spans="3:11" ht="12.75" x14ac:dyDescent="0.2">
      <c r="C453" s="683"/>
      <c r="K453" s="672"/>
    </row>
    <row r="454" spans="3:11" ht="12.75" x14ac:dyDescent="0.2">
      <c r="C454" s="683"/>
      <c r="K454" s="672"/>
    </row>
    <row r="455" spans="3:11" ht="12.75" x14ac:dyDescent="0.2">
      <c r="C455" s="683"/>
      <c r="K455" s="672"/>
    </row>
    <row r="456" spans="3:11" ht="12.75" x14ac:dyDescent="0.2">
      <c r="C456" s="683"/>
      <c r="K456" s="672"/>
    </row>
    <row r="457" spans="3:11" ht="12.75" x14ac:dyDescent="0.2">
      <c r="C457" s="683"/>
      <c r="K457" s="672"/>
    </row>
    <row r="458" spans="3:11" ht="12.75" x14ac:dyDescent="0.2">
      <c r="C458" s="683"/>
      <c r="K458" s="672"/>
    </row>
    <row r="459" spans="3:11" ht="12.75" x14ac:dyDescent="0.2">
      <c r="C459" s="683"/>
      <c r="K459" s="672"/>
    </row>
    <row r="460" spans="3:11" ht="12.75" x14ac:dyDescent="0.2">
      <c r="C460" s="683"/>
      <c r="K460" s="672"/>
    </row>
    <row r="461" spans="3:11" ht="12.75" x14ac:dyDescent="0.2">
      <c r="C461" s="683"/>
      <c r="K461" s="672"/>
    </row>
    <row r="462" spans="3:11" ht="12.75" x14ac:dyDescent="0.2">
      <c r="C462" s="683"/>
      <c r="K462" s="672"/>
    </row>
    <row r="463" spans="3:11" ht="12.75" x14ac:dyDescent="0.2">
      <c r="C463" s="683"/>
      <c r="K463" s="672"/>
    </row>
    <row r="464" spans="3:11" ht="12.75" x14ac:dyDescent="0.2">
      <c r="C464" s="683"/>
      <c r="K464" s="672"/>
    </row>
    <row r="465" spans="3:11" ht="12.75" x14ac:dyDescent="0.2">
      <c r="C465" s="683"/>
      <c r="K465" s="672"/>
    </row>
    <row r="466" spans="3:11" ht="12.75" x14ac:dyDescent="0.2">
      <c r="C466" s="683"/>
      <c r="K466" s="672"/>
    </row>
    <row r="467" spans="3:11" ht="12.75" x14ac:dyDescent="0.2">
      <c r="C467" s="683"/>
      <c r="K467" s="672"/>
    </row>
    <row r="468" spans="3:11" ht="12.75" x14ac:dyDescent="0.2">
      <c r="C468" s="683"/>
      <c r="K468" s="672"/>
    </row>
    <row r="469" spans="3:11" ht="12.75" x14ac:dyDescent="0.2">
      <c r="C469" s="683"/>
      <c r="K469" s="672"/>
    </row>
    <row r="470" spans="3:11" ht="12.75" x14ac:dyDescent="0.2">
      <c r="C470" s="683"/>
      <c r="K470" s="672"/>
    </row>
    <row r="471" spans="3:11" ht="12.75" x14ac:dyDescent="0.2">
      <c r="C471" s="683"/>
      <c r="K471" s="672"/>
    </row>
    <row r="472" spans="3:11" ht="12.75" x14ac:dyDescent="0.2">
      <c r="C472" s="683"/>
      <c r="K472" s="672"/>
    </row>
    <row r="473" spans="3:11" ht="12.75" x14ac:dyDescent="0.2">
      <c r="C473" s="683"/>
      <c r="K473" s="672"/>
    </row>
    <row r="474" spans="3:11" ht="12.75" x14ac:dyDescent="0.2">
      <c r="C474" s="683"/>
      <c r="K474" s="672"/>
    </row>
    <row r="475" spans="3:11" ht="12.75" x14ac:dyDescent="0.2">
      <c r="C475" s="683"/>
      <c r="K475" s="672"/>
    </row>
    <row r="476" spans="3:11" ht="12.75" x14ac:dyDescent="0.2">
      <c r="C476" s="683"/>
      <c r="K476" s="672"/>
    </row>
    <row r="477" spans="3:11" ht="12.75" x14ac:dyDescent="0.2">
      <c r="C477" s="683"/>
      <c r="K477" s="672"/>
    </row>
    <row r="478" spans="3:11" ht="12.75" x14ac:dyDescent="0.2">
      <c r="C478" s="683"/>
      <c r="K478" s="672"/>
    </row>
    <row r="479" spans="3:11" ht="12.75" x14ac:dyDescent="0.2">
      <c r="C479" s="683"/>
      <c r="K479" s="672"/>
    </row>
    <row r="480" spans="3:11" ht="12.75" x14ac:dyDescent="0.2">
      <c r="C480" s="683"/>
      <c r="K480" s="672"/>
    </row>
    <row r="481" spans="3:11" ht="12.75" x14ac:dyDescent="0.2">
      <c r="C481" s="683"/>
      <c r="K481" s="672"/>
    </row>
    <row r="482" spans="3:11" ht="12.75" x14ac:dyDescent="0.2">
      <c r="C482" s="683"/>
      <c r="K482" s="672"/>
    </row>
    <row r="483" spans="3:11" ht="12.75" x14ac:dyDescent="0.2">
      <c r="C483" s="683"/>
      <c r="K483" s="672"/>
    </row>
    <row r="484" spans="3:11" ht="12.75" x14ac:dyDescent="0.2">
      <c r="C484" s="683"/>
      <c r="K484" s="672"/>
    </row>
    <row r="485" spans="3:11" ht="12.75" x14ac:dyDescent="0.2">
      <c r="C485" s="683"/>
      <c r="K485" s="672"/>
    </row>
    <row r="486" spans="3:11" ht="12.75" x14ac:dyDescent="0.2">
      <c r="C486" s="683"/>
      <c r="K486" s="672"/>
    </row>
    <row r="487" spans="3:11" ht="12.75" x14ac:dyDescent="0.2">
      <c r="C487" s="683"/>
      <c r="K487" s="672"/>
    </row>
    <row r="488" spans="3:11" ht="12.75" x14ac:dyDescent="0.2">
      <c r="C488" s="683"/>
      <c r="K488" s="672"/>
    </row>
    <row r="489" spans="3:11" ht="12.75" x14ac:dyDescent="0.2">
      <c r="C489" s="683"/>
      <c r="K489" s="672"/>
    </row>
    <row r="490" spans="3:11" ht="12.75" x14ac:dyDescent="0.2">
      <c r="C490" s="683"/>
      <c r="K490" s="672"/>
    </row>
    <row r="491" spans="3:11" ht="12.75" x14ac:dyDescent="0.2">
      <c r="C491" s="683"/>
      <c r="K491" s="672"/>
    </row>
    <row r="492" spans="3:11" ht="12.75" x14ac:dyDescent="0.2">
      <c r="C492" s="683"/>
      <c r="K492" s="672"/>
    </row>
    <row r="493" spans="3:11" ht="12.75" x14ac:dyDescent="0.2">
      <c r="C493" s="683"/>
      <c r="K493" s="672"/>
    </row>
    <row r="494" spans="3:11" ht="12.75" x14ac:dyDescent="0.2">
      <c r="C494" s="683"/>
      <c r="K494" s="672"/>
    </row>
    <row r="495" spans="3:11" ht="12.75" x14ac:dyDescent="0.2">
      <c r="C495" s="683"/>
      <c r="K495" s="672"/>
    </row>
    <row r="496" spans="3:11" ht="12.75" x14ac:dyDescent="0.2">
      <c r="C496" s="683"/>
      <c r="K496" s="672"/>
    </row>
    <row r="497" spans="3:11" ht="12.75" x14ac:dyDescent="0.2">
      <c r="C497" s="683"/>
      <c r="K497" s="672"/>
    </row>
    <row r="498" spans="3:11" ht="12.75" x14ac:dyDescent="0.2">
      <c r="C498" s="683"/>
      <c r="K498" s="672"/>
    </row>
    <row r="499" spans="3:11" ht="12.75" x14ac:dyDescent="0.2">
      <c r="C499" s="683"/>
      <c r="K499" s="672"/>
    </row>
    <row r="500" spans="3:11" ht="12.75" x14ac:dyDescent="0.2">
      <c r="C500" s="683"/>
      <c r="K500" s="672"/>
    </row>
    <row r="501" spans="3:11" ht="12.75" x14ac:dyDescent="0.2">
      <c r="C501" s="683"/>
      <c r="K501" s="672"/>
    </row>
    <row r="502" spans="3:11" ht="12.75" x14ac:dyDescent="0.2">
      <c r="C502" s="683"/>
      <c r="K502" s="672"/>
    </row>
    <row r="503" spans="3:11" ht="12.75" x14ac:dyDescent="0.2">
      <c r="C503" s="683"/>
      <c r="K503" s="672"/>
    </row>
    <row r="504" spans="3:11" ht="12.75" x14ac:dyDescent="0.2">
      <c r="C504" s="683"/>
      <c r="K504" s="672"/>
    </row>
    <row r="505" spans="3:11" ht="12.75" x14ac:dyDescent="0.2">
      <c r="C505" s="683"/>
      <c r="K505" s="672"/>
    </row>
    <row r="506" spans="3:11" ht="12.75" x14ac:dyDescent="0.2">
      <c r="C506" s="683"/>
      <c r="K506" s="672"/>
    </row>
    <row r="507" spans="3:11" ht="12.75" x14ac:dyDescent="0.2">
      <c r="C507" s="683"/>
      <c r="K507" s="672"/>
    </row>
    <row r="508" spans="3:11" ht="12.75" x14ac:dyDescent="0.2">
      <c r="C508" s="683"/>
      <c r="K508" s="672"/>
    </row>
    <row r="509" spans="3:11" ht="12.75" x14ac:dyDescent="0.2">
      <c r="C509" s="683"/>
      <c r="K509" s="672"/>
    </row>
    <row r="510" spans="3:11" ht="12.75" x14ac:dyDescent="0.2">
      <c r="C510" s="683"/>
      <c r="K510" s="672"/>
    </row>
    <row r="511" spans="3:11" ht="12.75" x14ac:dyDescent="0.2">
      <c r="C511" s="683"/>
      <c r="K511" s="672"/>
    </row>
    <row r="512" spans="3:11" ht="12.75" x14ac:dyDescent="0.2">
      <c r="C512" s="683"/>
      <c r="K512" s="672"/>
    </row>
    <row r="513" spans="3:11" ht="12.75" x14ac:dyDescent="0.2">
      <c r="C513" s="683"/>
      <c r="K513" s="672"/>
    </row>
    <row r="514" spans="3:11" ht="12.75" x14ac:dyDescent="0.2">
      <c r="C514" s="683"/>
      <c r="K514" s="672"/>
    </row>
    <row r="515" spans="3:11" ht="12.75" x14ac:dyDescent="0.2">
      <c r="C515" s="683"/>
      <c r="K515" s="672"/>
    </row>
    <row r="516" spans="3:11" ht="12.75" x14ac:dyDescent="0.2">
      <c r="C516" s="683"/>
      <c r="K516" s="672"/>
    </row>
    <row r="517" spans="3:11" ht="12.75" x14ac:dyDescent="0.2">
      <c r="C517" s="683"/>
      <c r="K517" s="672"/>
    </row>
    <row r="518" spans="3:11" ht="12.75" x14ac:dyDescent="0.2">
      <c r="C518" s="683"/>
      <c r="K518" s="672"/>
    </row>
    <row r="519" spans="3:11" ht="12.75" x14ac:dyDescent="0.2">
      <c r="C519" s="683"/>
      <c r="K519" s="672"/>
    </row>
    <row r="520" spans="3:11" ht="12.75" x14ac:dyDescent="0.2">
      <c r="C520" s="683"/>
      <c r="K520" s="672"/>
    </row>
    <row r="521" spans="3:11" ht="12.75" x14ac:dyDescent="0.2">
      <c r="C521" s="683"/>
      <c r="K521" s="672"/>
    </row>
    <row r="522" spans="3:11" ht="12.75" x14ac:dyDescent="0.2">
      <c r="C522" s="683"/>
      <c r="K522" s="672"/>
    </row>
    <row r="523" spans="3:11" ht="12.75" x14ac:dyDescent="0.2">
      <c r="C523" s="683"/>
      <c r="K523" s="672"/>
    </row>
    <row r="524" spans="3:11" ht="12.75" x14ac:dyDescent="0.2">
      <c r="C524" s="683"/>
      <c r="K524" s="672"/>
    </row>
    <row r="525" spans="3:11" ht="12.75" x14ac:dyDescent="0.2">
      <c r="C525" s="683"/>
      <c r="K525" s="672"/>
    </row>
    <row r="526" spans="3:11" ht="12.75" x14ac:dyDescent="0.2">
      <c r="C526" s="683"/>
      <c r="K526" s="672"/>
    </row>
    <row r="527" spans="3:11" ht="12.75" x14ac:dyDescent="0.2">
      <c r="C527" s="683"/>
      <c r="K527" s="672"/>
    </row>
    <row r="528" spans="3:11" ht="12.75" x14ac:dyDescent="0.2">
      <c r="C528" s="683"/>
      <c r="K528" s="672"/>
    </row>
    <row r="529" spans="3:11" ht="12.75" x14ac:dyDescent="0.2">
      <c r="C529" s="683"/>
      <c r="K529" s="672"/>
    </row>
    <row r="530" spans="3:11" ht="12.75" x14ac:dyDescent="0.2">
      <c r="C530" s="683"/>
      <c r="K530" s="672"/>
    </row>
    <row r="531" spans="3:11" ht="12.75" x14ac:dyDescent="0.2">
      <c r="C531" s="683"/>
      <c r="K531" s="672"/>
    </row>
    <row r="532" spans="3:11" ht="12.75" x14ac:dyDescent="0.2">
      <c r="C532" s="683"/>
      <c r="K532" s="672"/>
    </row>
    <row r="533" spans="3:11" ht="12.75" x14ac:dyDescent="0.2">
      <c r="C533" s="683"/>
      <c r="K533" s="672"/>
    </row>
    <row r="534" spans="3:11" ht="12.75" x14ac:dyDescent="0.2">
      <c r="C534" s="683"/>
      <c r="K534" s="672"/>
    </row>
    <row r="535" spans="3:11" ht="12.75" x14ac:dyDescent="0.2">
      <c r="C535" s="683"/>
      <c r="K535" s="672"/>
    </row>
    <row r="536" spans="3:11" ht="12.75" x14ac:dyDescent="0.2">
      <c r="C536" s="683"/>
      <c r="K536" s="672"/>
    </row>
    <row r="537" spans="3:11" ht="12.75" x14ac:dyDescent="0.2">
      <c r="C537" s="683"/>
      <c r="K537" s="672"/>
    </row>
    <row r="538" spans="3:11" ht="12.75" x14ac:dyDescent="0.2">
      <c r="C538" s="683"/>
      <c r="K538" s="672"/>
    </row>
    <row r="539" spans="3:11" ht="12.75" x14ac:dyDescent="0.2">
      <c r="C539" s="683"/>
      <c r="K539" s="672"/>
    </row>
    <row r="540" spans="3:11" ht="12.75" x14ac:dyDescent="0.2">
      <c r="C540" s="683"/>
      <c r="K540" s="672"/>
    </row>
    <row r="541" spans="3:11" ht="12.75" x14ac:dyDescent="0.2">
      <c r="C541" s="683"/>
      <c r="K541" s="672"/>
    </row>
    <row r="542" spans="3:11" ht="12.75" x14ac:dyDescent="0.2">
      <c r="C542" s="683"/>
      <c r="K542" s="672"/>
    </row>
    <row r="543" spans="3:11" ht="12.75" x14ac:dyDescent="0.2">
      <c r="C543" s="683"/>
      <c r="K543" s="672"/>
    </row>
    <row r="544" spans="3:11" ht="12.75" x14ac:dyDescent="0.2">
      <c r="C544" s="683"/>
      <c r="K544" s="672"/>
    </row>
    <row r="545" spans="3:11" ht="12.75" x14ac:dyDescent="0.2">
      <c r="C545" s="683"/>
      <c r="K545" s="672"/>
    </row>
    <row r="546" spans="3:11" ht="12.75" x14ac:dyDescent="0.2">
      <c r="C546" s="683"/>
      <c r="K546" s="672"/>
    </row>
    <row r="547" spans="3:11" ht="12.75" x14ac:dyDescent="0.2">
      <c r="C547" s="683"/>
      <c r="K547" s="672"/>
    </row>
    <row r="548" spans="3:11" ht="12.75" x14ac:dyDescent="0.2">
      <c r="C548" s="683"/>
      <c r="K548" s="672"/>
    </row>
    <row r="549" spans="3:11" ht="12.75" x14ac:dyDescent="0.2">
      <c r="C549" s="683"/>
      <c r="K549" s="672"/>
    </row>
    <row r="550" spans="3:11" ht="12.75" x14ac:dyDescent="0.2">
      <c r="C550" s="683"/>
      <c r="K550" s="672"/>
    </row>
    <row r="551" spans="3:11" ht="12.75" x14ac:dyDescent="0.2">
      <c r="C551" s="683"/>
      <c r="K551" s="672"/>
    </row>
    <row r="552" spans="3:11" ht="12.75" x14ac:dyDescent="0.2">
      <c r="C552" s="683"/>
      <c r="K552" s="672"/>
    </row>
    <row r="553" spans="3:11" ht="12.75" x14ac:dyDescent="0.2">
      <c r="C553" s="683"/>
      <c r="K553" s="672"/>
    </row>
    <row r="554" spans="3:11" ht="12.75" x14ac:dyDescent="0.2">
      <c r="C554" s="683"/>
      <c r="K554" s="672"/>
    </row>
    <row r="555" spans="3:11" ht="12.75" x14ac:dyDescent="0.2">
      <c r="C555" s="683"/>
      <c r="K555" s="672"/>
    </row>
    <row r="556" spans="3:11" ht="12.75" x14ac:dyDescent="0.2">
      <c r="C556" s="683"/>
      <c r="K556" s="672"/>
    </row>
    <row r="557" spans="3:11" ht="12.75" x14ac:dyDescent="0.2">
      <c r="C557" s="683"/>
      <c r="K557" s="672"/>
    </row>
    <row r="558" spans="3:11" ht="12.75" x14ac:dyDescent="0.2">
      <c r="C558" s="683"/>
      <c r="K558" s="672"/>
    </row>
    <row r="559" spans="3:11" ht="12.75" x14ac:dyDescent="0.2">
      <c r="C559" s="683"/>
      <c r="K559" s="672"/>
    </row>
    <row r="560" spans="3:11" ht="12.75" x14ac:dyDescent="0.2">
      <c r="C560" s="683"/>
      <c r="K560" s="672"/>
    </row>
    <row r="561" spans="3:11" ht="12.75" x14ac:dyDescent="0.2">
      <c r="C561" s="683"/>
      <c r="K561" s="672"/>
    </row>
    <row r="562" spans="3:11" ht="12.75" x14ac:dyDescent="0.2">
      <c r="C562" s="683"/>
      <c r="K562" s="672"/>
    </row>
    <row r="563" spans="3:11" ht="12.75" x14ac:dyDescent="0.2">
      <c r="C563" s="683"/>
      <c r="K563" s="672"/>
    </row>
    <row r="564" spans="3:11" ht="12.75" x14ac:dyDescent="0.2">
      <c r="C564" s="683"/>
      <c r="K564" s="672"/>
    </row>
    <row r="565" spans="3:11" ht="12.75" x14ac:dyDescent="0.2">
      <c r="C565" s="683"/>
      <c r="K565" s="672"/>
    </row>
    <row r="566" spans="3:11" ht="12.75" x14ac:dyDescent="0.2">
      <c r="C566" s="683"/>
      <c r="K566" s="672"/>
    </row>
    <row r="567" spans="3:11" ht="12.75" x14ac:dyDescent="0.2">
      <c r="C567" s="683"/>
      <c r="K567" s="672"/>
    </row>
    <row r="568" spans="3:11" ht="12.75" x14ac:dyDescent="0.2">
      <c r="C568" s="683"/>
      <c r="K568" s="672"/>
    </row>
    <row r="569" spans="3:11" ht="12.75" x14ac:dyDescent="0.2">
      <c r="C569" s="683"/>
      <c r="K569" s="672"/>
    </row>
    <row r="570" spans="3:11" ht="12.75" x14ac:dyDescent="0.2">
      <c r="C570" s="683"/>
      <c r="K570" s="672"/>
    </row>
    <row r="571" spans="3:11" ht="12.75" x14ac:dyDescent="0.2">
      <c r="C571" s="683"/>
      <c r="K571" s="672"/>
    </row>
    <row r="572" spans="3:11" ht="12.75" x14ac:dyDescent="0.2">
      <c r="C572" s="683"/>
      <c r="K572" s="672"/>
    </row>
    <row r="573" spans="3:11" ht="12.75" x14ac:dyDescent="0.2">
      <c r="C573" s="683"/>
      <c r="K573" s="672"/>
    </row>
    <row r="574" spans="3:11" ht="12.75" x14ac:dyDescent="0.2">
      <c r="C574" s="683"/>
      <c r="K574" s="672"/>
    </row>
    <row r="575" spans="3:11" ht="12.75" x14ac:dyDescent="0.2">
      <c r="C575" s="683"/>
      <c r="K575" s="672"/>
    </row>
    <row r="576" spans="3:11" ht="12.75" x14ac:dyDescent="0.2">
      <c r="C576" s="683"/>
      <c r="K576" s="672"/>
    </row>
    <row r="577" spans="3:11" ht="12.75" x14ac:dyDescent="0.2">
      <c r="C577" s="683"/>
      <c r="K577" s="672"/>
    </row>
    <row r="578" spans="3:11" ht="12.75" x14ac:dyDescent="0.2">
      <c r="C578" s="683"/>
      <c r="K578" s="672"/>
    </row>
    <row r="579" spans="3:11" ht="12.75" x14ac:dyDescent="0.2">
      <c r="C579" s="683"/>
      <c r="K579" s="672"/>
    </row>
    <row r="580" spans="3:11" ht="12.75" x14ac:dyDescent="0.2">
      <c r="C580" s="683"/>
      <c r="K580" s="672"/>
    </row>
    <row r="581" spans="3:11" ht="12.75" x14ac:dyDescent="0.2">
      <c r="C581" s="683"/>
      <c r="K581" s="672"/>
    </row>
    <row r="582" spans="3:11" ht="12.75" x14ac:dyDescent="0.2">
      <c r="C582" s="683"/>
      <c r="K582" s="672"/>
    </row>
    <row r="583" spans="3:11" ht="12.75" x14ac:dyDescent="0.2">
      <c r="C583" s="683"/>
      <c r="K583" s="672"/>
    </row>
    <row r="584" spans="3:11" ht="12.75" x14ac:dyDescent="0.2">
      <c r="C584" s="683"/>
      <c r="K584" s="672"/>
    </row>
    <row r="585" spans="3:11" ht="12.75" x14ac:dyDescent="0.2">
      <c r="C585" s="683"/>
      <c r="K585" s="672"/>
    </row>
    <row r="586" spans="3:11" ht="12.75" x14ac:dyDescent="0.2">
      <c r="C586" s="683"/>
      <c r="K586" s="672"/>
    </row>
    <row r="587" spans="3:11" ht="12.75" x14ac:dyDescent="0.2">
      <c r="C587" s="683"/>
      <c r="K587" s="672"/>
    </row>
    <row r="588" spans="3:11" ht="12.75" x14ac:dyDescent="0.2">
      <c r="C588" s="683"/>
      <c r="K588" s="672"/>
    </row>
    <row r="589" spans="3:11" ht="12.75" x14ac:dyDescent="0.2">
      <c r="C589" s="683"/>
      <c r="K589" s="672"/>
    </row>
    <row r="590" spans="3:11" ht="12.75" x14ac:dyDescent="0.2">
      <c r="C590" s="683"/>
      <c r="K590" s="672"/>
    </row>
    <row r="591" spans="3:11" ht="12.75" x14ac:dyDescent="0.2">
      <c r="C591" s="683"/>
      <c r="K591" s="672"/>
    </row>
    <row r="592" spans="3:11" ht="12.75" x14ac:dyDescent="0.2">
      <c r="C592" s="683"/>
      <c r="K592" s="672"/>
    </row>
    <row r="593" spans="3:11" ht="12.75" x14ac:dyDescent="0.2">
      <c r="C593" s="683"/>
      <c r="K593" s="672"/>
    </row>
    <row r="594" spans="3:11" ht="12.75" x14ac:dyDescent="0.2">
      <c r="C594" s="683"/>
      <c r="K594" s="672"/>
    </row>
    <row r="595" spans="3:11" ht="12.75" x14ac:dyDescent="0.2">
      <c r="C595" s="683"/>
      <c r="K595" s="672"/>
    </row>
    <row r="596" spans="3:11" ht="12.75" x14ac:dyDescent="0.2">
      <c r="C596" s="683"/>
      <c r="K596" s="672"/>
    </row>
    <row r="597" spans="3:11" ht="12.75" x14ac:dyDescent="0.2">
      <c r="C597" s="683"/>
      <c r="K597" s="672"/>
    </row>
    <row r="598" spans="3:11" ht="12.75" x14ac:dyDescent="0.2">
      <c r="C598" s="683"/>
      <c r="K598" s="672"/>
    </row>
    <row r="599" spans="3:11" ht="12.75" x14ac:dyDescent="0.2">
      <c r="C599" s="683"/>
      <c r="K599" s="672"/>
    </row>
    <row r="600" spans="3:11" ht="12.75" x14ac:dyDescent="0.2">
      <c r="C600" s="683"/>
      <c r="K600" s="672"/>
    </row>
    <row r="601" spans="3:11" ht="12.75" x14ac:dyDescent="0.2">
      <c r="C601" s="683"/>
      <c r="K601" s="672"/>
    </row>
    <row r="602" spans="3:11" ht="12.75" x14ac:dyDescent="0.2">
      <c r="C602" s="683"/>
      <c r="K602" s="672"/>
    </row>
    <row r="603" spans="3:11" ht="12.75" x14ac:dyDescent="0.2">
      <c r="C603" s="683"/>
      <c r="K603" s="672"/>
    </row>
    <row r="604" spans="3:11" ht="12.75" x14ac:dyDescent="0.2">
      <c r="C604" s="683"/>
      <c r="K604" s="672"/>
    </row>
    <row r="605" spans="3:11" ht="12.75" x14ac:dyDescent="0.2">
      <c r="C605" s="683"/>
      <c r="K605" s="672"/>
    </row>
    <row r="606" spans="3:11" ht="12.75" x14ac:dyDescent="0.2">
      <c r="C606" s="683"/>
      <c r="K606" s="672"/>
    </row>
    <row r="607" spans="3:11" ht="12.75" x14ac:dyDescent="0.2">
      <c r="C607" s="683"/>
      <c r="K607" s="672"/>
    </row>
    <row r="608" spans="3:11" ht="12.75" x14ac:dyDescent="0.2">
      <c r="C608" s="683"/>
      <c r="K608" s="672"/>
    </row>
    <row r="609" spans="3:11" ht="12.75" x14ac:dyDescent="0.2">
      <c r="C609" s="683"/>
      <c r="K609" s="672"/>
    </row>
    <row r="610" spans="3:11" ht="12.75" x14ac:dyDescent="0.2">
      <c r="C610" s="683"/>
      <c r="K610" s="672"/>
    </row>
    <row r="611" spans="3:11" ht="12.75" x14ac:dyDescent="0.2">
      <c r="C611" s="683"/>
      <c r="K611" s="672"/>
    </row>
    <row r="612" spans="3:11" ht="12.75" x14ac:dyDescent="0.2">
      <c r="C612" s="683"/>
      <c r="K612" s="672"/>
    </row>
    <row r="613" spans="3:11" ht="12.75" x14ac:dyDescent="0.2">
      <c r="C613" s="683"/>
      <c r="K613" s="672"/>
    </row>
    <row r="614" spans="3:11" ht="12.75" x14ac:dyDescent="0.2">
      <c r="C614" s="683"/>
      <c r="K614" s="672"/>
    </row>
    <row r="615" spans="3:11" ht="12.75" x14ac:dyDescent="0.2">
      <c r="C615" s="683"/>
      <c r="K615" s="672"/>
    </row>
    <row r="616" spans="3:11" ht="12.75" x14ac:dyDescent="0.2">
      <c r="C616" s="683"/>
      <c r="K616" s="672"/>
    </row>
    <row r="617" spans="3:11" ht="12.75" x14ac:dyDescent="0.2">
      <c r="C617" s="683"/>
      <c r="K617" s="672"/>
    </row>
    <row r="618" spans="3:11" ht="12.75" x14ac:dyDescent="0.2">
      <c r="C618" s="683"/>
      <c r="K618" s="672"/>
    </row>
    <row r="619" spans="3:11" ht="12.75" x14ac:dyDescent="0.2">
      <c r="C619" s="683"/>
      <c r="K619" s="672"/>
    </row>
    <row r="620" spans="3:11" ht="12.75" x14ac:dyDescent="0.2">
      <c r="C620" s="683"/>
      <c r="K620" s="672"/>
    </row>
    <row r="621" spans="3:11" ht="12.75" x14ac:dyDescent="0.2">
      <c r="C621" s="683"/>
      <c r="K621" s="672"/>
    </row>
    <row r="622" spans="3:11" ht="12.75" x14ac:dyDescent="0.2">
      <c r="C622" s="683"/>
      <c r="K622" s="672"/>
    </row>
    <row r="623" spans="3:11" ht="12.75" x14ac:dyDescent="0.2">
      <c r="C623" s="683"/>
      <c r="K623" s="672"/>
    </row>
    <row r="624" spans="3:11" ht="12.75" x14ac:dyDescent="0.2">
      <c r="C624" s="683"/>
      <c r="K624" s="672"/>
    </row>
    <row r="625" spans="3:11" ht="12.75" x14ac:dyDescent="0.2">
      <c r="C625" s="683"/>
      <c r="K625" s="672"/>
    </row>
    <row r="626" spans="3:11" ht="12.75" x14ac:dyDescent="0.2">
      <c r="C626" s="683"/>
      <c r="K626" s="672"/>
    </row>
    <row r="627" spans="3:11" ht="12.75" x14ac:dyDescent="0.2">
      <c r="C627" s="683"/>
      <c r="K627" s="672"/>
    </row>
    <row r="628" spans="3:11" ht="12.75" x14ac:dyDescent="0.2">
      <c r="C628" s="683"/>
      <c r="K628" s="672"/>
    </row>
    <row r="629" spans="3:11" ht="12.75" x14ac:dyDescent="0.2">
      <c r="C629" s="683"/>
      <c r="K629" s="672"/>
    </row>
    <row r="630" spans="3:11" ht="12.75" x14ac:dyDescent="0.2">
      <c r="C630" s="683"/>
      <c r="K630" s="672"/>
    </row>
    <row r="631" spans="3:11" ht="12.75" x14ac:dyDescent="0.2">
      <c r="C631" s="683"/>
      <c r="K631" s="672"/>
    </row>
    <row r="632" spans="3:11" ht="12.75" x14ac:dyDescent="0.2">
      <c r="C632" s="683"/>
      <c r="K632" s="672"/>
    </row>
    <row r="633" spans="3:11" ht="12.75" x14ac:dyDescent="0.2">
      <c r="C633" s="683"/>
      <c r="K633" s="672"/>
    </row>
    <row r="634" spans="3:11" ht="12.75" x14ac:dyDescent="0.2">
      <c r="C634" s="683"/>
      <c r="K634" s="672"/>
    </row>
    <row r="635" spans="3:11" ht="12.75" x14ac:dyDescent="0.2">
      <c r="C635" s="683"/>
      <c r="K635" s="672"/>
    </row>
    <row r="636" spans="3:11" ht="12.75" x14ac:dyDescent="0.2">
      <c r="C636" s="683"/>
      <c r="K636" s="672"/>
    </row>
    <row r="637" spans="3:11" ht="12.75" x14ac:dyDescent="0.2">
      <c r="C637" s="683"/>
      <c r="K637" s="672"/>
    </row>
    <row r="638" spans="3:11" ht="12.75" x14ac:dyDescent="0.2">
      <c r="C638" s="683"/>
      <c r="K638" s="672"/>
    </row>
    <row r="639" spans="3:11" ht="12.75" x14ac:dyDescent="0.2">
      <c r="C639" s="683"/>
      <c r="K639" s="672"/>
    </row>
    <row r="640" spans="3:11" ht="12.75" x14ac:dyDescent="0.2">
      <c r="C640" s="683"/>
      <c r="K640" s="672"/>
    </row>
    <row r="641" spans="3:11" ht="12.75" x14ac:dyDescent="0.2">
      <c r="C641" s="683"/>
      <c r="K641" s="672"/>
    </row>
    <row r="642" spans="3:11" ht="12.75" x14ac:dyDescent="0.2">
      <c r="C642" s="683"/>
      <c r="K642" s="672"/>
    </row>
    <row r="643" spans="3:11" ht="12.75" x14ac:dyDescent="0.2">
      <c r="C643" s="683"/>
      <c r="K643" s="672"/>
    </row>
    <row r="644" spans="3:11" ht="12.75" x14ac:dyDescent="0.2">
      <c r="C644" s="683"/>
      <c r="K644" s="672"/>
    </row>
    <row r="645" spans="3:11" ht="12.75" x14ac:dyDescent="0.2">
      <c r="C645" s="683"/>
      <c r="K645" s="672"/>
    </row>
    <row r="646" spans="3:11" ht="12.75" x14ac:dyDescent="0.2">
      <c r="C646" s="683"/>
      <c r="K646" s="672"/>
    </row>
    <row r="647" spans="3:11" ht="12.75" x14ac:dyDescent="0.2">
      <c r="C647" s="683"/>
      <c r="K647" s="672"/>
    </row>
    <row r="648" spans="3:11" ht="12.75" x14ac:dyDescent="0.2">
      <c r="C648" s="683"/>
      <c r="K648" s="672"/>
    </row>
    <row r="649" spans="3:11" ht="12.75" x14ac:dyDescent="0.2">
      <c r="C649" s="683"/>
      <c r="K649" s="672"/>
    </row>
    <row r="650" spans="3:11" ht="12.75" x14ac:dyDescent="0.2">
      <c r="C650" s="683"/>
      <c r="K650" s="672"/>
    </row>
    <row r="651" spans="3:11" ht="12.75" x14ac:dyDescent="0.2">
      <c r="C651" s="683"/>
      <c r="K651" s="672"/>
    </row>
    <row r="652" spans="3:11" ht="12.75" x14ac:dyDescent="0.2">
      <c r="C652" s="683"/>
      <c r="K652" s="672"/>
    </row>
    <row r="653" spans="3:11" ht="12.75" x14ac:dyDescent="0.2">
      <c r="C653" s="683"/>
      <c r="K653" s="672"/>
    </row>
    <row r="654" spans="3:11" ht="12.75" x14ac:dyDescent="0.2">
      <c r="C654" s="683"/>
      <c r="K654" s="672"/>
    </row>
    <row r="655" spans="3:11" ht="12.75" x14ac:dyDescent="0.2">
      <c r="C655" s="683"/>
      <c r="K655" s="672"/>
    </row>
    <row r="656" spans="3:11" ht="12.75" x14ac:dyDescent="0.2">
      <c r="C656" s="683"/>
      <c r="K656" s="672"/>
    </row>
    <row r="657" spans="3:11" ht="12.75" x14ac:dyDescent="0.2">
      <c r="C657" s="683"/>
      <c r="K657" s="672"/>
    </row>
    <row r="658" spans="3:11" ht="12.75" x14ac:dyDescent="0.2">
      <c r="C658" s="683"/>
      <c r="K658" s="672"/>
    </row>
    <row r="659" spans="3:11" ht="12.75" x14ac:dyDescent="0.2">
      <c r="C659" s="683"/>
      <c r="K659" s="672"/>
    </row>
    <row r="660" spans="3:11" ht="12.75" x14ac:dyDescent="0.2">
      <c r="C660" s="683"/>
      <c r="K660" s="672"/>
    </row>
    <row r="661" spans="3:11" ht="12.75" x14ac:dyDescent="0.2">
      <c r="C661" s="683"/>
      <c r="K661" s="672"/>
    </row>
    <row r="662" spans="3:11" ht="12.75" x14ac:dyDescent="0.2">
      <c r="C662" s="683"/>
      <c r="K662" s="672"/>
    </row>
    <row r="663" spans="3:11" ht="12.75" x14ac:dyDescent="0.2">
      <c r="C663" s="683"/>
      <c r="K663" s="672"/>
    </row>
    <row r="664" spans="3:11" ht="12.75" x14ac:dyDescent="0.2">
      <c r="C664" s="683"/>
      <c r="K664" s="672"/>
    </row>
    <row r="665" spans="3:11" ht="12.75" x14ac:dyDescent="0.2">
      <c r="C665" s="683"/>
      <c r="K665" s="672"/>
    </row>
    <row r="666" spans="3:11" ht="12.75" x14ac:dyDescent="0.2">
      <c r="C666" s="683"/>
      <c r="K666" s="672"/>
    </row>
    <row r="667" spans="3:11" ht="12.75" x14ac:dyDescent="0.2">
      <c r="C667" s="683"/>
      <c r="K667" s="672"/>
    </row>
    <row r="668" spans="3:11" ht="12.75" x14ac:dyDescent="0.2">
      <c r="C668" s="683"/>
      <c r="K668" s="672"/>
    </row>
    <row r="669" spans="3:11" ht="12.75" x14ac:dyDescent="0.2">
      <c r="C669" s="683"/>
      <c r="K669" s="672"/>
    </row>
    <row r="670" spans="3:11" ht="12.75" x14ac:dyDescent="0.2">
      <c r="C670" s="683"/>
      <c r="K670" s="672"/>
    </row>
    <row r="671" spans="3:11" ht="12.75" x14ac:dyDescent="0.2">
      <c r="C671" s="683"/>
      <c r="K671" s="672"/>
    </row>
    <row r="672" spans="3:11" ht="12.75" x14ac:dyDescent="0.2">
      <c r="C672" s="683"/>
      <c r="K672" s="672"/>
    </row>
    <row r="673" spans="3:11" ht="12.75" x14ac:dyDescent="0.2">
      <c r="C673" s="683"/>
      <c r="K673" s="672"/>
    </row>
    <row r="674" spans="3:11" ht="12.75" x14ac:dyDescent="0.2">
      <c r="C674" s="683"/>
      <c r="K674" s="672"/>
    </row>
    <row r="675" spans="3:11" ht="12.75" x14ac:dyDescent="0.2">
      <c r="C675" s="683"/>
      <c r="K675" s="672"/>
    </row>
    <row r="676" spans="3:11" ht="12.75" x14ac:dyDescent="0.2">
      <c r="C676" s="683"/>
      <c r="K676" s="672"/>
    </row>
    <row r="677" spans="3:11" ht="12.75" x14ac:dyDescent="0.2">
      <c r="C677" s="683"/>
      <c r="K677" s="672"/>
    </row>
    <row r="678" spans="3:11" ht="12.75" x14ac:dyDescent="0.2">
      <c r="C678" s="683"/>
      <c r="K678" s="672"/>
    </row>
    <row r="679" spans="3:11" ht="12.75" x14ac:dyDescent="0.2">
      <c r="C679" s="683"/>
      <c r="K679" s="672"/>
    </row>
    <row r="680" spans="3:11" ht="12.75" x14ac:dyDescent="0.2">
      <c r="C680" s="683"/>
      <c r="K680" s="672"/>
    </row>
    <row r="681" spans="3:11" ht="12.75" x14ac:dyDescent="0.2">
      <c r="C681" s="683"/>
      <c r="K681" s="672"/>
    </row>
    <row r="682" spans="3:11" ht="12.75" x14ac:dyDescent="0.2">
      <c r="C682" s="683"/>
      <c r="K682" s="672"/>
    </row>
    <row r="683" spans="3:11" ht="12.75" x14ac:dyDescent="0.2">
      <c r="C683" s="683"/>
      <c r="K683" s="672"/>
    </row>
    <row r="684" spans="3:11" ht="12.75" x14ac:dyDescent="0.2">
      <c r="C684" s="683"/>
      <c r="K684" s="672"/>
    </row>
    <row r="685" spans="3:11" ht="12.75" x14ac:dyDescent="0.2">
      <c r="C685" s="683"/>
      <c r="K685" s="672"/>
    </row>
    <row r="686" spans="3:11" ht="12.75" x14ac:dyDescent="0.2">
      <c r="C686" s="683"/>
      <c r="K686" s="672"/>
    </row>
    <row r="687" spans="3:11" ht="12.75" x14ac:dyDescent="0.2">
      <c r="C687" s="683"/>
      <c r="K687" s="672"/>
    </row>
    <row r="688" spans="3:11" ht="12.75" x14ac:dyDescent="0.2">
      <c r="C688" s="683"/>
      <c r="K688" s="672"/>
    </row>
    <row r="689" spans="3:11" ht="12.75" x14ac:dyDescent="0.2">
      <c r="C689" s="683"/>
      <c r="K689" s="672"/>
    </row>
    <row r="690" spans="3:11" ht="12.75" x14ac:dyDescent="0.2">
      <c r="C690" s="683"/>
      <c r="K690" s="672"/>
    </row>
    <row r="691" spans="3:11" ht="12.75" x14ac:dyDescent="0.2">
      <c r="C691" s="683"/>
      <c r="K691" s="672"/>
    </row>
    <row r="692" spans="3:11" ht="12.75" x14ac:dyDescent="0.2">
      <c r="C692" s="683"/>
      <c r="K692" s="672"/>
    </row>
    <row r="693" spans="3:11" ht="12.75" x14ac:dyDescent="0.2">
      <c r="C693" s="683"/>
      <c r="K693" s="672"/>
    </row>
    <row r="694" spans="3:11" ht="12.75" x14ac:dyDescent="0.2">
      <c r="C694" s="683"/>
      <c r="K694" s="672"/>
    </row>
    <row r="695" spans="3:11" ht="12.75" x14ac:dyDescent="0.2">
      <c r="C695" s="683"/>
      <c r="K695" s="672"/>
    </row>
    <row r="696" spans="3:11" ht="12.75" x14ac:dyDescent="0.2">
      <c r="C696" s="683"/>
      <c r="K696" s="672"/>
    </row>
    <row r="697" spans="3:11" ht="12.75" x14ac:dyDescent="0.2">
      <c r="C697" s="683"/>
      <c r="K697" s="672"/>
    </row>
    <row r="698" spans="3:11" ht="12.75" x14ac:dyDescent="0.2">
      <c r="C698" s="683"/>
      <c r="K698" s="672"/>
    </row>
    <row r="699" spans="3:11" ht="12.75" x14ac:dyDescent="0.2">
      <c r="C699" s="683"/>
      <c r="K699" s="672"/>
    </row>
    <row r="700" spans="3:11" ht="12.75" x14ac:dyDescent="0.2">
      <c r="C700" s="683"/>
      <c r="K700" s="672"/>
    </row>
    <row r="701" spans="3:11" ht="12.75" x14ac:dyDescent="0.2">
      <c r="C701" s="683"/>
      <c r="K701" s="672"/>
    </row>
    <row r="702" spans="3:11" ht="12.75" x14ac:dyDescent="0.2">
      <c r="C702" s="683"/>
      <c r="K702" s="672"/>
    </row>
    <row r="703" spans="3:11" ht="12.75" x14ac:dyDescent="0.2">
      <c r="C703" s="683"/>
      <c r="K703" s="672"/>
    </row>
    <row r="704" spans="3:11" ht="12.75" x14ac:dyDescent="0.2">
      <c r="C704" s="683"/>
      <c r="K704" s="672"/>
    </row>
    <row r="705" spans="3:11" ht="12.75" x14ac:dyDescent="0.2">
      <c r="C705" s="683"/>
      <c r="K705" s="672"/>
    </row>
    <row r="706" spans="3:11" ht="12.75" x14ac:dyDescent="0.2">
      <c r="C706" s="683"/>
      <c r="K706" s="672"/>
    </row>
    <row r="707" spans="3:11" ht="12.75" x14ac:dyDescent="0.2">
      <c r="C707" s="683"/>
      <c r="K707" s="672"/>
    </row>
    <row r="708" spans="3:11" ht="12.75" x14ac:dyDescent="0.2">
      <c r="C708" s="683"/>
      <c r="K708" s="672"/>
    </row>
    <row r="709" spans="3:11" ht="12.75" x14ac:dyDescent="0.2">
      <c r="C709" s="683"/>
      <c r="K709" s="672"/>
    </row>
    <row r="710" spans="3:11" ht="12.75" x14ac:dyDescent="0.2">
      <c r="C710" s="683"/>
      <c r="K710" s="672"/>
    </row>
    <row r="711" spans="3:11" ht="12.75" x14ac:dyDescent="0.2">
      <c r="C711" s="683"/>
      <c r="K711" s="672"/>
    </row>
    <row r="712" spans="3:11" ht="12.75" x14ac:dyDescent="0.2">
      <c r="C712" s="683"/>
      <c r="K712" s="672"/>
    </row>
    <row r="713" spans="3:11" ht="12.75" x14ac:dyDescent="0.2">
      <c r="C713" s="683"/>
      <c r="K713" s="672"/>
    </row>
    <row r="714" spans="3:11" ht="12.75" x14ac:dyDescent="0.2">
      <c r="C714" s="683"/>
      <c r="K714" s="672"/>
    </row>
    <row r="715" spans="3:11" ht="12.75" x14ac:dyDescent="0.2">
      <c r="C715" s="683"/>
      <c r="K715" s="672"/>
    </row>
    <row r="716" spans="3:11" ht="12.75" x14ac:dyDescent="0.2">
      <c r="C716" s="683"/>
      <c r="K716" s="672"/>
    </row>
    <row r="717" spans="3:11" ht="12.75" x14ac:dyDescent="0.2">
      <c r="C717" s="683"/>
      <c r="K717" s="672"/>
    </row>
    <row r="718" spans="3:11" ht="12.75" x14ac:dyDescent="0.2">
      <c r="C718" s="683"/>
      <c r="K718" s="672"/>
    </row>
    <row r="719" spans="3:11" ht="12.75" x14ac:dyDescent="0.2">
      <c r="C719" s="683"/>
      <c r="K719" s="672"/>
    </row>
    <row r="720" spans="3:11" ht="12.75" x14ac:dyDescent="0.2">
      <c r="C720" s="683"/>
      <c r="K720" s="672"/>
    </row>
    <row r="721" spans="3:11" ht="12.75" x14ac:dyDescent="0.2">
      <c r="C721" s="683"/>
      <c r="K721" s="672"/>
    </row>
    <row r="722" spans="3:11" ht="12.75" x14ac:dyDescent="0.2">
      <c r="C722" s="683"/>
      <c r="K722" s="672"/>
    </row>
    <row r="723" spans="3:11" ht="12.75" x14ac:dyDescent="0.2">
      <c r="C723" s="683"/>
      <c r="K723" s="672"/>
    </row>
    <row r="724" spans="3:11" ht="12.75" x14ac:dyDescent="0.2">
      <c r="C724" s="683"/>
      <c r="K724" s="672"/>
    </row>
    <row r="725" spans="3:11" ht="12.75" x14ac:dyDescent="0.2">
      <c r="C725" s="683"/>
      <c r="K725" s="672"/>
    </row>
    <row r="726" spans="3:11" ht="12.75" x14ac:dyDescent="0.2">
      <c r="C726" s="683"/>
      <c r="K726" s="672"/>
    </row>
    <row r="727" spans="3:11" ht="12.75" x14ac:dyDescent="0.2">
      <c r="C727" s="683"/>
      <c r="K727" s="672"/>
    </row>
    <row r="728" spans="3:11" ht="12.75" x14ac:dyDescent="0.2">
      <c r="C728" s="683"/>
      <c r="K728" s="672"/>
    </row>
    <row r="729" spans="3:11" ht="12.75" x14ac:dyDescent="0.2">
      <c r="C729" s="683"/>
      <c r="K729" s="672"/>
    </row>
    <row r="730" spans="3:11" ht="12.75" x14ac:dyDescent="0.2">
      <c r="C730" s="683"/>
      <c r="K730" s="672"/>
    </row>
    <row r="731" spans="3:11" ht="12.75" x14ac:dyDescent="0.2">
      <c r="C731" s="683"/>
      <c r="K731" s="672"/>
    </row>
    <row r="732" spans="3:11" ht="12.75" x14ac:dyDescent="0.2">
      <c r="C732" s="683"/>
      <c r="K732" s="672"/>
    </row>
    <row r="733" spans="3:11" ht="12.75" x14ac:dyDescent="0.2">
      <c r="C733" s="683"/>
      <c r="K733" s="672"/>
    </row>
    <row r="734" spans="3:11" ht="12.75" x14ac:dyDescent="0.2">
      <c r="C734" s="683"/>
      <c r="K734" s="672"/>
    </row>
    <row r="735" spans="3:11" ht="12.75" x14ac:dyDescent="0.2">
      <c r="C735" s="683"/>
      <c r="K735" s="672"/>
    </row>
    <row r="736" spans="3:11" ht="12.75" x14ac:dyDescent="0.2">
      <c r="C736" s="683"/>
      <c r="K736" s="672"/>
    </row>
    <row r="737" spans="3:11" ht="12.75" x14ac:dyDescent="0.2">
      <c r="C737" s="683"/>
      <c r="K737" s="672"/>
    </row>
    <row r="738" spans="3:11" ht="12.75" x14ac:dyDescent="0.2">
      <c r="C738" s="683"/>
      <c r="K738" s="672"/>
    </row>
    <row r="739" spans="3:11" ht="12.75" x14ac:dyDescent="0.2">
      <c r="C739" s="683"/>
      <c r="K739" s="672"/>
    </row>
    <row r="740" spans="3:11" ht="12.75" x14ac:dyDescent="0.2">
      <c r="C740" s="683"/>
      <c r="K740" s="672"/>
    </row>
    <row r="741" spans="3:11" ht="12.75" x14ac:dyDescent="0.2">
      <c r="C741" s="683"/>
      <c r="K741" s="672"/>
    </row>
    <row r="742" spans="3:11" ht="12.75" x14ac:dyDescent="0.2">
      <c r="C742" s="683"/>
      <c r="K742" s="672"/>
    </row>
    <row r="743" spans="3:11" ht="12.75" x14ac:dyDescent="0.2">
      <c r="C743" s="683"/>
      <c r="K743" s="672"/>
    </row>
    <row r="744" spans="3:11" ht="12.75" x14ac:dyDescent="0.2">
      <c r="C744" s="683"/>
      <c r="K744" s="672"/>
    </row>
    <row r="745" spans="3:11" ht="12.75" x14ac:dyDescent="0.2">
      <c r="C745" s="683"/>
      <c r="K745" s="672"/>
    </row>
    <row r="746" spans="3:11" ht="12.75" x14ac:dyDescent="0.2">
      <c r="C746" s="683"/>
      <c r="K746" s="672"/>
    </row>
    <row r="747" spans="3:11" ht="12.75" x14ac:dyDescent="0.2">
      <c r="C747" s="683"/>
      <c r="K747" s="672"/>
    </row>
    <row r="748" spans="3:11" ht="12.75" x14ac:dyDescent="0.2">
      <c r="C748" s="683"/>
      <c r="K748" s="672"/>
    </row>
    <row r="749" spans="3:11" ht="12.75" x14ac:dyDescent="0.2">
      <c r="C749" s="683"/>
      <c r="K749" s="672"/>
    </row>
    <row r="750" spans="3:11" ht="12.75" x14ac:dyDescent="0.2">
      <c r="C750" s="683"/>
      <c r="K750" s="672"/>
    </row>
    <row r="751" spans="3:11" ht="12.75" x14ac:dyDescent="0.2">
      <c r="C751" s="683"/>
      <c r="K751" s="672"/>
    </row>
    <row r="752" spans="3:11" ht="12.75" x14ac:dyDescent="0.2">
      <c r="C752" s="683"/>
      <c r="K752" s="672"/>
    </row>
    <row r="753" spans="3:11" ht="12.75" x14ac:dyDescent="0.2">
      <c r="C753" s="683"/>
      <c r="K753" s="672"/>
    </row>
    <row r="754" spans="3:11" ht="12.75" x14ac:dyDescent="0.2">
      <c r="C754" s="683"/>
      <c r="K754" s="672"/>
    </row>
    <row r="755" spans="3:11" ht="12.75" x14ac:dyDescent="0.2">
      <c r="C755" s="683"/>
      <c r="K755" s="672"/>
    </row>
    <row r="756" spans="3:11" ht="12.75" x14ac:dyDescent="0.2">
      <c r="C756" s="683"/>
      <c r="K756" s="672"/>
    </row>
    <row r="757" spans="3:11" ht="12.75" x14ac:dyDescent="0.2">
      <c r="C757" s="683"/>
      <c r="K757" s="672"/>
    </row>
    <row r="758" spans="3:11" ht="12.75" x14ac:dyDescent="0.2">
      <c r="C758" s="683"/>
      <c r="K758" s="672"/>
    </row>
    <row r="759" spans="3:11" ht="12.75" x14ac:dyDescent="0.2">
      <c r="C759" s="683"/>
      <c r="K759" s="672"/>
    </row>
    <row r="760" spans="3:11" ht="12.75" x14ac:dyDescent="0.2">
      <c r="C760" s="683"/>
      <c r="K760" s="672"/>
    </row>
    <row r="761" spans="3:11" ht="12.75" x14ac:dyDescent="0.2">
      <c r="C761" s="683"/>
      <c r="K761" s="672"/>
    </row>
    <row r="762" spans="3:11" ht="12.75" x14ac:dyDescent="0.2">
      <c r="C762" s="683"/>
      <c r="K762" s="672"/>
    </row>
    <row r="763" spans="3:11" ht="12.75" x14ac:dyDescent="0.2">
      <c r="C763" s="683"/>
      <c r="K763" s="672"/>
    </row>
    <row r="764" spans="3:11" ht="12.75" x14ac:dyDescent="0.2">
      <c r="C764" s="683"/>
      <c r="K764" s="672"/>
    </row>
    <row r="765" spans="3:11" ht="12.75" x14ac:dyDescent="0.2">
      <c r="C765" s="683"/>
      <c r="K765" s="672"/>
    </row>
    <row r="766" spans="3:11" ht="12.75" x14ac:dyDescent="0.2">
      <c r="C766" s="683"/>
      <c r="K766" s="672"/>
    </row>
    <row r="767" spans="3:11" ht="12.75" x14ac:dyDescent="0.2">
      <c r="C767" s="683"/>
      <c r="K767" s="672"/>
    </row>
    <row r="768" spans="3:11" ht="12.75" x14ac:dyDescent="0.2">
      <c r="C768" s="683"/>
      <c r="K768" s="672"/>
    </row>
    <row r="769" spans="3:11" ht="12.75" x14ac:dyDescent="0.2">
      <c r="C769" s="683"/>
      <c r="K769" s="672"/>
    </row>
    <row r="770" spans="3:11" ht="12.75" x14ac:dyDescent="0.2">
      <c r="C770" s="683"/>
      <c r="K770" s="672"/>
    </row>
    <row r="771" spans="3:11" ht="12.75" x14ac:dyDescent="0.2">
      <c r="C771" s="683"/>
      <c r="K771" s="672"/>
    </row>
    <row r="772" spans="3:11" ht="12.75" x14ac:dyDescent="0.2">
      <c r="C772" s="683"/>
      <c r="K772" s="672"/>
    </row>
    <row r="773" spans="3:11" ht="12.75" x14ac:dyDescent="0.2">
      <c r="C773" s="683"/>
      <c r="K773" s="672"/>
    </row>
    <row r="774" spans="3:11" ht="12.75" x14ac:dyDescent="0.2">
      <c r="C774" s="683"/>
      <c r="K774" s="672"/>
    </row>
    <row r="775" spans="3:11" ht="12.75" x14ac:dyDescent="0.2">
      <c r="C775" s="683"/>
      <c r="K775" s="672"/>
    </row>
    <row r="776" spans="3:11" ht="12.75" x14ac:dyDescent="0.2">
      <c r="C776" s="683"/>
      <c r="K776" s="672"/>
    </row>
    <row r="777" spans="3:11" ht="12.75" x14ac:dyDescent="0.2">
      <c r="C777" s="683"/>
      <c r="K777" s="672"/>
    </row>
    <row r="778" spans="3:11" ht="12.75" x14ac:dyDescent="0.2">
      <c r="C778" s="683"/>
      <c r="K778" s="672"/>
    </row>
    <row r="779" spans="3:11" ht="12.75" x14ac:dyDescent="0.2">
      <c r="C779" s="683"/>
      <c r="K779" s="672"/>
    </row>
    <row r="780" spans="3:11" ht="12.75" x14ac:dyDescent="0.2">
      <c r="C780" s="683"/>
      <c r="K780" s="672"/>
    </row>
    <row r="781" spans="3:11" ht="12.75" x14ac:dyDescent="0.2">
      <c r="C781" s="683"/>
      <c r="K781" s="672"/>
    </row>
    <row r="782" spans="3:11" ht="12.75" x14ac:dyDescent="0.2">
      <c r="C782" s="683"/>
      <c r="K782" s="672"/>
    </row>
    <row r="783" spans="3:11" ht="12.75" x14ac:dyDescent="0.2">
      <c r="C783" s="683"/>
      <c r="K783" s="672"/>
    </row>
    <row r="784" spans="3:11" ht="12.75" x14ac:dyDescent="0.2">
      <c r="C784" s="683"/>
      <c r="K784" s="672"/>
    </row>
    <row r="785" spans="3:11" ht="12.75" x14ac:dyDescent="0.2">
      <c r="C785" s="683"/>
      <c r="K785" s="672"/>
    </row>
    <row r="786" spans="3:11" ht="12.75" x14ac:dyDescent="0.2">
      <c r="C786" s="683"/>
      <c r="K786" s="672"/>
    </row>
    <row r="787" spans="3:11" ht="12.75" x14ac:dyDescent="0.2">
      <c r="C787" s="683"/>
      <c r="K787" s="672"/>
    </row>
    <row r="788" spans="3:11" ht="12.75" x14ac:dyDescent="0.2">
      <c r="C788" s="683"/>
      <c r="K788" s="672"/>
    </row>
    <row r="789" spans="3:11" ht="12.75" x14ac:dyDescent="0.2">
      <c r="C789" s="683"/>
      <c r="K789" s="672"/>
    </row>
    <row r="790" spans="3:11" ht="12.75" x14ac:dyDescent="0.2">
      <c r="C790" s="683"/>
      <c r="K790" s="672"/>
    </row>
    <row r="791" spans="3:11" ht="12.75" x14ac:dyDescent="0.2">
      <c r="C791" s="683"/>
      <c r="K791" s="672"/>
    </row>
    <row r="792" spans="3:11" ht="12.75" x14ac:dyDescent="0.2">
      <c r="C792" s="683"/>
      <c r="K792" s="672"/>
    </row>
    <row r="793" spans="3:11" ht="12.75" x14ac:dyDescent="0.2">
      <c r="C793" s="683"/>
      <c r="K793" s="672"/>
    </row>
    <row r="794" spans="3:11" ht="12.75" x14ac:dyDescent="0.2">
      <c r="C794" s="683"/>
      <c r="K794" s="672"/>
    </row>
    <row r="795" spans="3:11" ht="12.75" x14ac:dyDescent="0.2">
      <c r="C795" s="683"/>
      <c r="K795" s="672"/>
    </row>
    <row r="796" spans="3:11" ht="12.75" x14ac:dyDescent="0.2">
      <c r="C796" s="683"/>
      <c r="K796" s="672"/>
    </row>
    <row r="797" spans="3:11" ht="12.75" x14ac:dyDescent="0.2">
      <c r="C797" s="683"/>
      <c r="K797" s="672"/>
    </row>
    <row r="798" spans="3:11" ht="12.75" x14ac:dyDescent="0.2">
      <c r="C798" s="683"/>
      <c r="K798" s="672"/>
    </row>
    <row r="799" spans="3:11" ht="12.75" x14ac:dyDescent="0.2">
      <c r="C799" s="683"/>
      <c r="K799" s="672"/>
    </row>
    <row r="800" spans="3:11" ht="12.75" x14ac:dyDescent="0.2">
      <c r="C800" s="683"/>
      <c r="K800" s="672"/>
    </row>
    <row r="801" spans="3:11" ht="12.75" x14ac:dyDescent="0.2">
      <c r="C801" s="683"/>
      <c r="K801" s="672"/>
    </row>
    <row r="802" spans="3:11" ht="12.75" x14ac:dyDescent="0.2">
      <c r="C802" s="683"/>
      <c r="K802" s="672"/>
    </row>
    <row r="803" spans="3:11" ht="12.75" x14ac:dyDescent="0.2">
      <c r="C803" s="683"/>
      <c r="K803" s="672"/>
    </row>
    <row r="804" spans="3:11" ht="12.75" x14ac:dyDescent="0.2">
      <c r="C804" s="683"/>
      <c r="K804" s="672"/>
    </row>
    <row r="805" spans="3:11" ht="12.75" x14ac:dyDescent="0.2">
      <c r="C805" s="683"/>
      <c r="K805" s="672"/>
    </row>
    <row r="806" spans="3:11" ht="12.75" x14ac:dyDescent="0.2">
      <c r="C806" s="683"/>
      <c r="K806" s="672"/>
    </row>
    <row r="807" spans="3:11" ht="12.75" x14ac:dyDescent="0.2">
      <c r="C807" s="683"/>
      <c r="K807" s="672"/>
    </row>
    <row r="808" spans="3:11" ht="12.75" x14ac:dyDescent="0.2">
      <c r="C808" s="683"/>
      <c r="K808" s="672"/>
    </row>
    <row r="809" spans="3:11" ht="12.75" x14ac:dyDescent="0.2">
      <c r="C809" s="683"/>
      <c r="K809" s="672"/>
    </row>
    <row r="810" spans="3:11" ht="12.75" x14ac:dyDescent="0.2">
      <c r="C810" s="683"/>
      <c r="K810" s="672"/>
    </row>
    <row r="811" spans="3:11" ht="12.75" x14ac:dyDescent="0.2">
      <c r="C811" s="683"/>
      <c r="K811" s="672"/>
    </row>
    <row r="812" spans="3:11" ht="12.75" x14ac:dyDescent="0.2">
      <c r="C812" s="683"/>
      <c r="K812" s="672"/>
    </row>
    <row r="813" spans="3:11" ht="12.75" x14ac:dyDescent="0.2">
      <c r="C813" s="683"/>
      <c r="K813" s="672"/>
    </row>
    <row r="814" spans="3:11" ht="12.75" x14ac:dyDescent="0.2">
      <c r="C814" s="683"/>
      <c r="K814" s="672"/>
    </row>
    <row r="815" spans="3:11" ht="12.75" x14ac:dyDescent="0.2">
      <c r="C815" s="683"/>
      <c r="K815" s="672"/>
    </row>
    <row r="816" spans="3:11" ht="12.75" x14ac:dyDescent="0.2">
      <c r="C816" s="683"/>
      <c r="K816" s="672"/>
    </row>
    <row r="817" spans="3:11" ht="12.75" x14ac:dyDescent="0.2">
      <c r="C817" s="683"/>
      <c r="K817" s="672"/>
    </row>
    <row r="818" spans="3:11" ht="12.75" x14ac:dyDescent="0.2">
      <c r="C818" s="683"/>
      <c r="K818" s="672"/>
    </row>
    <row r="819" spans="3:11" ht="12.75" x14ac:dyDescent="0.2">
      <c r="C819" s="683"/>
      <c r="K819" s="672"/>
    </row>
    <row r="820" spans="3:11" ht="12.75" x14ac:dyDescent="0.2">
      <c r="C820" s="683"/>
      <c r="K820" s="672"/>
    </row>
    <row r="821" spans="3:11" ht="12.75" x14ac:dyDescent="0.2">
      <c r="C821" s="683"/>
      <c r="K821" s="672"/>
    </row>
    <row r="822" spans="3:11" ht="12.75" x14ac:dyDescent="0.2">
      <c r="C822" s="683"/>
      <c r="K822" s="672"/>
    </row>
    <row r="823" spans="3:11" ht="12.75" x14ac:dyDescent="0.2">
      <c r="C823" s="683"/>
      <c r="K823" s="672"/>
    </row>
    <row r="824" spans="3:11" ht="12.75" x14ac:dyDescent="0.2">
      <c r="C824" s="683"/>
      <c r="K824" s="672"/>
    </row>
    <row r="825" spans="3:11" ht="12.75" x14ac:dyDescent="0.2">
      <c r="C825" s="683"/>
      <c r="K825" s="672"/>
    </row>
    <row r="826" spans="3:11" ht="12.75" x14ac:dyDescent="0.2">
      <c r="C826" s="683"/>
      <c r="K826" s="672"/>
    </row>
    <row r="827" spans="3:11" ht="12.75" x14ac:dyDescent="0.2">
      <c r="C827" s="683"/>
      <c r="K827" s="672"/>
    </row>
    <row r="828" spans="3:11" ht="12.75" x14ac:dyDescent="0.2">
      <c r="C828" s="683"/>
      <c r="K828" s="672"/>
    </row>
    <row r="829" spans="3:11" ht="12.75" x14ac:dyDescent="0.2">
      <c r="C829" s="683"/>
      <c r="K829" s="672"/>
    </row>
    <row r="830" spans="3:11" ht="12.75" x14ac:dyDescent="0.2">
      <c r="C830" s="683"/>
      <c r="K830" s="672"/>
    </row>
    <row r="831" spans="3:11" ht="12.75" x14ac:dyDescent="0.2">
      <c r="C831" s="683"/>
      <c r="K831" s="672"/>
    </row>
    <row r="832" spans="3:11" ht="12.75" x14ac:dyDescent="0.2">
      <c r="C832" s="683"/>
      <c r="K832" s="672"/>
    </row>
    <row r="833" spans="3:11" ht="12.75" x14ac:dyDescent="0.2">
      <c r="C833" s="683"/>
      <c r="K833" s="672"/>
    </row>
    <row r="834" spans="3:11" ht="12.75" x14ac:dyDescent="0.2">
      <c r="C834" s="683"/>
      <c r="K834" s="672"/>
    </row>
    <row r="835" spans="3:11" ht="12.75" x14ac:dyDescent="0.2">
      <c r="C835" s="683"/>
      <c r="K835" s="672"/>
    </row>
    <row r="836" spans="3:11" ht="12.75" x14ac:dyDescent="0.2">
      <c r="C836" s="683"/>
      <c r="K836" s="672"/>
    </row>
    <row r="837" spans="3:11" ht="12.75" x14ac:dyDescent="0.2">
      <c r="C837" s="683"/>
      <c r="K837" s="672"/>
    </row>
    <row r="838" spans="3:11" ht="12.75" x14ac:dyDescent="0.2">
      <c r="C838" s="683"/>
      <c r="K838" s="672"/>
    </row>
    <row r="839" spans="3:11" ht="12.75" x14ac:dyDescent="0.2">
      <c r="C839" s="683"/>
      <c r="K839" s="672"/>
    </row>
    <row r="840" spans="3:11" ht="12.75" x14ac:dyDescent="0.2">
      <c r="C840" s="683"/>
      <c r="K840" s="672"/>
    </row>
    <row r="841" spans="3:11" ht="12.75" x14ac:dyDescent="0.2">
      <c r="C841" s="683"/>
      <c r="K841" s="672"/>
    </row>
    <row r="842" spans="3:11" ht="12.75" x14ac:dyDescent="0.2">
      <c r="C842" s="683"/>
      <c r="K842" s="672"/>
    </row>
    <row r="843" spans="3:11" ht="12.75" x14ac:dyDescent="0.2">
      <c r="C843" s="683"/>
      <c r="K843" s="672"/>
    </row>
    <row r="844" spans="3:11" ht="12.75" x14ac:dyDescent="0.2">
      <c r="C844" s="683"/>
      <c r="K844" s="672"/>
    </row>
    <row r="845" spans="3:11" ht="12.75" x14ac:dyDescent="0.2">
      <c r="C845" s="683"/>
      <c r="K845" s="672"/>
    </row>
    <row r="846" spans="3:11" ht="12.75" x14ac:dyDescent="0.2">
      <c r="C846" s="683"/>
      <c r="K846" s="672"/>
    </row>
    <row r="847" spans="3:11" ht="12.75" x14ac:dyDescent="0.2">
      <c r="C847" s="683"/>
      <c r="K847" s="672"/>
    </row>
    <row r="848" spans="3:11" ht="12.75" x14ac:dyDescent="0.2">
      <c r="C848" s="683"/>
      <c r="K848" s="672"/>
    </row>
    <row r="849" spans="3:11" ht="12.75" x14ac:dyDescent="0.2">
      <c r="C849" s="683"/>
      <c r="K849" s="672"/>
    </row>
    <row r="850" spans="3:11" ht="12.75" x14ac:dyDescent="0.2">
      <c r="C850" s="683"/>
      <c r="K850" s="672"/>
    </row>
    <row r="851" spans="3:11" ht="12.75" x14ac:dyDescent="0.2">
      <c r="C851" s="683"/>
      <c r="K851" s="672"/>
    </row>
    <row r="852" spans="3:11" ht="12.75" x14ac:dyDescent="0.2">
      <c r="C852" s="683"/>
      <c r="K852" s="672"/>
    </row>
    <row r="853" spans="3:11" ht="12.75" x14ac:dyDescent="0.2">
      <c r="C853" s="683"/>
      <c r="K853" s="672"/>
    </row>
    <row r="854" spans="3:11" ht="12.75" x14ac:dyDescent="0.2">
      <c r="C854" s="683"/>
      <c r="K854" s="672"/>
    </row>
    <row r="855" spans="3:11" ht="12.75" x14ac:dyDescent="0.2">
      <c r="C855" s="683"/>
      <c r="K855" s="672"/>
    </row>
    <row r="856" spans="3:11" ht="12.75" x14ac:dyDescent="0.2">
      <c r="C856" s="683"/>
      <c r="K856" s="672"/>
    </row>
    <row r="857" spans="3:11" ht="12.75" x14ac:dyDescent="0.2">
      <c r="C857" s="683"/>
      <c r="K857" s="672"/>
    </row>
    <row r="858" spans="3:11" ht="12.75" x14ac:dyDescent="0.2">
      <c r="C858" s="683"/>
      <c r="K858" s="672"/>
    </row>
    <row r="859" spans="3:11" ht="12.75" x14ac:dyDescent="0.2">
      <c r="C859" s="683"/>
      <c r="K859" s="672"/>
    </row>
    <row r="860" spans="3:11" ht="12.75" x14ac:dyDescent="0.2">
      <c r="C860" s="683"/>
      <c r="K860" s="672"/>
    </row>
    <row r="861" spans="3:11" ht="12.75" x14ac:dyDescent="0.2">
      <c r="C861" s="683"/>
      <c r="K861" s="672"/>
    </row>
    <row r="862" spans="3:11" ht="12.75" x14ac:dyDescent="0.2">
      <c r="C862" s="683"/>
      <c r="K862" s="672"/>
    </row>
    <row r="863" spans="3:11" ht="12.75" x14ac:dyDescent="0.2">
      <c r="C863" s="683"/>
      <c r="K863" s="672"/>
    </row>
    <row r="864" spans="3:11" ht="12.75" x14ac:dyDescent="0.2">
      <c r="C864" s="683"/>
      <c r="K864" s="672"/>
    </row>
    <row r="865" spans="3:11" ht="12.75" x14ac:dyDescent="0.2">
      <c r="C865" s="683"/>
      <c r="K865" s="672"/>
    </row>
    <row r="866" spans="3:11" ht="12.75" x14ac:dyDescent="0.2">
      <c r="C866" s="683"/>
      <c r="K866" s="672"/>
    </row>
    <row r="867" spans="3:11" ht="12.75" x14ac:dyDescent="0.2">
      <c r="C867" s="683"/>
      <c r="K867" s="672"/>
    </row>
    <row r="868" spans="3:11" ht="12.75" x14ac:dyDescent="0.2">
      <c r="C868" s="683"/>
      <c r="K868" s="672"/>
    </row>
    <row r="869" spans="3:11" ht="12.75" x14ac:dyDescent="0.2">
      <c r="C869" s="683"/>
      <c r="K869" s="672"/>
    </row>
    <row r="870" spans="3:11" ht="12.75" x14ac:dyDescent="0.2">
      <c r="C870" s="683"/>
      <c r="K870" s="672"/>
    </row>
    <row r="871" spans="3:11" ht="12.75" x14ac:dyDescent="0.2">
      <c r="C871" s="683"/>
      <c r="K871" s="672"/>
    </row>
    <row r="872" spans="3:11" ht="12.75" x14ac:dyDescent="0.2">
      <c r="C872" s="683"/>
      <c r="K872" s="672"/>
    </row>
    <row r="873" spans="3:11" ht="12.75" x14ac:dyDescent="0.2">
      <c r="C873" s="683"/>
      <c r="K873" s="672"/>
    </row>
    <row r="874" spans="3:11" ht="12.75" x14ac:dyDescent="0.2">
      <c r="C874" s="683"/>
      <c r="K874" s="672"/>
    </row>
    <row r="875" spans="3:11" ht="12.75" x14ac:dyDescent="0.2">
      <c r="C875" s="683"/>
      <c r="K875" s="672"/>
    </row>
    <row r="876" spans="3:11" ht="12.75" x14ac:dyDescent="0.2">
      <c r="C876" s="683"/>
      <c r="K876" s="672"/>
    </row>
    <row r="877" spans="3:11" ht="12.75" x14ac:dyDescent="0.2">
      <c r="C877" s="683"/>
      <c r="K877" s="672"/>
    </row>
    <row r="878" spans="3:11" ht="12.75" x14ac:dyDescent="0.2">
      <c r="C878" s="683"/>
      <c r="K878" s="672"/>
    </row>
    <row r="879" spans="3:11" ht="12.75" x14ac:dyDescent="0.2">
      <c r="C879" s="683"/>
      <c r="K879" s="672"/>
    </row>
    <row r="880" spans="3:11" ht="12.75" x14ac:dyDescent="0.2">
      <c r="C880" s="683"/>
      <c r="K880" s="672"/>
    </row>
    <row r="881" spans="3:11" ht="12.75" x14ac:dyDescent="0.2">
      <c r="C881" s="683"/>
      <c r="K881" s="672"/>
    </row>
    <row r="882" spans="3:11" ht="12.75" x14ac:dyDescent="0.2">
      <c r="C882" s="683"/>
      <c r="K882" s="672"/>
    </row>
    <row r="883" spans="3:11" ht="12.75" x14ac:dyDescent="0.2">
      <c r="C883" s="683"/>
      <c r="K883" s="672"/>
    </row>
    <row r="884" spans="3:11" ht="12.75" x14ac:dyDescent="0.2">
      <c r="C884" s="683"/>
      <c r="K884" s="672"/>
    </row>
    <row r="885" spans="3:11" ht="12.75" x14ac:dyDescent="0.2">
      <c r="C885" s="683"/>
      <c r="K885" s="672"/>
    </row>
    <row r="886" spans="3:11" ht="12.75" x14ac:dyDescent="0.2">
      <c r="C886" s="683"/>
      <c r="K886" s="672"/>
    </row>
    <row r="887" spans="3:11" ht="12.75" x14ac:dyDescent="0.2">
      <c r="C887" s="683"/>
      <c r="K887" s="672"/>
    </row>
    <row r="888" spans="3:11" ht="12.75" x14ac:dyDescent="0.2">
      <c r="C888" s="683"/>
      <c r="K888" s="672"/>
    </row>
    <row r="889" spans="3:11" ht="12.75" x14ac:dyDescent="0.2">
      <c r="C889" s="683"/>
      <c r="K889" s="672"/>
    </row>
    <row r="890" spans="3:11" ht="12.75" x14ac:dyDescent="0.2">
      <c r="C890" s="683"/>
      <c r="K890" s="672"/>
    </row>
    <row r="891" spans="3:11" ht="12.75" x14ac:dyDescent="0.2">
      <c r="C891" s="683"/>
      <c r="K891" s="672"/>
    </row>
    <row r="892" spans="3:11" ht="12.75" x14ac:dyDescent="0.2">
      <c r="C892" s="683"/>
      <c r="K892" s="672"/>
    </row>
    <row r="893" spans="3:11" ht="12.75" x14ac:dyDescent="0.2">
      <c r="C893" s="683"/>
      <c r="K893" s="672"/>
    </row>
    <row r="894" spans="3:11" ht="12.75" x14ac:dyDescent="0.2">
      <c r="C894" s="683"/>
      <c r="K894" s="672"/>
    </row>
    <row r="895" spans="3:11" ht="12.75" x14ac:dyDescent="0.2">
      <c r="C895" s="683"/>
      <c r="K895" s="672"/>
    </row>
    <row r="896" spans="3:11" ht="12.75" x14ac:dyDescent="0.2">
      <c r="C896" s="683"/>
      <c r="K896" s="672"/>
    </row>
    <row r="897" spans="3:11" ht="12.75" x14ac:dyDescent="0.2">
      <c r="C897" s="683"/>
      <c r="K897" s="672"/>
    </row>
    <row r="898" spans="3:11" ht="12.75" x14ac:dyDescent="0.2">
      <c r="C898" s="683"/>
      <c r="K898" s="672"/>
    </row>
    <row r="899" spans="3:11" ht="12.75" x14ac:dyDescent="0.2">
      <c r="C899" s="683"/>
      <c r="K899" s="672"/>
    </row>
    <row r="900" spans="3:11" ht="12.75" x14ac:dyDescent="0.2">
      <c r="C900" s="683"/>
      <c r="K900" s="672"/>
    </row>
    <row r="901" spans="3:11" ht="12.75" x14ac:dyDescent="0.2">
      <c r="C901" s="683"/>
      <c r="K901" s="672"/>
    </row>
    <row r="902" spans="3:11" ht="12.75" x14ac:dyDescent="0.2">
      <c r="C902" s="683"/>
      <c r="K902" s="672"/>
    </row>
    <row r="903" spans="3:11" ht="12.75" x14ac:dyDescent="0.2">
      <c r="C903" s="683"/>
      <c r="K903" s="672"/>
    </row>
    <row r="904" spans="3:11" ht="12.75" x14ac:dyDescent="0.2">
      <c r="C904" s="683"/>
      <c r="K904" s="672"/>
    </row>
    <row r="905" spans="3:11" ht="12.75" x14ac:dyDescent="0.2">
      <c r="C905" s="683"/>
      <c r="K905" s="672"/>
    </row>
    <row r="906" spans="3:11" ht="12.75" x14ac:dyDescent="0.2">
      <c r="C906" s="683"/>
      <c r="K906" s="672"/>
    </row>
    <row r="907" spans="3:11" ht="12.75" x14ac:dyDescent="0.2">
      <c r="C907" s="683"/>
      <c r="K907" s="672"/>
    </row>
    <row r="908" spans="3:11" ht="12.75" x14ac:dyDescent="0.2">
      <c r="C908" s="683"/>
      <c r="K908" s="672"/>
    </row>
    <row r="909" spans="3:11" ht="12.75" x14ac:dyDescent="0.2">
      <c r="C909" s="683"/>
      <c r="K909" s="672"/>
    </row>
    <row r="910" spans="3:11" ht="12.75" x14ac:dyDescent="0.2">
      <c r="C910" s="683"/>
      <c r="K910" s="672"/>
    </row>
    <row r="911" spans="3:11" ht="12.75" x14ac:dyDescent="0.2">
      <c r="C911" s="683"/>
      <c r="K911" s="672"/>
    </row>
    <row r="912" spans="3:11" ht="12.75" x14ac:dyDescent="0.2">
      <c r="C912" s="683"/>
      <c r="K912" s="672"/>
    </row>
    <row r="913" spans="3:11" ht="12.75" x14ac:dyDescent="0.2">
      <c r="C913" s="683"/>
      <c r="K913" s="672"/>
    </row>
    <row r="914" spans="3:11" ht="12.75" x14ac:dyDescent="0.2">
      <c r="C914" s="683"/>
      <c r="K914" s="672"/>
    </row>
    <row r="915" spans="3:11" ht="12.75" x14ac:dyDescent="0.2">
      <c r="C915" s="683"/>
      <c r="K915" s="672"/>
    </row>
    <row r="916" spans="3:11" ht="12.75" x14ac:dyDescent="0.2">
      <c r="C916" s="683"/>
      <c r="K916" s="672"/>
    </row>
    <row r="917" spans="3:11" ht="12.75" x14ac:dyDescent="0.2">
      <c r="C917" s="683"/>
      <c r="K917" s="672"/>
    </row>
    <row r="918" spans="3:11" ht="12.75" x14ac:dyDescent="0.2">
      <c r="C918" s="683"/>
      <c r="K918" s="672"/>
    </row>
    <row r="919" spans="3:11" ht="12.75" x14ac:dyDescent="0.2">
      <c r="C919" s="683"/>
      <c r="K919" s="672"/>
    </row>
    <row r="920" spans="3:11" ht="12.75" x14ac:dyDescent="0.2">
      <c r="C920" s="683"/>
      <c r="K920" s="672"/>
    </row>
    <row r="921" spans="3:11" ht="12.75" x14ac:dyDescent="0.2">
      <c r="C921" s="683"/>
      <c r="K921" s="672"/>
    </row>
    <row r="922" spans="3:11" ht="12.75" x14ac:dyDescent="0.2">
      <c r="C922" s="683"/>
      <c r="K922" s="672"/>
    </row>
    <row r="923" spans="3:11" ht="12.75" x14ac:dyDescent="0.2">
      <c r="C923" s="683"/>
      <c r="K923" s="672"/>
    </row>
    <row r="924" spans="3:11" ht="12.75" x14ac:dyDescent="0.2">
      <c r="C924" s="683"/>
      <c r="K924" s="672"/>
    </row>
    <row r="925" spans="3:11" ht="12.75" x14ac:dyDescent="0.2">
      <c r="C925" s="683"/>
      <c r="K925" s="672"/>
    </row>
    <row r="926" spans="3:11" ht="12.75" x14ac:dyDescent="0.2">
      <c r="C926" s="683"/>
      <c r="K926" s="672"/>
    </row>
    <row r="927" spans="3:11" ht="12.75" x14ac:dyDescent="0.2">
      <c r="C927" s="683"/>
      <c r="K927" s="672"/>
    </row>
    <row r="928" spans="3:11" ht="12.75" x14ac:dyDescent="0.2">
      <c r="C928" s="683"/>
      <c r="K928" s="672"/>
    </row>
    <row r="929" spans="3:11" ht="12.75" x14ac:dyDescent="0.2">
      <c r="C929" s="683"/>
      <c r="K929" s="672"/>
    </row>
    <row r="930" spans="3:11" ht="12.75" x14ac:dyDescent="0.2">
      <c r="C930" s="683"/>
      <c r="K930" s="672"/>
    </row>
    <row r="931" spans="3:11" ht="12.75" x14ac:dyDescent="0.2">
      <c r="C931" s="683"/>
      <c r="K931" s="672"/>
    </row>
    <row r="932" spans="3:11" ht="12.75" x14ac:dyDescent="0.2">
      <c r="C932" s="683"/>
      <c r="K932" s="672"/>
    </row>
    <row r="933" spans="3:11" ht="12.75" x14ac:dyDescent="0.2">
      <c r="C933" s="683"/>
      <c r="K933" s="672"/>
    </row>
    <row r="934" spans="3:11" ht="12.75" x14ac:dyDescent="0.2">
      <c r="C934" s="683"/>
      <c r="K934" s="672"/>
    </row>
    <row r="935" spans="3:11" ht="12.75" x14ac:dyDescent="0.2">
      <c r="C935" s="683"/>
      <c r="K935" s="672"/>
    </row>
    <row r="936" spans="3:11" ht="12.75" x14ac:dyDescent="0.2">
      <c r="C936" s="683"/>
      <c r="K936" s="672"/>
    </row>
    <row r="937" spans="3:11" ht="12.75" x14ac:dyDescent="0.2">
      <c r="C937" s="683"/>
      <c r="K937" s="672"/>
    </row>
    <row r="938" spans="3:11" ht="12.75" x14ac:dyDescent="0.2">
      <c r="C938" s="683"/>
      <c r="K938" s="672"/>
    </row>
    <row r="939" spans="3:11" ht="12.75" x14ac:dyDescent="0.2">
      <c r="C939" s="683"/>
      <c r="K939" s="672"/>
    </row>
    <row r="940" spans="3:11" ht="12.75" x14ac:dyDescent="0.2">
      <c r="C940" s="683"/>
      <c r="K940" s="672"/>
    </row>
    <row r="941" spans="3:11" ht="12.75" x14ac:dyDescent="0.2">
      <c r="C941" s="683"/>
      <c r="K941" s="672"/>
    </row>
    <row r="942" spans="3:11" ht="12.75" x14ac:dyDescent="0.2">
      <c r="C942" s="683"/>
      <c r="K942" s="672"/>
    </row>
    <row r="943" spans="3:11" ht="12.75" x14ac:dyDescent="0.2">
      <c r="C943" s="683"/>
      <c r="K943" s="672"/>
    </row>
    <row r="944" spans="3:11" ht="12.75" x14ac:dyDescent="0.2">
      <c r="C944" s="683"/>
      <c r="K944" s="672"/>
    </row>
    <row r="945" spans="3:11" ht="12.75" x14ac:dyDescent="0.2">
      <c r="C945" s="683"/>
      <c r="K945" s="672"/>
    </row>
    <row r="946" spans="3:11" ht="12.75" x14ac:dyDescent="0.2">
      <c r="C946" s="683"/>
      <c r="K946" s="672"/>
    </row>
    <row r="947" spans="3:11" ht="12.75" x14ac:dyDescent="0.2">
      <c r="C947" s="683"/>
      <c r="K947" s="672"/>
    </row>
    <row r="948" spans="3:11" ht="12.75" x14ac:dyDescent="0.2">
      <c r="C948" s="683"/>
      <c r="K948" s="672"/>
    </row>
    <row r="949" spans="3:11" ht="12.75" x14ac:dyDescent="0.2">
      <c r="C949" s="683"/>
      <c r="K949" s="672"/>
    </row>
    <row r="950" spans="3:11" ht="12.75" x14ac:dyDescent="0.2">
      <c r="C950" s="683"/>
      <c r="K950" s="672"/>
    </row>
    <row r="951" spans="3:11" ht="12.75" x14ac:dyDescent="0.2">
      <c r="C951" s="683"/>
      <c r="K951" s="672"/>
    </row>
    <row r="952" spans="3:11" ht="12.75" x14ac:dyDescent="0.2">
      <c r="C952" s="683"/>
      <c r="K952" s="672"/>
    </row>
    <row r="953" spans="3:11" ht="12.75" x14ac:dyDescent="0.2">
      <c r="C953" s="683"/>
      <c r="K953" s="672"/>
    </row>
    <row r="954" spans="3:11" ht="12.75" x14ac:dyDescent="0.2">
      <c r="C954" s="683"/>
      <c r="K954" s="672"/>
    </row>
    <row r="955" spans="3:11" ht="12.75" x14ac:dyDescent="0.2">
      <c r="C955" s="683"/>
      <c r="K955" s="672"/>
    </row>
    <row r="956" spans="3:11" ht="12.75" x14ac:dyDescent="0.2">
      <c r="C956" s="683"/>
      <c r="K956" s="672"/>
    </row>
    <row r="957" spans="3:11" ht="12.75" x14ac:dyDescent="0.2">
      <c r="C957" s="683"/>
      <c r="K957" s="672"/>
    </row>
    <row r="958" spans="3:11" ht="12.75" x14ac:dyDescent="0.2">
      <c r="C958" s="683"/>
      <c r="K958" s="672"/>
    </row>
    <row r="959" spans="3:11" ht="12.75" x14ac:dyDescent="0.2">
      <c r="C959" s="683"/>
      <c r="K959" s="672"/>
    </row>
    <row r="960" spans="3:11" ht="12.75" x14ac:dyDescent="0.2">
      <c r="C960" s="683"/>
      <c r="K960" s="672"/>
    </row>
    <row r="961" spans="3:11" ht="12.75" x14ac:dyDescent="0.2">
      <c r="C961" s="683"/>
      <c r="K961" s="672"/>
    </row>
    <row r="962" spans="3:11" ht="12.75" x14ac:dyDescent="0.2">
      <c r="C962" s="683"/>
      <c r="K962" s="672"/>
    </row>
    <row r="963" spans="3:11" ht="12.75" x14ac:dyDescent="0.2">
      <c r="C963" s="683"/>
      <c r="K963" s="672"/>
    </row>
    <row r="964" spans="3:11" ht="12.75" x14ac:dyDescent="0.2">
      <c r="C964" s="683"/>
      <c r="K964" s="672"/>
    </row>
    <row r="965" spans="3:11" ht="12.75" x14ac:dyDescent="0.2">
      <c r="C965" s="683"/>
      <c r="K965" s="672"/>
    </row>
    <row r="966" spans="3:11" ht="12.75" x14ac:dyDescent="0.2">
      <c r="C966" s="683"/>
      <c r="K966" s="672"/>
    </row>
    <row r="967" spans="3:11" ht="12.75" x14ac:dyDescent="0.2">
      <c r="C967" s="683"/>
      <c r="K967" s="672"/>
    </row>
    <row r="968" spans="3:11" ht="12.75" x14ac:dyDescent="0.2">
      <c r="C968" s="683"/>
      <c r="K968" s="672"/>
    </row>
    <row r="969" spans="3:11" ht="12.75" x14ac:dyDescent="0.2">
      <c r="C969" s="683"/>
      <c r="K969" s="672"/>
    </row>
    <row r="970" spans="3:11" ht="12.75" x14ac:dyDescent="0.2">
      <c r="C970" s="683"/>
      <c r="K970" s="672"/>
    </row>
    <row r="971" spans="3:11" ht="12.75" x14ac:dyDescent="0.2">
      <c r="C971" s="683"/>
      <c r="K971" s="672"/>
    </row>
    <row r="972" spans="3:11" ht="12.75" x14ac:dyDescent="0.2">
      <c r="C972" s="683"/>
      <c r="K972" s="672"/>
    </row>
    <row r="973" spans="3:11" ht="12.75" x14ac:dyDescent="0.2">
      <c r="C973" s="683"/>
      <c r="K973" s="672"/>
    </row>
    <row r="974" spans="3:11" ht="12.75" x14ac:dyDescent="0.2">
      <c r="C974" s="683"/>
      <c r="K974" s="672"/>
    </row>
    <row r="975" spans="3:11" ht="12.75" x14ac:dyDescent="0.2">
      <c r="C975" s="683"/>
      <c r="K975" s="672"/>
    </row>
    <row r="976" spans="3:11" ht="12.75" x14ac:dyDescent="0.2">
      <c r="C976" s="683"/>
      <c r="K976" s="672"/>
    </row>
    <row r="977" spans="3:11" ht="12.75" x14ac:dyDescent="0.2">
      <c r="C977" s="683"/>
      <c r="K977" s="672"/>
    </row>
    <row r="978" spans="3:11" ht="12.75" x14ac:dyDescent="0.2">
      <c r="C978" s="683"/>
      <c r="K978" s="672"/>
    </row>
    <row r="979" spans="3:11" ht="12.75" x14ac:dyDescent="0.2">
      <c r="C979" s="683"/>
      <c r="K979" s="672"/>
    </row>
    <row r="980" spans="3:11" ht="12.75" x14ac:dyDescent="0.2">
      <c r="C980" s="683"/>
      <c r="K980" s="672"/>
    </row>
    <row r="981" spans="3:11" ht="12.75" x14ac:dyDescent="0.2">
      <c r="C981" s="683"/>
      <c r="K981" s="672"/>
    </row>
    <row r="982" spans="3:11" ht="12.75" x14ac:dyDescent="0.2">
      <c r="C982" s="683"/>
      <c r="K982" s="672"/>
    </row>
    <row r="983" spans="3:11" ht="12.75" x14ac:dyDescent="0.2">
      <c r="C983" s="683"/>
      <c r="K983" s="672"/>
    </row>
    <row r="984" spans="3:11" ht="12.75" x14ac:dyDescent="0.2">
      <c r="C984" s="683"/>
      <c r="K984" s="672"/>
    </row>
    <row r="985" spans="3:11" ht="12.75" x14ac:dyDescent="0.2">
      <c r="C985" s="683"/>
      <c r="K985" s="672"/>
    </row>
    <row r="986" spans="3:11" ht="12.75" x14ac:dyDescent="0.2">
      <c r="C986" s="683"/>
      <c r="K986" s="672"/>
    </row>
    <row r="987" spans="3:11" ht="12.75" x14ac:dyDescent="0.2">
      <c r="C987" s="683"/>
      <c r="K987" s="672"/>
    </row>
    <row r="988" spans="3:11" ht="12.75" x14ac:dyDescent="0.2">
      <c r="C988" s="683"/>
      <c r="K988" s="672"/>
    </row>
    <row r="989" spans="3:11" ht="12.75" x14ac:dyDescent="0.2">
      <c r="C989" s="683"/>
      <c r="K989" s="672"/>
    </row>
    <row r="990" spans="3:11" ht="12.75" x14ac:dyDescent="0.2">
      <c r="C990" s="683"/>
      <c r="K990" s="672"/>
    </row>
    <row r="991" spans="3:11" ht="12.75" x14ac:dyDescent="0.2">
      <c r="C991" s="683"/>
      <c r="K991" s="672"/>
    </row>
    <row r="992" spans="3:11" ht="12.75" x14ac:dyDescent="0.2">
      <c r="C992" s="683"/>
      <c r="K992" s="672"/>
    </row>
    <row r="993" spans="3:11" ht="12.75" x14ac:dyDescent="0.2">
      <c r="C993" s="683"/>
      <c r="K993" s="672"/>
    </row>
    <row r="994" spans="3:11" ht="12.75" x14ac:dyDescent="0.2">
      <c r="C994" s="683"/>
      <c r="K994" s="672"/>
    </row>
    <row r="995" spans="3:11" ht="12.75" x14ac:dyDescent="0.2">
      <c r="C995" s="683"/>
      <c r="K995" s="672"/>
    </row>
    <row r="996" spans="3:11" ht="12.75" x14ac:dyDescent="0.2">
      <c r="C996" s="683"/>
      <c r="K996" s="672"/>
    </row>
    <row r="997" spans="3:11" ht="12.75" x14ac:dyDescent="0.2">
      <c r="C997" s="683"/>
      <c r="K997" s="672"/>
    </row>
    <row r="998" spans="3:11" ht="12.75" x14ac:dyDescent="0.2">
      <c r="C998" s="683"/>
      <c r="K998" s="672"/>
    </row>
    <row r="999" spans="3:11" ht="12.75" x14ac:dyDescent="0.2">
      <c r="C999" s="683"/>
      <c r="K999" s="672"/>
    </row>
    <row r="1000" spans="3:11" ht="12.75" x14ac:dyDescent="0.2">
      <c r="C1000" s="683"/>
      <c r="K1000" s="672"/>
    </row>
  </sheetData>
  <autoFilter ref="A7:G32" xr:uid="{00000000-0009-0000-0000-00000E000000}"/>
  <mergeCells count="2">
    <mergeCell ref="A6:H6"/>
    <mergeCell ref="A36:I36"/>
  </mergeCells>
  <conditionalFormatting sqref="A8:H33">
    <cfRule type="expression" dxfId="12" priority="1">
      <formula>$E8="Sin información de avance"</formula>
    </cfRule>
    <cfRule type="expression" dxfId="11" priority="2">
      <formula>$E8="12. Radicación CNA"</formula>
    </cfRule>
    <cfRule type="expression" dxfId="10" priority="3">
      <formula>$E8="11.Entrega de documento"</formula>
    </cfRule>
    <cfRule type="expression" dxfId="9" priority="4">
      <formula>$E8="10. Plan de Mejoramiento"</formula>
    </cfRule>
    <cfRule type="expression" dxfId="8" priority="5">
      <formula>$E8="9. Informe"</formula>
    </cfRule>
    <cfRule type="expression" dxfId="7" priority="6">
      <formula>$E8="8. Socialización del proceso"</formula>
    </cfRule>
    <cfRule type="expression" dxfId="6" priority="7">
      <formula>$E8="7. Análisis"</formula>
    </cfRule>
    <cfRule type="expression" dxfId="5" priority="8">
      <formula>$E8="6. Calificación"</formula>
    </cfRule>
    <cfRule type="expression" dxfId="4" priority="9">
      <formula>$E8="5. Aplicación de instrumentos"</formula>
    </cfRule>
    <cfRule type="expression" dxfId="3" priority="10">
      <formula>$E8="4. Ponderación"</formula>
    </cfRule>
    <cfRule type="expression" dxfId="2" priority="11">
      <formula>$E8="3. Modelo de Autoevaluación"</formula>
    </cfRule>
    <cfRule type="expression" dxfId="1" priority="12">
      <formula>$E8="2. PEP"</formula>
    </cfRule>
    <cfRule type="expression" dxfId="0" priority="13">
      <formula>$E8="1. Elaboración de cronograma"</formula>
    </cfRule>
  </conditionalFormatting>
  <conditionalFormatting sqref="K8:K25">
    <cfRule type="colorScale" priority="14">
      <colorScale>
        <cfvo type="min"/>
        <cfvo type="percentile" val="50"/>
        <cfvo type="max"/>
        <color rgb="FFF8696B"/>
        <color rgb="FFFFEB84"/>
        <color rgb="FF63BE7B"/>
      </colorScale>
    </cfRule>
  </conditionalFormatting>
  <hyperlinks>
    <hyperlink ref="H12" r:id="rId1" xr:uid="{00000000-0004-0000-0E00-000000000000}"/>
    <hyperlink ref="H13" r:id="rId2" xr:uid="{00000000-0004-0000-0E00-000001000000}"/>
    <hyperlink ref="H16" r:id="rId3" xr:uid="{00000000-0004-0000-0E00-000002000000}"/>
    <hyperlink ref="H21" r:id="rId4" xr:uid="{00000000-0004-0000-0E00-000003000000}"/>
    <hyperlink ref="H24" r:id="rId5" xr:uid="{00000000-0004-0000-0E00-000004000000}"/>
    <hyperlink ref="H26" r:id="rId6" xr:uid="{00000000-0004-0000-0E00-000005000000}"/>
    <hyperlink ref="H27" r:id="rId7" xr:uid="{00000000-0004-0000-0E00-000006000000}"/>
    <hyperlink ref="H28" r:id="rId8" xr:uid="{00000000-0004-0000-0E00-000007000000}"/>
    <hyperlink ref="H29" r:id="rId9" xr:uid="{00000000-0004-0000-0E00-000008000000}"/>
    <hyperlink ref="D58" r:id="rId10" display="https://drive.google.com/file/d/1L93Cyy1h1HzAOHYAy1UXOk_WQG8G0wIk/view?usp=sharing" xr:uid="{00000000-0004-0000-0E00-000009000000}"/>
  </hyperlinks>
  <pageMargins left="0.7" right="0.7" top="0.75" bottom="0.75" header="0" footer="0"/>
  <pageSetup fitToHeight="0" orientation="landscape"/>
  <drawing r:id="rId11"/>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'Listas (2)'!$H$7:$H$8</xm:f>
          </x14:formula1>
          <xm:sqref>F8:F33 I38:I58</xm:sqref>
        </x14:dataValidation>
        <x14:dataValidation type="list" allowBlank="1" showErrorMessage="1" xr:uid="{00000000-0002-0000-0E00-000001000000}">
          <x14:formula1>
            <xm:f>'Listas (2)'!$J$7:$J$25</xm:f>
          </x14:formula1>
          <xm:sqref>E8:E33</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2:BX178"/>
  <sheetViews>
    <sheetView workbookViewId="0">
      <pane xSplit="4" ySplit="6" topLeftCell="E7" activePane="bottomRight" state="frozen"/>
      <selection pane="topRight" activeCell="E1" sqref="E1"/>
      <selection pane="bottomLeft" activeCell="A7" sqref="A7"/>
      <selection pane="bottomRight" activeCell="E7" sqref="E7"/>
    </sheetView>
  </sheetViews>
  <sheetFormatPr baseColWidth="10" defaultColWidth="12.5703125" defaultRowHeight="15" customHeight="1" x14ac:dyDescent="0.2"/>
  <cols>
    <col min="1" max="1" width="7.7109375" customWidth="1"/>
    <col min="2" max="2" width="35.85546875" customWidth="1"/>
    <col min="3" max="3" width="43" customWidth="1"/>
    <col min="4" max="4" width="10.42578125" customWidth="1"/>
    <col min="5" max="5" width="14.85546875" customWidth="1"/>
    <col min="6" max="9" width="10.42578125" customWidth="1"/>
    <col min="10" max="10" width="18.42578125" customWidth="1"/>
    <col min="11" max="11" width="12.7109375" customWidth="1"/>
    <col min="12" max="12" width="12.28515625" customWidth="1"/>
    <col min="13" max="13" width="13.7109375" customWidth="1"/>
    <col min="14" max="14" width="13.140625" customWidth="1"/>
    <col min="15" max="15" width="12.42578125" customWidth="1"/>
    <col min="16" max="16" width="12.28515625" customWidth="1"/>
    <col min="17" max="17" width="8.85546875" customWidth="1"/>
    <col min="18" max="18" width="18.42578125" customWidth="1"/>
    <col min="19" max="19" width="12.7109375" customWidth="1"/>
    <col min="20" max="20" width="12.140625" customWidth="1"/>
    <col min="21" max="21" width="13.7109375" customWidth="1"/>
    <col min="22" max="22" width="10.140625" customWidth="1"/>
    <col min="23" max="23" width="13.140625" customWidth="1"/>
    <col min="24" max="24" width="12.28515625" customWidth="1"/>
    <col min="25" max="25" width="8.85546875" customWidth="1"/>
    <col min="26" max="26" width="18.42578125" customWidth="1"/>
    <col min="27" max="27" width="12.7109375" customWidth="1"/>
    <col min="28" max="28" width="12.28515625" customWidth="1"/>
    <col min="29" max="29" width="13.7109375" customWidth="1"/>
    <col min="30" max="30" width="13.140625" customWidth="1"/>
    <col min="31" max="31" width="12.42578125" customWidth="1"/>
    <col min="32" max="32" width="12.28515625" customWidth="1"/>
    <col min="33" max="33" width="8.85546875" customWidth="1"/>
    <col min="34" max="34" width="18.42578125" customWidth="1"/>
    <col min="35" max="35" width="12.7109375" customWidth="1"/>
    <col min="36" max="36" width="12.28515625" customWidth="1"/>
    <col min="37" max="37" width="13.7109375" customWidth="1"/>
    <col min="38" max="38" width="13.140625" customWidth="1"/>
    <col min="39" max="39" width="12.42578125" customWidth="1"/>
    <col min="40" max="40" width="12.28515625" customWidth="1"/>
    <col min="41" max="41" width="8.85546875" customWidth="1"/>
    <col min="42" max="42" width="18.42578125" customWidth="1"/>
    <col min="43" max="43" width="12.7109375" customWidth="1"/>
    <col min="44" max="44" width="12.28515625" customWidth="1"/>
    <col min="45" max="45" width="13.7109375" customWidth="1"/>
    <col min="46" max="46" width="13.140625" customWidth="1"/>
    <col min="47" max="47" width="12.42578125" customWidth="1"/>
    <col min="48" max="48" width="12.28515625" customWidth="1"/>
    <col min="49" max="49" width="8.85546875" customWidth="1"/>
    <col min="50" max="50" width="18.42578125" customWidth="1"/>
    <col min="51" max="51" width="12.7109375" customWidth="1"/>
    <col min="52" max="52" width="12.28515625" customWidth="1"/>
    <col min="53" max="53" width="13.7109375" customWidth="1"/>
    <col min="54" max="54" width="13.140625" customWidth="1"/>
    <col min="55" max="55" width="12.42578125" customWidth="1"/>
    <col min="56" max="56" width="12.28515625" customWidth="1"/>
    <col min="57" max="57" width="8.85546875" customWidth="1"/>
    <col min="58" max="58" width="18.42578125" customWidth="1"/>
    <col min="59" max="59" width="12.7109375" customWidth="1"/>
    <col min="60" max="60" width="12.28515625" customWidth="1"/>
    <col min="61" max="61" width="13.7109375" customWidth="1"/>
    <col min="62" max="62" width="13.140625" customWidth="1"/>
    <col min="63" max="63" width="12.42578125" customWidth="1"/>
    <col min="64" max="64" width="12.28515625" customWidth="1"/>
    <col min="65" max="65" width="8.85546875" customWidth="1"/>
    <col min="66" max="66" width="18.42578125" customWidth="1"/>
    <col min="67" max="67" width="12.7109375" customWidth="1"/>
    <col min="68" max="68" width="12.28515625" customWidth="1"/>
    <col min="69" max="69" width="13.7109375" customWidth="1"/>
    <col min="70" max="70" width="13.140625" customWidth="1"/>
    <col min="71" max="71" width="12.42578125" customWidth="1"/>
    <col min="72" max="72" width="12.28515625" customWidth="1"/>
    <col min="73" max="73" width="8.85546875" customWidth="1"/>
    <col min="74" max="96" width="11.42578125" customWidth="1"/>
  </cols>
  <sheetData>
    <row r="2" spans="1:76" ht="12.75" customHeight="1" x14ac:dyDescent="0.2">
      <c r="A2" s="684"/>
      <c r="B2" s="808" t="s">
        <v>0</v>
      </c>
      <c r="C2" s="758"/>
      <c r="D2" s="22"/>
      <c r="E2" s="22"/>
      <c r="F2" s="22"/>
      <c r="G2" s="22"/>
      <c r="H2" s="22"/>
      <c r="I2" s="22"/>
      <c r="J2" s="22"/>
      <c r="K2" s="22"/>
      <c r="L2" s="685"/>
      <c r="M2" s="22"/>
      <c r="N2" s="686"/>
      <c r="O2" s="16"/>
      <c r="P2" s="22"/>
      <c r="Q2" s="22"/>
      <c r="R2" s="22"/>
      <c r="S2" s="22"/>
      <c r="T2" s="22"/>
      <c r="U2" s="22"/>
      <c r="V2" s="22"/>
      <c r="W2" s="22"/>
      <c r="X2" s="22"/>
      <c r="Y2" s="22"/>
      <c r="Z2" s="22"/>
      <c r="AA2" s="22"/>
      <c r="AB2" s="685"/>
      <c r="AC2" s="22"/>
      <c r="AD2" s="686"/>
      <c r="AE2" s="16"/>
      <c r="AF2" s="22"/>
      <c r="AG2" s="22"/>
      <c r="AH2" s="22"/>
      <c r="AI2" s="22"/>
      <c r="AJ2" s="685"/>
      <c r="AK2" s="22"/>
      <c r="AL2" s="686"/>
      <c r="AM2" s="16"/>
      <c r="AN2" s="22"/>
      <c r="AO2" s="22"/>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row>
    <row r="3" spans="1:76" ht="12.75" customHeight="1" x14ac:dyDescent="0.2">
      <c r="A3" s="684"/>
      <c r="B3" s="808" t="s">
        <v>1190</v>
      </c>
      <c r="C3" s="758"/>
      <c r="D3" s="22"/>
      <c r="E3" s="22"/>
      <c r="F3" s="22"/>
      <c r="G3" s="22"/>
      <c r="H3" s="22"/>
      <c r="I3" s="22"/>
      <c r="J3" s="22"/>
      <c r="K3" s="22"/>
      <c r="L3" s="687"/>
      <c r="M3" s="22"/>
      <c r="N3" s="688"/>
      <c r="O3" s="16"/>
      <c r="P3" s="22"/>
      <c r="Q3" s="22"/>
      <c r="R3" s="22"/>
      <c r="S3" s="22"/>
      <c r="T3" s="22"/>
      <c r="U3" s="22"/>
      <c r="V3" s="22"/>
      <c r="W3" s="22"/>
      <c r="X3" s="22"/>
      <c r="Y3" s="22"/>
      <c r="Z3" s="22"/>
      <c r="AA3" s="22"/>
      <c r="AB3" s="687"/>
      <c r="AC3" s="22"/>
      <c r="AD3" s="688"/>
      <c r="AE3" s="16"/>
      <c r="AF3" s="22"/>
      <c r="AG3" s="22"/>
      <c r="AH3" s="22"/>
      <c r="AI3" s="22"/>
      <c r="AJ3" s="687"/>
      <c r="AK3" s="22"/>
      <c r="AL3" s="688"/>
      <c r="AM3" s="16"/>
      <c r="AN3" s="22"/>
      <c r="AO3" s="22"/>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193"/>
      <c r="BV3" s="193"/>
      <c r="BW3" s="193"/>
      <c r="BX3" s="193"/>
    </row>
    <row r="4" spans="1:76" ht="12.75" customHeight="1" x14ac:dyDescent="0.2">
      <c r="A4" s="689"/>
      <c r="B4" s="821" t="s">
        <v>1191</v>
      </c>
      <c r="C4" s="758"/>
      <c r="D4" s="22"/>
      <c r="E4" s="22"/>
      <c r="F4" s="22"/>
      <c r="G4" s="22"/>
      <c r="H4" s="22"/>
      <c r="I4" s="22"/>
      <c r="J4" s="22"/>
      <c r="K4" s="22"/>
      <c r="L4" s="690"/>
      <c r="M4" s="22"/>
      <c r="N4" s="691"/>
      <c r="O4" s="16"/>
      <c r="P4" s="22"/>
      <c r="Q4" s="22"/>
      <c r="R4" s="22"/>
      <c r="S4" s="22"/>
      <c r="T4" s="22"/>
      <c r="U4" s="22"/>
      <c r="V4" s="22"/>
      <c r="W4" s="22"/>
      <c r="X4" s="22"/>
      <c r="Y4" s="22"/>
      <c r="Z4" s="22"/>
      <c r="AA4" s="22"/>
      <c r="AB4" s="690"/>
      <c r="AC4" s="22"/>
      <c r="AD4" s="691"/>
      <c r="AE4" s="16"/>
      <c r="AF4" s="22"/>
      <c r="AG4" s="22"/>
      <c r="AH4" s="22"/>
      <c r="AI4" s="22"/>
      <c r="AJ4" s="690"/>
      <c r="AK4" s="22"/>
      <c r="AL4" s="691"/>
      <c r="AM4" s="16"/>
      <c r="AN4" s="22"/>
      <c r="AO4" s="22"/>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3"/>
    </row>
    <row r="5" spans="1:76" ht="12.75" customHeight="1" x14ac:dyDescent="0.2">
      <c r="A5" s="692"/>
      <c r="B5" s="519"/>
      <c r="C5" s="519"/>
      <c r="D5" s="519"/>
      <c r="E5" s="519"/>
      <c r="F5" s="519"/>
      <c r="G5" s="519"/>
      <c r="H5" s="519"/>
      <c r="I5" s="519"/>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693"/>
      <c r="AQ5" s="693"/>
      <c r="AR5" s="693"/>
      <c r="AS5" s="693"/>
      <c r="AT5" s="693"/>
      <c r="AU5" s="693"/>
      <c r="AV5" s="693"/>
      <c r="AW5" s="693"/>
      <c r="AX5" s="693"/>
      <c r="AY5" s="693"/>
      <c r="AZ5" s="693"/>
      <c r="BA5" s="693"/>
      <c r="BB5" s="693"/>
      <c r="BC5" s="693"/>
      <c r="BD5" s="693"/>
      <c r="BE5" s="693"/>
      <c r="BF5" s="693"/>
      <c r="BG5" s="693"/>
      <c r="BH5" s="693"/>
      <c r="BI5" s="693"/>
      <c r="BJ5" s="693"/>
      <c r="BK5" s="693"/>
      <c r="BL5" s="693"/>
      <c r="BM5" s="693"/>
      <c r="BN5" s="693"/>
      <c r="BO5" s="693"/>
      <c r="BP5" s="693"/>
      <c r="BQ5" s="693"/>
      <c r="BR5" s="693"/>
      <c r="BS5" s="693"/>
      <c r="BT5" s="693"/>
      <c r="BU5" s="693"/>
      <c r="BV5" s="693"/>
      <c r="BW5" s="693"/>
      <c r="BX5" s="693"/>
    </row>
    <row r="6" spans="1:76" ht="32.25" customHeight="1" x14ac:dyDescent="0.2">
      <c r="A6" s="694" t="s">
        <v>1192</v>
      </c>
      <c r="B6" s="695" t="s">
        <v>19</v>
      </c>
      <c r="C6" s="695" t="s">
        <v>20</v>
      </c>
      <c r="D6" s="695" t="s">
        <v>23</v>
      </c>
      <c r="E6" s="696" t="s">
        <v>1193</v>
      </c>
      <c r="F6" s="697" t="s">
        <v>1194</v>
      </c>
      <c r="G6" s="697" t="s">
        <v>1195</v>
      </c>
      <c r="H6" s="697" t="s">
        <v>1196</v>
      </c>
      <c r="I6" s="697" t="s">
        <v>1197</v>
      </c>
      <c r="J6" s="698" t="s">
        <v>1198</v>
      </c>
      <c r="K6" s="698" t="s">
        <v>1199</v>
      </c>
      <c r="L6" s="699" t="s">
        <v>1200</v>
      </c>
      <c r="M6" s="696" t="s">
        <v>1201</v>
      </c>
      <c r="N6" s="697" t="s">
        <v>1194</v>
      </c>
      <c r="O6" s="697" t="s">
        <v>1195</v>
      </c>
      <c r="P6" s="697" t="s">
        <v>1196</v>
      </c>
      <c r="Q6" s="697" t="s">
        <v>1197</v>
      </c>
      <c r="R6" s="698" t="s">
        <v>1198</v>
      </c>
      <c r="S6" s="698" t="s">
        <v>1199</v>
      </c>
      <c r="T6" s="699" t="s">
        <v>1202</v>
      </c>
      <c r="U6" s="696" t="s">
        <v>1203</v>
      </c>
      <c r="V6" s="697" t="s">
        <v>1194</v>
      </c>
      <c r="W6" s="697" t="s">
        <v>1195</v>
      </c>
      <c r="X6" s="697" t="s">
        <v>1196</v>
      </c>
      <c r="Y6" s="697" t="s">
        <v>1197</v>
      </c>
      <c r="Z6" s="698" t="s">
        <v>1198</v>
      </c>
      <c r="AA6" s="698" t="s">
        <v>1199</v>
      </c>
      <c r="AB6" s="699" t="s">
        <v>1204</v>
      </c>
      <c r="AC6" s="700" t="s">
        <v>1205</v>
      </c>
      <c r="AD6" s="697" t="s">
        <v>1194</v>
      </c>
      <c r="AE6" s="697" t="s">
        <v>1195</v>
      </c>
      <c r="AF6" s="697" t="s">
        <v>1196</v>
      </c>
      <c r="AG6" s="697" t="s">
        <v>1197</v>
      </c>
      <c r="AH6" s="698" t="s">
        <v>1198</v>
      </c>
      <c r="AI6" s="698" t="s">
        <v>1199</v>
      </c>
      <c r="AJ6" s="699" t="s">
        <v>1206</v>
      </c>
      <c r="AK6" s="696" t="s">
        <v>1207</v>
      </c>
      <c r="AL6" s="697" t="s">
        <v>1194</v>
      </c>
      <c r="AM6" s="697" t="s">
        <v>1195</v>
      </c>
      <c r="AN6" s="697" t="s">
        <v>1196</v>
      </c>
      <c r="AO6" s="697" t="s">
        <v>1197</v>
      </c>
      <c r="AP6" s="698" t="s">
        <v>1198</v>
      </c>
      <c r="AQ6" s="698" t="s">
        <v>1199</v>
      </c>
      <c r="AR6" s="701" t="s">
        <v>1208</v>
      </c>
      <c r="AS6" s="702" t="s">
        <v>1209</v>
      </c>
      <c r="AT6" s="697" t="s">
        <v>1194</v>
      </c>
      <c r="AU6" s="697" t="s">
        <v>1195</v>
      </c>
      <c r="AV6" s="697" t="s">
        <v>1196</v>
      </c>
      <c r="AW6" s="697" t="s">
        <v>1197</v>
      </c>
      <c r="AX6" s="698" t="s">
        <v>1198</v>
      </c>
      <c r="AY6" s="698" t="s">
        <v>1199</v>
      </c>
      <c r="AZ6" s="699" t="s">
        <v>1210</v>
      </c>
      <c r="BA6" s="696" t="s">
        <v>1211</v>
      </c>
      <c r="BB6" s="697" t="s">
        <v>1194</v>
      </c>
      <c r="BC6" s="697" t="s">
        <v>1195</v>
      </c>
      <c r="BD6" s="697" t="s">
        <v>1196</v>
      </c>
      <c r="BE6" s="697" t="s">
        <v>1197</v>
      </c>
      <c r="BF6" s="698" t="s">
        <v>1198</v>
      </c>
      <c r="BG6" s="698" t="s">
        <v>1199</v>
      </c>
      <c r="BH6" s="699" t="s">
        <v>1212</v>
      </c>
      <c r="BI6" s="696" t="s">
        <v>1213</v>
      </c>
      <c r="BJ6" s="697" t="s">
        <v>1194</v>
      </c>
      <c r="BK6" s="697" t="s">
        <v>1195</v>
      </c>
      <c r="BL6" s="697" t="s">
        <v>1196</v>
      </c>
      <c r="BM6" s="697" t="s">
        <v>1197</v>
      </c>
      <c r="BN6" s="698" t="s">
        <v>1198</v>
      </c>
      <c r="BO6" s="698" t="s">
        <v>1199</v>
      </c>
      <c r="BP6" s="699" t="s">
        <v>1214</v>
      </c>
      <c r="BQ6" s="696" t="s">
        <v>1215</v>
      </c>
      <c r="BR6" s="697" t="s">
        <v>1194</v>
      </c>
      <c r="BS6" s="697" t="s">
        <v>1195</v>
      </c>
      <c r="BT6" s="697" t="s">
        <v>1196</v>
      </c>
      <c r="BU6" s="697" t="s">
        <v>1197</v>
      </c>
      <c r="BV6" s="698" t="s">
        <v>1198</v>
      </c>
      <c r="BW6" s="698" t="s">
        <v>1199</v>
      </c>
      <c r="BX6" s="703" t="s">
        <v>1216</v>
      </c>
    </row>
    <row r="7" spans="1:76" ht="30" customHeight="1" x14ac:dyDescent="0.2">
      <c r="A7" s="704">
        <v>1</v>
      </c>
      <c r="B7" s="705" t="s">
        <v>74</v>
      </c>
      <c r="C7" s="705" t="s">
        <v>75</v>
      </c>
      <c r="D7" s="631">
        <v>224</v>
      </c>
      <c r="E7" s="706"/>
      <c r="F7" s="706"/>
      <c r="G7" s="706"/>
      <c r="H7" s="706"/>
      <c r="I7" s="706"/>
      <c r="J7" s="707"/>
      <c r="K7" s="708"/>
      <c r="L7" s="708"/>
      <c r="M7" s="706"/>
      <c r="N7" s="706"/>
      <c r="O7" s="706"/>
      <c r="P7" s="706"/>
      <c r="Q7" s="706"/>
      <c r="R7" s="707"/>
      <c r="S7" s="708"/>
      <c r="T7" s="708"/>
      <c r="U7" s="706"/>
      <c r="V7" s="706"/>
      <c r="W7" s="706"/>
      <c r="X7" s="706"/>
      <c r="Y7" s="706"/>
      <c r="Z7" s="706"/>
      <c r="AA7" s="707"/>
      <c r="AB7" s="708"/>
      <c r="AC7" s="706"/>
      <c r="AD7" s="706"/>
      <c r="AE7" s="706"/>
      <c r="AF7" s="706"/>
      <c r="AG7" s="706"/>
      <c r="AH7" s="706"/>
      <c r="AI7" s="707"/>
      <c r="AJ7" s="708"/>
      <c r="AK7" s="706"/>
      <c r="AL7" s="706"/>
      <c r="AM7" s="706"/>
      <c r="AN7" s="706"/>
      <c r="AO7" s="706"/>
      <c r="AP7" s="706"/>
      <c r="AQ7" s="707"/>
      <c r="AR7" s="708"/>
      <c r="AS7" s="706"/>
      <c r="AT7" s="706"/>
      <c r="AU7" s="706"/>
      <c r="AV7" s="706"/>
      <c r="AW7" s="706"/>
      <c r="AX7" s="706"/>
      <c r="AY7" s="707"/>
      <c r="AZ7" s="708"/>
      <c r="BA7" s="706"/>
      <c r="BB7" s="706"/>
      <c r="BC7" s="706"/>
      <c r="BD7" s="706"/>
      <c r="BE7" s="706"/>
      <c r="BF7" s="706"/>
      <c r="BG7" s="707"/>
      <c r="BH7" s="708"/>
      <c r="BI7" s="706"/>
      <c r="BJ7" s="706"/>
      <c r="BK7" s="706"/>
      <c r="BL7" s="706"/>
      <c r="BM7" s="706"/>
      <c r="BN7" s="706"/>
      <c r="BO7" s="707"/>
      <c r="BP7" s="708"/>
      <c r="BQ7" s="706"/>
      <c r="BR7" s="706"/>
      <c r="BS7" s="706"/>
      <c r="BT7" s="706"/>
      <c r="BU7" s="706"/>
      <c r="BV7" s="706"/>
      <c r="BW7" s="707"/>
      <c r="BX7" s="709"/>
    </row>
    <row r="8" spans="1:76" ht="30" customHeight="1" x14ac:dyDescent="0.2">
      <c r="A8" s="704">
        <v>2</v>
      </c>
      <c r="B8" s="705" t="s">
        <v>74</v>
      </c>
      <c r="C8" s="705" t="s">
        <v>1051</v>
      </c>
      <c r="D8" s="631">
        <v>11067</v>
      </c>
      <c r="E8" s="706"/>
      <c r="F8" s="706"/>
      <c r="G8" s="706"/>
      <c r="H8" s="706"/>
      <c r="I8" s="706"/>
      <c r="J8" s="707"/>
      <c r="K8" s="708"/>
      <c r="L8" s="708"/>
      <c r="M8" s="706"/>
      <c r="N8" s="706"/>
      <c r="O8" s="706"/>
      <c r="P8" s="706"/>
      <c r="Q8" s="706"/>
      <c r="R8" s="706"/>
      <c r="S8" s="707"/>
      <c r="T8" s="708"/>
      <c r="U8" s="707"/>
      <c r="V8" s="706"/>
      <c r="W8" s="707"/>
      <c r="X8" s="707"/>
      <c r="Y8" s="706"/>
      <c r="Z8" s="706"/>
      <c r="AA8" s="707"/>
      <c r="AB8" s="708"/>
      <c r="AC8" s="710"/>
      <c r="AD8" s="706"/>
      <c r="AE8" s="706"/>
      <c r="AF8" s="706"/>
      <c r="AG8" s="706"/>
      <c r="AH8" s="706"/>
      <c r="AI8" s="707"/>
      <c r="AJ8" s="708"/>
      <c r="AK8" s="710"/>
      <c r="AL8" s="706"/>
      <c r="AM8" s="706"/>
      <c r="AN8" s="706"/>
      <c r="AO8" s="706"/>
      <c r="AP8" s="706"/>
      <c r="AQ8" s="707"/>
      <c r="AR8" s="711"/>
      <c r="AS8" s="706"/>
      <c r="AT8" s="706"/>
      <c r="AU8" s="706"/>
      <c r="AV8" s="706"/>
      <c r="AW8" s="706"/>
      <c r="AX8" s="706"/>
      <c r="AY8" s="707"/>
      <c r="AZ8" s="708"/>
      <c r="BA8" s="706"/>
      <c r="BB8" s="706"/>
      <c r="BC8" s="706"/>
      <c r="BD8" s="706"/>
      <c r="BE8" s="706"/>
      <c r="BF8" s="706"/>
      <c r="BG8" s="707"/>
      <c r="BH8" s="708"/>
      <c r="BI8" s="710"/>
      <c r="BJ8" s="706"/>
      <c r="BK8" s="706"/>
      <c r="BL8" s="706"/>
      <c r="BM8" s="706"/>
      <c r="BN8" s="706"/>
      <c r="BO8" s="707"/>
      <c r="BP8" s="708"/>
      <c r="BQ8" s="710"/>
      <c r="BR8" s="706"/>
      <c r="BS8" s="706"/>
      <c r="BT8" s="706"/>
      <c r="BU8" s="706"/>
      <c r="BV8" s="706"/>
      <c r="BW8" s="707"/>
      <c r="BX8" s="709"/>
    </row>
    <row r="9" spans="1:76" ht="30" customHeight="1" x14ac:dyDescent="0.2">
      <c r="A9" s="704">
        <v>3</v>
      </c>
      <c r="B9" s="705" t="s">
        <v>74</v>
      </c>
      <c r="C9" s="705" t="s">
        <v>1050</v>
      </c>
      <c r="D9" s="631">
        <v>4963</v>
      </c>
      <c r="E9" s="706"/>
      <c r="F9" s="706"/>
      <c r="G9" s="706"/>
      <c r="H9" s="706"/>
      <c r="I9" s="706"/>
      <c r="J9" s="707"/>
      <c r="K9" s="708"/>
      <c r="L9" s="708"/>
      <c r="M9" s="706"/>
      <c r="N9" s="706"/>
      <c r="O9" s="706"/>
      <c r="P9" s="706"/>
      <c r="Q9" s="706"/>
      <c r="R9" s="706"/>
      <c r="S9" s="707"/>
      <c r="T9" s="708"/>
      <c r="U9" s="707" t="s">
        <v>1104</v>
      </c>
      <c r="V9" s="706" t="s">
        <v>1217</v>
      </c>
      <c r="W9" s="707" t="s">
        <v>1218</v>
      </c>
      <c r="X9" s="707"/>
      <c r="Y9" s="706" t="s">
        <v>1219</v>
      </c>
      <c r="Z9" s="706" t="s">
        <v>1220</v>
      </c>
      <c r="AA9" s="707"/>
      <c r="AB9" s="708"/>
      <c r="AC9" s="710"/>
      <c r="AD9" s="706"/>
      <c r="AE9" s="706"/>
      <c r="AF9" s="706"/>
      <c r="AG9" s="706"/>
      <c r="AH9" s="706"/>
      <c r="AI9" s="707"/>
      <c r="AJ9" s="708"/>
      <c r="AK9" s="710"/>
      <c r="AL9" s="706"/>
      <c r="AM9" s="706"/>
      <c r="AN9" s="706"/>
      <c r="AO9" s="706"/>
      <c r="AP9" s="706"/>
      <c r="AQ9" s="707"/>
      <c r="AR9" s="711"/>
      <c r="AS9" s="706"/>
      <c r="AT9" s="706"/>
      <c r="AU9" s="706"/>
      <c r="AV9" s="706"/>
      <c r="AW9" s="706"/>
      <c r="AX9" s="706"/>
      <c r="AY9" s="707"/>
      <c r="AZ9" s="708"/>
      <c r="BA9" s="706"/>
      <c r="BB9" s="706"/>
      <c r="BC9" s="706"/>
      <c r="BD9" s="706"/>
      <c r="BE9" s="706"/>
      <c r="BF9" s="706"/>
      <c r="BG9" s="707"/>
      <c r="BH9" s="708"/>
      <c r="BI9" s="710"/>
      <c r="BJ9" s="706"/>
      <c r="BK9" s="706"/>
      <c r="BL9" s="706"/>
      <c r="BM9" s="706"/>
      <c r="BN9" s="706"/>
      <c r="BO9" s="707"/>
      <c r="BP9" s="708"/>
      <c r="BQ9" s="710"/>
      <c r="BR9" s="706"/>
      <c r="BS9" s="706"/>
      <c r="BT9" s="706"/>
      <c r="BU9" s="706"/>
      <c r="BV9" s="706"/>
      <c r="BW9" s="707"/>
      <c r="BX9" s="709"/>
    </row>
    <row r="10" spans="1:76" ht="30" customHeight="1" x14ac:dyDescent="0.2">
      <c r="A10" s="704">
        <v>4</v>
      </c>
      <c r="B10" s="705" t="s">
        <v>74</v>
      </c>
      <c r="C10" s="705" t="s">
        <v>1221</v>
      </c>
      <c r="D10" s="631">
        <v>106085</v>
      </c>
      <c r="E10" s="706"/>
      <c r="F10" s="706"/>
      <c r="G10" s="706"/>
      <c r="H10" s="706"/>
      <c r="I10" s="706"/>
      <c r="J10" s="707"/>
      <c r="K10" s="708"/>
      <c r="L10" s="708"/>
      <c r="M10" s="706"/>
      <c r="N10" s="706"/>
      <c r="O10" s="706"/>
      <c r="P10" s="706"/>
      <c r="Q10" s="706"/>
      <c r="R10" s="706"/>
      <c r="S10" s="707"/>
      <c r="T10" s="708"/>
      <c r="U10" s="707"/>
      <c r="V10" s="706"/>
      <c r="W10" s="707"/>
      <c r="X10" s="707"/>
      <c r="Y10" s="706"/>
      <c r="Z10" s="706"/>
      <c r="AA10" s="707"/>
      <c r="AB10" s="708"/>
      <c r="AC10" s="710"/>
      <c r="AD10" s="706"/>
      <c r="AE10" s="706"/>
      <c r="AF10" s="706"/>
      <c r="AG10" s="706"/>
      <c r="AH10" s="706"/>
      <c r="AI10" s="707"/>
      <c r="AJ10" s="708"/>
      <c r="AK10" s="710"/>
      <c r="AL10" s="706"/>
      <c r="AM10" s="706"/>
      <c r="AN10" s="706"/>
      <c r="AO10" s="706"/>
      <c r="AP10" s="706"/>
      <c r="AQ10" s="707"/>
      <c r="AR10" s="711"/>
      <c r="AS10" s="706"/>
      <c r="AT10" s="706"/>
      <c r="AU10" s="706"/>
      <c r="AV10" s="706"/>
      <c r="AW10" s="706"/>
      <c r="AX10" s="706"/>
      <c r="AY10" s="707"/>
      <c r="AZ10" s="708"/>
      <c r="BA10" s="706"/>
      <c r="BB10" s="706"/>
      <c r="BC10" s="706"/>
      <c r="BD10" s="706"/>
      <c r="BE10" s="706"/>
      <c r="BF10" s="706"/>
      <c r="BG10" s="707"/>
      <c r="BH10" s="708"/>
      <c r="BI10" s="710"/>
      <c r="BJ10" s="706"/>
      <c r="BK10" s="706"/>
      <c r="BL10" s="706"/>
      <c r="BM10" s="706"/>
      <c r="BN10" s="706"/>
      <c r="BO10" s="707"/>
      <c r="BP10" s="708"/>
      <c r="BQ10" s="710"/>
      <c r="BR10" s="706"/>
      <c r="BS10" s="706"/>
      <c r="BT10" s="706"/>
      <c r="BU10" s="706"/>
      <c r="BV10" s="706"/>
      <c r="BW10" s="707"/>
      <c r="BX10" s="709"/>
    </row>
    <row r="11" spans="1:76" ht="30" customHeight="1" x14ac:dyDescent="0.2">
      <c r="A11" s="704">
        <v>5</v>
      </c>
      <c r="B11" s="705" t="s">
        <v>74</v>
      </c>
      <c r="C11" s="705" t="s">
        <v>1222</v>
      </c>
      <c r="D11" s="631">
        <v>225</v>
      </c>
      <c r="E11" s="706"/>
      <c r="F11" s="706"/>
      <c r="G11" s="706"/>
      <c r="H11" s="706"/>
      <c r="I11" s="706"/>
      <c r="J11" s="707"/>
      <c r="K11" s="708"/>
      <c r="L11" s="708"/>
      <c r="M11" s="706"/>
      <c r="N11" s="706"/>
      <c r="O11" s="706"/>
      <c r="P11" s="706"/>
      <c r="Q11" s="706"/>
      <c r="R11" s="706"/>
      <c r="S11" s="707"/>
      <c r="T11" s="708"/>
      <c r="U11" s="707"/>
      <c r="V11" s="706"/>
      <c r="W11" s="707"/>
      <c r="X11" s="707"/>
      <c r="Y11" s="706"/>
      <c r="Z11" s="706"/>
      <c r="AA11" s="707"/>
      <c r="AB11" s="708"/>
      <c r="AC11" s="710" t="s">
        <v>1104</v>
      </c>
      <c r="AD11" s="706" t="s">
        <v>1223</v>
      </c>
      <c r="AE11" s="706" t="s">
        <v>1218</v>
      </c>
      <c r="AF11" s="706"/>
      <c r="AG11" s="706" t="s">
        <v>1224</v>
      </c>
      <c r="AH11" s="706" t="s">
        <v>1220</v>
      </c>
      <c r="AI11" s="707" t="s">
        <v>89</v>
      </c>
      <c r="AJ11" s="708"/>
      <c r="AK11" s="710"/>
      <c r="AL11" s="706"/>
      <c r="AM11" s="706"/>
      <c r="AN11" s="706"/>
      <c r="AO11" s="706"/>
      <c r="AP11" s="706"/>
      <c r="AQ11" s="707"/>
      <c r="AR11" s="711"/>
      <c r="AS11" s="706"/>
      <c r="AT11" s="706"/>
      <c r="AU11" s="706"/>
      <c r="AV11" s="706"/>
      <c r="AW11" s="706"/>
      <c r="AX11" s="706"/>
      <c r="AY11" s="707"/>
      <c r="AZ11" s="708"/>
      <c r="BA11" s="706"/>
      <c r="BB11" s="706"/>
      <c r="BC11" s="706"/>
      <c r="BD11" s="706"/>
      <c r="BE11" s="706"/>
      <c r="BF11" s="706"/>
      <c r="BG11" s="707"/>
      <c r="BH11" s="708"/>
      <c r="BI11" s="710"/>
      <c r="BJ11" s="706"/>
      <c r="BK11" s="706"/>
      <c r="BL11" s="706"/>
      <c r="BM11" s="706"/>
      <c r="BN11" s="706"/>
      <c r="BO11" s="707"/>
      <c r="BP11" s="708"/>
      <c r="BQ11" s="710"/>
      <c r="BR11" s="706"/>
      <c r="BS11" s="706"/>
      <c r="BT11" s="706"/>
      <c r="BU11" s="706"/>
      <c r="BV11" s="706"/>
      <c r="BW11" s="707"/>
      <c r="BX11" s="709"/>
    </row>
    <row r="12" spans="1:76" ht="30" customHeight="1" x14ac:dyDescent="0.2">
      <c r="A12" s="704">
        <v>6</v>
      </c>
      <c r="B12" s="705" t="s">
        <v>74</v>
      </c>
      <c r="C12" s="705" t="s">
        <v>90</v>
      </c>
      <c r="D12" s="631">
        <v>104526</v>
      </c>
      <c r="E12" s="706"/>
      <c r="F12" s="706"/>
      <c r="G12" s="706"/>
      <c r="H12" s="706"/>
      <c r="I12" s="706"/>
      <c r="J12" s="707"/>
      <c r="K12" s="708"/>
      <c r="L12" s="708"/>
      <c r="M12" s="706"/>
      <c r="N12" s="706"/>
      <c r="O12" s="706"/>
      <c r="P12" s="706"/>
      <c r="Q12" s="706"/>
      <c r="R12" s="706"/>
      <c r="S12" s="707"/>
      <c r="T12" s="708"/>
      <c r="U12" s="707"/>
      <c r="V12" s="706"/>
      <c r="W12" s="707"/>
      <c r="X12" s="707"/>
      <c r="Y12" s="706"/>
      <c r="Z12" s="706"/>
      <c r="AA12" s="707"/>
      <c r="AB12" s="708"/>
      <c r="AC12" s="710"/>
      <c r="AD12" s="706"/>
      <c r="AE12" s="706"/>
      <c r="AF12" s="706"/>
      <c r="AG12" s="706"/>
      <c r="AH12" s="706"/>
      <c r="AI12" s="707"/>
      <c r="AJ12" s="708"/>
      <c r="AK12" s="710"/>
      <c r="AL12" s="706"/>
      <c r="AM12" s="706"/>
      <c r="AN12" s="706"/>
      <c r="AO12" s="706"/>
      <c r="AP12" s="706"/>
      <c r="AQ12" s="707"/>
      <c r="AR12" s="711"/>
      <c r="AS12" s="706"/>
      <c r="AT12" s="706"/>
      <c r="AU12" s="706"/>
      <c r="AV12" s="706"/>
      <c r="AW12" s="706"/>
      <c r="AX12" s="706"/>
      <c r="AY12" s="707"/>
      <c r="AZ12" s="708"/>
      <c r="BA12" s="706"/>
      <c r="BB12" s="706"/>
      <c r="BC12" s="706"/>
      <c r="BD12" s="706"/>
      <c r="BE12" s="706"/>
      <c r="BF12" s="706"/>
      <c r="BG12" s="707"/>
      <c r="BH12" s="708"/>
      <c r="BI12" s="710"/>
      <c r="BJ12" s="706"/>
      <c r="BK12" s="706"/>
      <c r="BL12" s="706"/>
      <c r="BM12" s="706"/>
      <c r="BN12" s="706"/>
      <c r="BO12" s="707"/>
      <c r="BP12" s="708"/>
      <c r="BQ12" s="710"/>
      <c r="BR12" s="706"/>
      <c r="BS12" s="706"/>
      <c r="BT12" s="706"/>
      <c r="BU12" s="706"/>
      <c r="BV12" s="706"/>
      <c r="BW12" s="707"/>
      <c r="BX12" s="709"/>
    </row>
    <row r="13" spans="1:76" ht="30" customHeight="1" x14ac:dyDescent="0.2">
      <c r="A13" s="704">
        <v>7</v>
      </c>
      <c r="B13" s="705" t="s">
        <v>74</v>
      </c>
      <c r="C13" s="705" t="s">
        <v>110</v>
      </c>
      <c r="D13" s="631">
        <v>54801</v>
      </c>
      <c r="E13" s="706"/>
      <c r="F13" s="706"/>
      <c r="G13" s="706"/>
      <c r="H13" s="706"/>
      <c r="I13" s="706"/>
      <c r="J13" s="707"/>
      <c r="K13" s="708"/>
      <c r="L13" s="708"/>
      <c r="M13" s="706"/>
      <c r="N13" s="706"/>
      <c r="O13" s="706"/>
      <c r="P13" s="706"/>
      <c r="Q13" s="706"/>
      <c r="R13" s="706"/>
      <c r="S13" s="707"/>
      <c r="T13" s="708"/>
      <c r="U13" s="707"/>
      <c r="V13" s="706"/>
      <c r="W13" s="707"/>
      <c r="X13" s="707"/>
      <c r="Y13" s="706"/>
      <c r="Z13" s="706"/>
      <c r="AA13" s="707"/>
      <c r="AB13" s="708"/>
      <c r="AC13" s="710"/>
      <c r="AD13" s="706"/>
      <c r="AE13" s="706"/>
      <c r="AF13" s="706"/>
      <c r="AG13" s="706"/>
      <c r="AH13" s="706"/>
      <c r="AI13" s="707"/>
      <c r="AJ13" s="708"/>
      <c r="AK13" s="710"/>
      <c r="AL13" s="706"/>
      <c r="AM13" s="706"/>
      <c r="AN13" s="706"/>
      <c r="AO13" s="706"/>
      <c r="AP13" s="706"/>
      <c r="AQ13" s="707"/>
      <c r="AR13" s="711"/>
      <c r="AS13" s="706"/>
      <c r="AT13" s="706"/>
      <c r="AU13" s="706"/>
      <c r="AV13" s="706"/>
      <c r="AW13" s="706"/>
      <c r="AX13" s="706"/>
      <c r="AY13" s="707"/>
      <c r="AZ13" s="708"/>
      <c r="BA13" s="706"/>
      <c r="BB13" s="706"/>
      <c r="BC13" s="706"/>
      <c r="BD13" s="706"/>
      <c r="BE13" s="706"/>
      <c r="BF13" s="706"/>
      <c r="BG13" s="707"/>
      <c r="BH13" s="708"/>
      <c r="BI13" s="710"/>
      <c r="BJ13" s="706"/>
      <c r="BK13" s="706"/>
      <c r="BL13" s="706"/>
      <c r="BM13" s="706"/>
      <c r="BN13" s="706"/>
      <c r="BO13" s="707"/>
      <c r="BP13" s="708"/>
      <c r="BQ13" s="710"/>
      <c r="BR13" s="706"/>
      <c r="BS13" s="706"/>
      <c r="BT13" s="706"/>
      <c r="BU13" s="706"/>
      <c r="BV13" s="706"/>
      <c r="BW13" s="707"/>
      <c r="BX13" s="709"/>
    </row>
    <row r="14" spans="1:76" ht="30" customHeight="1" x14ac:dyDescent="0.2">
      <c r="A14" s="712">
        <v>8</v>
      </c>
      <c r="B14" s="705" t="s">
        <v>130</v>
      </c>
      <c r="C14" s="705" t="s">
        <v>165</v>
      </c>
      <c r="D14" s="631">
        <v>103231</v>
      </c>
      <c r="E14" s="706"/>
      <c r="F14" s="706"/>
      <c r="G14" s="706"/>
      <c r="H14" s="706"/>
      <c r="I14" s="706"/>
      <c r="J14" s="707"/>
      <c r="K14" s="708"/>
      <c r="L14" s="708"/>
      <c r="M14" s="706"/>
      <c r="N14" s="706"/>
      <c r="O14" s="706"/>
      <c r="P14" s="706"/>
      <c r="Q14" s="706"/>
      <c r="R14" s="706"/>
      <c r="S14" s="707"/>
      <c r="T14" s="708"/>
      <c r="U14" s="707" t="s">
        <v>1104</v>
      </c>
      <c r="V14" s="706" t="s">
        <v>1223</v>
      </c>
      <c r="W14" s="707" t="s">
        <v>1225</v>
      </c>
      <c r="X14" s="707"/>
      <c r="Y14" s="706" t="s">
        <v>1219</v>
      </c>
      <c r="Z14" s="706" t="s">
        <v>1220</v>
      </c>
      <c r="AA14" s="707"/>
      <c r="AB14" s="708"/>
      <c r="AC14" s="710"/>
      <c r="AD14" s="706"/>
      <c r="AE14" s="706"/>
      <c r="AF14" s="706"/>
      <c r="AG14" s="706"/>
      <c r="AH14" s="706"/>
      <c r="AI14" s="707"/>
      <c r="AJ14" s="708"/>
      <c r="AK14" s="710"/>
      <c r="AL14" s="706"/>
      <c r="AM14" s="706"/>
      <c r="AN14" s="706"/>
      <c r="AO14" s="706"/>
      <c r="AP14" s="706"/>
      <c r="AQ14" s="707"/>
      <c r="AR14" s="711"/>
      <c r="AS14" s="706"/>
      <c r="AT14" s="706"/>
      <c r="AU14" s="706"/>
      <c r="AV14" s="706"/>
      <c r="AW14" s="706"/>
      <c r="AX14" s="706"/>
      <c r="AY14" s="707"/>
      <c r="AZ14" s="708"/>
      <c r="BA14" s="706"/>
      <c r="BB14" s="706"/>
      <c r="BC14" s="706"/>
      <c r="BD14" s="706"/>
      <c r="BE14" s="706"/>
      <c r="BF14" s="706"/>
      <c r="BG14" s="707"/>
      <c r="BH14" s="708"/>
      <c r="BI14" s="710"/>
      <c r="BJ14" s="706"/>
      <c r="BK14" s="706"/>
      <c r="BL14" s="706"/>
      <c r="BM14" s="706"/>
      <c r="BN14" s="706"/>
      <c r="BO14" s="707"/>
      <c r="BP14" s="708"/>
      <c r="BQ14" s="710"/>
      <c r="BR14" s="706"/>
      <c r="BS14" s="706"/>
      <c r="BT14" s="706"/>
      <c r="BU14" s="706"/>
      <c r="BV14" s="706"/>
      <c r="BW14" s="707"/>
      <c r="BX14" s="709"/>
    </row>
    <row r="15" spans="1:76" ht="30" customHeight="1" x14ac:dyDescent="0.2">
      <c r="A15" s="712">
        <v>9</v>
      </c>
      <c r="B15" s="705" t="s">
        <v>130</v>
      </c>
      <c r="C15" s="705" t="s">
        <v>1107</v>
      </c>
      <c r="D15" s="631">
        <v>104845</v>
      </c>
      <c r="E15" s="706"/>
      <c r="F15" s="706"/>
      <c r="G15" s="706"/>
      <c r="H15" s="706"/>
      <c r="I15" s="706"/>
      <c r="J15" s="707"/>
      <c r="K15" s="708"/>
      <c r="L15" s="708"/>
      <c r="M15" s="706"/>
      <c r="N15" s="706"/>
      <c r="O15" s="706"/>
      <c r="P15" s="706"/>
      <c r="Q15" s="706"/>
      <c r="R15" s="706"/>
      <c r="S15" s="707"/>
      <c r="T15" s="708"/>
      <c r="U15" s="707"/>
      <c r="V15" s="706"/>
      <c r="W15" s="707"/>
      <c r="X15" s="707"/>
      <c r="Y15" s="706"/>
      <c r="Z15" s="706"/>
      <c r="AA15" s="707"/>
      <c r="AB15" s="708"/>
      <c r="AC15" s="710"/>
      <c r="AD15" s="706"/>
      <c r="AE15" s="706"/>
      <c r="AF15" s="706"/>
      <c r="AG15" s="706"/>
      <c r="AH15" s="706"/>
      <c r="AI15" s="707"/>
      <c r="AJ15" s="708"/>
      <c r="AK15" s="710"/>
      <c r="AL15" s="706"/>
      <c r="AM15" s="706"/>
      <c r="AN15" s="706"/>
      <c r="AO15" s="706"/>
      <c r="AP15" s="706"/>
      <c r="AQ15" s="707"/>
      <c r="AR15" s="711"/>
      <c r="AS15" s="706"/>
      <c r="AT15" s="706"/>
      <c r="AU15" s="706"/>
      <c r="AV15" s="706"/>
      <c r="AW15" s="706"/>
      <c r="AX15" s="706"/>
      <c r="AY15" s="707"/>
      <c r="AZ15" s="708"/>
      <c r="BA15" s="706"/>
      <c r="BB15" s="706"/>
      <c r="BC15" s="706"/>
      <c r="BD15" s="706"/>
      <c r="BE15" s="706"/>
      <c r="BF15" s="706"/>
      <c r="BG15" s="707"/>
      <c r="BH15" s="708"/>
      <c r="BI15" s="710"/>
      <c r="BJ15" s="706"/>
      <c r="BK15" s="706"/>
      <c r="BL15" s="706"/>
      <c r="BM15" s="706"/>
      <c r="BN15" s="706"/>
      <c r="BO15" s="707"/>
      <c r="BP15" s="708"/>
      <c r="BQ15" s="710"/>
      <c r="BR15" s="706"/>
      <c r="BS15" s="706"/>
      <c r="BT15" s="706"/>
      <c r="BU15" s="706"/>
      <c r="BV15" s="706"/>
      <c r="BW15" s="707"/>
      <c r="BX15" s="709"/>
    </row>
    <row r="16" spans="1:76" ht="30" customHeight="1" x14ac:dyDescent="0.2">
      <c r="A16" s="712">
        <v>10</v>
      </c>
      <c r="B16" s="705" t="s">
        <v>130</v>
      </c>
      <c r="C16" s="705" t="s">
        <v>151</v>
      </c>
      <c r="D16" s="631">
        <v>104846</v>
      </c>
      <c r="E16" s="706"/>
      <c r="F16" s="706"/>
      <c r="G16" s="706"/>
      <c r="H16" s="706"/>
      <c r="I16" s="706"/>
      <c r="J16" s="707"/>
      <c r="K16" s="708"/>
      <c r="L16" s="708"/>
      <c r="M16" s="706"/>
      <c r="N16" s="706"/>
      <c r="O16" s="706"/>
      <c r="P16" s="706"/>
      <c r="Q16" s="706"/>
      <c r="R16" s="706"/>
      <c r="S16" s="707"/>
      <c r="T16" s="708"/>
      <c r="U16" s="707"/>
      <c r="V16" s="706"/>
      <c r="W16" s="707"/>
      <c r="X16" s="707"/>
      <c r="Y16" s="706"/>
      <c r="Z16" s="706"/>
      <c r="AA16" s="707"/>
      <c r="AB16" s="708"/>
      <c r="AC16" s="710"/>
      <c r="AD16" s="706"/>
      <c r="AE16" s="706"/>
      <c r="AF16" s="706"/>
      <c r="AG16" s="706"/>
      <c r="AH16" s="706"/>
      <c r="AI16" s="707"/>
      <c r="AJ16" s="708"/>
      <c r="AK16" s="710"/>
      <c r="AL16" s="706"/>
      <c r="AM16" s="706"/>
      <c r="AN16" s="706"/>
      <c r="AO16" s="706"/>
      <c r="AP16" s="706"/>
      <c r="AQ16" s="707"/>
      <c r="AR16" s="711"/>
      <c r="AS16" s="706"/>
      <c r="AT16" s="706"/>
      <c r="AU16" s="706"/>
      <c r="AV16" s="706"/>
      <c r="AW16" s="706"/>
      <c r="AX16" s="706"/>
      <c r="AY16" s="707"/>
      <c r="AZ16" s="708"/>
      <c r="BA16" s="706"/>
      <c r="BB16" s="706"/>
      <c r="BC16" s="706"/>
      <c r="BD16" s="706"/>
      <c r="BE16" s="706"/>
      <c r="BF16" s="706"/>
      <c r="BG16" s="707"/>
      <c r="BH16" s="708"/>
      <c r="BI16" s="710"/>
      <c r="BJ16" s="706"/>
      <c r="BK16" s="706"/>
      <c r="BL16" s="706"/>
      <c r="BM16" s="706"/>
      <c r="BN16" s="706"/>
      <c r="BO16" s="707"/>
      <c r="BP16" s="708"/>
      <c r="BQ16" s="710"/>
      <c r="BR16" s="706"/>
      <c r="BS16" s="706"/>
      <c r="BT16" s="706"/>
      <c r="BU16" s="706"/>
      <c r="BV16" s="706"/>
      <c r="BW16" s="707"/>
      <c r="BX16" s="709"/>
    </row>
    <row r="17" spans="1:76" ht="30" customHeight="1" x14ac:dyDescent="0.2">
      <c r="A17" s="712">
        <v>11</v>
      </c>
      <c r="B17" s="705" t="s">
        <v>130</v>
      </c>
      <c r="C17" s="705" t="s">
        <v>143</v>
      </c>
      <c r="D17" s="631">
        <v>103292</v>
      </c>
      <c r="E17" s="706" t="s">
        <v>1104</v>
      </c>
      <c r="F17" s="706" t="s">
        <v>1223</v>
      </c>
      <c r="G17" s="706" t="s">
        <v>1225</v>
      </c>
      <c r="H17" s="706"/>
      <c r="I17" s="706" t="s">
        <v>1219</v>
      </c>
      <c r="J17" s="707" t="s">
        <v>1226</v>
      </c>
      <c r="K17" s="708"/>
      <c r="L17" s="708"/>
      <c r="M17" s="706"/>
      <c r="N17" s="706"/>
      <c r="O17" s="706"/>
      <c r="P17" s="706"/>
      <c r="Q17" s="706"/>
      <c r="R17" s="706"/>
      <c r="S17" s="707"/>
      <c r="T17" s="708"/>
      <c r="U17" s="707"/>
      <c r="V17" s="706"/>
      <c r="W17" s="707"/>
      <c r="X17" s="707"/>
      <c r="Y17" s="706"/>
      <c r="Z17" s="706"/>
      <c r="AA17" s="707"/>
      <c r="AB17" s="708"/>
      <c r="AC17" s="710"/>
      <c r="AD17" s="706"/>
      <c r="AE17" s="706"/>
      <c r="AF17" s="706"/>
      <c r="AG17" s="706"/>
      <c r="AH17" s="706"/>
      <c r="AI17" s="707"/>
      <c r="AJ17" s="708"/>
      <c r="AK17" s="710"/>
      <c r="AL17" s="706"/>
      <c r="AM17" s="706"/>
      <c r="AN17" s="706"/>
      <c r="AO17" s="706"/>
      <c r="AP17" s="706"/>
      <c r="AQ17" s="707"/>
      <c r="AR17" s="711"/>
      <c r="AS17" s="706"/>
      <c r="AT17" s="706"/>
      <c r="AU17" s="706"/>
      <c r="AV17" s="706"/>
      <c r="AW17" s="706"/>
      <c r="AX17" s="706"/>
      <c r="AY17" s="707"/>
      <c r="AZ17" s="708"/>
      <c r="BA17" s="706"/>
      <c r="BB17" s="706"/>
      <c r="BC17" s="706"/>
      <c r="BD17" s="706"/>
      <c r="BE17" s="706"/>
      <c r="BF17" s="706"/>
      <c r="BG17" s="707"/>
      <c r="BH17" s="708"/>
      <c r="BI17" s="710"/>
      <c r="BJ17" s="706"/>
      <c r="BK17" s="706"/>
      <c r="BL17" s="706"/>
      <c r="BM17" s="706"/>
      <c r="BN17" s="706"/>
      <c r="BO17" s="707"/>
      <c r="BP17" s="708"/>
      <c r="BQ17" s="710"/>
      <c r="BR17" s="706"/>
      <c r="BS17" s="706"/>
      <c r="BT17" s="706"/>
      <c r="BU17" s="706"/>
      <c r="BV17" s="706"/>
      <c r="BW17" s="707"/>
      <c r="BX17" s="709"/>
    </row>
    <row r="18" spans="1:76" ht="30" customHeight="1" x14ac:dyDescent="0.2">
      <c r="A18" s="712">
        <v>12</v>
      </c>
      <c r="B18" s="705" t="s">
        <v>130</v>
      </c>
      <c r="C18" s="705" t="s">
        <v>143</v>
      </c>
      <c r="D18" s="631">
        <v>103386</v>
      </c>
      <c r="E18" s="706"/>
      <c r="F18" s="706"/>
      <c r="G18" s="706"/>
      <c r="H18" s="706"/>
      <c r="I18" s="706"/>
      <c r="J18" s="707"/>
      <c r="K18" s="708"/>
      <c r="L18" s="708"/>
      <c r="M18" s="706"/>
      <c r="N18" s="706"/>
      <c r="O18" s="706"/>
      <c r="P18" s="706"/>
      <c r="Q18" s="706"/>
      <c r="R18" s="706"/>
      <c r="S18" s="707"/>
      <c r="T18" s="708"/>
      <c r="U18" s="707"/>
      <c r="V18" s="706"/>
      <c r="W18" s="707"/>
      <c r="X18" s="707"/>
      <c r="Y18" s="706"/>
      <c r="Z18" s="706"/>
      <c r="AA18" s="707"/>
      <c r="AB18" s="708"/>
      <c r="AC18" s="710"/>
      <c r="AD18" s="706"/>
      <c r="AE18" s="706"/>
      <c r="AF18" s="706"/>
      <c r="AG18" s="706"/>
      <c r="AH18" s="706"/>
      <c r="AI18" s="707"/>
      <c r="AJ18" s="708"/>
      <c r="AK18" s="710"/>
      <c r="AL18" s="706"/>
      <c r="AM18" s="706"/>
      <c r="AN18" s="706"/>
      <c r="AO18" s="706"/>
      <c r="AP18" s="706"/>
      <c r="AQ18" s="707"/>
      <c r="AR18" s="711"/>
      <c r="AS18" s="706"/>
      <c r="AT18" s="706"/>
      <c r="AU18" s="706"/>
      <c r="AV18" s="706"/>
      <c r="AW18" s="706"/>
      <c r="AX18" s="706"/>
      <c r="AY18" s="707"/>
      <c r="AZ18" s="708"/>
      <c r="BA18" s="706"/>
      <c r="BB18" s="706"/>
      <c r="BC18" s="706"/>
      <c r="BD18" s="706"/>
      <c r="BE18" s="706"/>
      <c r="BF18" s="706"/>
      <c r="BG18" s="707"/>
      <c r="BH18" s="708"/>
      <c r="BI18" s="710"/>
      <c r="BJ18" s="706"/>
      <c r="BK18" s="706"/>
      <c r="BL18" s="706"/>
      <c r="BM18" s="706"/>
      <c r="BN18" s="706"/>
      <c r="BO18" s="707"/>
      <c r="BP18" s="708"/>
      <c r="BQ18" s="710"/>
      <c r="BR18" s="706"/>
      <c r="BS18" s="706"/>
      <c r="BT18" s="706"/>
      <c r="BU18" s="706"/>
      <c r="BV18" s="706"/>
      <c r="BW18" s="707"/>
      <c r="BX18" s="709"/>
    </row>
    <row r="19" spans="1:76" ht="30" customHeight="1" x14ac:dyDescent="0.2">
      <c r="A19" s="712">
        <v>13</v>
      </c>
      <c r="B19" s="705" t="s">
        <v>130</v>
      </c>
      <c r="C19" s="705" t="s">
        <v>1227</v>
      </c>
      <c r="D19" s="631">
        <v>103303</v>
      </c>
      <c r="E19" s="706" t="s">
        <v>1104</v>
      </c>
      <c r="F19" s="706" t="s">
        <v>1223</v>
      </c>
      <c r="G19" s="706" t="s">
        <v>1225</v>
      </c>
      <c r="H19" s="706"/>
      <c r="I19" s="706" t="s">
        <v>1219</v>
      </c>
      <c r="J19" s="707" t="s">
        <v>1226</v>
      </c>
      <c r="K19" s="708"/>
      <c r="L19" s="708"/>
      <c r="M19" s="706"/>
      <c r="N19" s="706"/>
      <c r="O19" s="706"/>
      <c r="P19" s="706"/>
      <c r="Q19" s="706"/>
      <c r="R19" s="706"/>
      <c r="S19" s="707"/>
      <c r="T19" s="708"/>
      <c r="U19" s="707"/>
      <c r="V19" s="706"/>
      <c r="W19" s="707"/>
      <c r="X19" s="707"/>
      <c r="Y19" s="706"/>
      <c r="Z19" s="706"/>
      <c r="AA19" s="707"/>
      <c r="AB19" s="708"/>
      <c r="AC19" s="710"/>
      <c r="AD19" s="706"/>
      <c r="AE19" s="706"/>
      <c r="AF19" s="706"/>
      <c r="AG19" s="706"/>
      <c r="AH19" s="706"/>
      <c r="AI19" s="707"/>
      <c r="AJ19" s="708"/>
      <c r="AK19" s="710"/>
      <c r="AL19" s="706"/>
      <c r="AM19" s="706"/>
      <c r="AN19" s="706"/>
      <c r="AO19" s="706"/>
      <c r="AP19" s="706"/>
      <c r="AQ19" s="707"/>
      <c r="AR19" s="711"/>
      <c r="AS19" s="706"/>
      <c r="AT19" s="706"/>
      <c r="AU19" s="706"/>
      <c r="AV19" s="706"/>
      <c r="AW19" s="706"/>
      <c r="AX19" s="706"/>
      <c r="AY19" s="707"/>
      <c r="AZ19" s="708"/>
      <c r="BA19" s="706"/>
      <c r="BB19" s="706"/>
      <c r="BC19" s="706"/>
      <c r="BD19" s="706"/>
      <c r="BE19" s="706"/>
      <c r="BF19" s="706"/>
      <c r="BG19" s="707"/>
      <c r="BH19" s="708"/>
      <c r="BI19" s="710"/>
      <c r="BJ19" s="706"/>
      <c r="BK19" s="706"/>
      <c r="BL19" s="706"/>
      <c r="BM19" s="706"/>
      <c r="BN19" s="706"/>
      <c r="BO19" s="707"/>
      <c r="BP19" s="708"/>
      <c r="BQ19" s="710"/>
      <c r="BR19" s="706"/>
      <c r="BS19" s="706"/>
      <c r="BT19" s="706"/>
      <c r="BU19" s="706"/>
      <c r="BV19" s="706"/>
      <c r="BW19" s="707"/>
      <c r="BX19" s="709"/>
    </row>
    <row r="20" spans="1:76" ht="30" customHeight="1" x14ac:dyDescent="0.2">
      <c r="A20" s="712">
        <v>14</v>
      </c>
      <c r="B20" s="705" t="s">
        <v>130</v>
      </c>
      <c r="C20" s="705" t="s">
        <v>1228</v>
      </c>
      <c r="D20" s="631">
        <v>3833</v>
      </c>
      <c r="E20" s="706"/>
      <c r="F20" s="706"/>
      <c r="G20" s="706"/>
      <c r="H20" s="706"/>
      <c r="I20" s="706"/>
      <c r="J20" s="707"/>
      <c r="K20" s="708"/>
      <c r="L20" s="708"/>
      <c r="M20" s="706" t="s">
        <v>1104</v>
      </c>
      <c r="N20" s="706" t="s">
        <v>1229</v>
      </c>
      <c r="O20" s="706" t="s">
        <v>1218</v>
      </c>
      <c r="P20" s="706"/>
      <c r="Q20" s="706" t="s">
        <v>1224</v>
      </c>
      <c r="R20" s="706" t="s">
        <v>1220</v>
      </c>
      <c r="S20" s="707"/>
      <c r="T20" s="708"/>
      <c r="U20" s="707"/>
      <c r="V20" s="706"/>
      <c r="W20" s="707"/>
      <c r="X20" s="707"/>
      <c r="Y20" s="706"/>
      <c r="Z20" s="706"/>
      <c r="AA20" s="707"/>
      <c r="AB20" s="708"/>
      <c r="AC20" s="710"/>
      <c r="AD20" s="706"/>
      <c r="AE20" s="706"/>
      <c r="AF20" s="706"/>
      <c r="AG20" s="706"/>
      <c r="AH20" s="706"/>
      <c r="AI20" s="707"/>
      <c r="AJ20" s="708"/>
      <c r="AK20" s="710"/>
      <c r="AL20" s="706"/>
      <c r="AM20" s="706"/>
      <c r="AN20" s="706"/>
      <c r="AO20" s="706"/>
      <c r="AP20" s="706"/>
      <c r="AQ20" s="707"/>
      <c r="AR20" s="711"/>
      <c r="AS20" s="706"/>
      <c r="AT20" s="706"/>
      <c r="AU20" s="706"/>
      <c r="AV20" s="706"/>
      <c r="AW20" s="706"/>
      <c r="AX20" s="706"/>
      <c r="AY20" s="707"/>
      <c r="AZ20" s="708"/>
      <c r="BA20" s="706"/>
      <c r="BB20" s="706"/>
      <c r="BC20" s="706"/>
      <c r="BD20" s="706"/>
      <c r="BE20" s="706"/>
      <c r="BF20" s="706"/>
      <c r="BG20" s="707"/>
      <c r="BH20" s="708"/>
      <c r="BI20" s="710"/>
      <c r="BJ20" s="706"/>
      <c r="BK20" s="706"/>
      <c r="BL20" s="706"/>
      <c r="BM20" s="706"/>
      <c r="BN20" s="706"/>
      <c r="BO20" s="707"/>
      <c r="BP20" s="708"/>
      <c r="BQ20" s="710"/>
      <c r="BR20" s="706"/>
      <c r="BS20" s="706"/>
      <c r="BT20" s="706"/>
      <c r="BU20" s="706"/>
      <c r="BV20" s="706"/>
      <c r="BW20" s="707"/>
      <c r="BX20" s="709"/>
    </row>
    <row r="21" spans="1:76" ht="30" customHeight="1" x14ac:dyDescent="0.2">
      <c r="A21" s="712">
        <v>15</v>
      </c>
      <c r="B21" s="705" t="s">
        <v>130</v>
      </c>
      <c r="C21" s="705" t="s">
        <v>966</v>
      </c>
      <c r="D21" s="631">
        <v>7171</v>
      </c>
      <c r="E21" s="706"/>
      <c r="F21" s="706"/>
      <c r="G21" s="706"/>
      <c r="H21" s="706"/>
      <c r="I21" s="706"/>
      <c r="J21" s="707"/>
      <c r="K21" s="708"/>
      <c r="L21" s="708"/>
      <c r="M21" s="706" t="s">
        <v>1104</v>
      </c>
      <c r="N21" s="706" t="s">
        <v>1229</v>
      </c>
      <c r="O21" s="706" t="s">
        <v>1218</v>
      </c>
      <c r="P21" s="706"/>
      <c r="Q21" s="706" t="s">
        <v>1219</v>
      </c>
      <c r="R21" s="706" t="s">
        <v>1220</v>
      </c>
      <c r="S21" s="707"/>
      <c r="T21" s="708"/>
      <c r="U21" s="707"/>
      <c r="V21" s="706"/>
      <c r="W21" s="707"/>
      <c r="X21" s="707"/>
      <c r="Y21" s="706"/>
      <c r="Z21" s="706"/>
      <c r="AA21" s="707"/>
      <c r="AB21" s="708"/>
      <c r="AC21" s="710" t="s">
        <v>1104</v>
      </c>
      <c r="AD21" s="706" t="s">
        <v>1229</v>
      </c>
      <c r="AE21" s="706" t="s">
        <v>1225</v>
      </c>
      <c r="AF21" s="706"/>
      <c r="AG21" s="706" t="s">
        <v>1219</v>
      </c>
      <c r="AH21" s="706" t="s">
        <v>1220</v>
      </c>
      <c r="AI21" s="707"/>
      <c r="AJ21" s="708"/>
      <c r="AK21" s="710"/>
      <c r="AL21" s="706"/>
      <c r="AM21" s="706"/>
      <c r="AN21" s="706"/>
      <c r="AO21" s="706"/>
      <c r="AP21" s="706"/>
      <c r="AQ21" s="707"/>
      <c r="AR21" s="711"/>
      <c r="AS21" s="706"/>
      <c r="AT21" s="706"/>
      <c r="AU21" s="706"/>
      <c r="AV21" s="706"/>
      <c r="AW21" s="706"/>
      <c r="AX21" s="706"/>
      <c r="AY21" s="707"/>
      <c r="AZ21" s="708"/>
      <c r="BA21" s="706"/>
      <c r="BB21" s="706"/>
      <c r="BC21" s="706"/>
      <c r="BD21" s="706"/>
      <c r="BE21" s="706"/>
      <c r="BF21" s="706"/>
      <c r="BG21" s="707"/>
      <c r="BH21" s="708"/>
      <c r="BI21" s="710"/>
      <c r="BJ21" s="706"/>
      <c r="BK21" s="706"/>
      <c r="BL21" s="706"/>
      <c r="BM21" s="706"/>
      <c r="BN21" s="706"/>
      <c r="BO21" s="707"/>
      <c r="BP21" s="708"/>
      <c r="BQ21" s="710"/>
      <c r="BR21" s="706"/>
      <c r="BS21" s="706"/>
      <c r="BT21" s="706"/>
      <c r="BU21" s="706"/>
      <c r="BV21" s="706"/>
      <c r="BW21" s="707"/>
      <c r="BX21" s="709"/>
    </row>
    <row r="22" spans="1:76" ht="30" customHeight="1" x14ac:dyDescent="0.2">
      <c r="A22" s="712">
        <v>16</v>
      </c>
      <c r="B22" s="705" t="s">
        <v>130</v>
      </c>
      <c r="C22" s="705" t="s">
        <v>1054</v>
      </c>
      <c r="D22" s="631">
        <v>9833</v>
      </c>
      <c r="E22" s="706"/>
      <c r="F22" s="706"/>
      <c r="G22" s="706"/>
      <c r="H22" s="706"/>
      <c r="I22" s="706"/>
      <c r="J22" s="707"/>
      <c r="K22" s="708"/>
      <c r="L22" s="708"/>
      <c r="M22" s="706"/>
      <c r="N22" s="706"/>
      <c r="O22" s="706"/>
      <c r="P22" s="706"/>
      <c r="Q22" s="706"/>
      <c r="R22" s="706"/>
      <c r="S22" s="707"/>
      <c r="T22" s="708"/>
      <c r="U22" s="707"/>
      <c r="V22" s="706"/>
      <c r="W22" s="707"/>
      <c r="X22" s="707"/>
      <c r="Y22" s="706"/>
      <c r="Z22" s="706"/>
      <c r="AA22" s="707"/>
      <c r="AB22" s="708"/>
      <c r="AC22" s="710"/>
      <c r="AD22" s="706"/>
      <c r="AE22" s="706"/>
      <c r="AF22" s="706"/>
      <c r="AG22" s="706"/>
      <c r="AH22" s="706"/>
      <c r="AI22" s="707"/>
      <c r="AJ22" s="708"/>
      <c r="AK22" s="710"/>
      <c r="AL22" s="706"/>
      <c r="AM22" s="706"/>
      <c r="AN22" s="706"/>
      <c r="AO22" s="706"/>
      <c r="AP22" s="706"/>
      <c r="AQ22" s="707"/>
      <c r="AR22" s="711"/>
      <c r="AS22" s="706"/>
      <c r="AT22" s="706"/>
      <c r="AU22" s="706"/>
      <c r="AV22" s="706"/>
      <c r="AW22" s="706"/>
      <c r="AX22" s="706"/>
      <c r="AY22" s="707"/>
      <c r="AZ22" s="708"/>
      <c r="BA22" s="706"/>
      <c r="BB22" s="706"/>
      <c r="BC22" s="706"/>
      <c r="BD22" s="706"/>
      <c r="BE22" s="706"/>
      <c r="BF22" s="706"/>
      <c r="BG22" s="707"/>
      <c r="BH22" s="708"/>
      <c r="BI22" s="710"/>
      <c r="BJ22" s="706"/>
      <c r="BK22" s="706"/>
      <c r="BL22" s="706"/>
      <c r="BM22" s="706"/>
      <c r="BN22" s="706"/>
      <c r="BO22" s="707"/>
      <c r="BP22" s="708"/>
      <c r="BQ22" s="710"/>
      <c r="BR22" s="706"/>
      <c r="BS22" s="706"/>
      <c r="BT22" s="706"/>
      <c r="BU22" s="706"/>
      <c r="BV22" s="706"/>
      <c r="BW22" s="707"/>
      <c r="BX22" s="709"/>
    </row>
    <row r="23" spans="1:76" ht="30" customHeight="1" x14ac:dyDescent="0.2">
      <c r="A23" s="712">
        <v>17</v>
      </c>
      <c r="B23" s="705" t="s">
        <v>130</v>
      </c>
      <c r="C23" s="705" t="s">
        <v>158</v>
      </c>
      <c r="D23" s="631">
        <v>104677</v>
      </c>
      <c r="E23" s="706"/>
      <c r="F23" s="706"/>
      <c r="G23" s="706"/>
      <c r="H23" s="706"/>
      <c r="I23" s="706"/>
      <c r="J23" s="707"/>
      <c r="K23" s="708"/>
      <c r="L23" s="708"/>
      <c r="M23" s="706"/>
      <c r="N23" s="706"/>
      <c r="O23" s="706"/>
      <c r="P23" s="706"/>
      <c r="Q23" s="706"/>
      <c r="R23" s="706"/>
      <c r="S23" s="707"/>
      <c r="T23" s="708"/>
      <c r="U23" s="707" t="s">
        <v>1104</v>
      </c>
      <c r="V23" s="706" t="s">
        <v>1223</v>
      </c>
      <c r="W23" s="707" t="s">
        <v>1225</v>
      </c>
      <c r="X23" s="707"/>
      <c r="Y23" s="706" t="s">
        <v>1219</v>
      </c>
      <c r="Z23" s="706" t="s">
        <v>1220</v>
      </c>
      <c r="AA23" s="707"/>
      <c r="AB23" s="708"/>
      <c r="AC23" s="710"/>
      <c r="AD23" s="706"/>
      <c r="AE23" s="706"/>
      <c r="AF23" s="706"/>
      <c r="AG23" s="706"/>
      <c r="AH23" s="706"/>
      <c r="AI23" s="707"/>
      <c r="AJ23" s="708"/>
      <c r="AK23" s="710"/>
      <c r="AL23" s="706"/>
      <c r="AM23" s="706"/>
      <c r="AN23" s="706"/>
      <c r="AO23" s="706"/>
      <c r="AP23" s="706"/>
      <c r="AQ23" s="707"/>
      <c r="AR23" s="711"/>
      <c r="AS23" s="706"/>
      <c r="AT23" s="706"/>
      <c r="AU23" s="706"/>
      <c r="AV23" s="706"/>
      <c r="AW23" s="706"/>
      <c r="AX23" s="706"/>
      <c r="AY23" s="707"/>
      <c r="AZ23" s="708"/>
      <c r="BA23" s="706"/>
      <c r="BB23" s="706"/>
      <c r="BC23" s="706"/>
      <c r="BD23" s="706"/>
      <c r="BE23" s="706"/>
      <c r="BF23" s="706"/>
      <c r="BG23" s="707"/>
      <c r="BH23" s="708"/>
      <c r="BI23" s="710"/>
      <c r="BJ23" s="706"/>
      <c r="BK23" s="706"/>
      <c r="BL23" s="706"/>
      <c r="BM23" s="706"/>
      <c r="BN23" s="706"/>
      <c r="BO23" s="707"/>
      <c r="BP23" s="708"/>
      <c r="BQ23" s="710"/>
      <c r="BR23" s="706"/>
      <c r="BS23" s="706"/>
      <c r="BT23" s="706"/>
      <c r="BU23" s="706"/>
      <c r="BV23" s="706"/>
      <c r="BW23" s="707"/>
      <c r="BX23" s="709"/>
    </row>
    <row r="24" spans="1:76" ht="30" customHeight="1" x14ac:dyDescent="0.2">
      <c r="A24" s="712">
        <v>18</v>
      </c>
      <c r="B24" s="705" t="s">
        <v>130</v>
      </c>
      <c r="C24" s="705" t="s">
        <v>1106</v>
      </c>
      <c r="D24" s="631">
        <v>104369</v>
      </c>
      <c r="E24" s="706"/>
      <c r="F24" s="706"/>
      <c r="G24" s="706"/>
      <c r="H24" s="706"/>
      <c r="I24" s="706"/>
      <c r="J24" s="707"/>
      <c r="K24" s="708"/>
      <c r="L24" s="708"/>
      <c r="M24" s="706"/>
      <c r="N24" s="706"/>
      <c r="O24" s="706"/>
      <c r="P24" s="706"/>
      <c r="Q24" s="706"/>
      <c r="R24" s="706"/>
      <c r="S24" s="707"/>
      <c r="T24" s="708"/>
      <c r="U24" s="707"/>
      <c r="V24" s="706"/>
      <c r="W24" s="707"/>
      <c r="X24" s="707"/>
      <c r="Y24" s="706"/>
      <c r="Z24" s="706"/>
      <c r="AA24" s="707"/>
      <c r="AB24" s="708"/>
      <c r="AC24" s="710"/>
      <c r="AD24" s="706"/>
      <c r="AE24" s="706"/>
      <c r="AF24" s="706"/>
      <c r="AG24" s="706"/>
      <c r="AH24" s="706"/>
      <c r="AI24" s="707"/>
      <c r="AJ24" s="708"/>
      <c r="AK24" s="710"/>
      <c r="AL24" s="706"/>
      <c r="AM24" s="706"/>
      <c r="AN24" s="706"/>
      <c r="AO24" s="706"/>
      <c r="AP24" s="706"/>
      <c r="AQ24" s="707"/>
      <c r="AR24" s="711"/>
      <c r="AS24" s="706"/>
      <c r="AT24" s="706"/>
      <c r="AU24" s="706"/>
      <c r="AV24" s="706"/>
      <c r="AW24" s="706"/>
      <c r="AX24" s="706"/>
      <c r="AY24" s="707"/>
      <c r="AZ24" s="708"/>
      <c r="BA24" s="706"/>
      <c r="BB24" s="706"/>
      <c r="BC24" s="706"/>
      <c r="BD24" s="706"/>
      <c r="BE24" s="706"/>
      <c r="BF24" s="706"/>
      <c r="BG24" s="707"/>
      <c r="BH24" s="708"/>
      <c r="BI24" s="710"/>
      <c r="BJ24" s="706"/>
      <c r="BK24" s="706"/>
      <c r="BL24" s="706"/>
      <c r="BM24" s="706"/>
      <c r="BN24" s="706"/>
      <c r="BO24" s="707"/>
      <c r="BP24" s="708"/>
      <c r="BQ24" s="710"/>
      <c r="BR24" s="706"/>
      <c r="BS24" s="706"/>
      <c r="BT24" s="706"/>
      <c r="BU24" s="706"/>
      <c r="BV24" s="706"/>
      <c r="BW24" s="707"/>
      <c r="BX24" s="709"/>
    </row>
    <row r="25" spans="1:76" ht="30" customHeight="1" x14ac:dyDescent="0.2">
      <c r="A25" s="712">
        <v>19</v>
      </c>
      <c r="B25" s="705" t="s">
        <v>130</v>
      </c>
      <c r="C25" s="705" t="s">
        <v>1105</v>
      </c>
      <c r="D25" s="631">
        <v>17387</v>
      </c>
      <c r="E25" s="706"/>
      <c r="F25" s="706"/>
      <c r="G25" s="706"/>
      <c r="H25" s="706"/>
      <c r="I25" s="706"/>
      <c r="J25" s="707"/>
      <c r="K25" s="708"/>
      <c r="L25" s="708"/>
      <c r="M25" s="706"/>
      <c r="N25" s="706"/>
      <c r="O25" s="706"/>
      <c r="P25" s="706"/>
      <c r="Q25" s="706"/>
      <c r="R25" s="706"/>
      <c r="S25" s="707"/>
      <c r="T25" s="708"/>
      <c r="U25" s="707"/>
      <c r="V25" s="706"/>
      <c r="W25" s="707"/>
      <c r="X25" s="707"/>
      <c r="Y25" s="706"/>
      <c r="Z25" s="706"/>
      <c r="AA25" s="707"/>
      <c r="AB25" s="708"/>
      <c r="AC25" s="710"/>
      <c r="AD25" s="706"/>
      <c r="AE25" s="706"/>
      <c r="AF25" s="706"/>
      <c r="AG25" s="706"/>
      <c r="AH25" s="706"/>
      <c r="AI25" s="707"/>
      <c r="AJ25" s="708"/>
      <c r="AK25" s="710"/>
      <c r="AL25" s="706"/>
      <c r="AM25" s="706"/>
      <c r="AN25" s="706"/>
      <c r="AO25" s="706"/>
      <c r="AP25" s="706"/>
      <c r="AQ25" s="707"/>
      <c r="AR25" s="711"/>
      <c r="AS25" s="706"/>
      <c r="AT25" s="706"/>
      <c r="AU25" s="706"/>
      <c r="AV25" s="706"/>
      <c r="AW25" s="706"/>
      <c r="AX25" s="706"/>
      <c r="AY25" s="707"/>
      <c r="AZ25" s="708"/>
      <c r="BA25" s="706"/>
      <c r="BB25" s="706"/>
      <c r="BC25" s="706"/>
      <c r="BD25" s="706"/>
      <c r="BE25" s="706"/>
      <c r="BF25" s="706"/>
      <c r="BG25" s="707"/>
      <c r="BH25" s="708"/>
      <c r="BI25" s="710"/>
      <c r="BJ25" s="706"/>
      <c r="BK25" s="706"/>
      <c r="BL25" s="706"/>
      <c r="BM25" s="706"/>
      <c r="BN25" s="706"/>
      <c r="BO25" s="707"/>
      <c r="BP25" s="708"/>
      <c r="BQ25" s="710"/>
      <c r="BR25" s="706"/>
      <c r="BS25" s="706"/>
      <c r="BT25" s="706"/>
      <c r="BU25" s="706"/>
      <c r="BV25" s="706"/>
      <c r="BW25" s="707"/>
      <c r="BX25" s="709"/>
    </row>
    <row r="26" spans="1:76" ht="30" customHeight="1" x14ac:dyDescent="0.2">
      <c r="A26" s="712">
        <v>20</v>
      </c>
      <c r="B26" s="705" t="s">
        <v>130</v>
      </c>
      <c r="C26" s="51" t="s">
        <v>1023</v>
      </c>
      <c r="D26" s="50">
        <v>106793</v>
      </c>
      <c r="E26" s="706"/>
      <c r="F26" s="706"/>
      <c r="G26" s="706"/>
      <c r="H26" s="706"/>
      <c r="I26" s="706"/>
      <c r="J26" s="707"/>
      <c r="K26" s="708"/>
      <c r="L26" s="708"/>
      <c r="M26" s="706"/>
      <c r="N26" s="706"/>
      <c r="O26" s="706"/>
      <c r="P26" s="706"/>
      <c r="Q26" s="706"/>
      <c r="R26" s="706"/>
      <c r="S26" s="707"/>
      <c r="T26" s="708"/>
      <c r="U26" s="707"/>
      <c r="V26" s="706"/>
      <c r="W26" s="707"/>
      <c r="X26" s="707"/>
      <c r="Y26" s="706"/>
      <c r="Z26" s="706"/>
      <c r="AA26" s="707"/>
      <c r="AB26" s="708"/>
      <c r="AC26" s="710"/>
      <c r="AD26" s="706"/>
      <c r="AE26" s="706"/>
      <c r="AF26" s="706"/>
      <c r="AG26" s="706"/>
      <c r="AH26" s="706"/>
      <c r="AI26" s="707"/>
      <c r="AJ26" s="708"/>
      <c r="AK26" s="710"/>
      <c r="AL26" s="706"/>
      <c r="AM26" s="706"/>
      <c r="AN26" s="706"/>
      <c r="AO26" s="706"/>
      <c r="AP26" s="706"/>
      <c r="AQ26" s="707"/>
      <c r="AR26" s="711"/>
      <c r="AS26" s="706"/>
      <c r="AT26" s="706"/>
      <c r="AU26" s="706"/>
      <c r="AV26" s="706"/>
      <c r="AW26" s="706"/>
      <c r="AX26" s="706"/>
      <c r="AY26" s="707"/>
      <c r="AZ26" s="708"/>
      <c r="BA26" s="706"/>
      <c r="BB26" s="706"/>
      <c r="BC26" s="706"/>
      <c r="BD26" s="706"/>
      <c r="BE26" s="706"/>
      <c r="BF26" s="706"/>
      <c r="BG26" s="707"/>
      <c r="BH26" s="708"/>
      <c r="BI26" s="710"/>
      <c r="BJ26" s="706"/>
      <c r="BK26" s="706"/>
      <c r="BL26" s="706"/>
      <c r="BM26" s="706"/>
      <c r="BN26" s="706"/>
      <c r="BO26" s="707"/>
      <c r="BP26" s="708"/>
      <c r="BQ26" s="710"/>
      <c r="BR26" s="706"/>
      <c r="BS26" s="706"/>
      <c r="BT26" s="706"/>
      <c r="BU26" s="706"/>
      <c r="BV26" s="706"/>
      <c r="BW26" s="707"/>
      <c r="BX26" s="709"/>
    </row>
    <row r="27" spans="1:76" ht="30" customHeight="1" x14ac:dyDescent="0.2">
      <c r="A27" s="712">
        <v>21</v>
      </c>
      <c r="B27" s="705" t="s">
        <v>130</v>
      </c>
      <c r="C27" s="51" t="s">
        <v>1024</v>
      </c>
      <c r="D27" s="50">
        <v>106792</v>
      </c>
      <c r="E27" s="706"/>
      <c r="F27" s="706"/>
      <c r="G27" s="706"/>
      <c r="H27" s="706"/>
      <c r="I27" s="706"/>
      <c r="J27" s="707"/>
      <c r="K27" s="708"/>
      <c r="L27" s="708"/>
      <c r="M27" s="706"/>
      <c r="N27" s="706"/>
      <c r="O27" s="706"/>
      <c r="P27" s="706"/>
      <c r="Q27" s="706"/>
      <c r="R27" s="706"/>
      <c r="S27" s="707"/>
      <c r="T27" s="708"/>
      <c r="U27" s="707"/>
      <c r="V27" s="706"/>
      <c r="W27" s="707"/>
      <c r="X27" s="707"/>
      <c r="Y27" s="706"/>
      <c r="Z27" s="706"/>
      <c r="AA27" s="707"/>
      <c r="AB27" s="708"/>
      <c r="AC27" s="710"/>
      <c r="AD27" s="706"/>
      <c r="AE27" s="706"/>
      <c r="AF27" s="706"/>
      <c r="AG27" s="706"/>
      <c r="AH27" s="706"/>
      <c r="AI27" s="707"/>
      <c r="AJ27" s="708"/>
      <c r="AK27" s="710"/>
      <c r="AL27" s="706"/>
      <c r="AM27" s="706"/>
      <c r="AN27" s="706"/>
      <c r="AO27" s="706"/>
      <c r="AP27" s="706"/>
      <c r="AQ27" s="707"/>
      <c r="AR27" s="711"/>
      <c r="AS27" s="706"/>
      <c r="AT27" s="706"/>
      <c r="AU27" s="706"/>
      <c r="AV27" s="706"/>
      <c r="AW27" s="706"/>
      <c r="AX27" s="706"/>
      <c r="AY27" s="707"/>
      <c r="AZ27" s="708"/>
      <c r="BA27" s="706"/>
      <c r="BB27" s="706"/>
      <c r="BC27" s="706"/>
      <c r="BD27" s="706"/>
      <c r="BE27" s="706"/>
      <c r="BF27" s="706"/>
      <c r="BG27" s="707"/>
      <c r="BH27" s="708"/>
      <c r="BI27" s="710"/>
      <c r="BJ27" s="706"/>
      <c r="BK27" s="706"/>
      <c r="BL27" s="706"/>
      <c r="BM27" s="706"/>
      <c r="BN27" s="706"/>
      <c r="BO27" s="707"/>
      <c r="BP27" s="708"/>
      <c r="BQ27" s="710"/>
      <c r="BR27" s="706"/>
      <c r="BS27" s="706"/>
      <c r="BT27" s="706"/>
      <c r="BU27" s="706"/>
      <c r="BV27" s="706"/>
      <c r="BW27" s="707"/>
      <c r="BX27" s="709"/>
    </row>
    <row r="28" spans="1:76" ht="30" customHeight="1" x14ac:dyDescent="0.2">
      <c r="A28" s="713">
        <v>22</v>
      </c>
      <c r="B28" s="705" t="s">
        <v>182</v>
      </c>
      <c r="C28" s="705" t="s">
        <v>1055</v>
      </c>
      <c r="D28" s="631">
        <v>234</v>
      </c>
      <c r="E28" s="706"/>
      <c r="F28" s="706"/>
      <c r="G28" s="706"/>
      <c r="H28" s="706"/>
      <c r="I28" s="706"/>
      <c r="J28" s="707"/>
      <c r="K28" s="708"/>
      <c r="L28" s="708"/>
      <c r="M28" s="706" t="s">
        <v>1104</v>
      </c>
      <c r="N28" s="706" t="s">
        <v>1229</v>
      </c>
      <c r="O28" s="706" t="s">
        <v>1218</v>
      </c>
      <c r="P28" s="706"/>
      <c r="Q28" s="706" t="s">
        <v>1219</v>
      </c>
      <c r="R28" s="706" t="s">
        <v>1220</v>
      </c>
      <c r="S28" s="707"/>
      <c r="T28" s="708"/>
      <c r="U28" s="707"/>
      <c r="V28" s="706"/>
      <c r="W28" s="707"/>
      <c r="X28" s="707"/>
      <c r="Y28" s="706"/>
      <c r="Z28" s="706"/>
      <c r="AA28" s="707"/>
      <c r="AB28" s="708"/>
      <c r="AC28" s="710"/>
      <c r="AD28" s="706"/>
      <c r="AE28" s="706"/>
      <c r="AF28" s="706"/>
      <c r="AG28" s="706"/>
      <c r="AH28" s="706"/>
      <c r="AI28" s="707"/>
      <c r="AJ28" s="708"/>
      <c r="AK28" s="710"/>
      <c r="AL28" s="706"/>
      <c r="AM28" s="706"/>
      <c r="AN28" s="706"/>
      <c r="AO28" s="706"/>
      <c r="AP28" s="706"/>
      <c r="AQ28" s="707"/>
      <c r="AR28" s="711"/>
      <c r="AS28" s="706"/>
      <c r="AT28" s="706"/>
      <c r="AU28" s="706"/>
      <c r="AV28" s="706"/>
      <c r="AW28" s="706"/>
      <c r="AX28" s="706"/>
      <c r="AY28" s="707"/>
      <c r="AZ28" s="708"/>
      <c r="BA28" s="706"/>
      <c r="BB28" s="706"/>
      <c r="BC28" s="706"/>
      <c r="BD28" s="706"/>
      <c r="BE28" s="706"/>
      <c r="BF28" s="706"/>
      <c r="BG28" s="707"/>
      <c r="BH28" s="708"/>
      <c r="BI28" s="710"/>
      <c r="BJ28" s="706"/>
      <c r="BK28" s="706"/>
      <c r="BL28" s="706"/>
      <c r="BM28" s="706"/>
      <c r="BN28" s="706"/>
      <c r="BO28" s="707"/>
      <c r="BP28" s="708"/>
      <c r="BQ28" s="710"/>
      <c r="BR28" s="706"/>
      <c r="BS28" s="706"/>
      <c r="BT28" s="706"/>
      <c r="BU28" s="706"/>
      <c r="BV28" s="706"/>
      <c r="BW28" s="707"/>
      <c r="BX28" s="709"/>
    </row>
    <row r="29" spans="1:76" ht="30" customHeight="1" x14ac:dyDescent="0.2">
      <c r="A29" s="713">
        <v>23</v>
      </c>
      <c r="B29" s="705" t="s">
        <v>182</v>
      </c>
      <c r="C29" s="705" t="s">
        <v>1230</v>
      </c>
      <c r="D29" s="631">
        <v>105715</v>
      </c>
      <c r="E29" s="706"/>
      <c r="F29" s="706"/>
      <c r="G29" s="706"/>
      <c r="H29" s="706"/>
      <c r="I29" s="706"/>
      <c r="J29" s="707"/>
      <c r="K29" s="708"/>
      <c r="L29" s="708"/>
      <c r="M29" s="706"/>
      <c r="N29" s="706"/>
      <c r="O29" s="706"/>
      <c r="P29" s="706"/>
      <c r="Q29" s="706"/>
      <c r="R29" s="706"/>
      <c r="S29" s="707"/>
      <c r="T29" s="708"/>
      <c r="U29" s="707"/>
      <c r="V29" s="706"/>
      <c r="W29" s="707"/>
      <c r="X29" s="707"/>
      <c r="Y29" s="706"/>
      <c r="Z29" s="706"/>
      <c r="AA29" s="707"/>
      <c r="AB29" s="708"/>
      <c r="AC29" s="710"/>
      <c r="AD29" s="706"/>
      <c r="AE29" s="706"/>
      <c r="AF29" s="706"/>
      <c r="AG29" s="706"/>
      <c r="AH29" s="706"/>
      <c r="AI29" s="707"/>
      <c r="AJ29" s="708"/>
      <c r="AK29" s="710"/>
      <c r="AL29" s="706"/>
      <c r="AM29" s="706"/>
      <c r="AN29" s="706"/>
      <c r="AO29" s="706"/>
      <c r="AP29" s="706"/>
      <c r="AQ29" s="707"/>
      <c r="AR29" s="711"/>
      <c r="AS29" s="706"/>
      <c r="AT29" s="706"/>
      <c r="AU29" s="706"/>
      <c r="AV29" s="706"/>
      <c r="AW29" s="706"/>
      <c r="AX29" s="706"/>
      <c r="AY29" s="707"/>
      <c r="AZ29" s="708"/>
      <c r="BA29" s="706"/>
      <c r="BB29" s="706"/>
      <c r="BC29" s="706"/>
      <c r="BD29" s="706"/>
      <c r="BE29" s="706"/>
      <c r="BF29" s="706"/>
      <c r="BG29" s="707"/>
      <c r="BH29" s="708"/>
      <c r="BI29" s="710"/>
      <c r="BJ29" s="706"/>
      <c r="BK29" s="706"/>
      <c r="BL29" s="706"/>
      <c r="BM29" s="706"/>
      <c r="BN29" s="706"/>
      <c r="BO29" s="707"/>
      <c r="BP29" s="708"/>
      <c r="BQ29" s="710"/>
      <c r="BR29" s="706"/>
      <c r="BS29" s="706"/>
      <c r="BT29" s="706"/>
      <c r="BU29" s="706"/>
      <c r="BV29" s="706"/>
      <c r="BW29" s="707"/>
      <c r="BX29" s="709"/>
    </row>
    <row r="30" spans="1:76" ht="30" customHeight="1" x14ac:dyDescent="0.2">
      <c r="A30" s="713">
        <v>24</v>
      </c>
      <c r="B30" s="705" t="s">
        <v>182</v>
      </c>
      <c r="C30" s="705" t="s">
        <v>1231</v>
      </c>
      <c r="D30" s="631">
        <v>235</v>
      </c>
      <c r="E30" s="706"/>
      <c r="F30" s="706"/>
      <c r="G30" s="706"/>
      <c r="H30" s="706"/>
      <c r="I30" s="706"/>
      <c r="J30" s="707"/>
      <c r="K30" s="708"/>
      <c r="L30" s="708"/>
      <c r="M30" s="706"/>
      <c r="N30" s="706"/>
      <c r="O30" s="706"/>
      <c r="P30" s="706"/>
      <c r="Q30" s="706"/>
      <c r="R30" s="706"/>
      <c r="S30" s="707"/>
      <c r="T30" s="708"/>
      <c r="U30" s="707"/>
      <c r="V30" s="706"/>
      <c r="W30" s="707"/>
      <c r="X30" s="707"/>
      <c r="Y30" s="706"/>
      <c r="Z30" s="706"/>
      <c r="AA30" s="707"/>
      <c r="AB30" s="708"/>
      <c r="AC30" s="710"/>
      <c r="AD30" s="706"/>
      <c r="AE30" s="706"/>
      <c r="AF30" s="706"/>
      <c r="AG30" s="706"/>
      <c r="AH30" s="706"/>
      <c r="AI30" s="707"/>
      <c r="AJ30" s="708"/>
      <c r="AK30" s="710"/>
      <c r="AL30" s="706"/>
      <c r="AM30" s="706"/>
      <c r="AN30" s="706"/>
      <c r="AO30" s="706"/>
      <c r="AP30" s="706"/>
      <c r="AQ30" s="707"/>
      <c r="AR30" s="711"/>
      <c r="AS30" s="706"/>
      <c r="AT30" s="706"/>
      <c r="AU30" s="706"/>
      <c r="AV30" s="706"/>
      <c r="AW30" s="706"/>
      <c r="AX30" s="706"/>
      <c r="AY30" s="707"/>
      <c r="AZ30" s="708"/>
      <c r="BA30" s="706"/>
      <c r="BB30" s="706"/>
      <c r="BC30" s="706"/>
      <c r="BD30" s="706"/>
      <c r="BE30" s="706"/>
      <c r="BF30" s="706"/>
      <c r="BG30" s="707"/>
      <c r="BH30" s="708"/>
      <c r="BI30" s="710"/>
      <c r="BJ30" s="706"/>
      <c r="BK30" s="706"/>
      <c r="BL30" s="706"/>
      <c r="BM30" s="706"/>
      <c r="BN30" s="706"/>
      <c r="BO30" s="707"/>
      <c r="BP30" s="708"/>
      <c r="BQ30" s="710"/>
      <c r="BR30" s="706"/>
      <c r="BS30" s="706"/>
      <c r="BT30" s="706"/>
      <c r="BU30" s="706"/>
      <c r="BV30" s="706"/>
      <c r="BW30" s="707"/>
      <c r="BX30" s="709"/>
    </row>
    <row r="31" spans="1:76" ht="30" customHeight="1" x14ac:dyDescent="0.2">
      <c r="A31" s="713">
        <v>25</v>
      </c>
      <c r="B31" s="705" t="s">
        <v>182</v>
      </c>
      <c r="C31" s="705" t="s">
        <v>1056</v>
      </c>
      <c r="D31" s="631">
        <v>8441</v>
      </c>
      <c r="E31" s="706"/>
      <c r="F31" s="706"/>
      <c r="G31" s="706"/>
      <c r="H31" s="706"/>
      <c r="I31" s="706"/>
      <c r="J31" s="707"/>
      <c r="K31" s="708"/>
      <c r="L31" s="708"/>
      <c r="M31" s="706"/>
      <c r="N31" s="706"/>
      <c r="O31" s="706"/>
      <c r="P31" s="706"/>
      <c r="Q31" s="706"/>
      <c r="R31" s="706"/>
      <c r="S31" s="707"/>
      <c r="T31" s="708"/>
      <c r="U31" s="707"/>
      <c r="V31" s="706"/>
      <c r="W31" s="707"/>
      <c r="X31" s="707"/>
      <c r="Y31" s="706"/>
      <c r="Z31" s="706"/>
      <c r="AA31" s="707"/>
      <c r="AB31" s="708"/>
      <c r="AC31" s="710" t="s">
        <v>1104</v>
      </c>
      <c r="AD31" s="706" t="s">
        <v>1229</v>
      </c>
      <c r="AE31" s="706" t="s">
        <v>1218</v>
      </c>
      <c r="AF31" s="706"/>
      <c r="AG31" s="706" t="s">
        <v>1219</v>
      </c>
      <c r="AH31" s="706" t="s">
        <v>1220</v>
      </c>
      <c r="AI31" s="707"/>
      <c r="AJ31" s="708"/>
      <c r="AK31" s="710"/>
      <c r="AL31" s="706"/>
      <c r="AM31" s="706"/>
      <c r="AN31" s="706"/>
      <c r="AO31" s="706"/>
      <c r="AP31" s="706"/>
      <c r="AQ31" s="707"/>
      <c r="AR31" s="711"/>
      <c r="AS31" s="706"/>
      <c r="AT31" s="706"/>
      <c r="AU31" s="706"/>
      <c r="AV31" s="706"/>
      <c r="AW31" s="706"/>
      <c r="AX31" s="706"/>
      <c r="AY31" s="707"/>
      <c r="AZ31" s="708"/>
      <c r="BA31" s="706"/>
      <c r="BB31" s="706"/>
      <c r="BC31" s="706"/>
      <c r="BD31" s="706"/>
      <c r="BE31" s="706"/>
      <c r="BF31" s="706"/>
      <c r="BG31" s="707"/>
      <c r="BH31" s="708"/>
      <c r="BI31" s="710"/>
      <c r="BJ31" s="706"/>
      <c r="BK31" s="706"/>
      <c r="BL31" s="706"/>
      <c r="BM31" s="706"/>
      <c r="BN31" s="706"/>
      <c r="BO31" s="707"/>
      <c r="BP31" s="708"/>
      <c r="BQ31" s="710"/>
      <c r="BR31" s="706"/>
      <c r="BS31" s="706"/>
      <c r="BT31" s="706"/>
      <c r="BU31" s="706"/>
      <c r="BV31" s="706"/>
      <c r="BW31" s="707"/>
      <c r="BX31" s="709"/>
    </row>
    <row r="32" spans="1:76" ht="30" customHeight="1" x14ac:dyDescent="0.2">
      <c r="A32" s="713">
        <v>26</v>
      </c>
      <c r="B32" s="705" t="s">
        <v>182</v>
      </c>
      <c r="C32" s="705" t="s">
        <v>1232</v>
      </c>
      <c r="D32" s="631">
        <v>10083</v>
      </c>
      <c r="E32" s="706"/>
      <c r="F32" s="706"/>
      <c r="G32" s="706"/>
      <c r="H32" s="706"/>
      <c r="I32" s="706"/>
      <c r="J32" s="707"/>
      <c r="K32" s="708"/>
      <c r="L32" s="708"/>
      <c r="M32" s="706"/>
      <c r="N32" s="706"/>
      <c r="O32" s="706"/>
      <c r="P32" s="706"/>
      <c r="Q32" s="706"/>
      <c r="R32" s="706"/>
      <c r="S32" s="707"/>
      <c r="T32" s="708"/>
      <c r="U32" s="707"/>
      <c r="V32" s="706"/>
      <c r="W32" s="707"/>
      <c r="X32" s="707"/>
      <c r="Y32" s="706"/>
      <c r="Z32" s="706"/>
      <c r="AA32" s="707"/>
      <c r="AB32" s="708"/>
      <c r="AC32" s="710"/>
      <c r="AD32" s="706"/>
      <c r="AE32" s="706"/>
      <c r="AF32" s="706"/>
      <c r="AG32" s="706"/>
      <c r="AH32" s="706"/>
      <c r="AI32" s="707"/>
      <c r="AJ32" s="708"/>
      <c r="AK32" s="710"/>
      <c r="AL32" s="706"/>
      <c r="AM32" s="706"/>
      <c r="AN32" s="706"/>
      <c r="AO32" s="706"/>
      <c r="AP32" s="706"/>
      <c r="AQ32" s="707"/>
      <c r="AR32" s="711"/>
      <c r="AS32" s="706"/>
      <c r="AT32" s="706"/>
      <c r="AU32" s="706"/>
      <c r="AV32" s="706"/>
      <c r="AW32" s="706"/>
      <c r="AX32" s="706"/>
      <c r="AY32" s="707"/>
      <c r="AZ32" s="708"/>
      <c r="BA32" s="706"/>
      <c r="BB32" s="706"/>
      <c r="BC32" s="706"/>
      <c r="BD32" s="706"/>
      <c r="BE32" s="706"/>
      <c r="BF32" s="706"/>
      <c r="BG32" s="707"/>
      <c r="BH32" s="708"/>
      <c r="BI32" s="710"/>
      <c r="BJ32" s="706"/>
      <c r="BK32" s="706"/>
      <c r="BL32" s="706"/>
      <c r="BM32" s="706"/>
      <c r="BN32" s="706"/>
      <c r="BO32" s="707"/>
      <c r="BP32" s="708"/>
      <c r="BQ32" s="710"/>
      <c r="BR32" s="706"/>
      <c r="BS32" s="706"/>
      <c r="BT32" s="706"/>
      <c r="BU32" s="706"/>
      <c r="BV32" s="706"/>
      <c r="BW32" s="707"/>
      <c r="BX32" s="709"/>
    </row>
    <row r="33" spans="1:76" ht="30" customHeight="1" x14ac:dyDescent="0.2">
      <c r="A33" s="713">
        <v>27</v>
      </c>
      <c r="B33" s="705" t="s">
        <v>182</v>
      </c>
      <c r="C33" s="705" t="s">
        <v>192</v>
      </c>
      <c r="D33" s="631">
        <v>2970</v>
      </c>
      <c r="E33" s="706" t="s">
        <v>1104</v>
      </c>
      <c r="F33" s="706" t="s">
        <v>1223</v>
      </c>
      <c r="G33" s="706" t="s">
        <v>1218</v>
      </c>
      <c r="H33" s="706"/>
      <c r="I33" s="706" t="s">
        <v>1219</v>
      </c>
      <c r="J33" s="707" t="s">
        <v>1220</v>
      </c>
      <c r="K33" s="708"/>
      <c r="L33" s="708"/>
      <c r="M33" s="706"/>
      <c r="N33" s="706"/>
      <c r="O33" s="706"/>
      <c r="P33" s="706"/>
      <c r="Q33" s="706"/>
      <c r="R33" s="706"/>
      <c r="S33" s="707"/>
      <c r="T33" s="708"/>
      <c r="U33" s="714" t="s">
        <v>1104</v>
      </c>
      <c r="V33" s="706" t="s">
        <v>1223</v>
      </c>
      <c r="W33" s="707" t="s">
        <v>1218</v>
      </c>
      <c r="X33" s="707"/>
      <c r="Y33" s="706" t="s">
        <v>1219</v>
      </c>
      <c r="Z33" s="706" t="s">
        <v>1220</v>
      </c>
      <c r="AA33" s="707"/>
      <c r="AB33" s="708"/>
      <c r="AC33" s="710"/>
      <c r="AD33" s="706"/>
      <c r="AE33" s="706"/>
      <c r="AF33" s="706"/>
      <c r="AG33" s="706"/>
      <c r="AH33" s="706"/>
      <c r="AI33" s="707"/>
      <c r="AJ33" s="708"/>
      <c r="AK33" s="710"/>
      <c r="AL33" s="706"/>
      <c r="AM33" s="706"/>
      <c r="AN33" s="706"/>
      <c r="AO33" s="706"/>
      <c r="AP33" s="706"/>
      <c r="AQ33" s="707"/>
      <c r="AR33" s="711"/>
      <c r="AS33" s="706"/>
      <c r="AT33" s="706"/>
      <c r="AU33" s="706"/>
      <c r="AV33" s="706"/>
      <c r="AW33" s="706"/>
      <c r="AX33" s="706"/>
      <c r="AY33" s="707"/>
      <c r="AZ33" s="708"/>
      <c r="BA33" s="706"/>
      <c r="BB33" s="706"/>
      <c r="BC33" s="706"/>
      <c r="BD33" s="706"/>
      <c r="BE33" s="706"/>
      <c r="BF33" s="706"/>
      <c r="BG33" s="707"/>
      <c r="BH33" s="708"/>
      <c r="BI33" s="710"/>
      <c r="BJ33" s="706"/>
      <c r="BK33" s="706"/>
      <c r="BL33" s="706"/>
      <c r="BM33" s="706"/>
      <c r="BN33" s="706"/>
      <c r="BO33" s="707"/>
      <c r="BP33" s="708"/>
      <c r="BQ33" s="710"/>
      <c r="BR33" s="706"/>
      <c r="BS33" s="706"/>
      <c r="BT33" s="706"/>
      <c r="BU33" s="706"/>
      <c r="BV33" s="706"/>
      <c r="BW33" s="707"/>
      <c r="BX33" s="709"/>
    </row>
    <row r="34" spans="1:76" ht="30" customHeight="1" x14ac:dyDescent="0.2">
      <c r="A34" s="713">
        <v>28</v>
      </c>
      <c r="B34" s="705" t="s">
        <v>182</v>
      </c>
      <c r="C34" s="705" t="s">
        <v>1233</v>
      </c>
      <c r="D34" s="631">
        <v>102109</v>
      </c>
      <c r="E34" s="706"/>
      <c r="F34" s="706"/>
      <c r="G34" s="706"/>
      <c r="H34" s="706"/>
      <c r="I34" s="706"/>
      <c r="J34" s="707"/>
      <c r="K34" s="708"/>
      <c r="L34" s="708"/>
      <c r="M34" s="706" t="s">
        <v>1104</v>
      </c>
      <c r="N34" s="706" t="s">
        <v>1223</v>
      </c>
      <c r="O34" s="706" t="s">
        <v>1218</v>
      </c>
      <c r="P34" s="706"/>
      <c r="Q34" s="706" t="s">
        <v>1219</v>
      </c>
      <c r="R34" s="706" t="s">
        <v>1220</v>
      </c>
      <c r="S34" s="707"/>
      <c r="T34" s="708"/>
      <c r="U34" s="707"/>
      <c r="V34" s="706"/>
      <c r="W34" s="707"/>
      <c r="X34" s="707"/>
      <c r="Y34" s="706"/>
      <c r="Z34" s="706"/>
      <c r="AA34" s="707"/>
      <c r="AB34" s="708"/>
      <c r="AC34" s="710" t="s">
        <v>1104</v>
      </c>
      <c r="AD34" s="706" t="s">
        <v>1223</v>
      </c>
      <c r="AE34" s="706" t="s">
        <v>1225</v>
      </c>
      <c r="AF34" s="706"/>
      <c r="AG34" s="706" t="s">
        <v>1219</v>
      </c>
      <c r="AH34" s="706" t="s">
        <v>1220</v>
      </c>
      <c r="AI34" s="707"/>
      <c r="AJ34" s="708"/>
      <c r="AK34" s="710"/>
      <c r="AL34" s="706"/>
      <c r="AM34" s="706"/>
      <c r="AN34" s="706"/>
      <c r="AO34" s="706"/>
      <c r="AP34" s="706"/>
      <c r="AQ34" s="707"/>
      <c r="AR34" s="711"/>
      <c r="AS34" s="706"/>
      <c r="AT34" s="706"/>
      <c r="AU34" s="706"/>
      <c r="AV34" s="706"/>
      <c r="AW34" s="706"/>
      <c r="AX34" s="706"/>
      <c r="AY34" s="707"/>
      <c r="AZ34" s="708"/>
      <c r="BA34" s="706"/>
      <c r="BB34" s="706"/>
      <c r="BC34" s="706"/>
      <c r="BD34" s="706"/>
      <c r="BE34" s="706"/>
      <c r="BF34" s="706"/>
      <c r="BG34" s="707"/>
      <c r="BH34" s="708"/>
      <c r="BI34" s="710"/>
      <c r="BJ34" s="706"/>
      <c r="BK34" s="706"/>
      <c r="BL34" s="706"/>
      <c r="BM34" s="706"/>
      <c r="BN34" s="706"/>
      <c r="BO34" s="707"/>
      <c r="BP34" s="708"/>
      <c r="BQ34" s="710"/>
      <c r="BR34" s="706"/>
      <c r="BS34" s="706"/>
      <c r="BT34" s="706"/>
      <c r="BU34" s="706"/>
      <c r="BV34" s="706"/>
      <c r="BW34" s="707"/>
      <c r="BX34" s="709"/>
    </row>
    <row r="35" spans="1:76" ht="30" customHeight="1" x14ac:dyDescent="0.2">
      <c r="A35" s="713">
        <v>29</v>
      </c>
      <c r="B35" s="705" t="s">
        <v>182</v>
      </c>
      <c r="C35" s="705" t="s">
        <v>1234</v>
      </c>
      <c r="D35" s="631">
        <v>3613</v>
      </c>
      <c r="E35" s="706"/>
      <c r="F35" s="706"/>
      <c r="G35" s="706"/>
      <c r="H35" s="706"/>
      <c r="I35" s="706"/>
      <c r="J35" s="707"/>
      <c r="K35" s="708"/>
      <c r="L35" s="708"/>
      <c r="M35" s="706"/>
      <c r="N35" s="706"/>
      <c r="O35" s="706"/>
      <c r="P35" s="706"/>
      <c r="Q35" s="706"/>
      <c r="R35" s="706"/>
      <c r="S35" s="707"/>
      <c r="T35" s="708"/>
      <c r="U35" s="707"/>
      <c r="V35" s="706"/>
      <c r="W35" s="707"/>
      <c r="X35" s="707"/>
      <c r="Y35" s="706"/>
      <c r="Z35" s="706"/>
      <c r="AA35" s="707"/>
      <c r="AB35" s="708"/>
      <c r="AC35" s="710"/>
      <c r="AD35" s="706"/>
      <c r="AE35" s="706"/>
      <c r="AF35" s="706"/>
      <c r="AG35" s="706"/>
      <c r="AH35" s="706"/>
      <c r="AI35" s="707"/>
      <c r="AJ35" s="708"/>
      <c r="AK35" s="710"/>
      <c r="AL35" s="706"/>
      <c r="AM35" s="706"/>
      <c r="AN35" s="706"/>
      <c r="AO35" s="706"/>
      <c r="AP35" s="706"/>
      <c r="AQ35" s="707"/>
      <c r="AR35" s="711"/>
      <c r="AS35" s="706"/>
      <c r="AT35" s="706"/>
      <c r="AU35" s="706"/>
      <c r="AV35" s="706"/>
      <c r="AW35" s="706"/>
      <c r="AX35" s="706"/>
      <c r="AY35" s="707"/>
      <c r="AZ35" s="708"/>
      <c r="BA35" s="706"/>
      <c r="BB35" s="706"/>
      <c r="BC35" s="706"/>
      <c r="BD35" s="706"/>
      <c r="BE35" s="706"/>
      <c r="BF35" s="706"/>
      <c r="BG35" s="707"/>
      <c r="BH35" s="708"/>
      <c r="BI35" s="710"/>
      <c r="BJ35" s="706"/>
      <c r="BK35" s="706"/>
      <c r="BL35" s="706"/>
      <c r="BM35" s="706"/>
      <c r="BN35" s="706"/>
      <c r="BO35" s="707"/>
      <c r="BP35" s="708"/>
      <c r="BQ35" s="710"/>
      <c r="BR35" s="706"/>
      <c r="BS35" s="706"/>
      <c r="BT35" s="706"/>
      <c r="BU35" s="706"/>
      <c r="BV35" s="706"/>
      <c r="BW35" s="707"/>
      <c r="BX35" s="709"/>
    </row>
    <row r="36" spans="1:76" ht="30" customHeight="1" x14ac:dyDescent="0.2">
      <c r="A36" s="713">
        <v>30</v>
      </c>
      <c r="B36" s="705" t="s">
        <v>182</v>
      </c>
      <c r="C36" s="705" t="s">
        <v>209</v>
      </c>
      <c r="D36" s="631">
        <v>15358</v>
      </c>
      <c r="E36" s="706" t="s">
        <v>1104</v>
      </c>
      <c r="F36" s="706" t="s">
        <v>1223</v>
      </c>
      <c r="G36" s="706" t="s">
        <v>1218</v>
      </c>
      <c r="H36" s="706"/>
      <c r="I36" s="706" t="s">
        <v>1219</v>
      </c>
      <c r="J36" s="707" t="s">
        <v>1220</v>
      </c>
      <c r="K36" s="708"/>
      <c r="L36" s="708"/>
      <c r="M36" s="706"/>
      <c r="N36" s="706"/>
      <c r="O36" s="706"/>
      <c r="P36" s="706"/>
      <c r="Q36" s="706"/>
      <c r="R36" s="706"/>
      <c r="S36" s="707"/>
      <c r="T36" s="708"/>
      <c r="U36" s="707"/>
      <c r="V36" s="706"/>
      <c r="W36" s="707"/>
      <c r="X36" s="707"/>
      <c r="Y36" s="706"/>
      <c r="Z36" s="706"/>
      <c r="AA36" s="707"/>
      <c r="AB36" s="708"/>
      <c r="AC36" s="710" t="s">
        <v>1104</v>
      </c>
      <c r="AD36" s="706" t="s">
        <v>1223</v>
      </c>
      <c r="AE36" s="706" t="s">
        <v>1218</v>
      </c>
      <c r="AF36" s="706"/>
      <c r="AG36" s="706" t="s">
        <v>1219</v>
      </c>
      <c r="AH36" s="706" t="s">
        <v>1220</v>
      </c>
      <c r="AI36" s="707"/>
      <c r="AJ36" s="708"/>
      <c r="AK36" s="710"/>
      <c r="AL36" s="706"/>
      <c r="AM36" s="706"/>
      <c r="AN36" s="706"/>
      <c r="AO36" s="706"/>
      <c r="AP36" s="706"/>
      <c r="AQ36" s="707"/>
      <c r="AR36" s="711"/>
      <c r="AS36" s="706"/>
      <c r="AT36" s="706"/>
      <c r="AU36" s="706"/>
      <c r="AV36" s="706"/>
      <c r="AW36" s="706"/>
      <c r="AX36" s="706"/>
      <c r="AY36" s="707"/>
      <c r="AZ36" s="708"/>
      <c r="BA36" s="706"/>
      <c r="BB36" s="706"/>
      <c r="BC36" s="706"/>
      <c r="BD36" s="706"/>
      <c r="BE36" s="706"/>
      <c r="BF36" s="706"/>
      <c r="BG36" s="707"/>
      <c r="BH36" s="708"/>
      <c r="BI36" s="710"/>
      <c r="BJ36" s="706"/>
      <c r="BK36" s="706"/>
      <c r="BL36" s="706"/>
      <c r="BM36" s="706"/>
      <c r="BN36" s="706"/>
      <c r="BO36" s="707"/>
      <c r="BP36" s="708"/>
      <c r="BQ36" s="710"/>
      <c r="BR36" s="706"/>
      <c r="BS36" s="706"/>
      <c r="BT36" s="706"/>
      <c r="BU36" s="706"/>
      <c r="BV36" s="706"/>
      <c r="BW36" s="707"/>
      <c r="BX36" s="709"/>
    </row>
    <row r="37" spans="1:76" ht="30" customHeight="1" x14ac:dyDescent="0.2">
      <c r="A37" s="713">
        <v>31</v>
      </c>
      <c r="B37" s="705" t="s">
        <v>182</v>
      </c>
      <c r="C37" s="705" t="s">
        <v>1235</v>
      </c>
      <c r="D37" s="631">
        <v>15924</v>
      </c>
      <c r="E37" s="706" t="s">
        <v>1104</v>
      </c>
      <c r="F37" s="706" t="s">
        <v>1223</v>
      </c>
      <c r="G37" s="706" t="s">
        <v>1218</v>
      </c>
      <c r="H37" s="706"/>
      <c r="I37" s="706" t="s">
        <v>1219</v>
      </c>
      <c r="J37" s="707" t="s">
        <v>1220</v>
      </c>
      <c r="K37" s="708"/>
      <c r="L37" s="708"/>
      <c r="M37" s="706"/>
      <c r="N37" s="706"/>
      <c r="O37" s="706"/>
      <c r="P37" s="706"/>
      <c r="Q37" s="706"/>
      <c r="R37" s="706"/>
      <c r="S37" s="707"/>
      <c r="T37" s="708"/>
      <c r="U37" s="707"/>
      <c r="V37" s="706"/>
      <c r="W37" s="707"/>
      <c r="X37" s="707"/>
      <c r="Y37" s="706"/>
      <c r="Z37" s="706"/>
      <c r="AA37" s="707"/>
      <c r="AB37" s="708"/>
      <c r="AC37" s="710" t="s">
        <v>1104</v>
      </c>
      <c r="AD37" s="706" t="s">
        <v>1223</v>
      </c>
      <c r="AE37" s="706" t="s">
        <v>1225</v>
      </c>
      <c r="AF37" s="706"/>
      <c r="AG37" s="706" t="s">
        <v>1219</v>
      </c>
      <c r="AH37" s="706" t="s">
        <v>1220</v>
      </c>
      <c r="AI37" s="707"/>
      <c r="AJ37" s="708"/>
      <c r="AK37" s="710"/>
      <c r="AL37" s="706"/>
      <c r="AM37" s="706"/>
      <c r="AN37" s="706"/>
      <c r="AO37" s="706"/>
      <c r="AP37" s="706"/>
      <c r="AQ37" s="707"/>
      <c r="AR37" s="711"/>
      <c r="AS37" s="706"/>
      <c r="AT37" s="706"/>
      <c r="AU37" s="706"/>
      <c r="AV37" s="706"/>
      <c r="AW37" s="706"/>
      <c r="AX37" s="706"/>
      <c r="AY37" s="707"/>
      <c r="AZ37" s="708"/>
      <c r="BA37" s="706"/>
      <c r="BB37" s="706"/>
      <c r="BC37" s="706"/>
      <c r="BD37" s="706"/>
      <c r="BE37" s="706"/>
      <c r="BF37" s="706"/>
      <c r="BG37" s="707"/>
      <c r="BH37" s="708"/>
      <c r="BI37" s="710"/>
      <c r="BJ37" s="706"/>
      <c r="BK37" s="706"/>
      <c r="BL37" s="706"/>
      <c r="BM37" s="706"/>
      <c r="BN37" s="706"/>
      <c r="BO37" s="707"/>
      <c r="BP37" s="708"/>
      <c r="BQ37" s="710"/>
      <c r="BR37" s="706"/>
      <c r="BS37" s="706"/>
      <c r="BT37" s="706"/>
      <c r="BU37" s="706"/>
      <c r="BV37" s="706"/>
      <c r="BW37" s="707"/>
      <c r="BX37" s="709"/>
    </row>
    <row r="38" spans="1:76" ht="30" customHeight="1" x14ac:dyDescent="0.2">
      <c r="A38" s="713">
        <v>32</v>
      </c>
      <c r="B38" s="705" t="s">
        <v>182</v>
      </c>
      <c r="C38" s="705" t="s">
        <v>1236</v>
      </c>
      <c r="D38" s="631">
        <v>103753</v>
      </c>
      <c r="E38" s="706"/>
      <c r="F38" s="706"/>
      <c r="G38" s="706"/>
      <c r="H38" s="706"/>
      <c r="I38" s="706"/>
      <c r="J38" s="707"/>
      <c r="K38" s="708"/>
      <c r="L38" s="708"/>
      <c r="M38" s="706"/>
      <c r="N38" s="706"/>
      <c r="O38" s="706"/>
      <c r="P38" s="706"/>
      <c r="Q38" s="706"/>
      <c r="R38" s="706"/>
      <c r="S38" s="707"/>
      <c r="T38" s="708"/>
      <c r="U38" s="707"/>
      <c r="V38" s="706"/>
      <c r="W38" s="707"/>
      <c r="X38" s="707"/>
      <c r="Y38" s="706"/>
      <c r="Z38" s="706"/>
      <c r="AA38" s="707"/>
      <c r="AB38" s="708"/>
      <c r="AC38" s="710"/>
      <c r="AD38" s="706"/>
      <c r="AE38" s="706"/>
      <c r="AF38" s="706"/>
      <c r="AG38" s="706"/>
      <c r="AH38" s="706"/>
      <c r="AI38" s="707"/>
      <c r="AJ38" s="708"/>
      <c r="AK38" s="710"/>
      <c r="AL38" s="706"/>
      <c r="AM38" s="706"/>
      <c r="AN38" s="706"/>
      <c r="AO38" s="706"/>
      <c r="AP38" s="706"/>
      <c r="AQ38" s="707"/>
      <c r="AR38" s="711"/>
      <c r="AS38" s="706"/>
      <c r="AT38" s="706"/>
      <c r="AU38" s="706"/>
      <c r="AV38" s="706"/>
      <c r="AW38" s="706"/>
      <c r="AX38" s="706"/>
      <c r="AY38" s="707"/>
      <c r="AZ38" s="708"/>
      <c r="BA38" s="706"/>
      <c r="BB38" s="706"/>
      <c r="BC38" s="706"/>
      <c r="BD38" s="706"/>
      <c r="BE38" s="706"/>
      <c r="BF38" s="706"/>
      <c r="BG38" s="707"/>
      <c r="BH38" s="708"/>
      <c r="BI38" s="710"/>
      <c r="BJ38" s="706"/>
      <c r="BK38" s="706"/>
      <c r="BL38" s="706"/>
      <c r="BM38" s="706"/>
      <c r="BN38" s="706"/>
      <c r="BO38" s="707"/>
      <c r="BP38" s="708"/>
      <c r="BQ38" s="710"/>
      <c r="BR38" s="706"/>
      <c r="BS38" s="706"/>
      <c r="BT38" s="706"/>
      <c r="BU38" s="706"/>
      <c r="BV38" s="706"/>
      <c r="BW38" s="707"/>
      <c r="BX38" s="709"/>
    </row>
    <row r="39" spans="1:76" ht="30" customHeight="1" x14ac:dyDescent="0.2">
      <c r="A39" s="713">
        <v>33</v>
      </c>
      <c r="B39" s="705" t="s">
        <v>182</v>
      </c>
      <c r="C39" s="705" t="s">
        <v>1237</v>
      </c>
      <c r="D39" s="631">
        <v>104679</v>
      </c>
      <c r="E39" s="706"/>
      <c r="F39" s="706"/>
      <c r="G39" s="706"/>
      <c r="H39" s="706"/>
      <c r="I39" s="706"/>
      <c r="J39" s="707"/>
      <c r="K39" s="708"/>
      <c r="L39" s="708"/>
      <c r="M39" s="706"/>
      <c r="N39" s="706"/>
      <c r="O39" s="706"/>
      <c r="P39" s="706"/>
      <c r="Q39" s="706"/>
      <c r="R39" s="706"/>
      <c r="S39" s="707"/>
      <c r="T39" s="708"/>
      <c r="U39" s="707"/>
      <c r="V39" s="706"/>
      <c r="W39" s="707"/>
      <c r="X39" s="707"/>
      <c r="Y39" s="706"/>
      <c r="Z39" s="706"/>
      <c r="AA39" s="707"/>
      <c r="AB39" s="708"/>
      <c r="AC39" s="710"/>
      <c r="AD39" s="706"/>
      <c r="AE39" s="706"/>
      <c r="AF39" s="706"/>
      <c r="AG39" s="706"/>
      <c r="AH39" s="706"/>
      <c r="AI39" s="707"/>
      <c r="AJ39" s="708"/>
      <c r="AK39" s="710"/>
      <c r="AL39" s="706"/>
      <c r="AM39" s="706"/>
      <c r="AN39" s="706"/>
      <c r="AO39" s="706"/>
      <c r="AP39" s="706"/>
      <c r="AQ39" s="707"/>
      <c r="AR39" s="711"/>
      <c r="AS39" s="706"/>
      <c r="AT39" s="706"/>
      <c r="AU39" s="706"/>
      <c r="AV39" s="706"/>
      <c r="AW39" s="706"/>
      <c r="AX39" s="706"/>
      <c r="AY39" s="707"/>
      <c r="AZ39" s="708"/>
      <c r="BA39" s="706"/>
      <c r="BB39" s="706"/>
      <c r="BC39" s="706"/>
      <c r="BD39" s="706"/>
      <c r="BE39" s="706"/>
      <c r="BF39" s="706"/>
      <c r="BG39" s="707"/>
      <c r="BH39" s="708"/>
      <c r="BI39" s="710"/>
      <c r="BJ39" s="706"/>
      <c r="BK39" s="706"/>
      <c r="BL39" s="706"/>
      <c r="BM39" s="706"/>
      <c r="BN39" s="706"/>
      <c r="BO39" s="707"/>
      <c r="BP39" s="708"/>
      <c r="BQ39" s="710"/>
      <c r="BR39" s="706"/>
      <c r="BS39" s="706"/>
      <c r="BT39" s="706"/>
      <c r="BU39" s="706"/>
      <c r="BV39" s="706"/>
      <c r="BW39" s="707"/>
      <c r="BX39" s="709"/>
    </row>
    <row r="40" spans="1:76" ht="30" customHeight="1" x14ac:dyDescent="0.2">
      <c r="A40" s="713">
        <v>34</v>
      </c>
      <c r="B40" s="705" t="s">
        <v>182</v>
      </c>
      <c r="C40" s="705" t="s">
        <v>1238</v>
      </c>
      <c r="D40" s="631">
        <v>104698</v>
      </c>
      <c r="E40" s="706"/>
      <c r="F40" s="706"/>
      <c r="G40" s="706"/>
      <c r="H40" s="706"/>
      <c r="I40" s="706"/>
      <c r="J40" s="707"/>
      <c r="K40" s="708"/>
      <c r="L40" s="708"/>
      <c r="M40" s="706"/>
      <c r="N40" s="706"/>
      <c r="O40" s="706"/>
      <c r="P40" s="706"/>
      <c r="Q40" s="706"/>
      <c r="R40" s="706"/>
      <c r="S40" s="707"/>
      <c r="T40" s="708"/>
      <c r="U40" s="707"/>
      <c r="V40" s="706"/>
      <c r="W40" s="707"/>
      <c r="X40" s="707"/>
      <c r="Y40" s="706"/>
      <c r="Z40" s="706"/>
      <c r="AA40" s="707"/>
      <c r="AB40" s="708"/>
      <c r="AC40" s="710"/>
      <c r="AD40" s="706"/>
      <c r="AE40" s="706"/>
      <c r="AF40" s="706"/>
      <c r="AG40" s="706"/>
      <c r="AH40" s="706"/>
      <c r="AI40" s="707"/>
      <c r="AJ40" s="708"/>
      <c r="AK40" s="710"/>
      <c r="AL40" s="706"/>
      <c r="AM40" s="706"/>
      <c r="AN40" s="706"/>
      <c r="AO40" s="706"/>
      <c r="AP40" s="706"/>
      <c r="AQ40" s="707"/>
      <c r="AR40" s="711"/>
      <c r="AS40" s="706"/>
      <c r="AT40" s="706"/>
      <c r="AU40" s="706"/>
      <c r="AV40" s="706"/>
      <c r="AW40" s="706"/>
      <c r="AX40" s="706"/>
      <c r="AY40" s="707"/>
      <c r="AZ40" s="708"/>
      <c r="BA40" s="706"/>
      <c r="BB40" s="706"/>
      <c r="BC40" s="706"/>
      <c r="BD40" s="706"/>
      <c r="BE40" s="706"/>
      <c r="BF40" s="706"/>
      <c r="BG40" s="707"/>
      <c r="BH40" s="708"/>
      <c r="BI40" s="710"/>
      <c r="BJ40" s="706"/>
      <c r="BK40" s="706"/>
      <c r="BL40" s="706"/>
      <c r="BM40" s="706"/>
      <c r="BN40" s="706"/>
      <c r="BO40" s="707"/>
      <c r="BP40" s="708"/>
      <c r="BQ40" s="710"/>
      <c r="BR40" s="706"/>
      <c r="BS40" s="706"/>
      <c r="BT40" s="706"/>
      <c r="BU40" s="706"/>
      <c r="BV40" s="706"/>
      <c r="BW40" s="707"/>
      <c r="BX40" s="709"/>
    </row>
    <row r="41" spans="1:76" ht="30" customHeight="1" x14ac:dyDescent="0.2">
      <c r="A41" s="713">
        <v>35</v>
      </c>
      <c r="B41" s="705" t="s">
        <v>182</v>
      </c>
      <c r="C41" s="705" t="s">
        <v>1109</v>
      </c>
      <c r="D41" s="631">
        <v>104192</v>
      </c>
      <c r="E41" s="706"/>
      <c r="F41" s="706"/>
      <c r="G41" s="706"/>
      <c r="H41" s="706"/>
      <c r="I41" s="706"/>
      <c r="J41" s="707"/>
      <c r="K41" s="708"/>
      <c r="L41" s="708"/>
      <c r="M41" s="706"/>
      <c r="N41" s="706"/>
      <c r="O41" s="706"/>
      <c r="P41" s="706"/>
      <c r="Q41" s="706"/>
      <c r="R41" s="706"/>
      <c r="S41" s="707"/>
      <c r="T41" s="708"/>
      <c r="U41" s="707"/>
      <c r="V41" s="706"/>
      <c r="W41" s="707"/>
      <c r="X41" s="707"/>
      <c r="Y41" s="706"/>
      <c r="Z41" s="706"/>
      <c r="AA41" s="707"/>
      <c r="AB41" s="708"/>
      <c r="AC41" s="710"/>
      <c r="AD41" s="706"/>
      <c r="AE41" s="706"/>
      <c r="AF41" s="706"/>
      <c r="AG41" s="706"/>
      <c r="AH41" s="706"/>
      <c r="AI41" s="707"/>
      <c r="AJ41" s="708"/>
      <c r="AK41" s="710"/>
      <c r="AL41" s="706"/>
      <c r="AM41" s="706"/>
      <c r="AN41" s="706"/>
      <c r="AO41" s="706"/>
      <c r="AP41" s="706"/>
      <c r="AQ41" s="707"/>
      <c r="AR41" s="711"/>
      <c r="AS41" s="706"/>
      <c r="AT41" s="706"/>
      <c r="AU41" s="706"/>
      <c r="AV41" s="706"/>
      <c r="AW41" s="706"/>
      <c r="AX41" s="706"/>
      <c r="AY41" s="707"/>
      <c r="AZ41" s="708"/>
      <c r="BA41" s="706"/>
      <c r="BB41" s="706"/>
      <c r="BC41" s="706"/>
      <c r="BD41" s="706"/>
      <c r="BE41" s="706"/>
      <c r="BF41" s="706"/>
      <c r="BG41" s="707"/>
      <c r="BH41" s="708"/>
      <c r="BI41" s="710"/>
      <c r="BJ41" s="706"/>
      <c r="BK41" s="706"/>
      <c r="BL41" s="706"/>
      <c r="BM41" s="706"/>
      <c r="BN41" s="706"/>
      <c r="BO41" s="707"/>
      <c r="BP41" s="708"/>
      <c r="BQ41" s="710"/>
      <c r="BR41" s="706"/>
      <c r="BS41" s="706"/>
      <c r="BT41" s="706"/>
      <c r="BU41" s="706"/>
      <c r="BV41" s="706"/>
      <c r="BW41" s="707"/>
      <c r="BX41" s="709"/>
    </row>
    <row r="42" spans="1:76" ht="30" customHeight="1" x14ac:dyDescent="0.2">
      <c r="A42" s="713">
        <v>36</v>
      </c>
      <c r="B42" s="705" t="s">
        <v>182</v>
      </c>
      <c r="C42" s="705" t="s">
        <v>1110</v>
      </c>
      <c r="D42" s="631">
        <v>104292</v>
      </c>
      <c r="E42" s="706"/>
      <c r="F42" s="706"/>
      <c r="G42" s="706"/>
      <c r="H42" s="706"/>
      <c r="I42" s="706"/>
      <c r="J42" s="707"/>
      <c r="K42" s="708"/>
      <c r="L42" s="708"/>
      <c r="M42" s="706"/>
      <c r="N42" s="706"/>
      <c r="O42" s="706"/>
      <c r="P42" s="706"/>
      <c r="Q42" s="706"/>
      <c r="R42" s="706"/>
      <c r="S42" s="707"/>
      <c r="T42" s="708"/>
      <c r="U42" s="707"/>
      <c r="V42" s="706"/>
      <c r="W42" s="707"/>
      <c r="X42" s="707"/>
      <c r="Y42" s="706"/>
      <c r="Z42" s="706"/>
      <c r="AA42" s="707"/>
      <c r="AB42" s="708"/>
      <c r="AC42" s="710"/>
      <c r="AD42" s="706"/>
      <c r="AE42" s="706"/>
      <c r="AF42" s="706"/>
      <c r="AG42" s="706"/>
      <c r="AH42" s="706"/>
      <c r="AI42" s="707"/>
      <c r="AJ42" s="708"/>
      <c r="AK42" s="710"/>
      <c r="AL42" s="706"/>
      <c r="AM42" s="706"/>
      <c r="AN42" s="706"/>
      <c r="AO42" s="706"/>
      <c r="AP42" s="706"/>
      <c r="AQ42" s="707"/>
      <c r="AR42" s="711"/>
      <c r="AS42" s="706"/>
      <c r="AT42" s="706"/>
      <c r="AU42" s="706"/>
      <c r="AV42" s="706"/>
      <c r="AW42" s="706"/>
      <c r="AX42" s="706"/>
      <c r="AY42" s="707"/>
      <c r="AZ42" s="708"/>
      <c r="BA42" s="706"/>
      <c r="BB42" s="706"/>
      <c r="BC42" s="706"/>
      <c r="BD42" s="706"/>
      <c r="BE42" s="706"/>
      <c r="BF42" s="706"/>
      <c r="BG42" s="707"/>
      <c r="BH42" s="708"/>
      <c r="BI42" s="710"/>
      <c r="BJ42" s="706"/>
      <c r="BK42" s="706"/>
      <c r="BL42" s="706"/>
      <c r="BM42" s="706"/>
      <c r="BN42" s="706"/>
      <c r="BO42" s="707"/>
      <c r="BP42" s="708"/>
      <c r="BQ42" s="710"/>
      <c r="BR42" s="706"/>
      <c r="BS42" s="706"/>
      <c r="BT42" s="706"/>
      <c r="BU42" s="706"/>
      <c r="BV42" s="706"/>
      <c r="BW42" s="707"/>
      <c r="BX42" s="709"/>
    </row>
    <row r="43" spans="1:76" ht="30" customHeight="1" x14ac:dyDescent="0.2">
      <c r="A43" s="713">
        <v>37</v>
      </c>
      <c r="B43" s="705" t="s">
        <v>182</v>
      </c>
      <c r="C43" s="705" t="s">
        <v>1239</v>
      </c>
      <c r="D43" s="631">
        <v>103818</v>
      </c>
      <c r="E43" s="706"/>
      <c r="F43" s="706"/>
      <c r="G43" s="706"/>
      <c r="H43" s="706"/>
      <c r="I43" s="706"/>
      <c r="J43" s="707"/>
      <c r="K43" s="708"/>
      <c r="L43" s="708"/>
      <c r="M43" s="706"/>
      <c r="N43" s="706"/>
      <c r="O43" s="706"/>
      <c r="P43" s="706"/>
      <c r="Q43" s="706"/>
      <c r="R43" s="706"/>
      <c r="S43" s="707"/>
      <c r="T43" s="708"/>
      <c r="U43" s="707"/>
      <c r="V43" s="706"/>
      <c r="W43" s="707"/>
      <c r="X43" s="707"/>
      <c r="Y43" s="706"/>
      <c r="Z43" s="706"/>
      <c r="AA43" s="707"/>
      <c r="AB43" s="708"/>
      <c r="AC43" s="710"/>
      <c r="AD43" s="706"/>
      <c r="AE43" s="706"/>
      <c r="AF43" s="706"/>
      <c r="AG43" s="706"/>
      <c r="AH43" s="706"/>
      <c r="AI43" s="707"/>
      <c r="AJ43" s="708"/>
      <c r="AK43" s="710"/>
      <c r="AL43" s="706"/>
      <c r="AM43" s="706"/>
      <c r="AN43" s="706"/>
      <c r="AO43" s="706"/>
      <c r="AP43" s="706"/>
      <c r="AQ43" s="707"/>
      <c r="AR43" s="711"/>
      <c r="AS43" s="706"/>
      <c r="AT43" s="706"/>
      <c r="AU43" s="706"/>
      <c r="AV43" s="706"/>
      <c r="AW43" s="706"/>
      <c r="AX43" s="706"/>
      <c r="AY43" s="707"/>
      <c r="AZ43" s="708"/>
      <c r="BA43" s="706"/>
      <c r="BB43" s="706"/>
      <c r="BC43" s="706"/>
      <c r="BD43" s="706"/>
      <c r="BE43" s="706"/>
      <c r="BF43" s="706"/>
      <c r="BG43" s="707"/>
      <c r="BH43" s="708"/>
      <c r="BI43" s="710"/>
      <c r="BJ43" s="706"/>
      <c r="BK43" s="706"/>
      <c r="BL43" s="706"/>
      <c r="BM43" s="706"/>
      <c r="BN43" s="706"/>
      <c r="BO43" s="707"/>
      <c r="BP43" s="708"/>
      <c r="BQ43" s="710"/>
      <c r="BR43" s="706"/>
      <c r="BS43" s="706"/>
      <c r="BT43" s="706"/>
      <c r="BU43" s="706"/>
      <c r="BV43" s="706"/>
      <c r="BW43" s="707"/>
      <c r="BX43" s="709"/>
    </row>
    <row r="44" spans="1:76" ht="30" customHeight="1" x14ac:dyDescent="0.2">
      <c r="A44" s="713">
        <v>38</v>
      </c>
      <c r="B44" s="705" t="s">
        <v>182</v>
      </c>
      <c r="C44" s="705" t="s">
        <v>1057</v>
      </c>
      <c r="D44" s="631">
        <v>55045</v>
      </c>
      <c r="E44" s="706"/>
      <c r="F44" s="706"/>
      <c r="G44" s="706"/>
      <c r="H44" s="706"/>
      <c r="I44" s="706"/>
      <c r="J44" s="707"/>
      <c r="K44" s="708"/>
      <c r="L44" s="708"/>
      <c r="M44" s="706"/>
      <c r="N44" s="706"/>
      <c r="O44" s="706"/>
      <c r="P44" s="706"/>
      <c r="Q44" s="706"/>
      <c r="R44" s="706"/>
      <c r="S44" s="707"/>
      <c r="T44" s="708"/>
      <c r="U44" s="707"/>
      <c r="V44" s="706"/>
      <c r="W44" s="707"/>
      <c r="X44" s="707"/>
      <c r="Y44" s="706"/>
      <c r="Z44" s="706"/>
      <c r="AA44" s="707"/>
      <c r="AB44" s="708"/>
      <c r="AC44" s="710"/>
      <c r="AD44" s="706"/>
      <c r="AE44" s="706"/>
      <c r="AF44" s="706"/>
      <c r="AG44" s="706"/>
      <c r="AH44" s="706"/>
      <c r="AI44" s="707"/>
      <c r="AJ44" s="708"/>
      <c r="AK44" s="710"/>
      <c r="AL44" s="706"/>
      <c r="AM44" s="706"/>
      <c r="AN44" s="706"/>
      <c r="AO44" s="706"/>
      <c r="AP44" s="706"/>
      <c r="AQ44" s="707"/>
      <c r="AR44" s="711"/>
      <c r="AS44" s="706"/>
      <c r="AT44" s="706"/>
      <c r="AU44" s="706"/>
      <c r="AV44" s="706"/>
      <c r="AW44" s="706"/>
      <c r="AX44" s="706"/>
      <c r="AY44" s="707"/>
      <c r="AZ44" s="708"/>
      <c r="BA44" s="706"/>
      <c r="BB44" s="706"/>
      <c r="BC44" s="706"/>
      <c r="BD44" s="706"/>
      <c r="BE44" s="706"/>
      <c r="BF44" s="706"/>
      <c r="BG44" s="707"/>
      <c r="BH44" s="708"/>
      <c r="BI44" s="710"/>
      <c r="BJ44" s="706"/>
      <c r="BK44" s="706"/>
      <c r="BL44" s="706"/>
      <c r="BM44" s="706"/>
      <c r="BN44" s="706"/>
      <c r="BO44" s="707"/>
      <c r="BP44" s="708"/>
      <c r="BQ44" s="710"/>
      <c r="BR44" s="706"/>
      <c r="BS44" s="706"/>
      <c r="BT44" s="706"/>
      <c r="BU44" s="706"/>
      <c r="BV44" s="706"/>
      <c r="BW44" s="707"/>
      <c r="BX44" s="709"/>
    </row>
    <row r="45" spans="1:76" ht="30" customHeight="1" x14ac:dyDescent="0.2">
      <c r="A45" s="713">
        <v>39</v>
      </c>
      <c r="B45" s="705" t="s">
        <v>182</v>
      </c>
      <c r="C45" s="705" t="s">
        <v>1108</v>
      </c>
      <c r="D45" s="631">
        <v>103477</v>
      </c>
      <c r="E45" s="706"/>
      <c r="F45" s="706"/>
      <c r="G45" s="706"/>
      <c r="H45" s="706"/>
      <c r="I45" s="706"/>
      <c r="J45" s="707"/>
      <c r="K45" s="708"/>
      <c r="L45" s="708"/>
      <c r="M45" s="706"/>
      <c r="N45" s="706"/>
      <c r="O45" s="706"/>
      <c r="P45" s="706"/>
      <c r="Q45" s="706"/>
      <c r="R45" s="706"/>
      <c r="S45" s="707"/>
      <c r="T45" s="708"/>
      <c r="U45" s="707"/>
      <c r="V45" s="706"/>
      <c r="W45" s="707"/>
      <c r="X45" s="707"/>
      <c r="Y45" s="706"/>
      <c r="Z45" s="706"/>
      <c r="AA45" s="707"/>
      <c r="AB45" s="708"/>
      <c r="AC45" s="710"/>
      <c r="AD45" s="706"/>
      <c r="AE45" s="706"/>
      <c r="AF45" s="706"/>
      <c r="AG45" s="706"/>
      <c r="AH45" s="706"/>
      <c r="AI45" s="707"/>
      <c r="AJ45" s="708"/>
      <c r="AK45" s="710"/>
      <c r="AL45" s="706"/>
      <c r="AM45" s="706"/>
      <c r="AN45" s="706"/>
      <c r="AO45" s="706"/>
      <c r="AP45" s="706"/>
      <c r="AQ45" s="707"/>
      <c r="AR45" s="711"/>
      <c r="AS45" s="706"/>
      <c r="AT45" s="706"/>
      <c r="AU45" s="706"/>
      <c r="AV45" s="706"/>
      <c r="AW45" s="706"/>
      <c r="AX45" s="706"/>
      <c r="AY45" s="707"/>
      <c r="AZ45" s="708"/>
      <c r="BA45" s="706"/>
      <c r="BB45" s="706"/>
      <c r="BC45" s="706"/>
      <c r="BD45" s="706"/>
      <c r="BE45" s="706"/>
      <c r="BF45" s="706"/>
      <c r="BG45" s="707"/>
      <c r="BH45" s="708"/>
      <c r="BI45" s="710"/>
      <c r="BJ45" s="706"/>
      <c r="BK45" s="706"/>
      <c r="BL45" s="706"/>
      <c r="BM45" s="706"/>
      <c r="BN45" s="706"/>
      <c r="BO45" s="707"/>
      <c r="BP45" s="708"/>
      <c r="BQ45" s="710"/>
      <c r="BR45" s="706"/>
      <c r="BS45" s="706"/>
      <c r="BT45" s="706"/>
      <c r="BU45" s="706"/>
      <c r="BV45" s="706"/>
      <c r="BW45" s="707"/>
      <c r="BX45" s="709"/>
    </row>
    <row r="46" spans="1:76" ht="30" customHeight="1" x14ac:dyDescent="0.2">
      <c r="A46" s="713">
        <v>40</v>
      </c>
      <c r="B46" s="705" t="s">
        <v>182</v>
      </c>
      <c r="C46" s="705" t="s">
        <v>1025</v>
      </c>
      <c r="D46" s="631">
        <v>18679</v>
      </c>
      <c r="E46" s="706"/>
      <c r="F46" s="706"/>
      <c r="G46" s="706"/>
      <c r="H46" s="706"/>
      <c r="I46" s="706"/>
      <c r="J46" s="707"/>
      <c r="K46" s="708"/>
      <c r="L46" s="708"/>
      <c r="M46" s="706"/>
      <c r="N46" s="706"/>
      <c r="O46" s="706"/>
      <c r="P46" s="706"/>
      <c r="Q46" s="706"/>
      <c r="R46" s="706"/>
      <c r="S46" s="707"/>
      <c r="T46" s="708"/>
      <c r="U46" s="707"/>
      <c r="V46" s="706"/>
      <c r="W46" s="707"/>
      <c r="X46" s="707"/>
      <c r="Y46" s="706"/>
      <c r="Z46" s="706"/>
      <c r="AA46" s="707"/>
      <c r="AB46" s="708"/>
      <c r="AC46" s="710"/>
      <c r="AD46" s="706"/>
      <c r="AE46" s="706"/>
      <c r="AF46" s="706"/>
      <c r="AG46" s="706"/>
      <c r="AH46" s="706"/>
      <c r="AI46" s="707"/>
      <c r="AJ46" s="708"/>
      <c r="AK46" s="710"/>
      <c r="AL46" s="706"/>
      <c r="AM46" s="706"/>
      <c r="AN46" s="706"/>
      <c r="AO46" s="706"/>
      <c r="AP46" s="706"/>
      <c r="AQ46" s="707"/>
      <c r="AR46" s="711"/>
      <c r="AS46" s="706"/>
      <c r="AT46" s="706"/>
      <c r="AU46" s="706"/>
      <c r="AV46" s="706"/>
      <c r="AW46" s="706"/>
      <c r="AX46" s="706"/>
      <c r="AY46" s="707"/>
      <c r="AZ46" s="708"/>
      <c r="BA46" s="706"/>
      <c r="BB46" s="706"/>
      <c r="BC46" s="706"/>
      <c r="BD46" s="706"/>
      <c r="BE46" s="706"/>
      <c r="BF46" s="706"/>
      <c r="BG46" s="707"/>
      <c r="BH46" s="708"/>
      <c r="BI46" s="710"/>
      <c r="BJ46" s="706"/>
      <c r="BK46" s="706"/>
      <c r="BL46" s="706"/>
      <c r="BM46" s="706"/>
      <c r="BN46" s="706"/>
      <c r="BO46" s="707"/>
      <c r="BP46" s="708"/>
      <c r="BQ46" s="710"/>
      <c r="BR46" s="706"/>
      <c r="BS46" s="706"/>
      <c r="BT46" s="706"/>
      <c r="BU46" s="706"/>
      <c r="BV46" s="706"/>
      <c r="BW46" s="707"/>
      <c r="BX46" s="709"/>
    </row>
    <row r="47" spans="1:76" ht="30" customHeight="1" x14ac:dyDescent="0.2">
      <c r="A47" s="713">
        <v>41</v>
      </c>
      <c r="B47" s="705" t="s">
        <v>182</v>
      </c>
      <c r="C47" s="51" t="s">
        <v>1112</v>
      </c>
      <c r="D47" s="50">
        <v>107251</v>
      </c>
      <c r="E47" s="706"/>
      <c r="F47" s="706"/>
      <c r="G47" s="706"/>
      <c r="H47" s="706"/>
      <c r="I47" s="706"/>
      <c r="J47" s="707"/>
      <c r="K47" s="708"/>
      <c r="L47" s="708"/>
      <c r="M47" s="706"/>
      <c r="N47" s="706"/>
      <c r="O47" s="706"/>
      <c r="P47" s="706"/>
      <c r="Q47" s="706"/>
      <c r="R47" s="706"/>
      <c r="S47" s="707"/>
      <c r="T47" s="708"/>
      <c r="U47" s="707"/>
      <c r="V47" s="706"/>
      <c r="W47" s="707"/>
      <c r="X47" s="707"/>
      <c r="Y47" s="706"/>
      <c r="Z47" s="706"/>
      <c r="AA47" s="707"/>
      <c r="AB47" s="708"/>
      <c r="AC47" s="710"/>
      <c r="AD47" s="706"/>
      <c r="AE47" s="706"/>
      <c r="AF47" s="706"/>
      <c r="AG47" s="706"/>
      <c r="AH47" s="706"/>
      <c r="AI47" s="707"/>
      <c r="AJ47" s="708"/>
      <c r="AK47" s="710"/>
      <c r="AL47" s="706"/>
      <c r="AM47" s="706"/>
      <c r="AN47" s="706"/>
      <c r="AO47" s="706"/>
      <c r="AP47" s="706"/>
      <c r="AQ47" s="707"/>
      <c r="AR47" s="711"/>
      <c r="AS47" s="706"/>
      <c r="AT47" s="706"/>
      <c r="AU47" s="706"/>
      <c r="AV47" s="706"/>
      <c r="AW47" s="706"/>
      <c r="AX47" s="706"/>
      <c r="AY47" s="707"/>
      <c r="AZ47" s="708"/>
      <c r="BA47" s="706"/>
      <c r="BB47" s="706"/>
      <c r="BC47" s="706"/>
      <c r="BD47" s="706"/>
      <c r="BE47" s="706"/>
      <c r="BF47" s="706"/>
      <c r="BG47" s="707"/>
      <c r="BH47" s="708"/>
      <c r="BI47" s="710"/>
      <c r="BJ47" s="706"/>
      <c r="BK47" s="706"/>
      <c r="BL47" s="706"/>
      <c r="BM47" s="706"/>
      <c r="BN47" s="706"/>
      <c r="BO47" s="707"/>
      <c r="BP47" s="708"/>
      <c r="BQ47" s="710"/>
      <c r="BR47" s="706"/>
      <c r="BS47" s="706"/>
      <c r="BT47" s="706"/>
      <c r="BU47" s="706"/>
      <c r="BV47" s="706"/>
      <c r="BW47" s="707"/>
      <c r="BX47" s="709"/>
    </row>
    <row r="48" spans="1:76" ht="30" customHeight="1" x14ac:dyDescent="0.2">
      <c r="A48" s="713">
        <v>42</v>
      </c>
      <c r="B48" s="705" t="s">
        <v>182</v>
      </c>
      <c r="C48" s="51" t="s">
        <v>1113</v>
      </c>
      <c r="D48" s="50">
        <v>107268</v>
      </c>
      <c r="E48" s="706"/>
      <c r="F48" s="706"/>
      <c r="G48" s="706"/>
      <c r="H48" s="706"/>
      <c r="I48" s="706"/>
      <c r="J48" s="707"/>
      <c r="K48" s="708"/>
      <c r="L48" s="708"/>
      <c r="M48" s="706"/>
      <c r="N48" s="706"/>
      <c r="O48" s="706"/>
      <c r="P48" s="706"/>
      <c r="Q48" s="706"/>
      <c r="R48" s="706"/>
      <c r="S48" s="707"/>
      <c r="T48" s="708"/>
      <c r="U48" s="707"/>
      <c r="V48" s="706"/>
      <c r="W48" s="707"/>
      <c r="X48" s="707"/>
      <c r="Y48" s="706"/>
      <c r="Z48" s="706"/>
      <c r="AA48" s="707"/>
      <c r="AB48" s="708"/>
      <c r="AC48" s="710"/>
      <c r="AD48" s="706"/>
      <c r="AE48" s="706"/>
      <c r="AF48" s="706"/>
      <c r="AG48" s="706"/>
      <c r="AH48" s="706"/>
      <c r="AI48" s="707"/>
      <c r="AJ48" s="708"/>
      <c r="AK48" s="710"/>
      <c r="AL48" s="706"/>
      <c r="AM48" s="706"/>
      <c r="AN48" s="706"/>
      <c r="AO48" s="706"/>
      <c r="AP48" s="706"/>
      <c r="AQ48" s="707"/>
      <c r="AR48" s="711"/>
      <c r="AS48" s="706"/>
      <c r="AT48" s="706"/>
      <c r="AU48" s="706"/>
      <c r="AV48" s="706"/>
      <c r="AW48" s="706"/>
      <c r="AX48" s="706"/>
      <c r="AY48" s="707"/>
      <c r="AZ48" s="708"/>
      <c r="BA48" s="706"/>
      <c r="BB48" s="706"/>
      <c r="BC48" s="706"/>
      <c r="BD48" s="706"/>
      <c r="BE48" s="706"/>
      <c r="BF48" s="706"/>
      <c r="BG48" s="707"/>
      <c r="BH48" s="708"/>
      <c r="BI48" s="710"/>
      <c r="BJ48" s="706"/>
      <c r="BK48" s="706"/>
      <c r="BL48" s="706"/>
      <c r="BM48" s="706"/>
      <c r="BN48" s="706"/>
      <c r="BO48" s="707"/>
      <c r="BP48" s="708"/>
      <c r="BQ48" s="710"/>
      <c r="BR48" s="706"/>
      <c r="BS48" s="706"/>
      <c r="BT48" s="706"/>
      <c r="BU48" s="706"/>
      <c r="BV48" s="706"/>
      <c r="BW48" s="707"/>
      <c r="BX48" s="709"/>
    </row>
    <row r="49" spans="1:76" ht="30" customHeight="1" x14ac:dyDescent="0.2">
      <c r="A49" s="715">
        <v>43</v>
      </c>
      <c r="B49" s="705" t="s">
        <v>255</v>
      </c>
      <c r="C49" s="705" t="s">
        <v>285</v>
      </c>
      <c r="D49" s="631">
        <v>230</v>
      </c>
      <c r="E49" s="706"/>
      <c r="F49" s="706"/>
      <c r="G49" s="706"/>
      <c r="H49" s="706"/>
      <c r="I49" s="706"/>
      <c r="J49" s="707"/>
      <c r="K49" s="708"/>
      <c r="L49" s="708"/>
      <c r="M49" s="706"/>
      <c r="N49" s="706"/>
      <c r="O49" s="706"/>
      <c r="P49" s="706"/>
      <c r="Q49" s="706"/>
      <c r="R49" s="706"/>
      <c r="S49" s="707"/>
      <c r="T49" s="708"/>
      <c r="U49" s="707"/>
      <c r="V49" s="706"/>
      <c r="W49" s="707"/>
      <c r="X49" s="707"/>
      <c r="Y49" s="706"/>
      <c r="Z49" s="706"/>
      <c r="AA49" s="707"/>
      <c r="AB49" s="708"/>
      <c r="AC49" s="710"/>
      <c r="AD49" s="706"/>
      <c r="AE49" s="706"/>
      <c r="AF49" s="706"/>
      <c r="AG49" s="706"/>
      <c r="AH49" s="706"/>
      <c r="AI49" s="707"/>
      <c r="AJ49" s="708"/>
      <c r="AK49" s="710"/>
      <c r="AL49" s="706"/>
      <c r="AM49" s="706"/>
      <c r="AN49" s="706"/>
      <c r="AO49" s="706"/>
      <c r="AP49" s="706"/>
      <c r="AQ49" s="707"/>
      <c r="AR49" s="711"/>
      <c r="AS49" s="706"/>
      <c r="AT49" s="706"/>
      <c r="AU49" s="706"/>
      <c r="AV49" s="706"/>
      <c r="AW49" s="706"/>
      <c r="AX49" s="706"/>
      <c r="AY49" s="707"/>
      <c r="AZ49" s="708"/>
      <c r="BA49" s="706"/>
      <c r="BB49" s="706"/>
      <c r="BC49" s="706"/>
      <c r="BD49" s="706"/>
      <c r="BE49" s="706"/>
      <c r="BF49" s="706"/>
      <c r="BG49" s="707"/>
      <c r="BH49" s="708"/>
      <c r="BI49" s="710"/>
      <c r="BJ49" s="706"/>
      <c r="BK49" s="706"/>
      <c r="BL49" s="706"/>
      <c r="BM49" s="706"/>
      <c r="BN49" s="706"/>
      <c r="BO49" s="707"/>
      <c r="BP49" s="708"/>
      <c r="BQ49" s="710"/>
      <c r="BR49" s="706"/>
      <c r="BS49" s="706"/>
      <c r="BT49" s="706"/>
      <c r="BU49" s="706"/>
      <c r="BV49" s="706"/>
      <c r="BW49" s="707"/>
      <c r="BX49" s="709"/>
    </row>
    <row r="50" spans="1:76" ht="30" customHeight="1" x14ac:dyDescent="0.2">
      <c r="A50" s="715">
        <v>44</v>
      </c>
      <c r="B50" s="705" t="s">
        <v>255</v>
      </c>
      <c r="C50" s="705" t="s">
        <v>1240</v>
      </c>
      <c r="D50" s="631">
        <v>8265</v>
      </c>
      <c r="E50" s="706"/>
      <c r="F50" s="706"/>
      <c r="G50" s="706"/>
      <c r="H50" s="706"/>
      <c r="I50" s="706"/>
      <c r="J50" s="707"/>
      <c r="K50" s="708"/>
      <c r="L50" s="708"/>
      <c r="M50" s="706"/>
      <c r="N50" s="706"/>
      <c r="O50" s="706"/>
      <c r="P50" s="706"/>
      <c r="Q50" s="706"/>
      <c r="R50" s="706"/>
      <c r="S50" s="707"/>
      <c r="T50" s="708"/>
      <c r="U50" s="707"/>
      <c r="V50" s="706"/>
      <c r="W50" s="707"/>
      <c r="X50" s="707"/>
      <c r="Y50" s="706"/>
      <c r="Z50" s="706"/>
      <c r="AA50" s="707"/>
      <c r="AB50" s="708"/>
      <c r="AC50" s="710"/>
      <c r="AD50" s="706"/>
      <c r="AE50" s="706"/>
      <c r="AF50" s="706"/>
      <c r="AG50" s="706"/>
      <c r="AH50" s="706"/>
      <c r="AI50" s="707"/>
      <c r="AJ50" s="708"/>
      <c r="AK50" s="710"/>
      <c r="AL50" s="706"/>
      <c r="AM50" s="706"/>
      <c r="AN50" s="706"/>
      <c r="AO50" s="706"/>
      <c r="AP50" s="706"/>
      <c r="AQ50" s="707"/>
      <c r="AR50" s="711"/>
      <c r="AS50" s="706"/>
      <c r="AT50" s="706"/>
      <c r="AU50" s="706"/>
      <c r="AV50" s="706"/>
      <c r="AW50" s="706"/>
      <c r="AX50" s="706"/>
      <c r="AY50" s="707"/>
      <c r="AZ50" s="708"/>
      <c r="BA50" s="706"/>
      <c r="BB50" s="706"/>
      <c r="BC50" s="706"/>
      <c r="BD50" s="706"/>
      <c r="BE50" s="706"/>
      <c r="BF50" s="706"/>
      <c r="BG50" s="707"/>
      <c r="BH50" s="708"/>
      <c r="BI50" s="710"/>
      <c r="BJ50" s="706"/>
      <c r="BK50" s="706"/>
      <c r="BL50" s="706"/>
      <c r="BM50" s="706"/>
      <c r="BN50" s="706"/>
      <c r="BO50" s="707"/>
      <c r="BP50" s="708"/>
      <c r="BQ50" s="710"/>
      <c r="BR50" s="706"/>
      <c r="BS50" s="706"/>
      <c r="BT50" s="706"/>
      <c r="BU50" s="706"/>
      <c r="BV50" s="706"/>
      <c r="BW50" s="707"/>
      <c r="BX50" s="709"/>
    </row>
    <row r="51" spans="1:76" ht="30" customHeight="1" x14ac:dyDescent="0.2">
      <c r="A51" s="715">
        <v>45</v>
      </c>
      <c r="B51" s="705" t="s">
        <v>255</v>
      </c>
      <c r="C51" s="705" t="s">
        <v>1058</v>
      </c>
      <c r="D51" s="631">
        <v>239</v>
      </c>
      <c r="E51" s="706"/>
      <c r="F51" s="706"/>
      <c r="G51" s="706"/>
      <c r="H51" s="706"/>
      <c r="I51" s="706"/>
      <c r="J51" s="707"/>
      <c r="K51" s="708"/>
      <c r="L51" s="708"/>
      <c r="M51" s="706"/>
      <c r="N51" s="706"/>
      <c r="O51" s="706"/>
      <c r="P51" s="706"/>
      <c r="Q51" s="706"/>
      <c r="R51" s="706"/>
      <c r="S51" s="707"/>
      <c r="T51" s="708"/>
      <c r="U51" s="707"/>
      <c r="V51" s="706"/>
      <c r="W51" s="707"/>
      <c r="X51" s="707"/>
      <c r="Y51" s="706"/>
      <c r="Z51" s="706"/>
      <c r="AA51" s="707"/>
      <c r="AB51" s="708"/>
      <c r="AC51" s="710"/>
      <c r="AD51" s="706"/>
      <c r="AE51" s="706"/>
      <c r="AF51" s="706"/>
      <c r="AG51" s="706"/>
      <c r="AH51" s="706"/>
      <c r="AI51" s="707"/>
      <c r="AJ51" s="708"/>
      <c r="AK51" s="710"/>
      <c r="AL51" s="706"/>
      <c r="AM51" s="706"/>
      <c r="AN51" s="706"/>
      <c r="AO51" s="706"/>
      <c r="AP51" s="706"/>
      <c r="AQ51" s="707"/>
      <c r="AR51" s="711"/>
      <c r="AS51" s="706"/>
      <c r="AT51" s="706"/>
      <c r="AU51" s="706"/>
      <c r="AV51" s="706"/>
      <c r="AW51" s="706"/>
      <c r="AX51" s="706"/>
      <c r="AY51" s="707"/>
      <c r="AZ51" s="708"/>
      <c r="BA51" s="706"/>
      <c r="BB51" s="706"/>
      <c r="BC51" s="706"/>
      <c r="BD51" s="706"/>
      <c r="BE51" s="706"/>
      <c r="BF51" s="706"/>
      <c r="BG51" s="707"/>
      <c r="BH51" s="708"/>
      <c r="BI51" s="710"/>
      <c r="BJ51" s="706"/>
      <c r="BK51" s="706"/>
      <c r="BL51" s="706"/>
      <c r="BM51" s="706"/>
      <c r="BN51" s="706"/>
      <c r="BO51" s="707"/>
      <c r="BP51" s="708"/>
      <c r="BQ51" s="710"/>
      <c r="BR51" s="706"/>
      <c r="BS51" s="706"/>
      <c r="BT51" s="706"/>
      <c r="BU51" s="706"/>
      <c r="BV51" s="706"/>
      <c r="BW51" s="707"/>
      <c r="BX51" s="709"/>
    </row>
    <row r="52" spans="1:76" ht="30" customHeight="1" x14ac:dyDescent="0.2">
      <c r="A52" s="715">
        <v>46</v>
      </c>
      <c r="B52" s="705" t="s">
        <v>255</v>
      </c>
      <c r="C52" s="705" t="s">
        <v>266</v>
      </c>
      <c r="D52" s="631">
        <v>240</v>
      </c>
      <c r="E52" s="706"/>
      <c r="F52" s="706"/>
      <c r="G52" s="706"/>
      <c r="H52" s="706"/>
      <c r="I52" s="706"/>
      <c r="J52" s="707"/>
      <c r="K52" s="708"/>
      <c r="L52" s="708"/>
      <c r="M52" s="706"/>
      <c r="N52" s="706"/>
      <c r="O52" s="706"/>
      <c r="P52" s="706"/>
      <c r="Q52" s="706"/>
      <c r="R52" s="706"/>
      <c r="S52" s="707"/>
      <c r="T52" s="708"/>
      <c r="U52" s="707"/>
      <c r="V52" s="706"/>
      <c r="W52" s="707"/>
      <c r="X52" s="707"/>
      <c r="Y52" s="706"/>
      <c r="Z52" s="706"/>
      <c r="AA52" s="707"/>
      <c r="AB52" s="708"/>
      <c r="AC52" s="710"/>
      <c r="AD52" s="706"/>
      <c r="AE52" s="706"/>
      <c r="AF52" s="706"/>
      <c r="AG52" s="706"/>
      <c r="AH52" s="706"/>
      <c r="AI52" s="707"/>
      <c r="AJ52" s="708"/>
      <c r="AK52" s="710"/>
      <c r="AL52" s="706"/>
      <c r="AM52" s="706"/>
      <c r="AN52" s="706"/>
      <c r="AO52" s="706"/>
      <c r="AP52" s="706"/>
      <c r="AQ52" s="707"/>
      <c r="AR52" s="711"/>
      <c r="AS52" s="706"/>
      <c r="AT52" s="706"/>
      <c r="AU52" s="706"/>
      <c r="AV52" s="706"/>
      <c r="AW52" s="706"/>
      <c r="AX52" s="706"/>
      <c r="AY52" s="707"/>
      <c r="AZ52" s="708"/>
      <c r="BA52" s="706"/>
      <c r="BB52" s="706"/>
      <c r="BC52" s="706"/>
      <c r="BD52" s="706"/>
      <c r="BE52" s="706"/>
      <c r="BF52" s="706"/>
      <c r="BG52" s="707"/>
      <c r="BH52" s="708"/>
      <c r="BI52" s="710"/>
      <c r="BJ52" s="706"/>
      <c r="BK52" s="706"/>
      <c r="BL52" s="706"/>
      <c r="BM52" s="706"/>
      <c r="BN52" s="706"/>
      <c r="BO52" s="707"/>
      <c r="BP52" s="708"/>
      <c r="BQ52" s="710"/>
      <c r="BR52" s="706"/>
      <c r="BS52" s="706"/>
      <c r="BT52" s="706"/>
      <c r="BU52" s="706"/>
      <c r="BV52" s="706"/>
      <c r="BW52" s="707"/>
      <c r="BX52" s="709"/>
    </row>
    <row r="53" spans="1:76" ht="30" customHeight="1" x14ac:dyDescent="0.2">
      <c r="A53" s="715">
        <v>47</v>
      </c>
      <c r="B53" s="705" t="s">
        <v>255</v>
      </c>
      <c r="C53" s="705" t="s">
        <v>1241</v>
      </c>
      <c r="D53" s="631">
        <v>52113</v>
      </c>
      <c r="E53" s="706"/>
      <c r="F53" s="706"/>
      <c r="G53" s="706"/>
      <c r="H53" s="706"/>
      <c r="I53" s="706"/>
      <c r="J53" s="707"/>
      <c r="K53" s="708"/>
      <c r="L53" s="708"/>
      <c r="M53" s="706"/>
      <c r="N53" s="706"/>
      <c r="O53" s="706"/>
      <c r="P53" s="706"/>
      <c r="Q53" s="706"/>
      <c r="R53" s="706"/>
      <c r="S53" s="707"/>
      <c r="T53" s="708"/>
      <c r="U53" s="707"/>
      <c r="V53" s="706"/>
      <c r="W53" s="707"/>
      <c r="X53" s="707"/>
      <c r="Y53" s="706"/>
      <c r="Z53" s="706"/>
      <c r="AA53" s="707"/>
      <c r="AB53" s="708"/>
      <c r="AC53" s="710"/>
      <c r="AD53" s="706"/>
      <c r="AE53" s="706"/>
      <c r="AF53" s="706"/>
      <c r="AG53" s="706"/>
      <c r="AH53" s="706"/>
      <c r="AI53" s="707"/>
      <c r="AJ53" s="708"/>
      <c r="AK53" s="710"/>
      <c r="AL53" s="706"/>
      <c r="AM53" s="706"/>
      <c r="AN53" s="706"/>
      <c r="AO53" s="706"/>
      <c r="AP53" s="706"/>
      <c r="AQ53" s="707"/>
      <c r="AR53" s="711"/>
      <c r="AS53" s="706"/>
      <c r="AT53" s="706"/>
      <c r="AU53" s="706"/>
      <c r="AV53" s="706"/>
      <c r="AW53" s="706"/>
      <c r="AX53" s="706"/>
      <c r="AY53" s="707"/>
      <c r="AZ53" s="708"/>
      <c r="BA53" s="706"/>
      <c r="BB53" s="706"/>
      <c r="BC53" s="706"/>
      <c r="BD53" s="706"/>
      <c r="BE53" s="706"/>
      <c r="BF53" s="706"/>
      <c r="BG53" s="707"/>
      <c r="BH53" s="708"/>
      <c r="BI53" s="710"/>
      <c r="BJ53" s="706"/>
      <c r="BK53" s="706"/>
      <c r="BL53" s="706"/>
      <c r="BM53" s="706"/>
      <c r="BN53" s="706"/>
      <c r="BO53" s="707"/>
      <c r="BP53" s="708"/>
      <c r="BQ53" s="710"/>
      <c r="BR53" s="706"/>
      <c r="BS53" s="706"/>
      <c r="BT53" s="706"/>
      <c r="BU53" s="706"/>
      <c r="BV53" s="706"/>
      <c r="BW53" s="707"/>
      <c r="BX53" s="709"/>
    </row>
    <row r="54" spans="1:76" ht="30" customHeight="1" x14ac:dyDescent="0.2">
      <c r="A54" s="715">
        <v>48</v>
      </c>
      <c r="B54" s="705" t="s">
        <v>255</v>
      </c>
      <c r="C54" s="705" t="s">
        <v>280</v>
      </c>
      <c r="D54" s="631">
        <v>241</v>
      </c>
      <c r="E54" s="706"/>
      <c r="F54" s="706"/>
      <c r="G54" s="706"/>
      <c r="H54" s="706"/>
      <c r="I54" s="706"/>
      <c r="J54" s="707"/>
      <c r="K54" s="708"/>
      <c r="L54" s="708"/>
      <c r="M54" s="706"/>
      <c r="N54" s="706"/>
      <c r="O54" s="706"/>
      <c r="P54" s="706"/>
      <c r="Q54" s="706"/>
      <c r="R54" s="706"/>
      <c r="S54" s="707"/>
      <c r="T54" s="708"/>
      <c r="U54" s="707"/>
      <c r="V54" s="706"/>
      <c r="W54" s="707"/>
      <c r="X54" s="707"/>
      <c r="Y54" s="706"/>
      <c r="Z54" s="706"/>
      <c r="AA54" s="707"/>
      <c r="AB54" s="708"/>
      <c r="AC54" s="710"/>
      <c r="AD54" s="706"/>
      <c r="AE54" s="706"/>
      <c r="AF54" s="706"/>
      <c r="AG54" s="706"/>
      <c r="AH54" s="706"/>
      <c r="AI54" s="707"/>
      <c r="AJ54" s="708"/>
      <c r="AK54" s="710"/>
      <c r="AL54" s="706"/>
      <c r="AM54" s="706"/>
      <c r="AN54" s="706"/>
      <c r="AO54" s="706"/>
      <c r="AP54" s="706"/>
      <c r="AQ54" s="707"/>
      <c r="AR54" s="711"/>
      <c r="AS54" s="706"/>
      <c r="AT54" s="706"/>
      <c r="AU54" s="706"/>
      <c r="AV54" s="706"/>
      <c r="AW54" s="706"/>
      <c r="AX54" s="706"/>
      <c r="AY54" s="707"/>
      <c r="AZ54" s="708"/>
      <c r="BA54" s="706"/>
      <c r="BB54" s="706"/>
      <c r="BC54" s="706"/>
      <c r="BD54" s="706"/>
      <c r="BE54" s="706"/>
      <c r="BF54" s="706"/>
      <c r="BG54" s="707"/>
      <c r="BH54" s="708"/>
      <c r="BI54" s="710"/>
      <c r="BJ54" s="706"/>
      <c r="BK54" s="706"/>
      <c r="BL54" s="706"/>
      <c r="BM54" s="706"/>
      <c r="BN54" s="706"/>
      <c r="BO54" s="707"/>
      <c r="BP54" s="708"/>
      <c r="BQ54" s="710"/>
      <c r="BR54" s="706"/>
      <c r="BS54" s="706"/>
      <c r="BT54" s="706"/>
      <c r="BU54" s="706"/>
      <c r="BV54" s="706"/>
      <c r="BW54" s="707"/>
      <c r="BX54" s="709"/>
    </row>
    <row r="55" spans="1:76" ht="30" customHeight="1" x14ac:dyDescent="0.2">
      <c r="A55" s="715">
        <v>49</v>
      </c>
      <c r="B55" s="705" t="s">
        <v>255</v>
      </c>
      <c r="C55" s="705" t="s">
        <v>275</v>
      </c>
      <c r="D55" s="631">
        <v>242</v>
      </c>
      <c r="E55" s="706"/>
      <c r="F55" s="706"/>
      <c r="G55" s="706"/>
      <c r="H55" s="706"/>
      <c r="I55" s="706"/>
      <c r="J55" s="707"/>
      <c r="K55" s="708"/>
      <c r="L55" s="708"/>
      <c r="M55" s="706"/>
      <c r="N55" s="706"/>
      <c r="O55" s="706"/>
      <c r="P55" s="706"/>
      <c r="Q55" s="706"/>
      <c r="R55" s="706"/>
      <c r="S55" s="707"/>
      <c r="T55" s="708"/>
      <c r="U55" s="707"/>
      <c r="V55" s="706"/>
      <c r="W55" s="707"/>
      <c r="X55" s="707"/>
      <c r="Y55" s="706"/>
      <c r="Z55" s="706"/>
      <c r="AA55" s="707"/>
      <c r="AB55" s="708"/>
      <c r="AC55" s="710"/>
      <c r="AD55" s="706"/>
      <c r="AE55" s="706"/>
      <c r="AF55" s="706"/>
      <c r="AG55" s="706"/>
      <c r="AH55" s="706"/>
      <c r="AI55" s="707"/>
      <c r="AJ55" s="708"/>
      <c r="AK55" s="710"/>
      <c r="AL55" s="706"/>
      <c r="AM55" s="706"/>
      <c r="AN55" s="706"/>
      <c r="AO55" s="706"/>
      <c r="AP55" s="706"/>
      <c r="AQ55" s="707"/>
      <c r="AR55" s="711"/>
      <c r="AS55" s="706"/>
      <c r="AT55" s="706"/>
      <c r="AU55" s="706"/>
      <c r="AV55" s="706"/>
      <c r="AW55" s="706"/>
      <c r="AX55" s="706"/>
      <c r="AY55" s="707"/>
      <c r="AZ55" s="708"/>
      <c r="BA55" s="706"/>
      <c r="BB55" s="706"/>
      <c r="BC55" s="706"/>
      <c r="BD55" s="706"/>
      <c r="BE55" s="706"/>
      <c r="BF55" s="706"/>
      <c r="BG55" s="707"/>
      <c r="BH55" s="708"/>
      <c r="BI55" s="710"/>
      <c r="BJ55" s="706"/>
      <c r="BK55" s="706"/>
      <c r="BL55" s="706"/>
      <c r="BM55" s="706"/>
      <c r="BN55" s="706"/>
      <c r="BO55" s="707"/>
      <c r="BP55" s="708"/>
      <c r="BQ55" s="710"/>
      <c r="BR55" s="706"/>
      <c r="BS55" s="706"/>
      <c r="BT55" s="706"/>
      <c r="BU55" s="706"/>
      <c r="BV55" s="706"/>
      <c r="BW55" s="707"/>
      <c r="BX55" s="709"/>
    </row>
    <row r="56" spans="1:76" ht="30" customHeight="1" x14ac:dyDescent="0.2">
      <c r="A56" s="715">
        <v>50</v>
      </c>
      <c r="B56" s="705" t="s">
        <v>255</v>
      </c>
      <c r="C56" s="705" t="s">
        <v>292</v>
      </c>
      <c r="D56" s="631">
        <v>105964</v>
      </c>
      <c r="E56" s="706"/>
      <c r="F56" s="706"/>
      <c r="G56" s="706"/>
      <c r="H56" s="706"/>
      <c r="I56" s="706"/>
      <c r="J56" s="707"/>
      <c r="K56" s="708"/>
      <c r="L56" s="708"/>
      <c r="M56" s="706"/>
      <c r="N56" s="706"/>
      <c r="O56" s="706"/>
      <c r="P56" s="706"/>
      <c r="Q56" s="706"/>
      <c r="R56" s="706"/>
      <c r="S56" s="707"/>
      <c r="T56" s="708"/>
      <c r="U56" s="707"/>
      <c r="V56" s="706"/>
      <c r="W56" s="707"/>
      <c r="X56" s="707"/>
      <c r="Y56" s="706"/>
      <c r="Z56" s="706"/>
      <c r="AA56" s="707"/>
      <c r="AB56" s="708"/>
      <c r="AC56" s="710"/>
      <c r="AD56" s="706"/>
      <c r="AE56" s="706"/>
      <c r="AF56" s="706"/>
      <c r="AG56" s="706"/>
      <c r="AH56" s="706"/>
      <c r="AI56" s="707"/>
      <c r="AJ56" s="708"/>
      <c r="AK56" s="710"/>
      <c r="AL56" s="706"/>
      <c r="AM56" s="706"/>
      <c r="AN56" s="706"/>
      <c r="AO56" s="706"/>
      <c r="AP56" s="706"/>
      <c r="AQ56" s="707"/>
      <c r="AR56" s="711"/>
      <c r="AS56" s="706"/>
      <c r="AT56" s="706"/>
      <c r="AU56" s="706"/>
      <c r="AV56" s="706"/>
      <c r="AW56" s="706"/>
      <c r="AX56" s="706"/>
      <c r="AY56" s="707"/>
      <c r="AZ56" s="708"/>
      <c r="BA56" s="706"/>
      <c r="BB56" s="706"/>
      <c r="BC56" s="706"/>
      <c r="BD56" s="706"/>
      <c r="BE56" s="706"/>
      <c r="BF56" s="706"/>
      <c r="BG56" s="707"/>
      <c r="BH56" s="708"/>
      <c r="BI56" s="710"/>
      <c r="BJ56" s="706"/>
      <c r="BK56" s="706"/>
      <c r="BL56" s="706"/>
      <c r="BM56" s="706"/>
      <c r="BN56" s="706"/>
      <c r="BO56" s="707"/>
      <c r="BP56" s="708"/>
      <c r="BQ56" s="710"/>
      <c r="BR56" s="706"/>
      <c r="BS56" s="706"/>
      <c r="BT56" s="706"/>
      <c r="BU56" s="706"/>
      <c r="BV56" s="706"/>
      <c r="BW56" s="707"/>
      <c r="BX56" s="709"/>
    </row>
    <row r="57" spans="1:76" ht="30" customHeight="1" x14ac:dyDescent="0.2">
      <c r="A57" s="715">
        <v>51</v>
      </c>
      <c r="B57" s="705" t="s">
        <v>255</v>
      </c>
      <c r="C57" s="705" t="s">
        <v>1114</v>
      </c>
      <c r="D57" s="631">
        <v>11546</v>
      </c>
      <c r="E57" s="706"/>
      <c r="F57" s="706"/>
      <c r="G57" s="706"/>
      <c r="H57" s="706"/>
      <c r="I57" s="706"/>
      <c r="J57" s="707"/>
      <c r="K57" s="708"/>
      <c r="L57" s="708"/>
      <c r="M57" s="706"/>
      <c r="N57" s="706"/>
      <c r="O57" s="706"/>
      <c r="P57" s="706"/>
      <c r="Q57" s="706"/>
      <c r="R57" s="706"/>
      <c r="S57" s="707"/>
      <c r="T57" s="708"/>
      <c r="U57" s="707"/>
      <c r="V57" s="706"/>
      <c r="W57" s="707"/>
      <c r="X57" s="707"/>
      <c r="Y57" s="706"/>
      <c r="Z57" s="706"/>
      <c r="AA57" s="707"/>
      <c r="AB57" s="708"/>
      <c r="AC57" s="710"/>
      <c r="AD57" s="706"/>
      <c r="AE57" s="706"/>
      <c r="AF57" s="706"/>
      <c r="AG57" s="706"/>
      <c r="AH57" s="706"/>
      <c r="AI57" s="707"/>
      <c r="AJ57" s="708"/>
      <c r="AK57" s="710"/>
      <c r="AL57" s="706"/>
      <c r="AM57" s="706"/>
      <c r="AN57" s="706"/>
      <c r="AO57" s="706"/>
      <c r="AP57" s="706"/>
      <c r="AQ57" s="707"/>
      <c r="AR57" s="711"/>
      <c r="AS57" s="706"/>
      <c r="AT57" s="706"/>
      <c r="AU57" s="706"/>
      <c r="AV57" s="706"/>
      <c r="AW57" s="706"/>
      <c r="AX57" s="706"/>
      <c r="AY57" s="707"/>
      <c r="AZ57" s="708"/>
      <c r="BA57" s="706"/>
      <c r="BB57" s="706"/>
      <c r="BC57" s="706"/>
      <c r="BD57" s="706"/>
      <c r="BE57" s="706"/>
      <c r="BF57" s="706"/>
      <c r="BG57" s="707"/>
      <c r="BH57" s="708"/>
      <c r="BI57" s="710"/>
      <c r="BJ57" s="706"/>
      <c r="BK57" s="706"/>
      <c r="BL57" s="706"/>
      <c r="BM57" s="706"/>
      <c r="BN57" s="706"/>
      <c r="BO57" s="707"/>
      <c r="BP57" s="708"/>
      <c r="BQ57" s="710"/>
      <c r="BR57" s="706"/>
      <c r="BS57" s="706"/>
      <c r="BT57" s="706"/>
      <c r="BU57" s="706"/>
      <c r="BV57" s="706"/>
      <c r="BW57" s="707"/>
      <c r="BX57" s="709"/>
    </row>
    <row r="58" spans="1:76" ht="30" customHeight="1" x14ac:dyDescent="0.2">
      <c r="A58" s="715">
        <v>52</v>
      </c>
      <c r="B58" s="705" t="s">
        <v>255</v>
      </c>
      <c r="C58" s="705" t="s">
        <v>296</v>
      </c>
      <c r="D58" s="631">
        <v>243</v>
      </c>
      <c r="E58" s="706"/>
      <c r="F58" s="706"/>
      <c r="G58" s="706"/>
      <c r="H58" s="706"/>
      <c r="I58" s="706"/>
      <c r="J58" s="707"/>
      <c r="K58" s="708"/>
      <c r="L58" s="708"/>
      <c r="M58" s="706"/>
      <c r="N58" s="706"/>
      <c r="O58" s="706"/>
      <c r="P58" s="706"/>
      <c r="Q58" s="706"/>
      <c r="R58" s="706"/>
      <c r="S58" s="707"/>
      <c r="T58" s="708"/>
      <c r="U58" s="707"/>
      <c r="V58" s="706"/>
      <c r="W58" s="707"/>
      <c r="X58" s="707"/>
      <c r="Y58" s="706"/>
      <c r="Z58" s="706"/>
      <c r="AA58" s="707"/>
      <c r="AB58" s="708"/>
      <c r="AC58" s="710"/>
      <c r="AD58" s="706"/>
      <c r="AE58" s="706"/>
      <c r="AF58" s="706"/>
      <c r="AG58" s="706"/>
      <c r="AH58" s="706"/>
      <c r="AI58" s="707"/>
      <c r="AJ58" s="708"/>
      <c r="AK58" s="710"/>
      <c r="AL58" s="706"/>
      <c r="AM58" s="706"/>
      <c r="AN58" s="706"/>
      <c r="AO58" s="706"/>
      <c r="AP58" s="706"/>
      <c r="AQ58" s="707"/>
      <c r="AR58" s="711"/>
      <c r="AS58" s="706"/>
      <c r="AT58" s="706"/>
      <c r="AU58" s="706"/>
      <c r="AV58" s="706"/>
      <c r="AW58" s="706"/>
      <c r="AX58" s="706"/>
      <c r="AY58" s="707"/>
      <c r="AZ58" s="708"/>
      <c r="BA58" s="706"/>
      <c r="BB58" s="706"/>
      <c r="BC58" s="706"/>
      <c r="BD58" s="706"/>
      <c r="BE58" s="706"/>
      <c r="BF58" s="706"/>
      <c r="BG58" s="707"/>
      <c r="BH58" s="708"/>
      <c r="BI58" s="710"/>
      <c r="BJ58" s="706"/>
      <c r="BK58" s="706"/>
      <c r="BL58" s="706"/>
      <c r="BM58" s="706"/>
      <c r="BN58" s="706"/>
      <c r="BO58" s="707"/>
      <c r="BP58" s="708"/>
      <c r="BQ58" s="710"/>
      <c r="BR58" s="706"/>
      <c r="BS58" s="706"/>
      <c r="BT58" s="706"/>
      <c r="BU58" s="706"/>
      <c r="BV58" s="706"/>
      <c r="BW58" s="707"/>
      <c r="BX58" s="709"/>
    </row>
    <row r="59" spans="1:76" ht="30" customHeight="1" x14ac:dyDescent="0.2">
      <c r="A59" s="715">
        <v>53</v>
      </c>
      <c r="B59" s="705" t="s">
        <v>255</v>
      </c>
      <c r="C59" s="705" t="s">
        <v>1115</v>
      </c>
      <c r="D59" s="631">
        <v>104917</v>
      </c>
      <c r="E59" s="706"/>
      <c r="F59" s="706"/>
      <c r="G59" s="706"/>
      <c r="H59" s="706"/>
      <c r="I59" s="706"/>
      <c r="J59" s="707"/>
      <c r="K59" s="708"/>
      <c r="L59" s="708"/>
      <c r="M59" s="706"/>
      <c r="N59" s="706"/>
      <c r="O59" s="706"/>
      <c r="P59" s="706"/>
      <c r="Q59" s="706"/>
      <c r="R59" s="706"/>
      <c r="S59" s="707"/>
      <c r="T59" s="708"/>
      <c r="U59" s="707"/>
      <c r="V59" s="706"/>
      <c r="W59" s="707"/>
      <c r="X59" s="707"/>
      <c r="Y59" s="706"/>
      <c r="Z59" s="706"/>
      <c r="AA59" s="707"/>
      <c r="AB59" s="708"/>
      <c r="AC59" s="710"/>
      <c r="AD59" s="706"/>
      <c r="AE59" s="706"/>
      <c r="AF59" s="706"/>
      <c r="AG59" s="706"/>
      <c r="AH59" s="706"/>
      <c r="AI59" s="707"/>
      <c r="AJ59" s="708"/>
      <c r="AK59" s="710"/>
      <c r="AL59" s="706"/>
      <c r="AM59" s="706"/>
      <c r="AN59" s="706"/>
      <c r="AO59" s="706"/>
      <c r="AP59" s="706"/>
      <c r="AQ59" s="707"/>
      <c r="AR59" s="711"/>
      <c r="AS59" s="706"/>
      <c r="AT59" s="706"/>
      <c r="AU59" s="706"/>
      <c r="AV59" s="706"/>
      <c r="AW59" s="706"/>
      <c r="AX59" s="706"/>
      <c r="AY59" s="707"/>
      <c r="AZ59" s="708"/>
      <c r="BA59" s="706"/>
      <c r="BB59" s="706"/>
      <c r="BC59" s="706"/>
      <c r="BD59" s="706"/>
      <c r="BE59" s="706"/>
      <c r="BF59" s="706"/>
      <c r="BG59" s="707"/>
      <c r="BH59" s="708"/>
      <c r="BI59" s="710"/>
      <c r="BJ59" s="706"/>
      <c r="BK59" s="706"/>
      <c r="BL59" s="706"/>
      <c r="BM59" s="706"/>
      <c r="BN59" s="706"/>
      <c r="BO59" s="707"/>
      <c r="BP59" s="708"/>
      <c r="BQ59" s="710"/>
      <c r="BR59" s="706"/>
      <c r="BS59" s="706"/>
      <c r="BT59" s="706"/>
      <c r="BU59" s="706"/>
      <c r="BV59" s="706"/>
      <c r="BW59" s="707"/>
      <c r="BX59" s="709"/>
    </row>
    <row r="60" spans="1:76" ht="30" customHeight="1" x14ac:dyDescent="0.2">
      <c r="A60" s="715">
        <v>54</v>
      </c>
      <c r="B60" s="705" t="s">
        <v>255</v>
      </c>
      <c r="C60" s="705" t="s">
        <v>271</v>
      </c>
      <c r="D60" s="631">
        <v>244</v>
      </c>
      <c r="E60" s="706"/>
      <c r="F60" s="706"/>
      <c r="G60" s="706"/>
      <c r="H60" s="706"/>
      <c r="I60" s="706"/>
      <c r="J60" s="707"/>
      <c r="K60" s="708"/>
      <c r="L60" s="708"/>
      <c r="M60" s="706"/>
      <c r="N60" s="706"/>
      <c r="O60" s="706"/>
      <c r="P60" s="706"/>
      <c r="Q60" s="706"/>
      <c r="R60" s="706"/>
      <c r="S60" s="707"/>
      <c r="T60" s="708"/>
      <c r="U60" s="707" t="s">
        <v>1104</v>
      </c>
      <c r="V60" s="706" t="s">
        <v>1229</v>
      </c>
      <c r="W60" s="707" t="s">
        <v>1242</v>
      </c>
      <c r="X60" s="707">
        <v>44153</v>
      </c>
      <c r="Y60" s="706" t="s">
        <v>1224</v>
      </c>
      <c r="Z60" s="706" t="s">
        <v>1243</v>
      </c>
      <c r="AA60" s="707" t="s">
        <v>89</v>
      </c>
      <c r="AB60" s="708"/>
      <c r="AC60" s="710"/>
      <c r="AD60" s="706"/>
      <c r="AE60" s="706"/>
      <c r="AF60" s="706"/>
      <c r="AG60" s="706"/>
      <c r="AH60" s="706"/>
      <c r="AI60" s="707"/>
      <c r="AJ60" s="708"/>
      <c r="AK60" s="710"/>
      <c r="AL60" s="706"/>
      <c r="AM60" s="706"/>
      <c r="AN60" s="706"/>
      <c r="AO60" s="706"/>
      <c r="AP60" s="706"/>
      <c r="AQ60" s="707"/>
      <c r="AR60" s="711"/>
      <c r="AS60" s="706"/>
      <c r="AT60" s="706"/>
      <c r="AU60" s="706"/>
      <c r="AV60" s="706"/>
      <c r="AW60" s="706"/>
      <c r="AX60" s="706"/>
      <c r="AY60" s="707"/>
      <c r="AZ60" s="708"/>
      <c r="BA60" s="706"/>
      <c r="BB60" s="706"/>
      <c r="BC60" s="706"/>
      <c r="BD60" s="706"/>
      <c r="BE60" s="706"/>
      <c r="BF60" s="706"/>
      <c r="BG60" s="707"/>
      <c r="BH60" s="708"/>
      <c r="BI60" s="710"/>
      <c r="BJ60" s="706"/>
      <c r="BK60" s="706"/>
      <c r="BL60" s="706"/>
      <c r="BM60" s="706"/>
      <c r="BN60" s="706"/>
      <c r="BO60" s="707"/>
      <c r="BP60" s="708"/>
      <c r="BQ60" s="710"/>
      <c r="BR60" s="706"/>
      <c r="BS60" s="706"/>
      <c r="BT60" s="706"/>
      <c r="BU60" s="706"/>
      <c r="BV60" s="706"/>
      <c r="BW60" s="707"/>
      <c r="BX60" s="709"/>
    </row>
    <row r="61" spans="1:76" ht="30" customHeight="1" x14ac:dyDescent="0.2">
      <c r="A61" s="715">
        <v>55</v>
      </c>
      <c r="B61" s="705" t="s">
        <v>255</v>
      </c>
      <c r="C61" s="705" t="s">
        <v>318</v>
      </c>
      <c r="D61" s="631">
        <v>106126</v>
      </c>
      <c r="E61" s="706"/>
      <c r="F61" s="706"/>
      <c r="G61" s="706"/>
      <c r="H61" s="706"/>
      <c r="I61" s="706"/>
      <c r="J61" s="707"/>
      <c r="K61" s="708"/>
      <c r="L61" s="708"/>
      <c r="M61" s="706"/>
      <c r="N61" s="706"/>
      <c r="O61" s="706"/>
      <c r="P61" s="706"/>
      <c r="Q61" s="706"/>
      <c r="R61" s="706"/>
      <c r="S61" s="707"/>
      <c r="T61" s="708"/>
      <c r="U61" s="707"/>
      <c r="V61" s="706"/>
      <c r="W61" s="707"/>
      <c r="X61" s="707"/>
      <c r="Y61" s="706"/>
      <c r="Z61" s="706"/>
      <c r="AA61" s="707"/>
      <c r="AB61" s="708"/>
      <c r="AC61" s="710"/>
      <c r="AD61" s="706"/>
      <c r="AE61" s="706"/>
      <c r="AF61" s="706"/>
      <c r="AG61" s="706"/>
      <c r="AH61" s="706"/>
      <c r="AI61" s="707"/>
      <c r="AJ61" s="708"/>
      <c r="AK61" s="710"/>
      <c r="AL61" s="706"/>
      <c r="AM61" s="706"/>
      <c r="AN61" s="706"/>
      <c r="AO61" s="706"/>
      <c r="AP61" s="706"/>
      <c r="AQ61" s="707"/>
      <c r="AR61" s="711"/>
      <c r="AS61" s="706"/>
      <c r="AT61" s="706"/>
      <c r="AU61" s="706"/>
      <c r="AV61" s="706"/>
      <c r="AW61" s="706"/>
      <c r="AX61" s="706"/>
      <c r="AY61" s="707"/>
      <c r="AZ61" s="708"/>
      <c r="BA61" s="706"/>
      <c r="BB61" s="706"/>
      <c r="BC61" s="706"/>
      <c r="BD61" s="706"/>
      <c r="BE61" s="706"/>
      <c r="BF61" s="706"/>
      <c r="BG61" s="707"/>
      <c r="BH61" s="708"/>
      <c r="BI61" s="710"/>
      <c r="BJ61" s="706"/>
      <c r="BK61" s="706"/>
      <c r="BL61" s="706"/>
      <c r="BM61" s="706"/>
      <c r="BN61" s="706"/>
      <c r="BO61" s="707"/>
      <c r="BP61" s="708"/>
      <c r="BQ61" s="710"/>
      <c r="BR61" s="706"/>
      <c r="BS61" s="706"/>
      <c r="BT61" s="706"/>
      <c r="BU61" s="706"/>
      <c r="BV61" s="706"/>
      <c r="BW61" s="707"/>
      <c r="BX61" s="709"/>
    </row>
    <row r="62" spans="1:76" ht="30" customHeight="1" x14ac:dyDescent="0.2">
      <c r="A62" s="715">
        <v>56</v>
      </c>
      <c r="B62" s="705" t="s">
        <v>255</v>
      </c>
      <c r="C62" s="705" t="s">
        <v>310</v>
      </c>
      <c r="D62" s="631">
        <v>5269</v>
      </c>
      <c r="E62" s="706"/>
      <c r="F62" s="706"/>
      <c r="G62" s="706"/>
      <c r="H62" s="706"/>
      <c r="I62" s="706"/>
      <c r="J62" s="707"/>
      <c r="K62" s="708"/>
      <c r="L62" s="708"/>
      <c r="M62" s="706"/>
      <c r="N62" s="706"/>
      <c r="O62" s="706"/>
      <c r="P62" s="706"/>
      <c r="Q62" s="706"/>
      <c r="R62" s="706"/>
      <c r="S62" s="707"/>
      <c r="T62" s="708"/>
      <c r="U62" s="707"/>
      <c r="V62" s="706"/>
      <c r="W62" s="707"/>
      <c r="X62" s="707"/>
      <c r="Y62" s="706"/>
      <c r="Z62" s="706"/>
      <c r="AA62" s="707"/>
      <c r="AB62" s="708"/>
      <c r="AC62" s="710" t="s">
        <v>1104</v>
      </c>
      <c r="AD62" s="706" t="s">
        <v>1217</v>
      </c>
      <c r="AE62" s="706" t="s">
        <v>1218</v>
      </c>
      <c r="AF62" s="706"/>
      <c r="AG62" s="706" t="s">
        <v>1219</v>
      </c>
      <c r="AH62" s="706" t="s">
        <v>1220</v>
      </c>
      <c r="AI62" s="707"/>
      <c r="AJ62" s="708"/>
      <c r="AK62" s="710"/>
      <c r="AL62" s="706"/>
      <c r="AM62" s="706"/>
      <c r="AN62" s="706"/>
      <c r="AO62" s="706"/>
      <c r="AP62" s="706"/>
      <c r="AQ62" s="707"/>
      <c r="AR62" s="711"/>
      <c r="AS62" s="706"/>
      <c r="AT62" s="706"/>
      <c r="AU62" s="706"/>
      <c r="AV62" s="706"/>
      <c r="AW62" s="706"/>
      <c r="AX62" s="706"/>
      <c r="AY62" s="707"/>
      <c r="AZ62" s="708"/>
      <c r="BA62" s="706"/>
      <c r="BB62" s="706"/>
      <c r="BC62" s="706"/>
      <c r="BD62" s="706"/>
      <c r="BE62" s="706"/>
      <c r="BF62" s="706"/>
      <c r="BG62" s="707"/>
      <c r="BH62" s="708"/>
      <c r="BI62" s="710"/>
      <c r="BJ62" s="706"/>
      <c r="BK62" s="706"/>
      <c r="BL62" s="706"/>
      <c r="BM62" s="706"/>
      <c r="BN62" s="706"/>
      <c r="BO62" s="707"/>
      <c r="BP62" s="708"/>
      <c r="BQ62" s="710"/>
      <c r="BR62" s="706"/>
      <c r="BS62" s="706"/>
      <c r="BT62" s="706"/>
      <c r="BU62" s="706"/>
      <c r="BV62" s="706"/>
      <c r="BW62" s="707"/>
      <c r="BX62" s="709"/>
    </row>
    <row r="63" spans="1:76" ht="30" customHeight="1" x14ac:dyDescent="0.2">
      <c r="A63" s="715">
        <v>57</v>
      </c>
      <c r="B63" s="705" t="s">
        <v>255</v>
      </c>
      <c r="C63" s="705" t="s">
        <v>260</v>
      </c>
      <c r="D63" s="631">
        <v>5268</v>
      </c>
      <c r="E63" s="706"/>
      <c r="F63" s="706"/>
      <c r="G63" s="706"/>
      <c r="H63" s="706"/>
      <c r="I63" s="706"/>
      <c r="J63" s="707"/>
      <c r="K63" s="708"/>
      <c r="L63" s="708"/>
      <c r="M63" s="706" t="s">
        <v>1104</v>
      </c>
      <c r="N63" s="706" t="s">
        <v>1229</v>
      </c>
      <c r="O63" s="706" t="s">
        <v>1218</v>
      </c>
      <c r="P63" s="706"/>
      <c r="Q63" s="706" t="s">
        <v>1219</v>
      </c>
      <c r="R63" s="706" t="s">
        <v>1220</v>
      </c>
      <c r="S63" s="707"/>
      <c r="T63" s="708"/>
      <c r="U63" s="707"/>
      <c r="V63" s="706"/>
      <c r="W63" s="707"/>
      <c r="X63" s="707"/>
      <c r="Y63" s="706"/>
      <c r="Z63" s="706"/>
      <c r="AA63" s="707"/>
      <c r="AB63" s="708"/>
      <c r="AC63" s="710"/>
      <c r="AD63" s="706"/>
      <c r="AE63" s="706"/>
      <c r="AF63" s="706"/>
      <c r="AG63" s="706"/>
      <c r="AH63" s="706"/>
      <c r="AI63" s="707"/>
      <c r="AJ63" s="708"/>
      <c r="AK63" s="710"/>
      <c r="AL63" s="706"/>
      <c r="AM63" s="706"/>
      <c r="AN63" s="706"/>
      <c r="AO63" s="706"/>
      <c r="AP63" s="706"/>
      <c r="AQ63" s="707"/>
      <c r="AR63" s="711"/>
      <c r="AS63" s="706"/>
      <c r="AT63" s="706"/>
      <c r="AU63" s="706"/>
      <c r="AV63" s="706"/>
      <c r="AW63" s="706"/>
      <c r="AX63" s="706"/>
      <c r="AY63" s="707"/>
      <c r="AZ63" s="708"/>
      <c r="BA63" s="706"/>
      <c r="BB63" s="706"/>
      <c r="BC63" s="706"/>
      <c r="BD63" s="706"/>
      <c r="BE63" s="706"/>
      <c r="BF63" s="706"/>
      <c r="BG63" s="707"/>
      <c r="BH63" s="708"/>
      <c r="BI63" s="710"/>
      <c r="BJ63" s="706"/>
      <c r="BK63" s="706"/>
      <c r="BL63" s="706"/>
      <c r="BM63" s="706"/>
      <c r="BN63" s="706"/>
      <c r="BO63" s="707"/>
      <c r="BP63" s="708"/>
      <c r="BQ63" s="710"/>
      <c r="BR63" s="706"/>
      <c r="BS63" s="706"/>
      <c r="BT63" s="706"/>
      <c r="BU63" s="706"/>
      <c r="BV63" s="706"/>
      <c r="BW63" s="707"/>
      <c r="BX63" s="709"/>
    </row>
    <row r="64" spans="1:76" ht="30" customHeight="1" x14ac:dyDescent="0.2">
      <c r="A64" s="715">
        <v>58</v>
      </c>
      <c r="B64" s="705" t="s">
        <v>255</v>
      </c>
      <c r="C64" s="705" t="s">
        <v>968</v>
      </c>
      <c r="D64" s="631">
        <v>55202</v>
      </c>
      <c r="E64" s="706" t="s">
        <v>1104</v>
      </c>
      <c r="F64" s="706" t="s">
        <v>1217</v>
      </c>
      <c r="G64" s="706" t="s">
        <v>1218</v>
      </c>
      <c r="H64" s="706"/>
      <c r="I64" s="706" t="s">
        <v>1224</v>
      </c>
      <c r="J64" s="706" t="s">
        <v>1220</v>
      </c>
      <c r="K64" s="708"/>
      <c r="L64" s="708"/>
      <c r="M64" s="706"/>
      <c r="N64" s="706"/>
      <c r="O64" s="706"/>
      <c r="P64" s="706"/>
      <c r="Q64" s="706"/>
      <c r="R64" s="706"/>
      <c r="S64" s="707"/>
      <c r="T64" s="708"/>
      <c r="U64" s="707"/>
      <c r="V64" s="706"/>
      <c r="W64" s="707"/>
      <c r="X64" s="707"/>
      <c r="Y64" s="706"/>
      <c r="Z64" s="706"/>
      <c r="AA64" s="707"/>
      <c r="AB64" s="708"/>
      <c r="AC64" s="710"/>
      <c r="AD64" s="706"/>
      <c r="AE64" s="706"/>
      <c r="AF64" s="706"/>
      <c r="AG64" s="706"/>
      <c r="AH64" s="706"/>
      <c r="AI64" s="707"/>
      <c r="AJ64" s="708"/>
      <c r="AK64" s="710"/>
      <c r="AL64" s="706"/>
      <c r="AM64" s="706"/>
      <c r="AN64" s="706"/>
      <c r="AO64" s="706"/>
      <c r="AP64" s="706"/>
      <c r="AQ64" s="707"/>
      <c r="AR64" s="711"/>
      <c r="AS64" s="706"/>
      <c r="AT64" s="706"/>
      <c r="AU64" s="706"/>
      <c r="AV64" s="706"/>
      <c r="AW64" s="706"/>
      <c r="AX64" s="706"/>
      <c r="AY64" s="707"/>
      <c r="AZ64" s="708"/>
      <c r="BA64" s="706"/>
      <c r="BB64" s="706"/>
      <c r="BC64" s="706"/>
      <c r="BD64" s="706"/>
      <c r="BE64" s="706"/>
      <c r="BF64" s="706"/>
      <c r="BG64" s="707"/>
      <c r="BH64" s="708"/>
      <c r="BI64" s="710"/>
      <c r="BJ64" s="706"/>
      <c r="BK64" s="706"/>
      <c r="BL64" s="706"/>
      <c r="BM64" s="706"/>
      <c r="BN64" s="706"/>
      <c r="BO64" s="707"/>
      <c r="BP64" s="708"/>
      <c r="BQ64" s="710"/>
      <c r="BR64" s="706"/>
      <c r="BS64" s="706"/>
      <c r="BT64" s="706"/>
      <c r="BU64" s="706"/>
      <c r="BV64" s="706"/>
      <c r="BW64" s="707"/>
      <c r="BX64" s="709"/>
    </row>
    <row r="65" spans="1:76" ht="30" customHeight="1" x14ac:dyDescent="0.2">
      <c r="A65" s="716">
        <v>59</v>
      </c>
      <c r="B65" s="705" t="s">
        <v>333</v>
      </c>
      <c r="C65" s="705" t="s">
        <v>408</v>
      </c>
      <c r="D65" s="631">
        <v>232</v>
      </c>
      <c r="E65" s="706"/>
      <c r="F65" s="706"/>
      <c r="G65" s="706"/>
      <c r="H65" s="706"/>
      <c r="I65" s="706"/>
      <c r="J65" s="707"/>
      <c r="K65" s="708"/>
      <c r="L65" s="708"/>
      <c r="M65" s="706"/>
      <c r="N65" s="706"/>
      <c r="O65" s="706"/>
      <c r="P65" s="706"/>
      <c r="Q65" s="706"/>
      <c r="R65" s="706"/>
      <c r="S65" s="707"/>
      <c r="T65" s="708"/>
      <c r="U65" s="707"/>
      <c r="V65" s="706"/>
      <c r="W65" s="707"/>
      <c r="X65" s="707"/>
      <c r="Y65" s="706"/>
      <c r="Z65" s="706"/>
      <c r="AA65" s="707"/>
      <c r="AB65" s="708"/>
      <c r="AC65" s="710"/>
      <c r="AD65" s="706"/>
      <c r="AE65" s="706"/>
      <c r="AF65" s="706"/>
      <c r="AG65" s="706"/>
      <c r="AH65" s="706"/>
      <c r="AI65" s="707"/>
      <c r="AJ65" s="708"/>
      <c r="AK65" s="710" t="s">
        <v>1104</v>
      </c>
      <c r="AL65" s="706" t="s">
        <v>1217</v>
      </c>
      <c r="AM65" s="706" t="s">
        <v>1218</v>
      </c>
      <c r="AN65" s="706"/>
      <c r="AO65" s="706" t="s">
        <v>1219</v>
      </c>
      <c r="AP65" s="706" t="s">
        <v>1220</v>
      </c>
      <c r="AQ65" s="707"/>
      <c r="AR65" s="711"/>
      <c r="AS65" s="706"/>
      <c r="AT65" s="706"/>
      <c r="AU65" s="706"/>
      <c r="AV65" s="706"/>
      <c r="AW65" s="706"/>
      <c r="AX65" s="706"/>
      <c r="AY65" s="707"/>
      <c r="AZ65" s="708"/>
      <c r="BA65" s="706" t="s">
        <v>1104</v>
      </c>
      <c r="BB65" s="706" t="s">
        <v>1223</v>
      </c>
      <c r="BC65" s="706" t="s">
        <v>1225</v>
      </c>
      <c r="BD65" s="706"/>
      <c r="BE65" s="706" t="s">
        <v>1219</v>
      </c>
      <c r="BF65" s="706" t="s">
        <v>1220</v>
      </c>
      <c r="BG65" s="707"/>
      <c r="BH65" s="708"/>
      <c r="BI65" s="710"/>
      <c r="BJ65" s="706"/>
      <c r="BK65" s="706"/>
      <c r="BL65" s="706"/>
      <c r="BM65" s="706"/>
      <c r="BN65" s="706"/>
      <c r="BO65" s="707"/>
      <c r="BP65" s="708"/>
      <c r="BQ65" s="710"/>
      <c r="BR65" s="706"/>
      <c r="BS65" s="706"/>
      <c r="BT65" s="706"/>
      <c r="BU65" s="706"/>
      <c r="BV65" s="706"/>
      <c r="BW65" s="707"/>
      <c r="BX65" s="709"/>
    </row>
    <row r="66" spans="1:76" ht="30" customHeight="1" x14ac:dyDescent="0.2">
      <c r="A66" s="716">
        <v>60</v>
      </c>
      <c r="B66" s="705" t="s">
        <v>333</v>
      </c>
      <c r="C66" s="705" t="s">
        <v>351</v>
      </c>
      <c r="D66" s="631">
        <v>51767</v>
      </c>
      <c r="E66" s="706" t="s">
        <v>1104</v>
      </c>
      <c r="F66" s="706" t="s">
        <v>1223</v>
      </c>
      <c r="G66" s="706" t="s">
        <v>1218</v>
      </c>
      <c r="H66" s="706"/>
      <c r="I66" s="706" t="s">
        <v>1219</v>
      </c>
      <c r="J66" s="707" t="s">
        <v>1220</v>
      </c>
      <c r="K66" s="708"/>
      <c r="L66" s="708"/>
      <c r="M66" s="706"/>
      <c r="N66" s="706"/>
      <c r="O66" s="706"/>
      <c r="P66" s="706"/>
      <c r="Q66" s="706"/>
      <c r="R66" s="706"/>
      <c r="S66" s="707"/>
      <c r="T66" s="708"/>
      <c r="U66" s="707"/>
      <c r="V66" s="706"/>
      <c r="W66" s="707"/>
      <c r="X66" s="707"/>
      <c r="Y66" s="706"/>
      <c r="Z66" s="706"/>
      <c r="AA66" s="707"/>
      <c r="AB66" s="708"/>
      <c r="AC66" s="710" t="s">
        <v>1104</v>
      </c>
      <c r="AD66" s="706" t="s">
        <v>1223</v>
      </c>
      <c r="AE66" s="706" t="s">
        <v>1225</v>
      </c>
      <c r="AF66" s="706"/>
      <c r="AG66" s="706" t="s">
        <v>1219</v>
      </c>
      <c r="AH66" s="706" t="s">
        <v>1220</v>
      </c>
      <c r="AI66" s="707"/>
      <c r="AJ66" s="708"/>
      <c r="AK66" s="710"/>
      <c r="AL66" s="706"/>
      <c r="AM66" s="706"/>
      <c r="AN66" s="706"/>
      <c r="AO66" s="706"/>
      <c r="AP66" s="706"/>
      <c r="AQ66" s="707"/>
      <c r="AR66" s="711"/>
      <c r="AS66" s="706"/>
      <c r="AT66" s="706"/>
      <c r="AU66" s="706"/>
      <c r="AV66" s="706"/>
      <c r="AW66" s="706"/>
      <c r="AX66" s="706"/>
      <c r="AY66" s="707"/>
      <c r="AZ66" s="708"/>
      <c r="BA66" s="706"/>
      <c r="BB66" s="706"/>
      <c r="BC66" s="706"/>
      <c r="BD66" s="706"/>
      <c r="BE66" s="706"/>
      <c r="BF66" s="706"/>
      <c r="BG66" s="707"/>
      <c r="BH66" s="708"/>
      <c r="BI66" s="710"/>
      <c r="BJ66" s="706"/>
      <c r="BK66" s="706"/>
      <c r="BL66" s="706"/>
      <c r="BM66" s="706"/>
      <c r="BN66" s="706"/>
      <c r="BO66" s="707"/>
      <c r="BP66" s="708"/>
      <c r="BQ66" s="710"/>
      <c r="BR66" s="706"/>
      <c r="BS66" s="706"/>
      <c r="BT66" s="706"/>
      <c r="BU66" s="706"/>
      <c r="BV66" s="706"/>
      <c r="BW66" s="707"/>
      <c r="BX66" s="709"/>
    </row>
    <row r="67" spans="1:76" ht="30" customHeight="1" x14ac:dyDescent="0.2">
      <c r="A67" s="716">
        <v>61</v>
      </c>
      <c r="B67" s="705" t="s">
        <v>333</v>
      </c>
      <c r="C67" s="705" t="s">
        <v>367</v>
      </c>
      <c r="D67" s="631">
        <v>105733</v>
      </c>
      <c r="E67" s="706"/>
      <c r="F67" s="706"/>
      <c r="G67" s="706"/>
      <c r="H67" s="706"/>
      <c r="I67" s="706"/>
      <c r="J67" s="707"/>
      <c r="K67" s="708"/>
      <c r="L67" s="708"/>
      <c r="M67" s="706"/>
      <c r="N67" s="706"/>
      <c r="O67" s="706"/>
      <c r="P67" s="706"/>
      <c r="Q67" s="706"/>
      <c r="R67" s="706"/>
      <c r="S67" s="707"/>
      <c r="T67" s="708"/>
      <c r="U67" s="707"/>
      <c r="V67" s="706"/>
      <c r="W67" s="707"/>
      <c r="X67" s="707"/>
      <c r="Y67" s="706"/>
      <c r="Z67" s="706"/>
      <c r="AA67" s="707"/>
      <c r="AB67" s="708"/>
      <c r="AC67" s="710"/>
      <c r="AD67" s="706"/>
      <c r="AE67" s="706"/>
      <c r="AF67" s="706"/>
      <c r="AG67" s="706"/>
      <c r="AH67" s="706"/>
      <c r="AI67" s="707"/>
      <c r="AJ67" s="708"/>
      <c r="AK67" s="710"/>
      <c r="AL67" s="706"/>
      <c r="AM67" s="706"/>
      <c r="AN67" s="706"/>
      <c r="AO67" s="706"/>
      <c r="AP67" s="706"/>
      <c r="AQ67" s="707"/>
      <c r="AR67" s="711"/>
      <c r="AS67" s="706"/>
      <c r="AT67" s="706"/>
      <c r="AU67" s="706"/>
      <c r="AV67" s="706"/>
      <c r="AW67" s="706"/>
      <c r="AX67" s="706"/>
      <c r="AY67" s="707"/>
      <c r="AZ67" s="708"/>
      <c r="BA67" s="706"/>
      <c r="BB67" s="706"/>
      <c r="BC67" s="706"/>
      <c r="BD67" s="706"/>
      <c r="BE67" s="706"/>
      <c r="BF67" s="706"/>
      <c r="BG67" s="707"/>
      <c r="BH67" s="708"/>
      <c r="BI67" s="710"/>
      <c r="BJ67" s="706"/>
      <c r="BK67" s="706"/>
      <c r="BL67" s="706"/>
      <c r="BM67" s="706"/>
      <c r="BN67" s="706"/>
      <c r="BO67" s="707"/>
      <c r="BP67" s="708"/>
      <c r="BQ67" s="710"/>
      <c r="BR67" s="706"/>
      <c r="BS67" s="706"/>
      <c r="BT67" s="706"/>
      <c r="BU67" s="706"/>
      <c r="BV67" s="706"/>
      <c r="BW67" s="707"/>
      <c r="BX67" s="709"/>
    </row>
    <row r="68" spans="1:76" ht="30" customHeight="1" x14ac:dyDescent="0.2">
      <c r="A68" s="716">
        <v>62</v>
      </c>
      <c r="B68" s="705" t="s">
        <v>333</v>
      </c>
      <c r="C68" s="705" t="s">
        <v>1121</v>
      </c>
      <c r="D68" s="631">
        <v>105457</v>
      </c>
      <c r="E68" s="706"/>
      <c r="F68" s="706"/>
      <c r="G68" s="706"/>
      <c r="H68" s="706"/>
      <c r="I68" s="706"/>
      <c r="J68" s="707"/>
      <c r="K68" s="708"/>
      <c r="L68" s="708"/>
      <c r="M68" s="706"/>
      <c r="N68" s="706"/>
      <c r="O68" s="706"/>
      <c r="P68" s="706"/>
      <c r="Q68" s="706"/>
      <c r="R68" s="706"/>
      <c r="S68" s="707"/>
      <c r="T68" s="708"/>
      <c r="U68" s="707"/>
      <c r="V68" s="706"/>
      <c r="W68" s="707"/>
      <c r="X68" s="707"/>
      <c r="Y68" s="706"/>
      <c r="Z68" s="706"/>
      <c r="AA68" s="707"/>
      <c r="AB68" s="708"/>
      <c r="AC68" s="710"/>
      <c r="AD68" s="706"/>
      <c r="AE68" s="706"/>
      <c r="AF68" s="706"/>
      <c r="AG68" s="706"/>
      <c r="AH68" s="706"/>
      <c r="AI68" s="707"/>
      <c r="AJ68" s="708"/>
      <c r="AK68" s="710"/>
      <c r="AL68" s="706"/>
      <c r="AM68" s="706"/>
      <c r="AN68" s="706"/>
      <c r="AO68" s="706"/>
      <c r="AP68" s="706"/>
      <c r="AQ68" s="707"/>
      <c r="AR68" s="711"/>
      <c r="AS68" s="706"/>
      <c r="AT68" s="706"/>
      <c r="AU68" s="706"/>
      <c r="AV68" s="706"/>
      <c r="AW68" s="706"/>
      <c r="AX68" s="706"/>
      <c r="AY68" s="707"/>
      <c r="AZ68" s="708"/>
      <c r="BA68" s="706"/>
      <c r="BB68" s="706"/>
      <c r="BC68" s="706"/>
      <c r="BD68" s="706"/>
      <c r="BE68" s="706"/>
      <c r="BF68" s="706"/>
      <c r="BG68" s="707"/>
      <c r="BH68" s="708"/>
      <c r="BI68" s="710"/>
      <c r="BJ68" s="706"/>
      <c r="BK68" s="706"/>
      <c r="BL68" s="706"/>
      <c r="BM68" s="706"/>
      <c r="BN68" s="706"/>
      <c r="BO68" s="707"/>
      <c r="BP68" s="708"/>
      <c r="BQ68" s="710"/>
      <c r="BR68" s="706"/>
      <c r="BS68" s="706"/>
      <c r="BT68" s="706"/>
      <c r="BU68" s="706"/>
      <c r="BV68" s="706"/>
      <c r="BW68" s="707"/>
      <c r="BX68" s="709"/>
    </row>
    <row r="69" spans="1:76" ht="30" customHeight="1" x14ac:dyDescent="0.2">
      <c r="A69" s="716">
        <v>63</v>
      </c>
      <c r="B69" s="705" t="s">
        <v>333</v>
      </c>
      <c r="C69" s="705" t="s">
        <v>1060</v>
      </c>
      <c r="D69" s="631">
        <v>11967</v>
      </c>
      <c r="E69" s="706"/>
      <c r="F69" s="706"/>
      <c r="G69" s="706"/>
      <c r="H69" s="706"/>
      <c r="I69" s="706"/>
      <c r="J69" s="707"/>
      <c r="K69" s="708"/>
      <c r="L69" s="708"/>
      <c r="M69" s="706" t="s">
        <v>1104</v>
      </c>
      <c r="N69" s="706" t="s">
        <v>1217</v>
      </c>
      <c r="O69" s="706" t="s">
        <v>1218</v>
      </c>
      <c r="P69" s="706"/>
      <c r="Q69" s="706" t="s">
        <v>1219</v>
      </c>
      <c r="R69" s="706" t="s">
        <v>1220</v>
      </c>
      <c r="S69" s="707"/>
      <c r="T69" s="708"/>
      <c r="U69" s="707"/>
      <c r="V69" s="706"/>
      <c r="W69" s="707"/>
      <c r="X69" s="707"/>
      <c r="Y69" s="706"/>
      <c r="Z69" s="706"/>
      <c r="AA69" s="707"/>
      <c r="AB69" s="708"/>
      <c r="AC69" s="710"/>
      <c r="AD69" s="706"/>
      <c r="AE69" s="706"/>
      <c r="AF69" s="706"/>
      <c r="AG69" s="706"/>
      <c r="AH69" s="706"/>
      <c r="AI69" s="707"/>
      <c r="AJ69" s="708"/>
      <c r="AK69" s="710"/>
      <c r="AL69" s="706"/>
      <c r="AM69" s="706"/>
      <c r="AN69" s="706"/>
      <c r="AO69" s="706"/>
      <c r="AP69" s="706"/>
      <c r="AQ69" s="707"/>
      <c r="AR69" s="711"/>
      <c r="AS69" s="706"/>
      <c r="AT69" s="706"/>
      <c r="AU69" s="706"/>
      <c r="AV69" s="706"/>
      <c r="AW69" s="706"/>
      <c r="AX69" s="706"/>
      <c r="AY69" s="707"/>
      <c r="AZ69" s="708"/>
      <c r="BA69" s="706"/>
      <c r="BB69" s="706"/>
      <c r="BC69" s="706"/>
      <c r="BD69" s="706"/>
      <c r="BE69" s="706"/>
      <c r="BF69" s="706"/>
      <c r="BG69" s="707"/>
      <c r="BH69" s="708"/>
      <c r="BI69" s="710"/>
      <c r="BJ69" s="706"/>
      <c r="BK69" s="706"/>
      <c r="BL69" s="706"/>
      <c r="BM69" s="706"/>
      <c r="BN69" s="706"/>
      <c r="BO69" s="707"/>
      <c r="BP69" s="708"/>
      <c r="BQ69" s="710"/>
      <c r="BR69" s="706"/>
      <c r="BS69" s="706"/>
      <c r="BT69" s="706"/>
      <c r="BU69" s="706"/>
      <c r="BV69" s="706"/>
      <c r="BW69" s="707"/>
      <c r="BX69" s="709"/>
    </row>
    <row r="70" spans="1:76" ht="30" customHeight="1" x14ac:dyDescent="0.2">
      <c r="A70" s="716">
        <v>64</v>
      </c>
      <c r="B70" s="705" t="s">
        <v>333</v>
      </c>
      <c r="C70" s="705" t="s">
        <v>1059</v>
      </c>
      <c r="D70" s="631">
        <v>4493</v>
      </c>
      <c r="E70" s="706"/>
      <c r="F70" s="706"/>
      <c r="G70" s="706"/>
      <c r="H70" s="706"/>
      <c r="I70" s="706"/>
      <c r="J70" s="707"/>
      <c r="K70" s="708"/>
      <c r="L70" s="708"/>
      <c r="M70" s="706"/>
      <c r="N70" s="706"/>
      <c r="O70" s="706"/>
      <c r="P70" s="706"/>
      <c r="Q70" s="706"/>
      <c r="R70" s="706"/>
      <c r="S70" s="707"/>
      <c r="T70" s="708"/>
      <c r="U70" s="707" t="s">
        <v>1104</v>
      </c>
      <c r="V70" s="706" t="s">
        <v>1223</v>
      </c>
      <c r="W70" s="707" t="s">
        <v>1225</v>
      </c>
      <c r="X70" s="707"/>
      <c r="Y70" s="706" t="s">
        <v>1219</v>
      </c>
      <c r="Z70" s="706" t="s">
        <v>1220</v>
      </c>
      <c r="AA70" s="707"/>
      <c r="AB70" s="708"/>
      <c r="AC70" s="710"/>
      <c r="AD70" s="706"/>
      <c r="AE70" s="706"/>
      <c r="AF70" s="706"/>
      <c r="AG70" s="706"/>
      <c r="AH70" s="706"/>
      <c r="AI70" s="707"/>
      <c r="AJ70" s="708"/>
      <c r="AK70" s="710"/>
      <c r="AL70" s="706"/>
      <c r="AM70" s="706"/>
      <c r="AN70" s="706"/>
      <c r="AO70" s="706"/>
      <c r="AP70" s="706"/>
      <c r="AQ70" s="707"/>
      <c r="AR70" s="711"/>
      <c r="AS70" s="706"/>
      <c r="AT70" s="706"/>
      <c r="AU70" s="706"/>
      <c r="AV70" s="706"/>
      <c r="AW70" s="706"/>
      <c r="AX70" s="706"/>
      <c r="AY70" s="707"/>
      <c r="AZ70" s="708"/>
      <c r="BA70" s="706"/>
      <c r="BB70" s="706"/>
      <c r="BC70" s="706"/>
      <c r="BD70" s="706"/>
      <c r="BE70" s="706"/>
      <c r="BF70" s="706"/>
      <c r="BG70" s="707"/>
      <c r="BH70" s="708"/>
      <c r="BI70" s="710"/>
      <c r="BJ70" s="706"/>
      <c r="BK70" s="706"/>
      <c r="BL70" s="706"/>
      <c r="BM70" s="706"/>
      <c r="BN70" s="706"/>
      <c r="BO70" s="707"/>
      <c r="BP70" s="708"/>
      <c r="BQ70" s="710"/>
      <c r="BR70" s="706"/>
      <c r="BS70" s="706"/>
      <c r="BT70" s="706"/>
      <c r="BU70" s="706"/>
      <c r="BV70" s="706"/>
      <c r="BW70" s="707"/>
      <c r="BX70" s="709"/>
    </row>
    <row r="71" spans="1:76" ht="30" customHeight="1" x14ac:dyDescent="0.2">
      <c r="A71" s="716">
        <v>65</v>
      </c>
      <c r="B71" s="705" t="s">
        <v>333</v>
      </c>
      <c r="C71" s="705" t="s">
        <v>381</v>
      </c>
      <c r="D71" s="631">
        <v>13062</v>
      </c>
      <c r="E71" s="706"/>
      <c r="F71" s="706"/>
      <c r="G71" s="706"/>
      <c r="H71" s="706"/>
      <c r="I71" s="706"/>
      <c r="J71" s="707"/>
      <c r="K71" s="708"/>
      <c r="L71" s="708"/>
      <c r="M71" s="706"/>
      <c r="N71" s="706"/>
      <c r="O71" s="706"/>
      <c r="P71" s="706"/>
      <c r="Q71" s="706"/>
      <c r="R71" s="706"/>
      <c r="S71" s="707"/>
      <c r="T71" s="708"/>
      <c r="U71" s="707"/>
      <c r="V71" s="706"/>
      <c r="W71" s="707"/>
      <c r="X71" s="707"/>
      <c r="Y71" s="706"/>
      <c r="Z71" s="706"/>
      <c r="AA71" s="707"/>
      <c r="AB71" s="708"/>
      <c r="AC71" s="710"/>
      <c r="AD71" s="706"/>
      <c r="AE71" s="706"/>
      <c r="AF71" s="706"/>
      <c r="AG71" s="706"/>
      <c r="AH71" s="706"/>
      <c r="AI71" s="707"/>
      <c r="AJ71" s="708"/>
      <c r="AK71" s="710"/>
      <c r="AL71" s="706"/>
      <c r="AM71" s="706"/>
      <c r="AN71" s="706"/>
      <c r="AO71" s="706"/>
      <c r="AP71" s="706"/>
      <c r="AQ71" s="707"/>
      <c r="AR71" s="711"/>
      <c r="AS71" s="706"/>
      <c r="AT71" s="706"/>
      <c r="AU71" s="706"/>
      <c r="AV71" s="706"/>
      <c r="AW71" s="706"/>
      <c r="AX71" s="706"/>
      <c r="AY71" s="707"/>
      <c r="AZ71" s="708"/>
      <c r="BA71" s="706"/>
      <c r="BB71" s="706"/>
      <c r="BC71" s="706"/>
      <c r="BD71" s="706"/>
      <c r="BE71" s="706"/>
      <c r="BF71" s="706"/>
      <c r="BG71" s="707"/>
      <c r="BH71" s="708"/>
      <c r="BI71" s="710"/>
      <c r="BJ71" s="706"/>
      <c r="BK71" s="706"/>
      <c r="BL71" s="706"/>
      <c r="BM71" s="706"/>
      <c r="BN71" s="706"/>
      <c r="BO71" s="707"/>
      <c r="BP71" s="708"/>
      <c r="BQ71" s="710"/>
      <c r="BR71" s="706"/>
      <c r="BS71" s="706"/>
      <c r="BT71" s="706"/>
      <c r="BU71" s="706"/>
      <c r="BV71" s="706"/>
      <c r="BW71" s="707"/>
      <c r="BX71" s="709"/>
    </row>
    <row r="72" spans="1:76" ht="30" customHeight="1" x14ac:dyDescent="0.2">
      <c r="A72" s="716">
        <v>66</v>
      </c>
      <c r="B72" s="705" t="s">
        <v>333</v>
      </c>
      <c r="C72" s="705" t="s">
        <v>1244</v>
      </c>
      <c r="D72" s="631">
        <v>106604</v>
      </c>
      <c r="E72" s="706"/>
      <c r="F72" s="706"/>
      <c r="G72" s="706"/>
      <c r="H72" s="706"/>
      <c r="I72" s="706"/>
      <c r="J72" s="707"/>
      <c r="K72" s="708"/>
      <c r="L72" s="708"/>
      <c r="M72" s="706"/>
      <c r="N72" s="706"/>
      <c r="O72" s="706"/>
      <c r="P72" s="706"/>
      <c r="Q72" s="706"/>
      <c r="R72" s="706"/>
      <c r="S72" s="707"/>
      <c r="T72" s="708"/>
      <c r="U72" s="707"/>
      <c r="V72" s="706"/>
      <c r="W72" s="707"/>
      <c r="X72" s="707"/>
      <c r="Y72" s="706"/>
      <c r="Z72" s="706"/>
      <c r="AA72" s="707"/>
      <c r="AB72" s="708"/>
      <c r="AC72" s="710" t="s">
        <v>1104</v>
      </c>
      <c r="AD72" s="706" t="s">
        <v>1217</v>
      </c>
      <c r="AE72" s="706" t="s">
        <v>1218</v>
      </c>
      <c r="AF72" s="706"/>
      <c r="AG72" s="706" t="s">
        <v>1224</v>
      </c>
      <c r="AH72" s="706" t="s">
        <v>1220</v>
      </c>
      <c r="AI72" s="707" t="s">
        <v>89</v>
      </c>
      <c r="AJ72" s="708"/>
      <c r="AK72" s="710"/>
      <c r="AL72" s="706"/>
      <c r="AM72" s="706"/>
      <c r="AN72" s="706"/>
      <c r="AO72" s="706"/>
      <c r="AP72" s="706"/>
      <c r="AQ72" s="707"/>
      <c r="AR72" s="711"/>
      <c r="AS72" s="706"/>
      <c r="AT72" s="706"/>
      <c r="AU72" s="706"/>
      <c r="AV72" s="706"/>
      <c r="AW72" s="706"/>
      <c r="AX72" s="706"/>
      <c r="AY72" s="707"/>
      <c r="AZ72" s="708"/>
      <c r="BA72" s="706"/>
      <c r="BB72" s="706"/>
      <c r="BC72" s="706"/>
      <c r="BD72" s="706"/>
      <c r="BE72" s="706"/>
      <c r="BF72" s="706"/>
      <c r="BG72" s="707"/>
      <c r="BH72" s="708"/>
      <c r="BI72" s="710"/>
      <c r="BJ72" s="706"/>
      <c r="BK72" s="706"/>
      <c r="BL72" s="706"/>
      <c r="BM72" s="706"/>
      <c r="BN72" s="706"/>
      <c r="BO72" s="707"/>
      <c r="BP72" s="708"/>
      <c r="BQ72" s="710"/>
      <c r="BR72" s="706"/>
      <c r="BS72" s="706"/>
      <c r="BT72" s="706"/>
      <c r="BU72" s="706"/>
      <c r="BV72" s="706"/>
      <c r="BW72" s="707"/>
      <c r="BX72" s="709"/>
    </row>
    <row r="73" spans="1:76" ht="30" customHeight="1" x14ac:dyDescent="0.2">
      <c r="A73" s="716">
        <v>67</v>
      </c>
      <c r="B73" s="705" t="s">
        <v>333</v>
      </c>
      <c r="C73" s="705" t="s">
        <v>994</v>
      </c>
      <c r="D73" s="631">
        <v>15440</v>
      </c>
      <c r="E73" s="706"/>
      <c r="F73" s="706"/>
      <c r="G73" s="706"/>
      <c r="H73" s="706"/>
      <c r="I73" s="706"/>
      <c r="J73" s="707"/>
      <c r="K73" s="708"/>
      <c r="L73" s="708"/>
      <c r="M73" s="706"/>
      <c r="N73" s="706"/>
      <c r="O73" s="706"/>
      <c r="P73" s="706"/>
      <c r="Q73" s="706"/>
      <c r="R73" s="706"/>
      <c r="S73" s="707"/>
      <c r="T73" s="708"/>
      <c r="U73" s="707"/>
      <c r="V73" s="706"/>
      <c r="W73" s="707"/>
      <c r="X73" s="707"/>
      <c r="Y73" s="706"/>
      <c r="Z73" s="706"/>
      <c r="AA73" s="707"/>
      <c r="AB73" s="708"/>
      <c r="AC73" s="710" t="s">
        <v>1104</v>
      </c>
      <c r="AD73" s="706" t="s">
        <v>1217</v>
      </c>
      <c r="AE73" s="706" t="s">
        <v>1218</v>
      </c>
      <c r="AF73" s="706"/>
      <c r="AG73" s="706" t="s">
        <v>1224</v>
      </c>
      <c r="AH73" s="706" t="s">
        <v>1220</v>
      </c>
      <c r="AI73" s="707" t="s">
        <v>89</v>
      </c>
      <c r="AJ73" s="708"/>
      <c r="AK73" s="710"/>
      <c r="AL73" s="706"/>
      <c r="AM73" s="706"/>
      <c r="AN73" s="706"/>
      <c r="AO73" s="706"/>
      <c r="AP73" s="706"/>
      <c r="AQ73" s="707"/>
      <c r="AR73" s="711"/>
      <c r="AS73" s="706"/>
      <c r="AT73" s="706"/>
      <c r="AU73" s="706"/>
      <c r="AV73" s="706"/>
      <c r="AW73" s="706"/>
      <c r="AX73" s="706"/>
      <c r="AY73" s="707"/>
      <c r="AZ73" s="708"/>
      <c r="BA73" s="706"/>
      <c r="BB73" s="706"/>
      <c r="BC73" s="706"/>
      <c r="BD73" s="706"/>
      <c r="BE73" s="706"/>
      <c r="BF73" s="706"/>
      <c r="BG73" s="707"/>
      <c r="BH73" s="708"/>
      <c r="BI73" s="710"/>
      <c r="BJ73" s="706"/>
      <c r="BK73" s="706"/>
      <c r="BL73" s="706"/>
      <c r="BM73" s="706"/>
      <c r="BN73" s="706"/>
      <c r="BO73" s="707"/>
      <c r="BP73" s="708"/>
      <c r="BQ73" s="710"/>
      <c r="BR73" s="706"/>
      <c r="BS73" s="706"/>
      <c r="BT73" s="706"/>
      <c r="BU73" s="706"/>
      <c r="BV73" s="706"/>
      <c r="BW73" s="707"/>
      <c r="BX73" s="709"/>
    </row>
    <row r="74" spans="1:76" ht="30" customHeight="1" x14ac:dyDescent="0.2">
      <c r="A74" s="716">
        <v>68</v>
      </c>
      <c r="B74" s="705" t="s">
        <v>333</v>
      </c>
      <c r="C74" s="705" t="s">
        <v>372</v>
      </c>
      <c r="D74" s="631">
        <v>106575</v>
      </c>
      <c r="E74" s="706"/>
      <c r="F74" s="706"/>
      <c r="G74" s="706"/>
      <c r="H74" s="706"/>
      <c r="I74" s="706"/>
      <c r="J74" s="707"/>
      <c r="K74" s="708"/>
      <c r="L74" s="708"/>
      <c r="M74" s="706"/>
      <c r="N74" s="706"/>
      <c r="O74" s="706"/>
      <c r="P74" s="706"/>
      <c r="Q74" s="706"/>
      <c r="R74" s="706"/>
      <c r="S74" s="707"/>
      <c r="T74" s="708"/>
      <c r="U74" s="707"/>
      <c r="V74" s="706"/>
      <c r="W74" s="707"/>
      <c r="X74" s="707"/>
      <c r="Y74" s="706"/>
      <c r="Z74" s="706"/>
      <c r="AA74" s="707"/>
      <c r="AB74" s="708"/>
      <c r="AC74" s="710" t="s">
        <v>1104</v>
      </c>
      <c r="AD74" s="706" t="s">
        <v>1217</v>
      </c>
      <c r="AE74" s="706" t="s">
        <v>1218</v>
      </c>
      <c r="AF74" s="706"/>
      <c r="AG74" s="706" t="s">
        <v>1224</v>
      </c>
      <c r="AH74" s="706" t="s">
        <v>1220</v>
      </c>
      <c r="AI74" s="707" t="s">
        <v>89</v>
      </c>
      <c r="AJ74" s="708"/>
      <c r="AK74" s="710"/>
      <c r="AL74" s="706"/>
      <c r="AM74" s="706"/>
      <c r="AN74" s="706"/>
      <c r="AO74" s="706"/>
      <c r="AP74" s="706"/>
      <c r="AQ74" s="707"/>
      <c r="AR74" s="711"/>
      <c r="AS74" s="706"/>
      <c r="AT74" s="706"/>
      <c r="AU74" s="706"/>
      <c r="AV74" s="706"/>
      <c r="AW74" s="706"/>
      <c r="AX74" s="706"/>
      <c r="AY74" s="707"/>
      <c r="AZ74" s="708"/>
      <c r="BA74" s="706"/>
      <c r="BB74" s="706"/>
      <c r="BC74" s="706"/>
      <c r="BD74" s="706"/>
      <c r="BE74" s="706"/>
      <c r="BF74" s="706"/>
      <c r="BG74" s="707"/>
      <c r="BH74" s="708"/>
      <c r="BI74" s="710"/>
      <c r="BJ74" s="706"/>
      <c r="BK74" s="706"/>
      <c r="BL74" s="706"/>
      <c r="BM74" s="706"/>
      <c r="BN74" s="706"/>
      <c r="BO74" s="707"/>
      <c r="BP74" s="708"/>
      <c r="BQ74" s="710"/>
      <c r="BR74" s="706"/>
      <c r="BS74" s="706"/>
      <c r="BT74" s="706"/>
      <c r="BU74" s="706"/>
      <c r="BV74" s="706"/>
      <c r="BW74" s="707"/>
      <c r="BX74" s="709"/>
    </row>
    <row r="75" spans="1:76" ht="30" customHeight="1" x14ac:dyDescent="0.2">
      <c r="A75" s="716">
        <v>69</v>
      </c>
      <c r="B75" s="705" t="s">
        <v>333</v>
      </c>
      <c r="C75" s="705" t="s">
        <v>1245</v>
      </c>
      <c r="D75" s="631">
        <v>102181</v>
      </c>
      <c r="E75" s="706"/>
      <c r="F75" s="706"/>
      <c r="G75" s="706"/>
      <c r="H75" s="706"/>
      <c r="I75" s="706"/>
      <c r="J75" s="707"/>
      <c r="K75" s="708"/>
      <c r="L75" s="708"/>
      <c r="M75" s="706" t="s">
        <v>1104</v>
      </c>
      <c r="N75" s="706" t="s">
        <v>1223</v>
      </c>
      <c r="O75" s="706" t="s">
        <v>1218</v>
      </c>
      <c r="P75" s="706"/>
      <c r="Q75" s="706" t="s">
        <v>1219</v>
      </c>
      <c r="R75" s="706" t="s">
        <v>1220</v>
      </c>
      <c r="S75" s="707"/>
      <c r="T75" s="708"/>
      <c r="U75" s="707"/>
      <c r="V75" s="706"/>
      <c r="W75" s="707"/>
      <c r="X75" s="707"/>
      <c r="Y75" s="706"/>
      <c r="Z75" s="706"/>
      <c r="AA75" s="707"/>
      <c r="AB75" s="708"/>
      <c r="AC75" s="710"/>
      <c r="AD75" s="706"/>
      <c r="AE75" s="706"/>
      <c r="AF75" s="706"/>
      <c r="AG75" s="706"/>
      <c r="AH75" s="706"/>
      <c r="AI75" s="707"/>
      <c r="AJ75" s="708"/>
      <c r="AK75" s="710" t="s">
        <v>1104</v>
      </c>
      <c r="AL75" s="706" t="s">
        <v>1223</v>
      </c>
      <c r="AM75" s="706" t="s">
        <v>1218</v>
      </c>
      <c r="AN75" s="706"/>
      <c r="AO75" s="706" t="s">
        <v>1219</v>
      </c>
      <c r="AP75" s="706" t="s">
        <v>1220</v>
      </c>
      <c r="AQ75" s="707"/>
      <c r="AR75" s="711"/>
      <c r="AS75" s="706"/>
      <c r="AT75" s="706"/>
      <c r="AU75" s="706"/>
      <c r="AV75" s="706"/>
      <c r="AW75" s="706"/>
      <c r="AX75" s="706"/>
      <c r="AY75" s="707"/>
      <c r="AZ75" s="708"/>
      <c r="BA75" s="706"/>
      <c r="BB75" s="706"/>
      <c r="BC75" s="706"/>
      <c r="BD75" s="706"/>
      <c r="BE75" s="706"/>
      <c r="BF75" s="706"/>
      <c r="BG75" s="707"/>
      <c r="BH75" s="708"/>
      <c r="BI75" s="710"/>
      <c r="BJ75" s="706"/>
      <c r="BK75" s="706"/>
      <c r="BL75" s="706"/>
      <c r="BM75" s="706"/>
      <c r="BN75" s="706"/>
      <c r="BO75" s="707"/>
      <c r="BP75" s="708"/>
      <c r="BQ75" s="710"/>
      <c r="BR75" s="706"/>
      <c r="BS75" s="706"/>
      <c r="BT75" s="706"/>
      <c r="BU75" s="706"/>
      <c r="BV75" s="706"/>
      <c r="BW75" s="707"/>
      <c r="BX75" s="709"/>
    </row>
    <row r="76" spans="1:76" ht="30" customHeight="1" x14ac:dyDescent="0.2">
      <c r="A76" s="716">
        <v>70</v>
      </c>
      <c r="B76" s="705" t="s">
        <v>333</v>
      </c>
      <c r="C76" s="705" t="s">
        <v>1246</v>
      </c>
      <c r="D76" s="631">
        <v>103336</v>
      </c>
      <c r="E76" s="706"/>
      <c r="F76" s="706"/>
      <c r="G76" s="706"/>
      <c r="H76" s="706"/>
      <c r="I76" s="706"/>
      <c r="J76" s="707"/>
      <c r="K76" s="708"/>
      <c r="L76" s="708"/>
      <c r="M76" s="706"/>
      <c r="N76" s="706"/>
      <c r="O76" s="706"/>
      <c r="P76" s="706"/>
      <c r="Q76" s="706"/>
      <c r="R76" s="706"/>
      <c r="S76" s="707"/>
      <c r="T76" s="708"/>
      <c r="U76" s="707"/>
      <c r="V76" s="706"/>
      <c r="W76" s="707"/>
      <c r="X76" s="707"/>
      <c r="Y76" s="706"/>
      <c r="Z76" s="706"/>
      <c r="AA76" s="707"/>
      <c r="AB76" s="708"/>
      <c r="AC76" s="710"/>
      <c r="AD76" s="706"/>
      <c r="AE76" s="706"/>
      <c r="AF76" s="706"/>
      <c r="AG76" s="706"/>
      <c r="AH76" s="706"/>
      <c r="AI76" s="707"/>
      <c r="AJ76" s="708"/>
      <c r="AK76" s="710"/>
      <c r="AL76" s="706"/>
      <c r="AM76" s="706"/>
      <c r="AN76" s="706"/>
      <c r="AO76" s="706"/>
      <c r="AP76" s="706"/>
      <c r="AQ76" s="707"/>
      <c r="AR76" s="711"/>
      <c r="AS76" s="706"/>
      <c r="AT76" s="706"/>
      <c r="AU76" s="706"/>
      <c r="AV76" s="706"/>
      <c r="AW76" s="706"/>
      <c r="AX76" s="706"/>
      <c r="AY76" s="707"/>
      <c r="AZ76" s="708"/>
      <c r="BA76" s="706"/>
      <c r="BB76" s="706"/>
      <c r="BC76" s="706"/>
      <c r="BD76" s="706"/>
      <c r="BE76" s="706"/>
      <c r="BF76" s="706"/>
      <c r="BG76" s="707"/>
      <c r="BH76" s="708"/>
      <c r="BI76" s="710"/>
      <c r="BJ76" s="706"/>
      <c r="BK76" s="706"/>
      <c r="BL76" s="706"/>
      <c r="BM76" s="706"/>
      <c r="BN76" s="706"/>
      <c r="BO76" s="707"/>
      <c r="BP76" s="708"/>
      <c r="BQ76" s="710"/>
      <c r="BR76" s="706"/>
      <c r="BS76" s="706"/>
      <c r="BT76" s="706"/>
      <c r="BU76" s="706"/>
      <c r="BV76" s="706"/>
      <c r="BW76" s="707"/>
      <c r="BX76" s="709"/>
    </row>
    <row r="77" spans="1:76" ht="30" customHeight="1" x14ac:dyDescent="0.2">
      <c r="A77" s="716">
        <v>71</v>
      </c>
      <c r="B77" s="705" t="s">
        <v>333</v>
      </c>
      <c r="C77" s="705" t="s">
        <v>1247</v>
      </c>
      <c r="D77" s="631">
        <v>103787</v>
      </c>
      <c r="E77" s="706"/>
      <c r="F77" s="706"/>
      <c r="G77" s="706"/>
      <c r="H77" s="706"/>
      <c r="I77" s="706"/>
      <c r="J77" s="707"/>
      <c r="K77" s="708"/>
      <c r="L77" s="708"/>
      <c r="M77" s="706"/>
      <c r="N77" s="706"/>
      <c r="O77" s="706"/>
      <c r="P77" s="706"/>
      <c r="Q77" s="706"/>
      <c r="R77" s="706"/>
      <c r="S77" s="707"/>
      <c r="T77" s="708"/>
      <c r="U77" s="707"/>
      <c r="V77" s="706"/>
      <c r="W77" s="707"/>
      <c r="X77" s="707"/>
      <c r="Y77" s="706"/>
      <c r="Z77" s="706"/>
      <c r="AA77" s="707"/>
      <c r="AB77" s="708"/>
      <c r="AC77" s="710"/>
      <c r="AD77" s="706"/>
      <c r="AE77" s="706"/>
      <c r="AF77" s="706"/>
      <c r="AG77" s="706"/>
      <c r="AH77" s="706"/>
      <c r="AI77" s="707"/>
      <c r="AJ77" s="708"/>
      <c r="AK77" s="710"/>
      <c r="AL77" s="706"/>
      <c r="AM77" s="706"/>
      <c r="AN77" s="706"/>
      <c r="AO77" s="706"/>
      <c r="AP77" s="706"/>
      <c r="AQ77" s="707"/>
      <c r="AR77" s="711"/>
      <c r="AS77" s="706"/>
      <c r="AT77" s="706"/>
      <c r="AU77" s="706"/>
      <c r="AV77" s="706"/>
      <c r="AW77" s="706"/>
      <c r="AX77" s="706"/>
      <c r="AY77" s="707"/>
      <c r="AZ77" s="708"/>
      <c r="BA77" s="706"/>
      <c r="BB77" s="706"/>
      <c r="BC77" s="706"/>
      <c r="BD77" s="706"/>
      <c r="BE77" s="706"/>
      <c r="BF77" s="706"/>
      <c r="BG77" s="707"/>
      <c r="BH77" s="708"/>
      <c r="BI77" s="710"/>
      <c r="BJ77" s="706"/>
      <c r="BK77" s="706"/>
      <c r="BL77" s="706"/>
      <c r="BM77" s="706"/>
      <c r="BN77" s="706"/>
      <c r="BO77" s="707"/>
      <c r="BP77" s="708"/>
      <c r="BQ77" s="710"/>
      <c r="BR77" s="706"/>
      <c r="BS77" s="706"/>
      <c r="BT77" s="706"/>
      <c r="BU77" s="706"/>
      <c r="BV77" s="706"/>
      <c r="BW77" s="707"/>
      <c r="BX77" s="709"/>
    </row>
    <row r="78" spans="1:76" ht="30" customHeight="1" x14ac:dyDescent="0.2">
      <c r="A78" s="716">
        <v>72</v>
      </c>
      <c r="B78" s="705" t="s">
        <v>333</v>
      </c>
      <c r="C78" s="705" t="s">
        <v>1248</v>
      </c>
      <c r="D78" s="631">
        <v>54866</v>
      </c>
      <c r="E78" s="706"/>
      <c r="F78" s="706"/>
      <c r="G78" s="706"/>
      <c r="H78" s="706"/>
      <c r="I78" s="706"/>
      <c r="J78" s="707"/>
      <c r="K78" s="708"/>
      <c r="L78" s="708"/>
      <c r="M78" s="706"/>
      <c r="N78" s="706"/>
      <c r="O78" s="706"/>
      <c r="P78" s="706"/>
      <c r="Q78" s="706"/>
      <c r="R78" s="706"/>
      <c r="S78" s="707"/>
      <c r="T78" s="708"/>
      <c r="U78" s="707"/>
      <c r="V78" s="706"/>
      <c r="W78" s="707"/>
      <c r="X78" s="707"/>
      <c r="Y78" s="706"/>
      <c r="Z78" s="706"/>
      <c r="AA78" s="707"/>
      <c r="AB78" s="708"/>
      <c r="AC78" s="710"/>
      <c r="AD78" s="706"/>
      <c r="AE78" s="706"/>
      <c r="AF78" s="706"/>
      <c r="AG78" s="706"/>
      <c r="AH78" s="706"/>
      <c r="AI78" s="707"/>
      <c r="AJ78" s="708"/>
      <c r="AK78" s="710"/>
      <c r="AL78" s="706"/>
      <c r="AM78" s="706"/>
      <c r="AN78" s="706"/>
      <c r="AO78" s="706"/>
      <c r="AP78" s="706"/>
      <c r="AQ78" s="707"/>
      <c r="AR78" s="711"/>
      <c r="AS78" s="706"/>
      <c r="AT78" s="706"/>
      <c r="AU78" s="706"/>
      <c r="AV78" s="706"/>
      <c r="AW78" s="706"/>
      <c r="AX78" s="706"/>
      <c r="AY78" s="707"/>
      <c r="AZ78" s="708"/>
      <c r="BA78" s="706"/>
      <c r="BB78" s="706"/>
      <c r="BC78" s="706"/>
      <c r="BD78" s="706"/>
      <c r="BE78" s="706"/>
      <c r="BF78" s="706"/>
      <c r="BG78" s="707"/>
      <c r="BH78" s="708"/>
      <c r="BI78" s="710"/>
      <c r="BJ78" s="706"/>
      <c r="BK78" s="706"/>
      <c r="BL78" s="706"/>
      <c r="BM78" s="706"/>
      <c r="BN78" s="706"/>
      <c r="BO78" s="707"/>
      <c r="BP78" s="708"/>
      <c r="BQ78" s="710"/>
      <c r="BR78" s="706"/>
      <c r="BS78" s="706"/>
      <c r="BT78" s="706"/>
      <c r="BU78" s="706"/>
      <c r="BV78" s="706"/>
      <c r="BW78" s="707"/>
      <c r="BX78" s="709"/>
    </row>
    <row r="79" spans="1:76" ht="30" customHeight="1" x14ac:dyDescent="0.2">
      <c r="A79" s="716">
        <v>73</v>
      </c>
      <c r="B79" s="705" t="s">
        <v>333</v>
      </c>
      <c r="C79" s="705" t="s">
        <v>1249</v>
      </c>
      <c r="D79" s="631">
        <v>106091</v>
      </c>
      <c r="E79" s="706"/>
      <c r="F79" s="706"/>
      <c r="G79" s="706"/>
      <c r="H79" s="706"/>
      <c r="I79" s="706"/>
      <c r="J79" s="707"/>
      <c r="K79" s="708"/>
      <c r="L79" s="708"/>
      <c r="M79" s="706"/>
      <c r="N79" s="706"/>
      <c r="O79" s="706"/>
      <c r="P79" s="706"/>
      <c r="Q79" s="706"/>
      <c r="R79" s="706"/>
      <c r="S79" s="707"/>
      <c r="T79" s="708"/>
      <c r="U79" s="707"/>
      <c r="V79" s="706"/>
      <c r="W79" s="707"/>
      <c r="X79" s="707"/>
      <c r="Y79" s="706"/>
      <c r="Z79" s="706"/>
      <c r="AA79" s="707"/>
      <c r="AB79" s="708"/>
      <c r="AC79" s="710"/>
      <c r="AD79" s="706"/>
      <c r="AE79" s="706"/>
      <c r="AF79" s="706"/>
      <c r="AG79" s="706"/>
      <c r="AH79" s="706"/>
      <c r="AI79" s="707"/>
      <c r="AJ79" s="708"/>
      <c r="AK79" s="710"/>
      <c r="AL79" s="706"/>
      <c r="AM79" s="706"/>
      <c r="AN79" s="706"/>
      <c r="AO79" s="706"/>
      <c r="AP79" s="706"/>
      <c r="AQ79" s="707"/>
      <c r="AR79" s="711"/>
      <c r="AS79" s="706"/>
      <c r="AT79" s="706"/>
      <c r="AU79" s="706"/>
      <c r="AV79" s="706"/>
      <c r="AW79" s="706"/>
      <c r="AX79" s="706"/>
      <c r="AY79" s="707"/>
      <c r="AZ79" s="708"/>
      <c r="BA79" s="706"/>
      <c r="BB79" s="706"/>
      <c r="BC79" s="706"/>
      <c r="BD79" s="706"/>
      <c r="BE79" s="706"/>
      <c r="BF79" s="706"/>
      <c r="BG79" s="707"/>
      <c r="BH79" s="708"/>
      <c r="BI79" s="710"/>
      <c r="BJ79" s="706"/>
      <c r="BK79" s="706"/>
      <c r="BL79" s="706"/>
      <c r="BM79" s="706"/>
      <c r="BN79" s="706"/>
      <c r="BO79" s="707"/>
      <c r="BP79" s="708"/>
      <c r="BQ79" s="710"/>
      <c r="BR79" s="706"/>
      <c r="BS79" s="706"/>
      <c r="BT79" s="706"/>
      <c r="BU79" s="706"/>
      <c r="BV79" s="706"/>
      <c r="BW79" s="707"/>
      <c r="BX79" s="709"/>
    </row>
    <row r="80" spans="1:76" ht="30" customHeight="1" x14ac:dyDescent="0.2">
      <c r="A80" s="716">
        <v>74</v>
      </c>
      <c r="B80" s="705" t="s">
        <v>333</v>
      </c>
      <c r="C80" s="705" t="s">
        <v>387</v>
      </c>
      <c r="D80" s="631">
        <v>104456</v>
      </c>
      <c r="E80" s="706"/>
      <c r="F80" s="706"/>
      <c r="G80" s="706"/>
      <c r="H80" s="706"/>
      <c r="I80" s="706"/>
      <c r="J80" s="707"/>
      <c r="K80" s="708"/>
      <c r="L80" s="708"/>
      <c r="M80" s="706"/>
      <c r="N80" s="706"/>
      <c r="O80" s="706"/>
      <c r="P80" s="706"/>
      <c r="Q80" s="706"/>
      <c r="R80" s="706"/>
      <c r="S80" s="707"/>
      <c r="T80" s="708"/>
      <c r="U80" s="707"/>
      <c r="V80" s="706"/>
      <c r="W80" s="707"/>
      <c r="X80" s="707"/>
      <c r="Y80" s="706"/>
      <c r="Z80" s="706"/>
      <c r="AA80" s="707"/>
      <c r="AB80" s="708"/>
      <c r="AC80" s="710"/>
      <c r="AD80" s="706"/>
      <c r="AE80" s="706"/>
      <c r="AF80" s="706"/>
      <c r="AG80" s="706"/>
      <c r="AH80" s="706"/>
      <c r="AI80" s="707"/>
      <c r="AJ80" s="708"/>
      <c r="AK80" s="710"/>
      <c r="AL80" s="706"/>
      <c r="AM80" s="706"/>
      <c r="AN80" s="706"/>
      <c r="AO80" s="706"/>
      <c r="AP80" s="706"/>
      <c r="AQ80" s="707"/>
      <c r="AR80" s="711"/>
      <c r="AS80" s="706"/>
      <c r="AT80" s="706"/>
      <c r="AU80" s="706"/>
      <c r="AV80" s="706"/>
      <c r="AW80" s="706"/>
      <c r="AX80" s="706"/>
      <c r="AY80" s="707"/>
      <c r="AZ80" s="708"/>
      <c r="BA80" s="706"/>
      <c r="BB80" s="706"/>
      <c r="BC80" s="706"/>
      <c r="BD80" s="706"/>
      <c r="BE80" s="706"/>
      <c r="BF80" s="706"/>
      <c r="BG80" s="707"/>
      <c r="BH80" s="708"/>
      <c r="BI80" s="710"/>
      <c r="BJ80" s="706"/>
      <c r="BK80" s="706"/>
      <c r="BL80" s="706"/>
      <c r="BM80" s="706"/>
      <c r="BN80" s="706"/>
      <c r="BO80" s="707"/>
      <c r="BP80" s="708"/>
      <c r="BQ80" s="710"/>
      <c r="BR80" s="706"/>
      <c r="BS80" s="706"/>
      <c r="BT80" s="706"/>
      <c r="BU80" s="706"/>
      <c r="BV80" s="706"/>
      <c r="BW80" s="707"/>
      <c r="BX80" s="709"/>
    </row>
    <row r="81" spans="1:76" ht="30" customHeight="1" x14ac:dyDescent="0.2">
      <c r="A81" s="716">
        <v>75</v>
      </c>
      <c r="B81" s="705" t="s">
        <v>333</v>
      </c>
      <c r="C81" s="705" t="s">
        <v>362</v>
      </c>
      <c r="D81" s="631">
        <v>104296</v>
      </c>
      <c r="E81" s="706"/>
      <c r="F81" s="706"/>
      <c r="G81" s="706"/>
      <c r="H81" s="706"/>
      <c r="I81" s="706"/>
      <c r="J81" s="707"/>
      <c r="K81" s="708"/>
      <c r="L81" s="708"/>
      <c r="M81" s="706"/>
      <c r="N81" s="706"/>
      <c r="O81" s="706"/>
      <c r="P81" s="706"/>
      <c r="Q81" s="706"/>
      <c r="R81" s="706"/>
      <c r="S81" s="707"/>
      <c r="T81" s="708"/>
      <c r="U81" s="707"/>
      <c r="V81" s="706"/>
      <c r="W81" s="707"/>
      <c r="X81" s="707"/>
      <c r="Y81" s="706"/>
      <c r="Z81" s="706"/>
      <c r="AA81" s="707"/>
      <c r="AB81" s="708"/>
      <c r="AC81" s="710"/>
      <c r="AD81" s="706"/>
      <c r="AE81" s="706"/>
      <c r="AF81" s="706"/>
      <c r="AG81" s="706"/>
      <c r="AH81" s="706"/>
      <c r="AI81" s="707"/>
      <c r="AJ81" s="708"/>
      <c r="AK81" s="710"/>
      <c r="AL81" s="706"/>
      <c r="AM81" s="706"/>
      <c r="AN81" s="706"/>
      <c r="AO81" s="706"/>
      <c r="AP81" s="706"/>
      <c r="AQ81" s="707"/>
      <c r="AR81" s="711"/>
      <c r="AS81" s="706"/>
      <c r="AT81" s="706"/>
      <c r="AU81" s="706"/>
      <c r="AV81" s="706"/>
      <c r="AW81" s="706"/>
      <c r="AX81" s="706"/>
      <c r="AY81" s="707"/>
      <c r="AZ81" s="708"/>
      <c r="BA81" s="706"/>
      <c r="BB81" s="706"/>
      <c r="BC81" s="706"/>
      <c r="BD81" s="706"/>
      <c r="BE81" s="706"/>
      <c r="BF81" s="706"/>
      <c r="BG81" s="707"/>
      <c r="BH81" s="708"/>
      <c r="BI81" s="710"/>
      <c r="BJ81" s="706"/>
      <c r="BK81" s="706"/>
      <c r="BL81" s="706"/>
      <c r="BM81" s="706"/>
      <c r="BN81" s="706"/>
      <c r="BO81" s="707"/>
      <c r="BP81" s="708"/>
      <c r="BQ81" s="710"/>
      <c r="BR81" s="706"/>
      <c r="BS81" s="706"/>
      <c r="BT81" s="706"/>
      <c r="BU81" s="706"/>
      <c r="BV81" s="706"/>
      <c r="BW81" s="707"/>
      <c r="BX81" s="709"/>
    </row>
    <row r="82" spans="1:76" ht="30" customHeight="1" x14ac:dyDescent="0.2">
      <c r="A82" s="716">
        <v>76</v>
      </c>
      <c r="B82" s="705" t="s">
        <v>333</v>
      </c>
      <c r="C82" s="705" t="s">
        <v>1120</v>
      </c>
      <c r="D82" s="631">
        <v>105456</v>
      </c>
      <c r="E82" s="706"/>
      <c r="F82" s="706"/>
      <c r="G82" s="706"/>
      <c r="H82" s="706"/>
      <c r="I82" s="706"/>
      <c r="J82" s="707"/>
      <c r="K82" s="708"/>
      <c r="L82" s="708"/>
      <c r="M82" s="706"/>
      <c r="N82" s="706"/>
      <c r="O82" s="706"/>
      <c r="P82" s="706"/>
      <c r="Q82" s="706"/>
      <c r="R82" s="706"/>
      <c r="S82" s="707"/>
      <c r="T82" s="708"/>
      <c r="U82" s="707"/>
      <c r="V82" s="706"/>
      <c r="W82" s="707"/>
      <c r="X82" s="707"/>
      <c r="Y82" s="706"/>
      <c r="Z82" s="706"/>
      <c r="AA82" s="707"/>
      <c r="AB82" s="708"/>
      <c r="AC82" s="710"/>
      <c r="AD82" s="706"/>
      <c r="AE82" s="706"/>
      <c r="AF82" s="706"/>
      <c r="AG82" s="706"/>
      <c r="AH82" s="706"/>
      <c r="AI82" s="707"/>
      <c r="AJ82" s="708"/>
      <c r="AK82" s="710"/>
      <c r="AL82" s="706"/>
      <c r="AM82" s="706"/>
      <c r="AN82" s="706"/>
      <c r="AO82" s="706"/>
      <c r="AP82" s="706"/>
      <c r="AQ82" s="707"/>
      <c r="AR82" s="711"/>
      <c r="AS82" s="706"/>
      <c r="AT82" s="706"/>
      <c r="AU82" s="706"/>
      <c r="AV82" s="706"/>
      <c r="AW82" s="706"/>
      <c r="AX82" s="706"/>
      <c r="AY82" s="707"/>
      <c r="AZ82" s="708"/>
      <c r="BA82" s="706"/>
      <c r="BB82" s="706"/>
      <c r="BC82" s="706"/>
      <c r="BD82" s="706"/>
      <c r="BE82" s="706"/>
      <c r="BF82" s="706"/>
      <c r="BG82" s="707"/>
      <c r="BH82" s="708"/>
      <c r="BI82" s="710"/>
      <c r="BJ82" s="706"/>
      <c r="BK82" s="706"/>
      <c r="BL82" s="706"/>
      <c r="BM82" s="706"/>
      <c r="BN82" s="706"/>
      <c r="BO82" s="707"/>
      <c r="BP82" s="708"/>
      <c r="BQ82" s="710"/>
      <c r="BR82" s="706"/>
      <c r="BS82" s="706"/>
      <c r="BT82" s="706"/>
      <c r="BU82" s="706"/>
      <c r="BV82" s="706"/>
      <c r="BW82" s="707"/>
      <c r="BX82" s="709"/>
    </row>
    <row r="83" spans="1:76" ht="30" customHeight="1" x14ac:dyDescent="0.2">
      <c r="A83" s="716">
        <v>77</v>
      </c>
      <c r="B83" s="705" t="s">
        <v>333</v>
      </c>
      <c r="C83" s="705" t="s">
        <v>1118</v>
      </c>
      <c r="D83" s="631">
        <v>104622</v>
      </c>
      <c r="E83" s="706"/>
      <c r="F83" s="706"/>
      <c r="G83" s="706"/>
      <c r="H83" s="706"/>
      <c r="I83" s="706"/>
      <c r="J83" s="707"/>
      <c r="K83" s="708"/>
      <c r="L83" s="708"/>
      <c r="M83" s="706"/>
      <c r="N83" s="706"/>
      <c r="O83" s="706"/>
      <c r="P83" s="706"/>
      <c r="Q83" s="706"/>
      <c r="R83" s="706"/>
      <c r="S83" s="707"/>
      <c r="T83" s="708"/>
      <c r="U83" s="707"/>
      <c r="V83" s="706"/>
      <c r="W83" s="707"/>
      <c r="X83" s="707"/>
      <c r="Y83" s="706"/>
      <c r="Z83" s="706"/>
      <c r="AA83" s="707"/>
      <c r="AB83" s="708"/>
      <c r="AC83" s="710"/>
      <c r="AD83" s="706"/>
      <c r="AE83" s="706"/>
      <c r="AF83" s="706"/>
      <c r="AG83" s="706"/>
      <c r="AH83" s="706"/>
      <c r="AI83" s="707"/>
      <c r="AJ83" s="708"/>
      <c r="AK83" s="710"/>
      <c r="AL83" s="706"/>
      <c r="AM83" s="706"/>
      <c r="AN83" s="706"/>
      <c r="AO83" s="706"/>
      <c r="AP83" s="706"/>
      <c r="AQ83" s="707"/>
      <c r="AR83" s="711"/>
      <c r="AS83" s="706"/>
      <c r="AT83" s="706"/>
      <c r="AU83" s="706"/>
      <c r="AV83" s="706"/>
      <c r="AW83" s="706"/>
      <c r="AX83" s="706"/>
      <c r="AY83" s="707"/>
      <c r="AZ83" s="708"/>
      <c r="BA83" s="706"/>
      <c r="BB83" s="706"/>
      <c r="BC83" s="706"/>
      <c r="BD83" s="706"/>
      <c r="BE83" s="706"/>
      <c r="BF83" s="706"/>
      <c r="BG83" s="707"/>
      <c r="BH83" s="708"/>
      <c r="BI83" s="710"/>
      <c r="BJ83" s="706"/>
      <c r="BK83" s="706"/>
      <c r="BL83" s="706"/>
      <c r="BM83" s="706"/>
      <c r="BN83" s="706"/>
      <c r="BO83" s="707"/>
      <c r="BP83" s="708"/>
      <c r="BQ83" s="710"/>
      <c r="BR83" s="706"/>
      <c r="BS83" s="706"/>
      <c r="BT83" s="706"/>
      <c r="BU83" s="706"/>
      <c r="BV83" s="706"/>
      <c r="BW83" s="707"/>
      <c r="BX83" s="709"/>
    </row>
    <row r="84" spans="1:76" ht="30" customHeight="1" x14ac:dyDescent="0.2">
      <c r="A84" s="716">
        <v>78</v>
      </c>
      <c r="B84" s="705" t="s">
        <v>333</v>
      </c>
      <c r="C84" s="705" t="s">
        <v>1014</v>
      </c>
      <c r="D84" s="631">
        <v>90695</v>
      </c>
      <c r="E84" s="706"/>
      <c r="F84" s="706"/>
      <c r="G84" s="706"/>
      <c r="H84" s="706"/>
      <c r="I84" s="706"/>
      <c r="J84" s="707"/>
      <c r="K84" s="708"/>
      <c r="L84" s="708"/>
      <c r="M84" s="706"/>
      <c r="N84" s="706"/>
      <c r="O84" s="706"/>
      <c r="P84" s="706"/>
      <c r="Q84" s="706"/>
      <c r="R84" s="706"/>
      <c r="S84" s="707"/>
      <c r="T84" s="708"/>
      <c r="U84" s="707"/>
      <c r="V84" s="706"/>
      <c r="W84" s="707"/>
      <c r="X84" s="707"/>
      <c r="Y84" s="706"/>
      <c r="Z84" s="706"/>
      <c r="AA84" s="707"/>
      <c r="AB84" s="708"/>
      <c r="AC84" s="710" t="s">
        <v>1104</v>
      </c>
      <c r="AD84" s="706" t="s">
        <v>1223</v>
      </c>
      <c r="AE84" s="706" t="s">
        <v>1250</v>
      </c>
      <c r="AF84" s="706"/>
      <c r="AG84" s="706" t="s">
        <v>1219</v>
      </c>
      <c r="AH84" s="706" t="s">
        <v>1220</v>
      </c>
      <c r="AI84" s="707" t="s">
        <v>89</v>
      </c>
      <c r="AJ84" s="708"/>
      <c r="AK84" s="710"/>
      <c r="AL84" s="706"/>
      <c r="AM84" s="706"/>
      <c r="AN84" s="706"/>
      <c r="AO84" s="706"/>
      <c r="AP84" s="706"/>
      <c r="AQ84" s="707"/>
      <c r="AR84" s="711"/>
      <c r="AS84" s="706"/>
      <c r="AT84" s="706"/>
      <c r="AU84" s="706"/>
      <c r="AV84" s="706"/>
      <c r="AW84" s="706"/>
      <c r="AX84" s="706"/>
      <c r="AY84" s="707"/>
      <c r="AZ84" s="708"/>
      <c r="BA84" s="707" t="s">
        <v>1104</v>
      </c>
      <c r="BB84" s="706" t="s">
        <v>1223</v>
      </c>
      <c r="BC84" s="707" t="s">
        <v>1251</v>
      </c>
      <c r="BD84" s="707"/>
      <c r="BE84" s="706" t="s">
        <v>1219</v>
      </c>
      <c r="BF84" s="706" t="s">
        <v>1220</v>
      </c>
      <c r="BG84" s="707" t="s">
        <v>89</v>
      </c>
      <c r="BH84" s="708"/>
      <c r="BI84" s="710"/>
      <c r="BJ84" s="706"/>
      <c r="BK84" s="706"/>
      <c r="BL84" s="706"/>
      <c r="BM84" s="706"/>
      <c r="BN84" s="706"/>
      <c r="BO84" s="707"/>
      <c r="BP84" s="708"/>
      <c r="BQ84" s="707"/>
      <c r="BR84" s="706"/>
      <c r="BS84" s="707"/>
      <c r="BT84" s="707"/>
      <c r="BU84" s="706"/>
      <c r="BV84" s="706"/>
      <c r="BW84" s="707"/>
      <c r="BX84" s="709"/>
    </row>
    <row r="85" spans="1:76" ht="30" customHeight="1" x14ac:dyDescent="0.2">
      <c r="A85" s="716">
        <v>79</v>
      </c>
      <c r="B85" s="705" t="s">
        <v>333</v>
      </c>
      <c r="C85" s="705" t="s">
        <v>1017</v>
      </c>
      <c r="D85" s="631">
        <v>90694</v>
      </c>
      <c r="E85" s="706"/>
      <c r="F85" s="706"/>
      <c r="G85" s="706"/>
      <c r="H85" s="706"/>
      <c r="I85" s="706"/>
      <c r="J85" s="707"/>
      <c r="K85" s="708"/>
      <c r="L85" s="708"/>
      <c r="M85" s="706"/>
      <c r="N85" s="706"/>
      <c r="O85" s="706"/>
      <c r="P85" s="706"/>
      <c r="Q85" s="706"/>
      <c r="R85" s="706"/>
      <c r="S85" s="707"/>
      <c r="T85" s="708"/>
      <c r="U85" s="707"/>
      <c r="V85" s="706"/>
      <c r="W85" s="707"/>
      <c r="X85" s="707"/>
      <c r="Y85" s="706"/>
      <c r="Z85" s="706"/>
      <c r="AA85" s="707"/>
      <c r="AB85" s="708"/>
      <c r="AC85" s="710"/>
      <c r="AD85" s="706"/>
      <c r="AE85" s="706"/>
      <c r="AF85" s="706"/>
      <c r="AG85" s="706"/>
      <c r="AH85" s="706"/>
      <c r="AI85" s="707"/>
      <c r="AJ85" s="708"/>
      <c r="AK85" s="710"/>
      <c r="AL85" s="706"/>
      <c r="AM85" s="706"/>
      <c r="AN85" s="706"/>
      <c r="AO85" s="706"/>
      <c r="AP85" s="706"/>
      <c r="AQ85" s="707"/>
      <c r="AR85" s="711"/>
      <c r="AS85" s="706"/>
      <c r="AT85" s="706"/>
      <c r="AU85" s="706"/>
      <c r="AV85" s="706"/>
      <c r="AW85" s="706"/>
      <c r="AX85" s="706"/>
      <c r="AY85" s="707"/>
      <c r="AZ85" s="708"/>
      <c r="BA85" s="707"/>
      <c r="BB85" s="706"/>
      <c r="BC85" s="707"/>
      <c r="BD85" s="707"/>
      <c r="BE85" s="706"/>
      <c r="BF85" s="706"/>
      <c r="BG85" s="707"/>
      <c r="BH85" s="708"/>
      <c r="BI85" s="710"/>
      <c r="BJ85" s="706"/>
      <c r="BK85" s="706"/>
      <c r="BL85" s="706"/>
      <c r="BM85" s="706"/>
      <c r="BN85" s="706"/>
      <c r="BO85" s="707"/>
      <c r="BP85" s="708"/>
      <c r="BQ85" s="707"/>
      <c r="BR85" s="706"/>
      <c r="BS85" s="707"/>
      <c r="BT85" s="707"/>
      <c r="BU85" s="706"/>
      <c r="BV85" s="706"/>
      <c r="BW85" s="707"/>
      <c r="BX85" s="709"/>
    </row>
    <row r="86" spans="1:76" ht="30" customHeight="1" x14ac:dyDescent="0.2">
      <c r="A86" s="716">
        <v>80</v>
      </c>
      <c r="B86" s="705" t="s">
        <v>333</v>
      </c>
      <c r="C86" s="705" t="s">
        <v>1119</v>
      </c>
      <c r="D86" s="631">
        <v>104678</v>
      </c>
      <c r="E86" s="706"/>
      <c r="F86" s="706"/>
      <c r="G86" s="706"/>
      <c r="H86" s="706"/>
      <c r="I86" s="706"/>
      <c r="J86" s="707"/>
      <c r="K86" s="708"/>
      <c r="L86" s="708"/>
      <c r="M86" s="706"/>
      <c r="N86" s="706"/>
      <c r="O86" s="706"/>
      <c r="P86" s="706"/>
      <c r="Q86" s="706"/>
      <c r="R86" s="706"/>
      <c r="S86" s="707"/>
      <c r="T86" s="708"/>
      <c r="U86" s="707"/>
      <c r="V86" s="706"/>
      <c r="W86" s="707"/>
      <c r="X86" s="707"/>
      <c r="Y86" s="706"/>
      <c r="Z86" s="706"/>
      <c r="AA86" s="707"/>
      <c r="AB86" s="708"/>
      <c r="AC86" s="710"/>
      <c r="AD86" s="706"/>
      <c r="AE86" s="706"/>
      <c r="AF86" s="706"/>
      <c r="AG86" s="706"/>
      <c r="AH86" s="706"/>
      <c r="AI86" s="707"/>
      <c r="AJ86" s="708"/>
      <c r="AK86" s="710"/>
      <c r="AL86" s="706"/>
      <c r="AM86" s="706"/>
      <c r="AN86" s="706"/>
      <c r="AO86" s="706"/>
      <c r="AP86" s="706"/>
      <c r="AQ86" s="707"/>
      <c r="AR86" s="711"/>
      <c r="AS86" s="706"/>
      <c r="AT86" s="706"/>
      <c r="AU86" s="706"/>
      <c r="AV86" s="706"/>
      <c r="AW86" s="706"/>
      <c r="AX86" s="706"/>
      <c r="AY86" s="707"/>
      <c r="AZ86" s="708"/>
      <c r="BA86" s="707"/>
      <c r="BB86" s="706"/>
      <c r="BC86" s="707"/>
      <c r="BD86" s="707"/>
      <c r="BE86" s="706"/>
      <c r="BF86" s="706"/>
      <c r="BG86" s="707"/>
      <c r="BH86" s="708"/>
      <c r="BI86" s="710"/>
      <c r="BJ86" s="706"/>
      <c r="BK86" s="706"/>
      <c r="BL86" s="706"/>
      <c r="BM86" s="706"/>
      <c r="BN86" s="706"/>
      <c r="BO86" s="707"/>
      <c r="BP86" s="708"/>
      <c r="BQ86" s="707"/>
      <c r="BR86" s="706"/>
      <c r="BS86" s="707"/>
      <c r="BT86" s="707"/>
      <c r="BU86" s="706"/>
      <c r="BV86" s="706"/>
      <c r="BW86" s="707"/>
      <c r="BX86" s="709"/>
    </row>
    <row r="87" spans="1:76" ht="30" customHeight="1" x14ac:dyDescent="0.2">
      <c r="A87" s="717">
        <v>81</v>
      </c>
      <c r="B87" s="705" t="s">
        <v>413</v>
      </c>
      <c r="C87" s="705" t="s">
        <v>438</v>
      </c>
      <c r="D87" s="631">
        <v>3048</v>
      </c>
      <c r="E87" s="706" t="s">
        <v>1104</v>
      </c>
      <c r="F87" s="706" t="s">
        <v>1217</v>
      </c>
      <c r="G87" s="706" t="s">
        <v>1218</v>
      </c>
      <c r="H87" s="706"/>
      <c r="I87" s="706" t="s">
        <v>1219</v>
      </c>
      <c r="J87" s="706" t="s">
        <v>1220</v>
      </c>
      <c r="K87" s="708"/>
      <c r="L87" s="708"/>
      <c r="M87" s="706"/>
      <c r="N87" s="706"/>
      <c r="O87" s="706"/>
      <c r="P87" s="706"/>
      <c r="Q87" s="706"/>
      <c r="R87" s="706"/>
      <c r="S87" s="707"/>
      <c r="T87" s="708"/>
      <c r="U87" s="707"/>
      <c r="V87" s="706"/>
      <c r="W87" s="707"/>
      <c r="X87" s="707"/>
      <c r="Y87" s="706"/>
      <c r="Z87" s="706"/>
      <c r="AA87" s="707"/>
      <c r="AB87" s="708"/>
      <c r="AC87" s="710"/>
      <c r="AD87" s="706"/>
      <c r="AE87" s="706"/>
      <c r="AF87" s="706"/>
      <c r="AG87" s="706"/>
      <c r="AH87" s="706"/>
      <c r="AI87" s="707"/>
      <c r="AJ87" s="708"/>
      <c r="AK87" s="710"/>
      <c r="AL87" s="706"/>
      <c r="AM87" s="706"/>
      <c r="AN87" s="706"/>
      <c r="AO87" s="706"/>
      <c r="AP87" s="706"/>
      <c r="AQ87" s="707"/>
      <c r="AR87" s="711"/>
      <c r="AS87" s="706"/>
      <c r="AT87" s="706"/>
      <c r="AU87" s="706"/>
      <c r="AV87" s="706"/>
      <c r="AW87" s="706"/>
      <c r="AX87" s="706"/>
      <c r="AY87" s="707"/>
      <c r="AZ87" s="708"/>
      <c r="BA87" s="707" t="s">
        <v>1104</v>
      </c>
      <c r="BB87" s="706" t="s">
        <v>1217</v>
      </c>
      <c r="BC87" s="707" t="s">
        <v>1218</v>
      </c>
      <c r="BD87" s="707"/>
      <c r="BE87" s="706" t="s">
        <v>1219</v>
      </c>
      <c r="BF87" s="706" t="s">
        <v>1243</v>
      </c>
      <c r="BG87" s="707"/>
      <c r="BH87" s="708"/>
      <c r="BI87" s="710"/>
      <c r="BJ87" s="706"/>
      <c r="BK87" s="706"/>
      <c r="BL87" s="706"/>
      <c r="BM87" s="706"/>
      <c r="BN87" s="706"/>
      <c r="BO87" s="707"/>
      <c r="BP87" s="708"/>
      <c r="BQ87" s="707"/>
      <c r="BR87" s="706"/>
      <c r="BS87" s="707"/>
      <c r="BT87" s="707"/>
      <c r="BU87" s="706"/>
      <c r="BV87" s="706"/>
      <c r="BW87" s="707"/>
      <c r="BX87" s="709"/>
    </row>
    <row r="88" spans="1:76" ht="30" customHeight="1" x14ac:dyDescent="0.2">
      <c r="A88" s="717">
        <v>82</v>
      </c>
      <c r="B88" s="705" t="s">
        <v>413</v>
      </c>
      <c r="C88" s="705" t="s">
        <v>557</v>
      </c>
      <c r="D88" s="631">
        <v>53943</v>
      </c>
      <c r="E88" s="706"/>
      <c r="F88" s="706"/>
      <c r="G88" s="706"/>
      <c r="H88" s="706"/>
      <c r="I88" s="706"/>
      <c r="J88" s="707"/>
      <c r="K88" s="708"/>
      <c r="L88" s="708"/>
      <c r="M88" s="706"/>
      <c r="N88" s="706"/>
      <c r="O88" s="706"/>
      <c r="P88" s="706"/>
      <c r="Q88" s="706"/>
      <c r="R88" s="706"/>
      <c r="S88" s="707"/>
      <c r="T88" s="708"/>
      <c r="U88" s="707"/>
      <c r="V88" s="706"/>
      <c r="W88" s="707"/>
      <c r="X88" s="707"/>
      <c r="Y88" s="706"/>
      <c r="Z88" s="706"/>
      <c r="AA88" s="707"/>
      <c r="AB88" s="708"/>
      <c r="AC88" s="710"/>
      <c r="AD88" s="706"/>
      <c r="AE88" s="706"/>
      <c r="AF88" s="706"/>
      <c r="AG88" s="706"/>
      <c r="AH88" s="706"/>
      <c r="AI88" s="707"/>
      <c r="AJ88" s="708"/>
      <c r="AK88" s="710"/>
      <c r="AL88" s="706"/>
      <c r="AM88" s="706"/>
      <c r="AN88" s="706"/>
      <c r="AO88" s="706"/>
      <c r="AP88" s="706"/>
      <c r="AQ88" s="707"/>
      <c r="AR88" s="711"/>
      <c r="AS88" s="706"/>
      <c r="AT88" s="706"/>
      <c r="AU88" s="706"/>
      <c r="AV88" s="706"/>
      <c r="AW88" s="706"/>
      <c r="AX88" s="706"/>
      <c r="AY88" s="707"/>
      <c r="AZ88" s="708"/>
      <c r="BA88" s="707"/>
      <c r="BB88" s="706"/>
      <c r="BC88" s="707"/>
      <c r="BD88" s="707"/>
      <c r="BE88" s="706"/>
      <c r="BF88" s="706"/>
      <c r="BG88" s="707"/>
      <c r="BH88" s="708"/>
      <c r="BI88" s="710"/>
      <c r="BJ88" s="706"/>
      <c r="BK88" s="706"/>
      <c r="BL88" s="706"/>
      <c r="BM88" s="706"/>
      <c r="BN88" s="706"/>
      <c r="BO88" s="707"/>
      <c r="BP88" s="708"/>
      <c r="BQ88" s="707"/>
      <c r="BR88" s="706"/>
      <c r="BS88" s="707"/>
      <c r="BT88" s="707"/>
      <c r="BU88" s="706"/>
      <c r="BV88" s="706"/>
      <c r="BW88" s="707"/>
      <c r="BX88" s="709"/>
    </row>
    <row r="89" spans="1:76" ht="30" customHeight="1" x14ac:dyDescent="0.2">
      <c r="A89" s="717">
        <v>83</v>
      </c>
      <c r="B89" s="705" t="s">
        <v>413</v>
      </c>
      <c r="C89" s="705" t="s">
        <v>530</v>
      </c>
      <c r="D89" s="631">
        <v>7172</v>
      </c>
      <c r="E89" s="706"/>
      <c r="F89" s="706"/>
      <c r="G89" s="706"/>
      <c r="H89" s="706"/>
      <c r="I89" s="706"/>
      <c r="J89" s="707"/>
      <c r="K89" s="708"/>
      <c r="L89" s="708"/>
      <c r="M89" s="706"/>
      <c r="N89" s="706"/>
      <c r="O89" s="706"/>
      <c r="P89" s="706"/>
      <c r="Q89" s="706"/>
      <c r="R89" s="706"/>
      <c r="S89" s="707"/>
      <c r="T89" s="708"/>
      <c r="U89" s="707"/>
      <c r="V89" s="706"/>
      <c r="W89" s="707"/>
      <c r="X89" s="707"/>
      <c r="Y89" s="706"/>
      <c r="Z89" s="706"/>
      <c r="AA89" s="707"/>
      <c r="AB89" s="708"/>
      <c r="AC89" s="710"/>
      <c r="AD89" s="706"/>
      <c r="AE89" s="706"/>
      <c r="AF89" s="706"/>
      <c r="AG89" s="706"/>
      <c r="AH89" s="706"/>
      <c r="AI89" s="707"/>
      <c r="AJ89" s="708"/>
      <c r="AK89" s="710"/>
      <c r="AL89" s="706"/>
      <c r="AM89" s="706"/>
      <c r="AN89" s="706"/>
      <c r="AO89" s="706"/>
      <c r="AP89" s="706"/>
      <c r="AQ89" s="707"/>
      <c r="AR89" s="711"/>
      <c r="AS89" s="706"/>
      <c r="AT89" s="706"/>
      <c r="AU89" s="706"/>
      <c r="AV89" s="706"/>
      <c r="AW89" s="706"/>
      <c r="AX89" s="706"/>
      <c r="AY89" s="707"/>
      <c r="AZ89" s="708"/>
      <c r="BA89" s="707"/>
      <c r="BB89" s="706"/>
      <c r="BC89" s="707"/>
      <c r="BD89" s="707"/>
      <c r="BE89" s="706"/>
      <c r="BF89" s="706"/>
      <c r="BG89" s="707"/>
      <c r="BH89" s="708"/>
      <c r="BI89" s="710"/>
      <c r="BJ89" s="706"/>
      <c r="BK89" s="706"/>
      <c r="BL89" s="706"/>
      <c r="BM89" s="706"/>
      <c r="BN89" s="706"/>
      <c r="BO89" s="707"/>
      <c r="BP89" s="708"/>
      <c r="BQ89" s="707"/>
      <c r="BR89" s="706"/>
      <c r="BS89" s="707"/>
      <c r="BT89" s="707"/>
      <c r="BU89" s="706"/>
      <c r="BV89" s="706"/>
      <c r="BW89" s="707"/>
      <c r="BX89" s="709"/>
    </row>
    <row r="90" spans="1:76" ht="30" customHeight="1" x14ac:dyDescent="0.2">
      <c r="A90" s="717">
        <v>84</v>
      </c>
      <c r="B90" s="705" t="s">
        <v>413</v>
      </c>
      <c r="C90" s="705" t="s">
        <v>502</v>
      </c>
      <c r="D90" s="631">
        <v>105772</v>
      </c>
      <c r="E90" s="706"/>
      <c r="F90" s="706"/>
      <c r="G90" s="706"/>
      <c r="H90" s="706"/>
      <c r="I90" s="706"/>
      <c r="J90" s="707"/>
      <c r="K90" s="708"/>
      <c r="L90" s="708"/>
      <c r="M90" s="706"/>
      <c r="N90" s="706"/>
      <c r="O90" s="706"/>
      <c r="P90" s="706"/>
      <c r="Q90" s="706"/>
      <c r="R90" s="706"/>
      <c r="S90" s="707"/>
      <c r="T90" s="708"/>
      <c r="U90" s="707"/>
      <c r="V90" s="706"/>
      <c r="W90" s="707"/>
      <c r="X90" s="707"/>
      <c r="Y90" s="706"/>
      <c r="Z90" s="706"/>
      <c r="AA90" s="707"/>
      <c r="AB90" s="708"/>
      <c r="AC90" s="710"/>
      <c r="AD90" s="706"/>
      <c r="AE90" s="706"/>
      <c r="AF90" s="706"/>
      <c r="AG90" s="706"/>
      <c r="AH90" s="706"/>
      <c r="AI90" s="707"/>
      <c r="AJ90" s="708"/>
      <c r="AK90" s="710"/>
      <c r="AL90" s="706"/>
      <c r="AM90" s="706"/>
      <c r="AN90" s="706"/>
      <c r="AO90" s="706"/>
      <c r="AP90" s="706"/>
      <c r="AQ90" s="707"/>
      <c r="AR90" s="711"/>
      <c r="AS90" s="706"/>
      <c r="AT90" s="706"/>
      <c r="AU90" s="706"/>
      <c r="AV90" s="706"/>
      <c r="AW90" s="706"/>
      <c r="AX90" s="706"/>
      <c r="AY90" s="707"/>
      <c r="AZ90" s="708"/>
      <c r="BA90" s="707"/>
      <c r="BB90" s="706"/>
      <c r="BC90" s="707"/>
      <c r="BD90" s="707"/>
      <c r="BE90" s="706"/>
      <c r="BF90" s="706"/>
      <c r="BG90" s="707"/>
      <c r="BH90" s="708"/>
      <c r="BI90" s="710"/>
      <c r="BJ90" s="706"/>
      <c r="BK90" s="706"/>
      <c r="BL90" s="706"/>
      <c r="BM90" s="706"/>
      <c r="BN90" s="706"/>
      <c r="BO90" s="707"/>
      <c r="BP90" s="708"/>
      <c r="BQ90" s="707"/>
      <c r="BR90" s="706"/>
      <c r="BS90" s="707"/>
      <c r="BT90" s="707"/>
      <c r="BU90" s="706"/>
      <c r="BV90" s="706"/>
      <c r="BW90" s="707"/>
      <c r="BX90" s="709"/>
    </row>
    <row r="91" spans="1:76" ht="30" customHeight="1" x14ac:dyDescent="0.2">
      <c r="A91" s="717">
        <v>85</v>
      </c>
      <c r="B91" s="705" t="s">
        <v>413</v>
      </c>
      <c r="C91" s="705" t="s">
        <v>540</v>
      </c>
      <c r="D91" s="631">
        <v>105661</v>
      </c>
      <c r="E91" s="706"/>
      <c r="F91" s="706"/>
      <c r="G91" s="706"/>
      <c r="H91" s="706"/>
      <c r="I91" s="706"/>
      <c r="J91" s="707"/>
      <c r="K91" s="708"/>
      <c r="L91" s="708"/>
      <c r="M91" s="706"/>
      <c r="N91" s="706"/>
      <c r="O91" s="706"/>
      <c r="P91" s="706"/>
      <c r="Q91" s="706"/>
      <c r="R91" s="706"/>
      <c r="S91" s="707"/>
      <c r="T91" s="708"/>
      <c r="U91" s="707"/>
      <c r="V91" s="706"/>
      <c r="W91" s="707"/>
      <c r="X91" s="707"/>
      <c r="Y91" s="706"/>
      <c r="Z91" s="706"/>
      <c r="AA91" s="707"/>
      <c r="AB91" s="708"/>
      <c r="AC91" s="710"/>
      <c r="AD91" s="706"/>
      <c r="AE91" s="706"/>
      <c r="AF91" s="706"/>
      <c r="AG91" s="706"/>
      <c r="AH91" s="706"/>
      <c r="AI91" s="707"/>
      <c r="AJ91" s="708"/>
      <c r="AK91" s="710"/>
      <c r="AL91" s="706"/>
      <c r="AM91" s="706"/>
      <c r="AN91" s="706"/>
      <c r="AO91" s="706"/>
      <c r="AP91" s="706"/>
      <c r="AQ91" s="707"/>
      <c r="AR91" s="711"/>
      <c r="AS91" s="706"/>
      <c r="AT91" s="706"/>
      <c r="AU91" s="706"/>
      <c r="AV91" s="706"/>
      <c r="AW91" s="706"/>
      <c r="AX91" s="706"/>
      <c r="AY91" s="707"/>
      <c r="AZ91" s="708"/>
      <c r="BA91" s="707"/>
      <c r="BB91" s="706"/>
      <c r="BC91" s="707"/>
      <c r="BD91" s="707"/>
      <c r="BE91" s="706"/>
      <c r="BF91" s="706"/>
      <c r="BG91" s="707"/>
      <c r="BH91" s="708"/>
      <c r="BI91" s="710"/>
      <c r="BJ91" s="706"/>
      <c r="BK91" s="706"/>
      <c r="BL91" s="706"/>
      <c r="BM91" s="706"/>
      <c r="BN91" s="706"/>
      <c r="BO91" s="707"/>
      <c r="BP91" s="708"/>
      <c r="BQ91" s="707"/>
      <c r="BR91" s="706"/>
      <c r="BS91" s="707"/>
      <c r="BT91" s="707"/>
      <c r="BU91" s="706"/>
      <c r="BV91" s="706"/>
      <c r="BW91" s="707"/>
      <c r="BX91" s="709"/>
    </row>
    <row r="92" spans="1:76" ht="30" customHeight="1" x14ac:dyDescent="0.2">
      <c r="A92" s="717">
        <v>86</v>
      </c>
      <c r="B92" s="705" t="s">
        <v>413</v>
      </c>
      <c r="C92" s="705" t="s">
        <v>535</v>
      </c>
      <c r="D92" s="631">
        <v>105656</v>
      </c>
      <c r="E92" s="706"/>
      <c r="F92" s="706"/>
      <c r="G92" s="706"/>
      <c r="H92" s="706"/>
      <c r="I92" s="706"/>
      <c r="J92" s="707"/>
      <c r="K92" s="708"/>
      <c r="L92" s="708"/>
      <c r="M92" s="706"/>
      <c r="N92" s="706"/>
      <c r="O92" s="706"/>
      <c r="P92" s="706"/>
      <c r="Q92" s="706"/>
      <c r="R92" s="706"/>
      <c r="S92" s="707"/>
      <c r="T92" s="708"/>
      <c r="U92" s="707"/>
      <c r="V92" s="706"/>
      <c r="W92" s="707"/>
      <c r="X92" s="707"/>
      <c r="Y92" s="706"/>
      <c r="Z92" s="706"/>
      <c r="AA92" s="707"/>
      <c r="AB92" s="708"/>
      <c r="AC92" s="710"/>
      <c r="AD92" s="706"/>
      <c r="AE92" s="706"/>
      <c r="AF92" s="706"/>
      <c r="AG92" s="706"/>
      <c r="AH92" s="706"/>
      <c r="AI92" s="707"/>
      <c r="AJ92" s="708"/>
      <c r="AK92" s="710"/>
      <c r="AL92" s="706"/>
      <c r="AM92" s="706"/>
      <c r="AN92" s="706"/>
      <c r="AO92" s="706"/>
      <c r="AP92" s="706"/>
      <c r="AQ92" s="707"/>
      <c r="AR92" s="711"/>
      <c r="AS92" s="706"/>
      <c r="AT92" s="706"/>
      <c r="AU92" s="706"/>
      <c r="AV92" s="706"/>
      <c r="AW92" s="706"/>
      <c r="AX92" s="706"/>
      <c r="AY92" s="707"/>
      <c r="AZ92" s="708"/>
      <c r="BA92" s="707"/>
      <c r="BB92" s="706"/>
      <c r="BC92" s="707"/>
      <c r="BD92" s="707"/>
      <c r="BE92" s="706"/>
      <c r="BF92" s="706"/>
      <c r="BG92" s="707"/>
      <c r="BH92" s="708"/>
      <c r="BI92" s="710"/>
      <c r="BJ92" s="706"/>
      <c r="BK92" s="706"/>
      <c r="BL92" s="706"/>
      <c r="BM92" s="706"/>
      <c r="BN92" s="706"/>
      <c r="BO92" s="707"/>
      <c r="BP92" s="708"/>
      <c r="BQ92" s="707"/>
      <c r="BR92" s="706"/>
      <c r="BS92" s="707"/>
      <c r="BT92" s="707"/>
      <c r="BU92" s="706"/>
      <c r="BV92" s="706"/>
      <c r="BW92" s="707"/>
      <c r="BX92" s="709"/>
    </row>
    <row r="93" spans="1:76" ht="30" customHeight="1" x14ac:dyDescent="0.2">
      <c r="A93" s="717">
        <v>87</v>
      </c>
      <c r="B93" s="705" t="s">
        <v>413</v>
      </c>
      <c r="C93" s="705" t="s">
        <v>1124</v>
      </c>
      <c r="D93" s="631">
        <v>104063</v>
      </c>
      <c r="E93" s="706"/>
      <c r="F93" s="706"/>
      <c r="G93" s="706"/>
      <c r="H93" s="706"/>
      <c r="I93" s="706"/>
      <c r="J93" s="707"/>
      <c r="K93" s="708"/>
      <c r="L93" s="708"/>
      <c r="M93" s="706"/>
      <c r="N93" s="706"/>
      <c r="O93" s="706"/>
      <c r="P93" s="706"/>
      <c r="Q93" s="706"/>
      <c r="R93" s="706"/>
      <c r="S93" s="707"/>
      <c r="T93" s="708"/>
      <c r="U93" s="707"/>
      <c r="V93" s="706"/>
      <c r="W93" s="707"/>
      <c r="X93" s="707"/>
      <c r="Y93" s="706"/>
      <c r="Z93" s="706"/>
      <c r="AA93" s="707"/>
      <c r="AB93" s="708"/>
      <c r="AC93" s="710"/>
      <c r="AD93" s="706"/>
      <c r="AE93" s="706"/>
      <c r="AF93" s="706"/>
      <c r="AG93" s="706"/>
      <c r="AH93" s="706"/>
      <c r="AI93" s="707"/>
      <c r="AJ93" s="708"/>
      <c r="AK93" s="710"/>
      <c r="AL93" s="706"/>
      <c r="AM93" s="706"/>
      <c r="AN93" s="706"/>
      <c r="AO93" s="706"/>
      <c r="AP93" s="706"/>
      <c r="AQ93" s="707"/>
      <c r="AR93" s="711"/>
      <c r="AS93" s="706"/>
      <c r="AT93" s="706"/>
      <c r="AU93" s="706"/>
      <c r="AV93" s="706"/>
      <c r="AW93" s="706"/>
      <c r="AX93" s="706"/>
      <c r="AY93" s="707"/>
      <c r="AZ93" s="708"/>
      <c r="BA93" s="707"/>
      <c r="BB93" s="706"/>
      <c r="BC93" s="707"/>
      <c r="BD93" s="707"/>
      <c r="BE93" s="706"/>
      <c r="BF93" s="706"/>
      <c r="BG93" s="707"/>
      <c r="BH93" s="708"/>
      <c r="BI93" s="710"/>
      <c r="BJ93" s="706"/>
      <c r="BK93" s="706"/>
      <c r="BL93" s="706"/>
      <c r="BM93" s="706"/>
      <c r="BN93" s="706"/>
      <c r="BO93" s="707"/>
      <c r="BP93" s="708"/>
      <c r="BQ93" s="707"/>
      <c r="BR93" s="706"/>
      <c r="BS93" s="707"/>
      <c r="BT93" s="707"/>
      <c r="BU93" s="706"/>
      <c r="BV93" s="706"/>
      <c r="BW93" s="707"/>
      <c r="BX93" s="709"/>
    </row>
    <row r="94" spans="1:76" ht="30" customHeight="1" x14ac:dyDescent="0.2">
      <c r="A94" s="717">
        <v>88</v>
      </c>
      <c r="B94" s="705" t="s">
        <v>413</v>
      </c>
      <c r="C94" s="705" t="s">
        <v>1026</v>
      </c>
      <c r="D94" s="631">
        <v>12098</v>
      </c>
      <c r="E94" s="706"/>
      <c r="F94" s="706"/>
      <c r="G94" s="706"/>
      <c r="H94" s="706"/>
      <c r="I94" s="706"/>
      <c r="J94" s="707"/>
      <c r="K94" s="708"/>
      <c r="L94" s="708"/>
      <c r="M94" s="706"/>
      <c r="N94" s="706"/>
      <c r="O94" s="706"/>
      <c r="P94" s="706"/>
      <c r="Q94" s="706"/>
      <c r="R94" s="706"/>
      <c r="S94" s="707"/>
      <c r="T94" s="708"/>
      <c r="U94" s="707"/>
      <c r="V94" s="706"/>
      <c r="W94" s="707"/>
      <c r="X94" s="707"/>
      <c r="Y94" s="706"/>
      <c r="Z94" s="706"/>
      <c r="AA94" s="707"/>
      <c r="AB94" s="708"/>
      <c r="AC94" s="710"/>
      <c r="AD94" s="706"/>
      <c r="AE94" s="706"/>
      <c r="AF94" s="706"/>
      <c r="AG94" s="706"/>
      <c r="AH94" s="706"/>
      <c r="AI94" s="707"/>
      <c r="AJ94" s="708"/>
      <c r="AK94" s="710"/>
      <c r="AL94" s="706"/>
      <c r="AM94" s="706"/>
      <c r="AN94" s="706"/>
      <c r="AO94" s="706"/>
      <c r="AP94" s="706"/>
      <c r="AQ94" s="707"/>
      <c r="AR94" s="711"/>
      <c r="AS94" s="706"/>
      <c r="AT94" s="706"/>
      <c r="AU94" s="706"/>
      <c r="AV94" s="706"/>
      <c r="AW94" s="706"/>
      <c r="AX94" s="706"/>
      <c r="AY94" s="707"/>
      <c r="AZ94" s="708"/>
      <c r="BA94" s="707"/>
      <c r="BB94" s="706"/>
      <c r="BC94" s="707"/>
      <c r="BD94" s="707"/>
      <c r="BE94" s="706"/>
      <c r="BF94" s="706"/>
      <c r="BG94" s="707"/>
      <c r="BH94" s="708"/>
      <c r="BI94" s="710"/>
      <c r="BJ94" s="706"/>
      <c r="BK94" s="706"/>
      <c r="BL94" s="706"/>
      <c r="BM94" s="706"/>
      <c r="BN94" s="706"/>
      <c r="BO94" s="707"/>
      <c r="BP94" s="708"/>
      <c r="BQ94" s="707"/>
      <c r="BR94" s="706"/>
      <c r="BS94" s="707"/>
      <c r="BT94" s="707"/>
      <c r="BU94" s="706"/>
      <c r="BV94" s="706"/>
      <c r="BW94" s="707"/>
      <c r="BX94" s="709"/>
    </row>
    <row r="95" spans="1:76" ht="30" customHeight="1" x14ac:dyDescent="0.2">
      <c r="A95" s="717">
        <v>89</v>
      </c>
      <c r="B95" s="705" t="s">
        <v>413</v>
      </c>
      <c r="C95" s="705" t="s">
        <v>521</v>
      </c>
      <c r="D95" s="631">
        <v>105532</v>
      </c>
      <c r="E95" s="706"/>
      <c r="F95" s="706"/>
      <c r="G95" s="706"/>
      <c r="H95" s="706"/>
      <c r="I95" s="706"/>
      <c r="J95" s="707"/>
      <c r="K95" s="708"/>
      <c r="L95" s="708"/>
      <c r="M95" s="706"/>
      <c r="N95" s="706"/>
      <c r="O95" s="706"/>
      <c r="P95" s="706"/>
      <c r="Q95" s="706"/>
      <c r="R95" s="706"/>
      <c r="S95" s="707"/>
      <c r="T95" s="708"/>
      <c r="U95" s="707"/>
      <c r="V95" s="706"/>
      <c r="W95" s="707"/>
      <c r="X95" s="707"/>
      <c r="Y95" s="706"/>
      <c r="Z95" s="706"/>
      <c r="AA95" s="707"/>
      <c r="AB95" s="708"/>
      <c r="AC95" s="710"/>
      <c r="AD95" s="706"/>
      <c r="AE95" s="706"/>
      <c r="AF95" s="706"/>
      <c r="AG95" s="706"/>
      <c r="AH95" s="706"/>
      <c r="AI95" s="707"/>
      <c r="AJ95" s="708"/>
      <c r="AK95" s="710"/>
      <c r="AL95" s="706"/>
      <c r="AM95" s="706"/>
      <c r="AN95" s="706"/>
      <c r="AO95" s="706"/>
      <c r="AP95" s="706"/>
      <c r="AQ95" s="707"/>
      <c r="AR95" s="711"/>
      <c r="AS95" s="706"/>
      <c r="AT95" s="706"/>
      <c r="AU95" s="706"/>
      <c r="AV95" s="706"/>
      <c r="AW95" s="706"/>
      <c r="AX95" s="706"/>
      <c r="AY95" s="707"/>
      <c r="AZ95" s="708"/>
      <c r="BA95" s="707"/>
      <c r="BB95" s="706"/>
      <c r="BC95" s="707"/>
      <c r="BD95" s="707"/>
      <c r="BE95" s="706"/>
      <c r="BF95" s="706"/>
      <c r="BG95" s="707"/>
      <c r="BH95" s="708"/>
      <c r="BI95" s="710"/>
      <c r="BJ95" s="706"/>
      <c r="BK95" s="706"/>
      <c r="BL95" s="706"/>
      <c r="BM95" s="706"/>
      <c r="BN95" s="706"/>
      <c r="BO95" s="707"/>
      <c r="BP95" s="708"/>
      <c r="BQ95" s="707"/>
      <c r="BR95" s="706"/>
      <c r="BS95" s="707"/>
      <c r="BT95" s="707"/>
      <c r="BU95" s="706"/>
      <c r="BV95" s="706"/>
      <c r="BW95" s="707"/>
      <c r="BX95" s="709"/>
    </row>
    <row r="96" spans="1:76" ht="30" customHeight="1" x14ac:dyDescent="0.2">
      <c r="A96" s="717">
        <v>90</v>
      </c>
      <c r="B96" s="705" t="s">
        <v>413</v>
      </c>
      <c r="C96" s="705" t="s">
        <v>1123</v>
      </c>
      <c r="D96" s="631">
        <v>52650</v>
      </c>
      <c r="E96" s="706"/>
      <c r="F96" s="706"/>
      <c r="G96" s="706"/>
      <c r="H96" s="706"/>
      <c r="I96" s="706"/>
      <c r="J96" s="707"/>
      <c r="K96" s="708"/>
      <c r="L96" s="708"/>
      <c r="M96" s="706"/>
      <c r="N96" s="706"/>
      <c r="O96" s="706"/>
      <c r="P96" s="706"/>
      <c r="Q96" s="706"/>
      <c r="R96" s="706"/>
      <c r="S96" s="707"/>
      <c r="T96" s="708"/>
      <c r="U96" s="707"/>
      <c r="V96" s="706"/>
      <c r="W96" s="707"/>
      <c r="X96" s="707"/>
      <c r="Y96" s="706"/>
      <c r="Z96" s="706"/>
      <c r="AA96" s="707"/>
      <c r="AB96" s="708"/>
      <c r="AC96" s="710"/>
      <c r="AD96" s="706"/>
      <c r="AE96" s="706"/>
      <c r="AF96" s="706"/>
      <c r="AG96" s="706"/>
      <c r="AH96" s="706"/>
      <c r="AI96" s="707"/>
      <c r="AJ96" s="708"/>
      <c r="AK96" s="710"/>
      <c r="AL96" s="706"/>
      <c r="AM96" s="706"/>
      <c r="AN96" s="706"/>
      <c r="AO96" s="706"/>
      <c r="AP96" s="706"/>
      <c r="AQ96" s="707"/>
      <c r="AR96" s="711"/>
      <c r="AS96" s="706"/>
      <c r="AT96" s="706"/>
      <c r="AU96" s="706"/>
      <c r="AV96" s="706"/>
      <c r="AW96" s="706"/>
      <c r="AX96" s="706"/>
      <c r="AY96" s="707"/>
      <c r="AZ96" s="708"/>
      <c r="BA96" s="707"/>
      <c r="BB96" s="706"/>
      <c r="BC96" s="707"/>
      <c r="BD96" s="707"/>
      <c r="BE96" s="706"/>
      <c r="BF96" s="706"/>
      <c r="BG96" s="707"/>
      <c r="BH96" s="708"/>
      <c r="BI96" s="710"/>
      <c r="BJ96" s="706"/>
      <c r="BK96" s="706"/>
      <c r="BL96" s="706"/>
      <c r="BM96" s="706"/>
      <c r="BN96" s="706"/>
      <c r="BO96" s="707"/>
      <c r="BP96" s="708"/>
      <c r="BQ96" s="707"/>
      <c r="BR96" s="706"/>
      <c r="BS96" s="707"/>
      <c r="BT96" s="707"/>
      <c r="BU96" s="706"/>
      <c r="BV96" s="706"/>
      <c r="BW96" s="707"/>
      <c r="BX96" s="709"/>
    </row>
    <row r="97" spans="1:76" ht="30" customHeight="1" x14ac:dyDescent="0.2">
      <c r="A97" s="717">
        <v>91</v>
      </c>
      <c r="B97" s="705" t="s">
        <v>413</v>
      </c>
      <c r="C97" s="705" t="s">
        <v>1062</v>
      </c>
      <c r="D97" s="631">
        <v>3636</v>
      </c>
      <c r="E97" s="706"/>
      <c r="F97" s="706"/>
      <c r="G97" s="706"/>
      <c r="H97" s="706"/>
      <c r="I97" s="706"/>
      <c r="J97" s="707"/>
      <c r="K97" s="708"/>
      <c r="L97" s="708"/>
      <c r="M97" s="706"/>
      <c r="N97" s="706"/>
      <c r="O97" s="706"/>
      <c r="P97" s="706"/>
      <c r="Q97" s="706"/>
      <c r="R97" s="706"/>
      <c r="S97" s="707"/>
      <c r="T97" s="708"/>
      <c r="U97" s="707" t="s">
        <v>1104</v>
      </c>
      <c r="V97" s="706" t="s">
        <v>1217</v>
      </c>
      <c r="W97" s="707" t="s">
        <v>1218</v>
      </c>
      <c r="X97" s="707"/>
      <c r="Y97" s="706" t="s">
        <v>1219</v>
      </c>
      <c r="Z97" s="706" t="s">
        <v>1220</v>
      </c>
      <c r="AA97" s="707"/>
      <c r="AB97" s="708"/>
      <c r="AC97" s="710"/>
      <c r="AD97" s="706"/>
      <c r="AE97" s="706"/>
      <c r="AF97" s="706"/>
      <c r="AG97" s="706"/>
      <c r="AH97" s="706"/>
      <c r="AI97" s="707"/>
      <c r="AJ97" s="708"/>
      <c r="AK97" s="710"/>
      <c r="AL97" s="706"/>
      <c r="AM97" s="706"/>
      <c r="AN97" s="706"/>
      <c r="AO97" s="706"/>
      <c r="AP97" s="706"/>
      <c r="AQ97" s="707"/>
      <c r="AR97" s="711"/>
      <c r="AS97" s="706"/>
      <c r="AT97" s="706"/>
      <c r="AU97" s="706"/>
      <c r="AV97" s="706"/>
      <c r="AW97" s="706"/>
      <c r="AX97" s="706"/>
      <c r="AY97" s="707"/>
      <c r="AZ97" s="708"/>
      <c r="BA97" s="707"/>
      <c r="BB97" s="706"/>
      <c r="BC97" s="707"/>
      <c r="BD97" s="707"/>
      <c r="BE97" s="706"/>
      <c r="BF97" s="706"/>
      <c r="BG97" s="707"/>
      <c r="BH97" s="708"/>
      <c r="BI97" s="710"/>
      <c r="BJ97" s="706"/>
      <c r="BK97" s="706"/>
      <c r="BL97" s="706"/>
      <c r="BM97" s="706"/>
      <c r="BN97" s="706"/>
      <c r="BO97" s="707"/>
      <c r="BP97" s="708"/>
      <c r="BQ97" s="707"/>
      <c r="BR97" s="706"/>
      <c r="BS97" s="707"/>
      <c r="BT97" s="707"/>
      <c r="BU97" s="706"/>
      <c r="BV97" s="706"/>
      <c r="BW97" s="707"/>
      <c r="BX97" s="709"/>
    </row>
    <row r="98" spans="1:76" ht="30" customHeight="1" x14ac:dyDescent="0.2">
      <c r="A98" s="717">
        <v>92</v>
      </c>
      <c r="B98" s="705" t="s">
        <v>413</v>
      </c>
      <c r="C98" s="705" t="s">
        <v>474</v>
      </c>
      <c r="D98" s="50">
        <v>106651</v>
      </c>
      <c r="E98" s="706"/>
      <c r="F98" s="706"/>
      <c r="G98" s="706"/>
      <c r="H98" s="706"/>
      <c r="I98" s="706"/>
      <c r="J98" s="707"/>
      <c r="K98" s="708"/>
      <c r="L98" s="708"/>
      <c r="M98" s="706" t="s">
        <v>1104</v>
      </c>
      <c r="N98" s="706" t="s">
        <v>1217</v>
      </c>
      <c r="O98" s="706" t="s">
        <v>1218</v>
      </c>
      <c r="P98" s="706"/>
      <c r="Q98" s="706" t="s">
        <v>1219</v>
      </c>
      <c r="R98" s="706" t="s">
        <v>1220</v>
      </c>
      <c r="S98" s="707"/>
      <c r="T98" s="708"/>
      <c r="U98" s="707"/>
      <c r="V98" s="706"/>
      <c r="W98" s="707"/>
      <c r="X98" s="707"/>
      <c r="Y98" s="706"/>
      <c r="Z98" s="706"/>
      <c r="AA98" s="707"/>
      <c r="AB98" s="708"/>
      <c r="AC98" s="710" t="s">
        <v>1104</v>
      </c>
      <c r="AD98" s="706" t="s">
        <v>1217</v>
      </c>
      <c r="AE98" s="706" t="s">
        <v>1218</v>
      </c>
      <c r="AF98" s="706"/>
      <c r="AG98" s="706" t="s">
        <v>1224</v>
      </c>
      <c r="AH98" s="706" t="s">
        <v>1220</v>
      </c>
      <c r="AI98" s="707" t="s">
        <v>89</v>
      </c>
      <c r="AJ98" s="708"/>
      <c r="AK98" s="710"/>
      <c r="AL98" s="706"/>
      <c r="AM98" s="706"/>
      <c r="AN98" s="706"/>
      <c r="AO98" s="706"/>
      <c r="AP98" s="706"/>
      <c r="AQ98" s="707"/>
      <c r="AR98" s="711"/>
      <c r="AS98" s="706"/>
      <c r="AT98" s="706"/>
      <c r="AU98" s="706"/>
      <c r="AV98" s="706"/>
      <c r="AW98" s="706"/>
      <c r="AX98" s="706"/>
      <c r="AY98" s="707"/>
      <c r="AZ98" s="708"/>
      <c r="BA98" s="707"/>
      <c r="BB98" s="706"/>
      <c r="BC98" s="707"/>
      <c r="BD98" s="707"/>
      <c r="BE98" s="706"/>
      <c r="BF98" s="706"/>
      <c r="BG98" s="707"/>
      <c r="BH98" s="708"/>
      <c r="BI98" s="710"/>
      <c r="BJ98" s="706"/>
      <c r="BK98" s="706"/>
      <c r="BL98" s="706"/>
      <c r="BM98" s="706"/>
      <c r="BN98" s="706"/>
      <c r="BO98" s="707"/>
      <c r="BP98" s="708"/>
      <c r="BQ98" s="707"/>
      <c r="BR98" s="706"/>
      <c r="BS98" s="707"/>
      <c r="BT98" s="707"/>
      <c r="BU98" s="706"/>
      <c r="BV98" s="706"/>
      <c r="BW98" s="707"/>
      <c r="BX98" s="709"/>
    </row>
    <row r="99" spans="1:76" ht="30" customHeight="1" x14ac:dyDescent="0.2">
      <c r="A99" s="717">
        <v>93</v>
      </c>
      <c r="B99" s="705" t="s">
        <v>413</v>
      </c>
      <c r="C99" s="51" t="s">
        <v>1063</v>
      </c>
      <c r="D99" s="50">
        <v>106574</v>
      </c>
      <c r="E99" s="706"/>
      <c r="F99" s="706"/>
      <c r="G99" s="706"/>
      <c r="H99" s="706"/>
      <c r="I99" s="706"/>
      <c r="J99" s="707"/>
      <c r="K99" s="708"/>
      <c r="L99" s="708"/>
      <c r="M99" s="706"/>
      <c r="N99" s="706"/>
      <c r="O99" s="706"/>
      <c r="P99" s="706"/>
      <c r="Q99" s="706"/>
      <c r="R99" s="706"/>
      <c r="S99" s="707"/>
      <c r="T99" s="708"/>
      <c r="U99" s="707"/>
      <c r="V99" s="706"/>
      <c r="W99" s="707"/>
      <c r="X99" s="707"/>
      <c r="Y99" s="706"/>
      <c r="Z99" s="706"/>
      <c r="AA99" s="707"/>
      <c r="AB99" s="708"/>
      <c r="AC99" s="710" t="s">
        <v>1104</v>
      </c>
      <c r="AD99" s="706" t="s">
        <v>1217</v>
      </c>
      <c r="AE99" s="706" t="s">
        <v>1218</v>
      </c>
      <c r="AF99" s="706"/>
      <c r="AG99" s="706" t="s">
        <v>1224</v>
      </c>
      <c r="AH99" s="706" t="s">
        <v>1220</v>
      </c>
      <c r="AI99" s="707" t="s">
        <v>89</v>
      </c>
      <c r="AJ99" s="708"/>
      <c r="AK99" s="710"/>
      <c r="AL99" s="706"/>
      <c r="AM99" s="706"/>
      <c r="AN99" s="706"/>
      <c r="AO99" s="706"/>
      <c r="AP99" s="706"/>
      <c r="AQ99" s="707"/>
      <c r="AR99" s="711"/>
      <c r="AS99" s="706"/>
      <c r="AT99" s="706"/>
      <c r="AU99" s="706"/>
      <c r="AV99" s="706"/>
      <c r="AW99" s="706"/>
      <c r="AX99" s="706"/>
      <c r="AY99" s="707"/>
      <c r="AZ99" s="708"/>
      <c r="BA99" s="707"/>
      <c r="BB99" s="706"/>
      <c r="BC99" s="707"/>
      <c r="BD99" s="707"/>
      <c r="BE99" s="706"/>
      <c r="BF99" s="706"/>
      <c r="BG99" s="707"/>
      <c r="BH99" s="708"/>
      <c r="BI99" s="710"/>
      <c r="BJ99" s="706"/>
      <c r="BK99" s="706"/>
      <c r="BL99" s="706"/>
      <c r="BM99" s="706"/>
      <c r="BN99" s="706"/>
      <c r="BO99" s="707"/>
      <c r="BP99" s="708"/>
      <c r="BQ99" s="707"/>
      <c r="BR99" s="706"/>
      <c r="BS99" s="707"/>
      <c r="BT99" s="707"/>
      <c r="BU99" s="706"/>
      <c r="BV99" s="706"/>
      <c r="BW99" s="707"/>
      <c r="BX99" s="709"/>
    </row>
    <row r="100" spans="1:76" ht="30" customHeight="1" x14ac:dyDescent="0.2">
      <c r="A100" s="717">
        <v>94</v>
      </c>
      <c r="B100" s="705" t="s">
        <v>413</v>
      </c>
      <c r="C100" s="705" t="s">
        <v>490</v>
      </c>
      <c r="D100" s="631">
        <v>106794</v>
      </c>
      <c r="E100" s="706"/>
      <c r="F100" s="706"/>
      <c r="G100" s="706"/>
      <c r="H100" s="706"/>
      <c r="I100" s="706"/>
      <c r="J100" s="707"/>
      <c r="K100" s="708"/>
      <c r="L100" s="708"/>
      <c r="M100" s="706"/>
      <c r="N100" s="706"/>
      <c r="O100" s="706"/>
      <c r="P100" s="706"/>
      <c r="Q100" s="706"/>
      <c r="R100" s="706"/>
      <c r="S100" s="707"/>
      <c r="T100" s="708"/>
      <c r="U100" s="707"/>
      <c r="V100" s="706"/>
      <c r="W100" s="707"/>
      <c r="X100" s="707"/>
      <c r="Y100" s="706"/>
      <c r="Z100" s="706"/>
      <c r="AA100" s="707"/>
      <c r="AB100" s="708"/>
      <c r="AC100" s="710" t="s">
        <v>1104</v>
      </c>
      <c r="AD100" s="706" t="s">
        <v>1217</v>
      </c>
      <c r="AE100" s="706" t="s">
        <v>1218</v>
      </c>
      <c r="AF100" s="706"/>
      <c r="AG100" s="706" t="s">
        <v>1224</v>
      </c>
      <c r="AH100" s="706" t="s">
        <v>1220</v>
      </c>
      <c r="AI100" s="707" t="s">
        <v>89</v>
      </c>
      <c r="AJ100" s="708"/>
      <c r="AK100" s="710"/>
      <c r="AL100" s="706"/>
      <c r="AM100" s="706"/>
      <c r="AN100" s="706"/>
      <c r="AO100" s="706"/>
      <c r="AP100" s="706"/>
      <c r="AQ100" s="707"/>
      <c r="AR100" s="711"/>
      <c r="AS100" s="706"/>
      <c r="AT100" s="706"/>
      <c r="AU100" s="706"/>
      <c r="AV100" s="706"/>
      <c r="AW100" s="706"/>
      <c r="AX100" s="706"/>
      <c r="AY100" s="707"/>
      <c r="AZ100" s="708"/>
      <c r="BA100" s="707" t="s">
        <v>1104</v>
      </c>
      <c r="BB100" s="706" t="s">
        <v>1223</v>
      </c>
      <c r="BC100" s="707" t="s">
        <v>1251</v>
      </c>
      <c r="BD100" s="707"/>
      <c r="BE100" s="706" t="s">
        <v>1219</v>
      </c>
      <c r="BF100" s="706" t="s">
        <v>1220</v>
      </c>
      <c r="BG100" s="707"/>
      <c r="BH100" s="708"/>
      <c r="BI100" s="710"/>
      <c r="BJ100" s="706"/>
      <c r="BK100" s="706"/>
      <c r="BL100" s="706"/>
      <c r="BM100" s="706"/>
      <c r="BN100" s="706"/>
      <c r="BO100" s="707"/>
      <c r="BP100" s="708"/>
      <c r="BQ100" s="707"/>
      <c r="BR100" s="706"/>
      <c r="BS100" s="707"/>
      <c r="BT100" s="707"/>
      <c r="BU100" s="706"/>
      <c r="BV100" s="706"/>
      <c r="BW100" s="707"/>
      <c r="BX100" s="709"/>
    </row>
    <row r="101" spans="1:76" ht="30" customHeight="1" x14ac:dyDescent="0.2">
      <c r="A101" s="717">
        <v>95</v>
      </c>
      <c r="B101" s="705" t="s">
        <v>413</v>
      </c>
      <c r="C101" s="705" t="s">
        <v>465</v>
      </c>
      <c r="D101" s="631">
        <v>106545</v>
      </c>
      <c r="E101" s="706"/>
      <c r="F101" s="706"/>
      <c r="G101" s="706"/>
      <c r="H101" s="706"/>
      <c r="I101" s="706"/>
      <c r="J101" s="707"/>
      <c r="K101" s="708"/>
      <c r="L101" s="708"/>
      <c r="M101" s="706"/>
      <c r="N101" s="706"/>
      <c r="O101" s="706"/>
      <c r="P101" s="706"/>
      <c r="Q101" s="706"/>
      <c r="R101" s="706"/>
      <c r="S101" s="707"/>
      <c r="T101" s="708"/>
      <c r="U101" s="707"/>
      <c r="V101" s="706"/>
      <c r="W101" s="707"/>
      <c r="X101" s="707"/>
      <c r="Y101" s="706"/>
      <c r="Z101" s="706"/>
      <c r="AA101" s="707"/>
      <c r="AB101" s="708"/>
      <c r="AC101" s="710" t="s">
        <v>1104</v>
      </c>
      <c r="AD101" s="706" t="s">
        <v>1217</v>
      </c>
      <c r="AE101" s="706" t="s">
        <v>1218</v>
      </c>
      <c r="AF101" s="706"/>
      <c r="AG101" s="706" t="s">
        <v>1219</v>
      </c>
      <c r="AH101" s="706" t="s">
        <v>1220</v>
      </c>
      <c r="AI101" s="707" t="s">
        <v>82</v>
      </c>
      <c r="AJ101" s="708"/>
      <c r="AK101" s="710"/>
      <c r="AL101" s="706"/>
      <c r="AM101" s="706"/>
      <c r="AN101" s="706"/>
      <c r="AO101" s="706"/>
      <c r="AP101" s="706"/>
      <c r="AQ101" s="707"/>
      <c r="AR101" s="711"/>
      <c r="AS101" s="706"/>
      <c r="AT101" s="706"/>
      <c r="AU101" s="706"/>
      <c r="AV101" s="706"/>
      <c r="AW101" s="706"/>
      <c r="AX101" s="706"/>
      <c r="AY101" s="707"/>
      <c r="AZ101" s="708"/>
      <c r="BA101" s="707" t="s">
        <v>1104</v>
      </c>
      <c r="BB101" s="706" t="s">
        <v>1223</v>
      </c>
      <c r="BC101" s="707" t="s">
        <v>1251</v>
      </c>
      <c r="BD101" s="707"/>
      <c r="BE101" s="706" t="s">
        <v>1219</v>
      </c>
      <c r="BF101" s="706" t="s">
        <v>1220</v>
      </c>
      <c r="BG101" s="707" t="s">
        <v>82</v>
      </c>
      <c r="BH101" s="708"/>
      <c r="BI101" s="710"/>
      <c r="BJ101" s="706"/>
      <c r="BK101" s="706"/>
      <c r="BL101" s="706"/>
      <c r="BM101" s="706"/>
      <c r="BN101" s="706"/>
      <c r="BO101" s="707"/>
      <c r="BP101" s="708"/>
      <c r="BQ101" s="707"/>
      <c r="BR101" s="706"/>
      <c r="BS101" s="707"/>
      <c r="BT101" s="707"/>
      <c r="BU101" s="706"/>
      <c r="BV101" s="706"/>
      <c r="BW101" s="707"/>
      <c r="BX101" s="709"/>
    </row>
    <row r="102" spans="1:76" ht="30" customHeight="1" x14ac:dyDescent="0.2">
      <c r="A102" s="717">
        <v>96</v>
      </c>
      <c r="B102" s="705" t="s">
        <v>413</v>
      </c>
      <c r="C102" s="705" t="s">
        <v>1252</v>
      </c>
      <c r="D102" s="631">
        <v>106421</v>
      </c>
      <c r="E102" s="706"/>
      <c r="F102" s="706"/>
      <c r="G102" s="706"/>
      <c r="H102" s="706"/>
      <c r="I102" s="706"/>
      <c r="J102" s="707"/>
      <c r="K102" s="708"/>
      <c r="L102" s="708"/>
      <c r="M102" s="706"/>
      <c r="N102" s="706"/>
      <c r="O102" s="706"/>
      <c r="P102" s="706"/>
      <c r="Q102" s="706"/>
      <c r="R102" s="706"/>
      <c r="S102" s="707"/>
      <c r="T102" s="708"/>
      <c r="U102" s="707"/>
      <c r="V102" s="706"/>
      <c r="W102" s="707"/>
      <c r="X102" s="707"/>
      <c r="Y102" s="706"/>
      <c r="Z102" s="706"/>
      <c r="AA102" s="707"/>
      <c r="AB102" s="708"/>
      <c r="AC102" s="710"/>
      <c r="AD102" s="706"/>
      <c r="AE102" s="706"/>
      <c r="AF102" s="706"/>
      <c r="AG102" s="706"/>
      <c r="AH102" s="706"/>
      <c r="AI102" s="707"/>
      <c r="AJ102" s="708"/>
      <c r="AK102" s="710"/>
      <c r="AL102" s="706"/>
      <c r="AM102" s="706"/>
      <c r="AN102" s="706"/>
      <c r="AO102" s="706"/>
      <c r="AP102" s="706"/>
      <c r="AQ102" s="707"/>
      <c r="AR102" s="711"/>
      <c r="AS102" s="706"/>
      <c r="AT102" s="706"/>
      <c r="AU102" s="706"/>
      <c r="AV102" s="706"/>
      <c r="AW102" s="706"/>
      <c r="AX102" s="706"/>
      <c r="AY102" s="707"/>
      <c r="AZ102" s="708"/>
      <c r="BA102" s="707"/>
      <c r="BB102" s="706"/>
      <c r="BC102" s="707"/>
      <c r="BD102" s="707"/>
      <c r="BE102" s="706"/>
      <c r="BF102" s="706"/>
      <c r="BG102" s="707"/>
      <c r="BH102" s="708"/>
      <c r="BI102" s="710"/>
      <c r="BJ102" s="706"/>
      <c r="BK102" s="706"/>
      <c r="BL102" s="706"/>
      <c r="BM102" s="706"/>
      <c r="BN102" s="706"/>
      <c r="BO102" s="707"/>
      <c r="BP102" s="708"/>
      <c r="BQ102" s="707"/>
      <c r="BR102" s="706"/>
      <c r="BS102" s="707"/>
      <c r="BT102" s="707"/>
      <c r="BU102" s="706"/>
      <c r="BV102" s="706"/>
      <c r="BW102" s="707"/>
      <c r="BX102" s="709"/>
    </row>
    <row r="103" spans="1:76" ht="30" customHeight="1" x14ac:dyDescent="0.2">
      <c r="A103" s="717">
        <v>97</v>
      </c>
      <c r="B103" s="705" t="s">
        <v>413</v>
      </c>
      <c r="C103" s="705" t="s">
        <v>1253</v>
      </c>
      <c r="D103" s="631">
        <v>106422</v>
      </c>
      <c r="E103" s="706"/>
      <c r="F103" s="706"/>
      <c r="G103" s="706"/>
      <c r="H103" s="706"/>
      <c r="I103" s="706"/>
      <c r="J103" s="707"/>
      <c r="K103" s="708"/>
      <c r="L103" s="708"/>
      <c r="M103" s="706"/>
      <c r="N103" s="706"/>
      <c r="O103" s="706"/>
      <c r="P103" s="706"/>
      <c r="Q103" s="706"/>
      <c r="R103" s="706"/>
      <c r="S103" s="707"/>
      <c r="T103" s="708"/>
      <c r="U103" s="707"/>
      <c r="V103" s="706"/>
      <c r="W103" s="707"/>
      <c r="X103" s="707"/>
      <c r="Y103" s="706"/>
      <c r="Z103" s="706"/>
      <c r="AA103" s="707"/>
      <c r="AB103" s="708"/>
      <c r="AC103" s="710"/>
      <c r="AD103" s="706"/>
      <c r="AE103" s="706"/>
      <c r="AF103" s="706"/>
      <c r="AG103" s="706"/>
      <c r="AH103" s="706"/>
      <c r="AI103" s="707"/>
      <c r="AJ103" s="708"/>
      <c r="AK103" s="710"/>
      <c r="AL103" s="706"/>
      <c r="AM103" s="706"/>
      <c r="AN103" s="706"/>
      <c r="AO103" s="706"/>
      <c r="AP103" s="706"/>
      <c r="AQ103" s="707"/>
      <c r="AR103" s="711"/>
      <c r="AS103" s="706"/>
      <c r="AT103" s="706"/>
      <c r="AU103" s="706"/>
      <c r="AV103" s="706"/>
      <c r="AW103" s="706"/>
      <c r="AX103" s="706"/>
      <c r="AY103" s="707"/>
      <c r="AZ103" s="708"/>
      <c r="BA103" s="707"/>
      <c r="BB103" s="706"/>
      <c r="BC103" s="707"/>
      <c r="BD103" s="707"/>
      <c r="BE103" s="706"/>
      <c r="BF103" s="706"/>
      <c r="BG103" s="707"/>
      <c r="BH103" s="708"/>
      <c r="BI103" s="710"/>
      <c r="BJ103" s="706"/>
      <c r="BK103" s="706"/>
      <c r="BL103" s="706"/>
      <c r="BM103" s="706"/>
      <c r="BN103" s="706"/>
      <c r="BO103" s="707"/>
      <c r="BP103" s="708"/>
      <c r="BQ103" s="707"/>
      <c r="BR103" s="706"/>
      <c r="BS103" s="707"/>
      <c r="BT103" s="707"/>
      <c r="BU103" s="706"/>
      <c r="BV103" s="706"/>
      <c r="BW103" s="707"/>
      <c r="BX103" s="709"/>
    </row>
    <row r="104" spans="1:76" ht="30" customHeight="1" x14ac:dyDescent="0.2">
      <c r="A104" s="717">
        <v>98</v>
      </c>
      <c r="B104" s="705" t="s">
        <v>413</v>
      </c>
      <c r="C104" s="705" t="s">
        <v>562</v>
      </c>
      <c r="D104" s="631">
        <v>229</v>
      </c>
      <c r="E104" s="706"/>
      <c r="F104" s="706"/>
      <c r="G104" s="706"/>
      <c r="H104" s="706"/>
      <c r="I104" s="706"/>
      <c r="J104" s="707"/>
      <c r="K104" s="708"/>
      <c r="L104" s="708"/>
      <c r="M104" s="706"/>
      <c r="N104" s="706"/>
      <c r="O104" s="706"/>
      <c r="P104" s="706"/>
      <c r="Q104" s="706"/>
      <c r="R104" s="706"/>
      <c r="S104" s="707"/>
      <c r="T104" s="708"/>
      <c r="U104" s="707"/>
      <c r="V104" s="706"/>
      <c r="W104" s="707"/>
      <c r="X104" s="707"/>
      <c r="Y104" s="706"/>
      <c r="Z104" s="706"/>
      <c r="AA104" s="707"/>
      <c r="AB104" s="708"/>
      <c r="AC104" s="710" t="s">
        <v>1104</v>
      </c>
      <c r="AD104" s="706" t="s">
        <v>1217</v>
      </c>
      <c r="AE104" s="706" t="s">
        <v>1218</v>
      </c>
      <c r="AF104" s="706"/>
      <c r="AG104" s="706" t="s">
        <v>1224</v>
      </c>
      <c r="AH104" s="706" t="s">
        <v>1220</v>
      </c>
      <c r="AI104" s="707" t="s">
        <v>89</v>
      </c>
      <c r="AJ104" s="708"/>
      <c r="AK104" s="710"/>
      <c r="AL104" s="706"/>
      <c r="AM104" s="706"/>
      <c r="AN104" s="706"/>
      <c r="AO104" s="706"/>
      <c r="AP104" s="706"/>
      <c r="AQ104" s="707"/>
      <c r="AR104" s="711"/>
      <c r="AS104" s="706" t="s">
        <v>1104</v>
      </c>
      <c r="AT104" s="706" t="s">
        <v>1217</v>
      </c>
      <c r="AU104" s="706" t="s">
        <v>1225</v>
      </c>
      <c r="AV104" s="706"/>
      <c r="AW104" s="706" t="s">
        <v>1219</v>
      </c>
      <c r="AX104" s="706" t="s">
        <v>1220</v>
      </c>
      <c r="AY104" s="707"/>
      <c r="AZ104" s="708"/>
      <c r="BA104" s="707"/>
      <c r="BB104" s="706"/>
      <c r="BC104" s="707"/>
      <c r="BD104" s="707"/>
      <c r="BE104" s="706"/>
      <c r="BF104" s="706"/>
      <c r="BG104" s="707"/>
      <c r="BH104" s="708"/>
      <c r="BI104" s="710"/>
      <c r="BJ104" s="706"/>
      <c r="BK104" s="706"/>
      <c r="BL104" s="706"/>
      <c r="BM104" s="706"/>
      <c r="BN104" s="706"/>
      <c r="BO104" s="707"/>
      <c r="BP104" s="708"/>
      <c r="BQ104" s="707"/>
      <c r="BR104" s="706"/>
      <c r="BS104" s="707"/>
      <c r="BT104" s="707"/>
      <c r="BU104" s="706"/>
      <c r="BV104" s="706"/>
      <c r="BW104" s="707"/>
      <c r="BX104" s="709"/>
    </row>
    <row r="105" spans="1:76" ht="30" customHeight="1" x14ac:dyDescent="0.2">
      <c r="A105" s="717">
        <v>99</v>
      </c>
      <c r="B105" s="705" t="s">
        <v>413</v>
      </c>
      <c r="C105" s="705" t="s">
        <v>570</v>
      </c>
      <c r="D105" s="631">
        <v>106198</v>
      </c>
      <c r="E105" s="706"/>
      <c r="F105" s="706"/>
      <c r="G105" s="706"/>
      <c r="H105" s="706"/>
      <c r="I105" s="706"/>
      <c r="J105" s="707"/>
      <c r="K105" s="708"/>
      <c r="L105" s="708"/>
      <c r="M105" s="706"/>
      <c r="N105" s="706"/>
      <c r="O105" s="706"/>
      <c r="P105" s="706"/>
      <c r="Q105" s="706"/>
      <c r="R105" s="706"/>
      <c r="S105" s="707"/>
      <c r="T105" s="708"/>
      <c r="U105" s="707"/>
      <c r="V105" s="706"/>
      <c r="W105" s="707"/>
      <c r="X105" s="707"/>
      <c r="Y105" s="706"/>
      <c r="Z105" s="706"/>
      <c r="AA105" s="707"/>
      <c r="AB105" s="708"/>
      <c r="AC105" s="710"/>
      <c r="AD105" s="706"/>
      <c r="AE105" s="706"/>
      <c r="AF105" s="706"/>
      <c r="AG105" s="706"/>
      <c r="AH105" s="706"/>
      <c r="AI105" s="707"/>
      <c r="AJ105" s="708"/>
      <c r="AK105" s="710"/>
      <c r="AL105" s="706"/>
      <c r="AM105" s="706"/>
      <c r="AN105" s="706"/>
      <c r="AO105" s="706"/>
      <c r="AP105" s="706"/>
      <c r="AQ105" s="707"/>
      <c r="AR105" s="711"/>
      <c r="AS105" s="706"/>
      <c r="AT105" s="706"/>
      <c r="AU105" s="706"/>
      <c r="AV105" s="706"/>
      <c r="AW105" s="706"/>
      <c r="AX105" s="706"/>
      <c r="AY105" s="707"/>
      <c r="AZ105" s="708"/>
      <c r="BA105" s="707"/>
      <c r="BB105" s="706"/>
      <c r="BC105" s="707"/>
      <c r="BD105" s="707"/>
      <c r="BE105" s="706"/>
      <c r="BF105" s="706"/>
      <c r="BG105" s="707"/>
      <c r="BH105" s="708"/>
      <c r="BI105" s="710"/>
      <c r="BJ105" s="706"/>
      <c r="BK105" s="706"/>
      <c r="BL105" s="706"/>
      <c r="BM105" s="706"/>
      <c r="BN105" s="706"/>
      <c r="BO105" s="707"/>
      <c r="BP105" s="708"/>
      <c r="BQ105" s="707"/>
      <c r="BR105" s="706"/>
      <c r="BS105" s="707"/>
      <c r="BT105" s="707"/>
      <c r="BU105" s="706"/>
      <c r="BV105" s="706"/>
      <c r="BW105" s="707"/>
      <c r="BX105" s="709"/>
    </row>
    <row r="106" spans="1:76" ht="30" customHeight="1" x14ac:dyDescent="0.2">
      <c r="A106" s="717">
        <v>100</v>
      </c>
      <c r="B106" s="705" t="s">
        <v>413</v>
      </c>
      <c r="C106" s="705" t="s">
        <v>1077</v>
      </c>
      <c r="D106" s="631">
        <v>104621</v>
      </c>
      <c r="E106" s="706"/>
      <c r="F106" s="706"/>
      <c r="G106" s="706"/>
      <c r="H106" s="706"/>
      <c r="I106" s="706"/>
      <c r="J106" s="707"/>
      <c r="K106" s="708"/>
      <c r="L106" s="708"/>
      <c r="M106" s="706"/>
      <c r="N106" s="706"/>
      <c r="O106" s="706"/>
      <c r="P106" s="706"/>
      <c r="Q106" s="706"/>
      <c r="R106" s="706"/>
      <c r="S106" s="707"/>
      <c r="T106" s="708"/>
      <c r="U106" s="707"/>
      <c r="V106" s="706"/>
      <c r="W106" s="707"/>
      <c r="X106" s="707"/>
      <c r="Y106" s="706"/>
      <c r="Z106" s="706"/>
      <c r="AA106" s="707"/>
      <c r="AB106" s="708"/>
      <c r="AC106" s="710"/>
      <c r="AD106" s="706"/>
      <c r="AE106" s="706"/>
      <c r="AF106" s="706"/>
      <c r="AG106" s="706"/>
      <c r="AH106" s="706"/>
      <c r="AI106" s="707"/>
      <c r="AJ106" s="708"/>
      <c r="AK106" s="710"/>
      <c r="AL106" s="706"/>
      <c r="AM106" s="706"/>
      <c r="AN106" s="706"/>
      <c r="AO106" s="706"/>
      <c r="AP106" s="706"/>
      <c r="AQ106" s="707"/>
      <c r="AR106" s="711"/>
      <c r="AS106" s="706"/>
      <c r="AT106" s="706"/>
      <c r="AU106" s="706"/>
      <c r="AV106" s="706"/>
      <c r="AW106" s="706"/>
      <c r="AX106" s="706"/>
      <c r="AY106" s="707"/>
      <c r="AZ106" s="708"/>
      <c r="BA106" s="707"/>
      <c r="BB106" s="706"/>
      <c r="BC106" s="707"/>
      <c r="BD106" s="707"/>
      <c r="BE106" s="706"/>
      <c r="BF106" s="706"/>
      <c r="BG106" s="707"/>
      <c r="BH106" s="708"/>
      <c r="BI106" s="710"/>
      <c r="BJ106" s="706"/>
      <c r="BK106" s="706"/>
      <c r="BL106" s="706"/>
      <c r="BM106" s="706"/>
      <c r="BN106" s="706"/>
      <c r="BO106" s="707"/>
      <c r="BP106" s="708"/>
      <c r="BQ106" s="707"/>
      <c r="BR106" s="706"/>
      <c r="BS106" s="707"/>
      <c r="BT106" s="707"/>
      <c r="BU106" s="706"/>
      <c r="BV106" s="706"/>
      <c r="BW106" s="707"/>
      <c r="BX106" s="709"/>
    </row>
    <row r="107" spans="1:76" ht="30" customHeight="1" x14ac:dyDescent="0.2">
      <c r="A107" s="717">
        <v>101</v>
      </c>
      <c r="B107" s="705" t="s">
        <v>413</v>
      </c>
      <c r="C107" s="705" t="s">
        <v>525</v>
      </c>
      <c r="D107" s="631">
        <v>90576</v>
      </c>
      <c r="E107" s="706"/>
      <c r="F107" s="706"/>
      <c r="G107" s="706"/>
      <c r="H107" s="706"/>
      <c r="I107" s="706"/>
      <c r="J107" s="707"/>
      <c r="K107" s="708"/>
      <c r="L107" s="708"/>
      <c r="M107" s="706"/>
      <c r="N107" s="706"/>
      <c r="O107" s="706"/>
      <c r="P107" s="706"/>
      <c r="Q107" s="706"/>
      <c r="R107" s="706"/>
      <c r="S107" s="707"/>
      <c r="T107" s="708"/>
      <c r="U107" s="707"/>
      <c r="V107" s="706"/>
      <c r="W107" s="707"/>
      <c r="X107" s="707"/>
      <c r="Y107" s="706"/>
      <c r="Z107" s="706"/>
      <c r="AA107" s="707"/>
      <c r="AB107" s="708"/>
      <c r="AC107" s="710"/>
      <c r="AD107" s="706"/>
      <c r="AE107" s="706"/>
      <c r="AF107" s="706"/>
      <c r="AG107" s="706"/>
      <c r="AH107" s="706"/>
      <c r="AI107" s="707"/>
      <c r="AJ107" s="708"/>
      <c r="AK107" s="710"/>
      <c r="AL107" s="706"/>
      <c r="AM107" s="706"/>
      <c r="AN107" s="706"/>
      <c r="AO107" s="706"/>
      <c r="AP107" s="706"/>
      <c r="AQ107" s="707"/>
      <c r="AR107" s="711"/>
      <c r="AS107" s="706"/>
      <c r="AT107" s="706"/>
      <c r="AU107" s="706"/>
      <c r="AV107" s="706"/>
      <c r="AW107" s="706"/>
      <c r="AX107" s="706"/>
      <c r="AY107" s="707"/>
      <c r="AZ107" s="708"/>
      <c r="BA107" s="707"/>
      <c r="BB107" s="706"/>
      <c r="BC107" s="707"/>
      <c r="BD107" s="707"/>
      <c r="BE107" s="706"/>
      <c r="BF107" s="706"/>
      <c r="BG107" s="707"/>
      <c r="BH107" s="708"/>
      <c r="BI107" s="710"/>
      <c r="BJ107" s="706"/>
      <c r="BK107" s="706"/>
      <c r="BL107" s="706"/>
      <c r="BM107" s="706"/>
      <c r="BN107" s="706"/>
      <c r="BO107" s="707"/>
      <c r="BP107" s="708"/>
      <c r="BQ107" s="707"/>
      <c r="BR107" s="706"/>
      <c r="BS107" s="707"/>
      <c r="BT107" s="707"/>
      <c r="BU107" s="706"/>
      <c r="BV107" s="706"/>
      <c r="BW107" s="707"/>
      <c r="BX107" s="709"/>
    </row>
    <row r="108" spans="1:76" ht="30" customHeight="1" x14ac:dyDescent="0.2">
      <c r="A108" s="717">
        <v>102</v>
      </c>
      <c r="B108" s="705" t="s">
        <v>413</v>
      </c>
      <c r="C108" s="705" t="s">
        <v>552</v>
      </c>
      <c r="D108" s="631">
        <v>90909</v>
      </c>
      <c r="E108" s="706"/>
      <c r="F108" s="706"/>
      <c r="G108" s="706"/>
      <c r="H108" s="706"/>
      <c r="I108" s="706"/>
      <c r="J108" s="707"/>
      <c r="K108" s="708"/>
      <c r="L108" s="708"/>
      <c r="M108" s="706"/>
      <c r="N108" s="706"/>
      <c r="O108" s="706"/>
      <c r="P108" s="706"/>
      <c r="Q108" s="706"/>
      <c r="R108" s="706"/>
      <c r="S108" s="707"/>
      <c r="T108" s="708"/>
      <c r="U108" s="707"/>
      <c r="V108" s="706"/>
      <c r="W108" s="707"/>
      <c r="X108" s="707"/>
      <c r="Y108" s="706"/>
      <c r="Z108" s="706"/>
      <c r="AA108" s="707"/>
      <c r="AB108" s="708"/>
      <c r="AC108" s="710"/>
      <c r="AD108" s="706"/>
      <c r="AE108" s="706"/>
      <c r="AF108" s="706"/>
      <c r="AG108" s="706"/>
      <c r="AH108" s="706"/>
      <c r="AI108" s="707"/>
      <c r="AJ108" s="708"/>
      <c r="AK108" s="710"/>
      <c r="AL108" s="706"/>
      <c r="AM108" s="706"/>
      <c r="AN108" s="706"/>
      <c r="AO108" s="706"/>
      <c r="AP108" s="706"/>
      <c r="AQ108" s="707"/>
      <c r="AR108" s="711"/>
      <c r="AS108" s="706"/>
      <c r="AT108" s="706"/>
      <c r="AU108" s="706"/>
      <c r="AV108" s="706"/>
      <c r="AW108" s="706"/>
      <c r="AX108" s="706"/>
      <c r="AY108" s="707"/>
      <c r="AZ108" s="708"/>
      <c r="BA108" s="707"/>
      <c r="BB108" s="706"/>
      <c r="BC108" s="707"/>
      <c r="BD108" s="707"/>
      <c r="BE108" s="706"/>
      <c r="BF108" s="706"/>
      <c r="BG108" s="707"/>
      <c r="BH108" s="708"/>
      <c r="BI108" s="710"/>
      <c r="BJ108" s="706"/>
      <c r="BK108" s="706"/>
      <c r="BL108" s="706"/>
      <c r="BM108" s="706"/>
      <c r="BN108" s="706"/>
      <c r="BO108" s="707"/>
      <c r="BP108" s="708"/>
      <c r="BQ108" s="707"/>
      <c r="BR108" s="706"/>
      <c r="BS108" s="707"/>
      <c r="BT108" s="707"/>
      <c r="BU108" s="706"/>
      <c r="BV108" s="706"/>
      <c r="BW108" s="707"/>
      <c r="BX108" s="709"/>
    </row>
    <row r="109" spans="1:76" ht="30" customHeight="1" x14ac:dyDescent="0.2">
      <c r="A109" s="717">
        <v>103</v>
      </c>
      <c r="B109" s="705" t="s">
        <v>413</v>
      </c>
      <c r="C109" s="705" t="s">
        <v>498</v>
      </c>
      <c r="D109" s="631">
        <v>105533</v>
      </c>
      <c r="E109" s="706"/>
      <c r="F109" s="706"/>
      <c r="G109" s="706"/>
      <c r="H109" s="706"/>
      <c r="I109" s="706"/>
      <c r="J109" s="707"/>
      <c r="K109" s="708"/>
      <c r="L109" s="708"/>
      <c r="M109" s="706"/>
      <c r="N109" s="706"/>
      <c r="O109" s="706"/>
      <c r="P109" s="706"/>
      <c r="Q109" s="706"/>
      <c r="R109" s="706"/>
      <c r="S109" s="707"/>
      <c r="T109" s="708"/>
      <c r="U109" s="707"/>
      <c r="V109" s="706"/>
      <c r="W109" s="707"/>
      <c r="X109" s="707"/>
      <c r="Y109" s="706"/>
      <c r="Z109" s="706"/>
      <c r="AA109" s="707"/>
      <c r="AB109" s="708"/>
      <c r="AC109" s="710"/>
      <c r="AD109" s="706"/>
      <c r="AE109" s="706"/>
      <c r="AF109" s="706"/>
      <c r="AG109" s="706"/>
      <c r="AH109" s="706"/>
      <c r="AI109" s="707"/>
      <c r="AJ109" s="708"/>
      <c r="AK109" s="710"/>
      <c r="AL109" s="706"/>
      <c r="AM109" s="706"/>
      <c r="AN109" s="706"/>
      <c r="AO109" s="706"/>
      <c r="AP109" s="706"/>
      <c r="AQ109" s="707"/>
      <c r="AR109" s="711"/>
      <c r="AS109" s="706"/>
      <c r="AT109" s="706"/>
      <c r="AU109" s="706"/>
      <c r="AV109" s="706"/>
      <c r="AW109" s="706"/>
      <c r="AX109" s="706"/>
      <c r="AY109" s="707"/>
      <c r="AZ109" s="708"/>
      <c r="BA109" s="707"/>
      <c r="BB109" s="706"/>
      <c r="BC109" s="707"/>
      <c r="BD109" s="707"/>
      <c r="BE109" s="706"/>
      <c r="BF109" s="706"/>
      <c r="BG109" s="707"/>
      <c r="BH109" s="708"/>
      <c r="BI109" s="710"/>
      <c r="BJ109" s="706"/>
      <c r="BK109" s="706"/>
      <c r="BL109" s="706"/>
      <c r="BM109" s="706"/>
      <c r="BN109" s="706"/>
      <c r="BO109" s="707"/>
      <c r="BP109" s="708"/>
      <c r="BQ109" s="707"/>
      <c r="BR109" s="706"/>
      <c r="BS109" s="707"/>
      <c r="BT109" s="707"/>
      <c r="BU109" s="706"/>
      <c r="BV109" s="706"/>
      <c r="BW109" s="707"/>
      <c r="BX109" s="709"/>
    </row>
    <row r="110" spans="1:76" ht="30" customHeight="1" x14ac:dyDescent="0.2">
      <c r="A110" s="717">
        <v>104</v>
      </c>
      <c r="B110" s="705" t="s">
        <v>413</v>
      </c>
      <c r="C110" s="705" t="s">
        <v>1254</v>
      </c>
      <c r="D110" s="631">
        <v>104520</v>
      </c>
      <c r="E110" s="706"/>
      <c r="F110" s="706"/>
      <c r="G110" s="706"/>
      <c r="H110" s="706"/>
      <c r="I110" s="706"/>
      <c r="J110" s="707"/>
      <c r="K110" s="708"/>
      <c r="L110" s="708"/>
      <c r="M110" s="706"/>
      <c r="N110" s="706"/>
      <c r="O110" s="706"/>
      <c r="P110" s="706"/>
      <c r="Q110" s="706"/>
      <c r="R110" s="706"/>
      <c r="S110" s="707"/>
      <c r="T110" s="708"/>
      <c r="U110" s="707"/>
      <c r="V110" s="706"/>
      <c r="W110" s="707"/>
      <c r="X110" s="707"/>
      <c r="Y110" s="706"/>
      <c r="Z110" s="706"/>
      <c r="AA110" s="707"/>
      <c r="AB110" s="708"/>
      <c r="AC110" s="710"/>
      <c r="AD110" s="706"/>
      <c r="AE110" s="706"/>
      <c r="AF110" s="706"/>
      <c r="AG110" s="706"/>
      <c r="AH110" s="706"/>
      <c r="AI110" s="707"/>
      <c r="AJ110" s="708"/>
      <c r="AK110" s="710"/>
      <c r="AL110" s="706"/>
      <c r="AM110" s="706"/>
      <c r="AN110" s="706"/>
      <c r="AO110" s="706"/>
      <c r="AP110" s="706"/>
      <c r="AQ110" s="707"/>
      <c r="AR110" s="711"/>
      <c r="AS110" s="706"/>
      <c r="AT110" s="706"/>
      <c r="AU110" s="706"/>
      <c r="AV110" s="706"/>
      <c r="AW110" s="706"/>
      <c r="AX110" s="706"/>
      <c r="AY110" s="707"/>
      <c r="AZ110" s="708"/>
      <c r="BA110" s="707"/>
      <c r="BB110" s="706"/>
      <c r="BC110" s="707"/>
      <c r="BD110" s="707"/>
      <c r="BE110" s="706"/>
      <c r="BF110" s="706"/>
      <c r="BG110" s="707"/>
      <c r="BH110" s="708"/>
      <c r="BI110" s="710"/>
      <c r="BJ110" s="706"/>
      <c r="BK110" s="706"/>
      <c r="BL110" s="706"/>
      <c r="BM110" s="706"/>
      <c r="BN110" s="706"/>
      <c r="BO110" s="707"/>
      <c r="BP110" s="708"/>
      <c r="BQ110" s="707"/>
      <c r="BR110" s="706"/>
      <c r="BS110" s="707"/>
      <c r="BT110" s="707"/>
      <c r="BU110" s="706"/>
      <c r="BV110" s="706"/>
      <c r="BW110" s="707"/>
      <c r="BX110" s="709"/>
    </row>
    <row r="111" spans="1:76" ht="30" customHeight="1" x14ac:dyDescent="0.2">
      <c r="A111" s="717">
        <v>105</v>
      </c>
      <c r="B111" s="705" t="s">
        <v>413</v>
      </c>
      <c r="C111" s="705" t="s">
        <v>1255</v>
      </c>
      <c r="D111" s="631">
        <v>104521</v>
      </c>
      <c r="E111" s="706"/>
      <c r="F111" s="706"/>
      <c r="G111" s="706"/>
      <c r="H111" s="706"/>
      <c r="I111" s="706"/>
      <c r="J111" s="707"/>
      <c r="K111" s="708"/>
      <c r="L111" s="708"/>
      <c r="M111" s="706"/>
      <c r="N111" s="706"/>
      <c r="O111" s="706"/>
      <c r="P111" s="706"/>
      <c r="Q111" s="706"/>
      <c r="R111" s="706"/>
      <c r="S111" s="707"/>
      <c r="T111" s="708"/>
      <c r="U111" s="707"/>
      <c r="V111" s="706"/>
      <c r="W111" s="707"/>
      <c r="X111" s="707"/>
      <c r="Y111" s="706"/>
      <c r="Z111" s="706"/>
      <c r="AA111" s="707"/>
      <c r="AB111" s="708"/>
      <c r="AC111" s="710"/>
      <c r="AD111" s="706"/>
      <c r="AE111" s="706"/>
      <c r="AF111" s="706"/>
      <c r="AG111" s="706"/>
      <c r="AH111" s="706"/>
      <c r="AI111" s="707"/>
      <c r="AJ111" s="708"/>
      <c r="AK111" s="710"/>
      <c r="AL111" s="706"/>
      <c r="AM111" s="706"/>
      <c r="AN111" s="706"/>
      <c r="AO111" s="706"/>
      <c r="AP111" s="706"/>
      <c r="AQ111" s="707"/>
      <c r="AR111" s="711"/>
      <c r="AS111" s="706"/>
      <c r="AT111" s="706"/>
      <c r="AU111" s="706"/>
      <c r="AV111" s="706"/>
      <c r="AW111" s="706"/>
      <c r="AX111" s="706"/>
      <c r="AY111" s="707"/>
      <c r="AZ111" s="708"/>
      <c r="BA111" s="707"/>
      <c r="BB111" s="706"/>
      <c r="BC111" s="707"/>
      <c r="BD111" s="707"/>
      <c r="BE111" s="706"/>
      <c r="BF111" s="706"/>
      <c r="BG111" s="707"/>
      <c r="BH111" s="708"/>
      <c r="BI111" s="710"/>
      <c r="BJ111" s="706"/>
      <c r="BK111" s="706"/>
      <c r="BL111" s="706"/>
      <c r="BM111" s="706"/>
      <c r="BN111" s="706"/>
      <c r="BO111" s="707"/>
      <c r="BP111" s="708"/>
      <c r="BQ111" s="707"/>
      <c r="BR111" s="706"/>
      <c r="BS111" s="707"/>
      <c r="BT111" s="707"/>
      <c r="BU111" s="706"/>
      <c r="BV111" s="706"/>
      <c r="BW111" s="707"/>
      <c r="BX111" s="709"/>
    </row>
    <row r="112" spans="1:76" ht="30" customHeight="1" x14ac:dyDescent="0.2">
      <c r="A112" s="717">
        <v>106</v>
      </c>
      <c r="B112" s="705" t="s">
        <v>413</v>
      </c>
      <c r="C112" s="705" t="s">
        <v>1256</v>
      </c>
      <c r="D112" s="631">
        <v>104522</v>
      </c>
      <c r="E112" s="706"/>
      <c r="F112" s="706"/>
      <c r="G112" s="706"/>
      <c r="H112" s="706"/>
      <c r="I112" s="706"/>
      <c r="J112" s="707"/>
      <c r="K112" s="708"/>
      <c r="L112" s="708"/>
      <c r="M112" s="706"/>
      <c r="N112" s="706"/>
      <c r="O112" s="706"/>
      <c r="P112" s="706"/>
      <c r="Q112" s="706"/>
      <c r="R112" s="706"/>
      <c r="S112" s="707"/>
      <c r="T112" s="708"/>
      <c r="U112" s="707"/>
      <c r="V112" s="706"/>
      <c r="W112" s="707"/>
      <c r="X112" s="707"/>
      <c r="Y112" s="706"/>
      <c r="Z112" s="706"/>
      <c r="AA112" s="707"/>
      <c r="AB112" s="708"/>
      <c r="AC112" s="710"/>
      <c r="AD112" s="706"/>
      <c r="AE112" s="706"/>
      <c r="AF112" s="706"/>
      <c r="AG112" s="706"/>
      <c r="AH112" s="706"/>
      <c r="AI112" s="707"/>
      <c r="AJ112" s="708"/>
      <c r="AK112" s="710"/>
      <c r="AL112" s="706"/>
      <c r="AM112" s="706"/>
      <c r="AN112" s="706"/>
      <c r="AO112" s="706"/>
      <c r="AP112" s="706"/>
      <c r="AQ112" s="707"/>
      <c r="AR112" s="711"/>
      <c r="AS112" s="706"/>
      <c r="AT112" s="706"/>
      <c r="AU112" s="706"/>
      <c r="AV112" s="706"/>
      <c r="AW112" s="706"/>
      <c r="AX112" s="706"/>
      <c r="AY112" s="707"/>
      <c r="AZ112" s="708"/>
      <c r="BA112" s="707"/>
      <c r="BB112" s="706"/>
      <c r="BC112" s="707"/>
      <c r="BD112" s="707"/>
      <c r="BE112" s="706"/>
      <c r="BF112" s="706"/>
      <c r="BG112" s="707"/>
      <c r="BH112" s="708"/>
      <c r="BI112" s="710"/>
      <c r="BJ112" s="706"/>
      <c r="BK112" s="706"/>
      <c r="BL112" s="706"/>
      <c r="BM112" s="706"/>
      <c r="BN112" s="706"/>
      <c r="BO112" s="707"/>
      <c r="BP112" s="708"/>
      <c r="BQ112" s="707"/>
      <c r="BR112" s="706"/>
      <c r="BS112" s="707"/>
      <c r="BT112" s="707"/>
      <c r="BU112" s="706"/>
      <c r="BV112" s="706"/>
      <c r="BW112" s="707"/>
      <c r="BX112" s="709"/>
    </row>
    <row r="113" spans="1:76" ht="30" customHeight="1" x14ac:dyDescent="0.2">
      <c r="A113" s="717">
        <v>107</v>
      </c>
      <c r="B113" s="705" t="s">
        <v>413</v>
      </c>
      <c r="C113" s="705" t="s">
        <v>1257</v>
      </c>
      <c r="D113" s="631">
        <v>104523</v>
      </c>
      <c r="E113" s="706"/>
      <c r="F113" s="706"/>
      <c r="G113" s="706"/>
      <c r="H113" s="706"/>
      <c r="I113" s="706"/>
      <c r="J113" s="707"/>
      <c r="K113" s="708"/>
      <c r="L113" s="708"/>
      <c r="M113" s="706"/>
      <c r="N113" s="706"/>
      <c r="O113" s="706"/>
      <c r="P113" s="706"/>
      <c r="Q113" s="706"/>
      <c r="R113" s="706"/>
      <c r="S113" s="707"/>
      <c r="T113" s="708"/>
      <c r="U113" s="707"/>
      <c r="V113" s="706"/>
      <c r="W113" s="707"/>
      <c r="X113" s="707"/>
      <c r="Y113" s="706"/>
      <c r="Z113" s="706"/>
      <c r="AA113" s="707"/>
      <c r="AB113" s="708"/>
      <c r="AC113" s="710"/>
      <c r="AD113" s="706"/>
      <c r="AE113" s="706"/>
      <c r="AF113" s="706"/>
      <c r="AG113" s="706"/>
      <c r="AH113" s="706"/>
      <c r="AI113" s="707"/>
      <c r="AJ113" s="708"/>
      <c r="AK113" s="710"/>
      <c r="AL113" s="706"/>
      <c r="AM113" s="706"/>
      <c r="AN113" s="706"/>
      <c r="AO113" s="706"/>
      <c r="AP113" s="706"/>
      <c r="AQ113" s="707"/>
      <c r="AR113" s="711"/>
      <c r="AS113" s="706"/>
      <c r="AT113" s="706"/>
      <c r="AU113" s="706"/>
      <c r="AV113" s="706"/>
      <c r="AW113" s="706"/>
      <c r="AX113" s="706"/>
      <c r="AY113" s="707"/>
      <c r="AZ113" s="708"/>
      <c r="BA113" s="707"/>
      <c r="BB113" s="706"/>
      <c r="BC113" s="707"/>
      <c r="BD113" s="707"/>
      <c r="BE113" s="706"/>
      <c r="BF113" s="706"/>
      <c r="BG113" s="707"/>
      <c r="BH113" s="708"/>
      <c r="BI113" s="710"/>
      <c r="BJ113" s="706"/>
      <c r="BK113" s="706"/>
      <c r="BL113" s="706"/>
      <c r="BM113" s="706"/>
      <c r="BN113" s="706"/>
      <c r="BO113" s="707"/>
      <c r="BP113" s="708"/>
      <c r="BQ113" s="707"/>
      <c r="BR113" s="706"/>
      <c r="BS113" s="707"/>
      <c r="BT113" s="707"/>
      <c r="BU113" s="706"/>
      <c r="BV113" s="706"/>
      <c r="BW113" s="707"/>
      <c r="BX113" s="709"/>
    </row>
    <row r="114" spans="1:76" ht="30" customHeight="1" x14ac:dyDescent="0.2">
      <c r="A114" s="717">
        <v>108</v>
      </c>
      <c r="B114" s="705" t="s">
        <v>413</v>
      </c>
      <c r="C114" s="705" t="s">
        <v>1258</v>
      </c>
      <c r="D114" s="631">
        <v>105275</v>
      </c>
      <c r="E114" s="706"/>
      <c r="F114" s="706"/>
      <c r="G114" s="706"/>
      <c r="H114" s="706"/>
      <c r="I114" s="706"/>
      <c r="J114" s="707"/>
      <c r="K114" s="708"/>
      <c r="L114" s="708"/>
      <c r="M114" s="706"/>
      <c r="N114" s="706"/>
      <c r="O114" s="706"/>
      <c r="P114" s="706"/>
      <c r="Q114" s="706"/>
      <c r="R114" s="706"/>
      <c r="S114" s="707"/>
      <c r="T114" s="708"/>
      <c r="U114" s="707"/>
      <c r="V114" s="706"/>
      <c r="W114" s="707"/>
      <c r="X114" s="707"/>
      <c r="Y114" s="706"/>
      <c r="Z114" s="706"/>
      <c r="AA114" s="707"/>
      <c r="AB114" s="708"/>
      <c r="AC114" s="710"/>
      <c r="AD114" s="706"/>
      <c r="AE114" s="706"/>
      <c r="AF114" s="706"/>
      <c r="AG114" s="706"/>
      <c r="AH114" s="706"/>
      <c r="AI114" s="707"/>
      <c r="AJ114" s="708"/>
      <c r="AK114" s="710"/>
      <c r="AL114" s="706"/>
      <c r="AM114" s="706"/>
      <c r="AN114" s="706"/>
      <c r="AO114" s="706"/>
      <c r="AP114" s="706"/>
      <c r="AQ114" s="707"/>
      <c r="AR114" s="711"/>
      <c r="AS114" s="706"/>
      <c r="AT114" s="706"/>
      <c r="AU114" s="706"/>
      <c r="AV114" s="706"/>
      <c r="AW114" s="706"/>
      <c r="AX114" s="706"/>
      <c r="AY114" s="707"/>
      <c r="AZ114" s="708"/>
      <c r="BA114" s="707"/>
      <c r="BB114" s="706"/>
      <c r="BC114" s="707"/>
      <c r="BD114" s="707"/>
      <c r="BE114" s="706"/>
      <c r="BF114" s="706"/>
      <c r="BG114" s="707"/>
      <c r="BH114" s="708"/>
      <c r="BI114" s="710"/>
      <c r="BJ114" s="706"/>
      <c r="BK114" s="706"/>
      <c r="BL114" s="706"/>
      <c r="BM114" s="706"/>
      <c r="BN114" s="706"/>
      <c r="BO114" s="707"/>
      <c r="BP114" s="708"/>
      <c r="BQ114" s="707"/>
      <c r="BR114" s="706"/>
      <c r="BS114" s="707"/>
      <c r="BT114" s="707"/>
      <c r="BU114" s="706"/>
      <c r="BV114" s="706"/>
      <c r="BW114" s="707"/>
      <c r="BX114" s="709"/>
    </row>
    <row r="115" spans="1:76" ht="30" customHeight="1" x14ac:dyDescent="0.2">
      <c r="A115" s="717">
        <v>109</v>
      </c>
      <c r="B115" s="705" t="s">
        <v>413</v>
      </c>
      <c r="C115" s="705" t="s">
        <v>1259</v>
      </c>
      <c r="D115" s="631">
        <v>105276</v>
      </c>
      <c r="E115" s="706"/>
      <c r="F115" s="706"/>
      <c r="G115" s="706"/>
      <c r="H115" s="706"/>
      <c r="I115" s="706"/>
      <c r="J115" s="707"/>
      <c r="K115" s="708"/>
      <c r="L115" s="708"/>
      <c r="M115" s="706"/>
      <c r="N115" s="706"/>
      <c r="O115" s="706"/>
      <c r="P115" s="706"/>
      <c r="Q115" s="706"/>
      <c r="R115" s="706"/>
      <c r="S115" s="707"/>
      <c r="T115" s="708"/>
      <c r="U115" s="707"/>
      <c r="V115" s="706"/>
      <c r="W115" s="707"/>
      <c r="X115" s="707"/>
      <c r="Y115" s="706"/>
      <c r="Z115" s="706"/>
      <c r="AA115" s="707"/>
      <c r="AB115" s="708"/>
      <c r="AC115" s="710"/>
      <c r="AD115" s="706"/>
      <c r="AE115" s="706"/>
      <c r="AF115" s="706"/>
      <c r="AG115" s="706"/>
      <c r="AH115" s="706"/>
      <c r="AI115" s="707"/>
      <c r="AJ115" s="708"/>
      <c r="AK115" s="710"/>
      <c r="AL115" s="706"/>
      <c r="AM115" s="706"/>
      <c r="AN115" s="706"/>
      <c r="AO115" s="706"/>
      <c r="AP115" s="706"/>
      <c r="AQ115" s="707"/>
      <c r="AR115" s="711"/>
      <c r="AS115" s="706"/>
      <c r="AT115" s="706"/>
      <c r="AU115" s="706"/>
      <c r="AV115" s="706"/>
      <c r="AW115" s="706"/>
      <c r="AX115" s="706"/>
      <c r="AY115" s="707"/>
      <c r="AZ115" s="708"/>
      <c r="BA115" s="707"/>
      <c r="BB115" s="706"/>
      <c r="BC115" s="707"/>
      <c r="BD115" s="707"/>
      <c r="BE115" s="706"/>
      <c r="BF115" s="706"/>
      <c r="BG115" s="707"/>
      <c r="BH115" s="708"/>
      <c r="BI115" s="710"/>
      <c r="BJ115" s="706"/>
      <c r="BK115" s="706"/>
      <c r="BL115" s="706"/>
      <c r="BM115" s="706"/>
      <c r="BN115" s="706"/>
      <c r="BO115" s="707"/>
      <c r="BP115" s="708"/>
      <c r="BQ115" s="707"/>
      <c r="BR115" s="706"/>
      <c r="BS115" s="707"/>
      <c r="BT115" s="707"/>
      <c r="BU115" s="706"/>
      <c r="BV115" s="706"/>
      <c r="BW115" s="707"/>
      <c r="BX115" s="709"/>
    </row>
    <row r="116" spans="1:76" ht="30" customHeight="1" x14ac:dyDescent="0.2">
      <c r="A116" s="717">
        <v>110</v>
      </c>
      <c r="B116" s="705" t="s">
        <v>413</v>
      </c>
      <c r="C116" s="705" t="s">
        <v>1260</v>
      </c>
      <c r="D116" s="631">
        <v>105277</v>
      </c>
      <c r="E116" s="706"/>
      <c r="F116" s="706"/>
      <c r="G116" s="706"/>
      <c r="H116" s="706"/>
      <c r="I116" s="706"/>
      <c r="J116" s="707"/>
      <c r="K116" s="708"/>
      <c r="L116" s="708"/>
      <c r="M116" s="706"/>
      <c r="N116" s="706"/>
      <c r="O116" s="706"/>
      <c r="P116" s="706"/>
      <c r="Q116" s="706"/>
      <c r="R116" s="706"/>
      <c r="S116" s="707"/>
      <c r="T116" s="708"/>
      <c r="U116" s="707"/>
      <c r="V116" s="706"/>
      <c r="W116" s="707"/>
      <c r="X116" s="707"/>
      <c r="Y116" s="706"/>
      <c r="Z116" s="706"/>
      <c r="AA116" s="707"/>
      <c r="AB116" s="708"/>
      <c r="AC116" s="710"/>
      <c r="AD116" s="706"/>
      <c r="AE116" s="706"/>
      <c r="AF116" s="706"/>
      <c r="AG116" s="706"/>
      <c r="AH116" s="706"/>
      <c r="AI116" s="707"/>
      <c r="AJ116" s="708"/>
      <c r="AK116" s="710"/>
      <c r="AL116" s="706"/>
      <c r="AM116" s="706"/>
      <c r="AN116" s="706"/>
      <c r="AO116" s="706"/>
      <c r="AP116" s="706"/>
      <c r="AQ116" s="707"/>
      <c r="AR116" s="711"/>
      <c r="AS116" s="706"/>
      <c r="AT116" s="706"/>
      <c r="AU116" s="706"/>
      <c r="AV116" s="706"/>
      <c r="AW116" s="706"/>
      <c r="AX116" s="706"/>
      <c r="AY116" s="707"/>
      <c r="AZ116" s="708"/>
      <c r="BA116" s="707"/>
      <c r="BB116" s="706"/>
      <c r="BC116" s="707"/>
      <c r="BD116" s="707"/>
      <c r="BE116" s="706"/>
      <c r="BF116" s="706"/>
      <c r="BG116" s="707"/>
      <c r="BH116" s="708"/>
      <c r="BI116" s="710"/>
      <c r="BJ116" s="706"/>
      <c r="BK116" s="706"/>
      <c r="BL116" s="706"/>
      <c r="BM116" s="706"/>
      <c r="BN116" s="706"/>
      <c r="BO116" s="707"/>
      <c r="BP116" s="708"/>
      <c r="BQ116" s="707"/>
      <c r="BR116" s="706"/>
      <c r="BS116" s="707"/>
      <c r="BT116" s="707"/>
      <c r="BU116" s="706"/>
      <c r="BV116" s="706"/>
      <c r="BW116" s="707"/>
      <c r="BX116" s="709"/>
    </row>
    <row r="117" spans="1:76" ht="30" customHeight="1" x14ac:dyDescent="0.2">
      <c r="A117" s="717">
        <v>111</v>
      </c>
      <c r="B117" s="705" t="s">
        <v>413</v>
      </c>
      <c r="C117" s="705" t="s">
        <v>1261</v>
      </c>
      <c r="D117" s="631">
        <v>105278</v>
      </c>
      <c r="E117" s="706"/>
      <c r="F117" s="706"/>
      <c r="G117" s="706"/>
      <c r="H117" s="706"/>
      <c r="I117" s="706"/>
      <c r="J117" s="707"/>
      <c r="K117" s="708"/>
      <c r="L117" s="708"/>
      <c r="M117" s="706"/>
      <c r="N117" s="706"/>
      <c r="O117" s="706"/>
      <c r="P117" s="706"/>
      <c r="Q117" s="706"/>
      <c r="R117" s="706"/>
      <c r="S117" s="707"/>
      <c r="T117" s="708"/>
      <c r="U117" s="707"/>
      <c r="V117" s="706"/>
      <c r="W117" s="707"/>
      <c r="X117" s="707"/>
      <c r="Y117" s="706"/>
      <c r="Z117" s="706"/>
      <c r="AA117" s="707"/>
      <c r="AB117" s="708"/>
      <c r="AC117" s="710"/>
      <c r="AD117" s="706"/>
      <c r="AE117" s="706"/>
      <c r="AF117" s="706"/>
      <c r="AG117" s="706"/>
      <c r="AH117" s="706"/>
      <c r="AI117" s="707"/>
      <c r="AJ117" s="708"/>
      <c r="AK117" s="710"/>
      <c r="AL117" s="706"/>
      <c r="AM117" s="706"/>
      <c r="AN117" s="706"/>
      <c r="AO117" s="706"/>
      <c r="AP117" s="706"/>
      <c r="AQ117" s="707"/>
      <c r="AR117" s="711"/>
      <c r="AS117" s="706"/>
      <c r="AT117" s="706"/>
      <c r="AU117" s="706"/>
      <c r="AV117" s="706"/>
      <c r="AW117" s="706"/>
      <c r="AX117" s="706"/>
      <c r="AY117" s="707"/>
      <c r="AZ117" s="708"/>
      <c r="BA117" s="707"/>
      <c r="BB117" s="706"/>
      <c r="BC117" s="707"/>
      <c r="BD117" s="707"/>
      <c r="BE117" s="706"/>
      <c r="BF117" s="706"/>
      <c r="BG117" s="707"/>
      <c r="BH117" s="708"/>
      <c r="BI117" s="710"/>
      <c r="BJ117" s="706"/>
      <c r="BK117" s="706"/>
      <c r="BL117" s="706"/>
      <c r="BM117" s="706"/>
      <c r="BN117" s="706"/>
      <c r="BO117" s="707"/>
      <c r="BP117" s="708"/>
      <c r="BQ117" s="707"/>
      <c r="BR117" s="706"/>
      <c r="BS117" s="707"/>
      <c r="BT117" s="707"/>
      <c r="BU117" s="706"/>
      <c r="BV117" s="706"/>
      <c r="BW117" s="707"/>
      <c r="BX117" s="709"/>
    </row>
    <row r="118" spans="1:76" ht="30" customHeight="1" x14ac:dyDescent="0.2">
      <c r="A118" s="717">
        <v>112</v>
      </c>
      <c r="B118" s="705" t="s">
        <v>413</v>
      </c>
      <c r="C118" s="705" t="s">
        <v>1262</v>
      </c>
      <c r="D118" s="631">
        <v>105168</v>
      </c>
      <c r="E118" s="706"/>
      <c r="F118" s="706"/>
      <c r="G118" s="706"/>
      <c r="H118" s="706"/>
      <c r="I118" s="706"/>
      <c r="J118" s="707"/>
      <c r="K118" s="708"/>
      <c r="L118" s="708"/>
      <c r="M118" s="706"/>
      <c r="N118" s="706"/>
      <c r="O118" s="706"/>
      <c r="P118" s="706"/>
      <c r="Q118" s="706"/>
      <c r="R118" s="706"/>
      <c r="S118" s="707"/>
      <c r="T118" s="708"/>
      <c r="U118" s="707"/>
      <c r="V118" s="706"/>
      <c r="W118" s="707"/>
      <c r="X118" s="707"/>
      <c r="Y118" s="706"/>
      <c r="Z118" s="706"/>
      <c r="AA118" s="707"/>
      <c r="AB118" s="708"/>
      <c r="AC118" s="710"/>
      <c r="AD118" s="706"/>
      <c r="AE118" s="706"/>
      <c r="AF118" s="706"/>
      <c r="AG118" s="706"/>
      <c r="AH118" s="706"/>
      <c r="AI118" s="707"/>
      <c r="AJ118" s="708"/>
      <c r="AK118" s="710"/>
      <c r="AL118" s="706"/>
      <c r="AM118" s="706"/>
      <c r="AN118" s="706"/>
      <c r="AO118" s="706"/>
      <c r="AP118" s="706"/>
      <c r="AQ118" s="707"/>
      <c r="AR118" s="711"/>
      <c r="AS118" s="706"/>
      <c r="AT118" s="706"/>
      <c r="AU118" s="706"/>
      <c r="AV118" s="706"/>
      <c r="AW118" s="706"/>
      <c r="AX118" s="706"/>
      <c r="AY118" s="707"/>
      <c r="AZ118" s="708"/>
      <c r="BA118" s="707"/>
      <c r="BB118" s="706"/>
      <c r="BC118" s="707"/>
      <c r="BD118" s="707"/>
      <c r="BE118" s="706"/>
      <c r="BF118" s="706"/>
      <c r="BG118" s="707"/>
      <c r="BH118" s="708"/>
      <c r="BI118" s="710"/>
      <c r="BJ118" s="706"/>
      <c r="BK118" s="706"/>
      <c r="BL118" s="706"/>
      <c r="BM118" s="706"/>
      <c r="BN118" s="706"/>
      <c r="BO118" s="707"/>
      <c r="BP118" s="708"/>
      <c r="BQ118" s="707"/>
      <c r="BR118" s="706"/>
      <c r="BS118" s="707"/>
      <c r="BT118" s="707"/>
      <c r="BU118" s="706"/>
      <c r="BV118" s="706"/>
      <c r="BW118" s="707"/>
      <c r="BX118" s="709"/>
    </row>
    <row r="119" spans="1:76" ht="30" customHeight="1" x14ac:dyDescent="0.2">
      <c r="A119" s="717">
        <v>113</v>
      </c>
      <c r="B119" s="705" t="s">
        <v>413</v>
      </c>
      <c r="C119" s="705" t="s">
        <v>1263</v>
      </c>
      <c r="D119" s="631">
        <v>53791</v>
      </c>
      <c r="E119" s="706"/>
      <c r="F119" s="706"/>
      <c r="G119" s="706"/>
      <c r="H119" s="706"/>
      <c r="I119" s="706"/>
      <c r="J119" s="707"/>
      <c r="K119" s="708"/>
      <c r="L119" s="708"/>
      <c r="M119" s="706"/>
      <c r="N119" s="706"/>
      <c r="O119" s="706"/>
      <c r="P119" s="706"/>
      <c r="Q119" s="706"/>
      <c r="R119" s="706"/>
      <c r="S119" s="707"/>
      <c r="T119" s="708"/>
      <c r="U119" s="707"/>
      <c r="V119" s="706"/>
      <c r="W119" s="707"/>
      <c r="X119" s="707"/>
      <c r="Y119" s="706"/>
      <c r="Z119" s="706"/>
      <c r="AA119" s="707"/>
      <c r="AB119" s="708"/>
      <c r="AC119" s="710"/>
      <c r="AD119" s="706"/>
      <c r="AE119" s="706"/>
      <c r="AF119" s="706"/>
      <c r="AG119" s="706"/>
      <c r="AH119" s="706"/>
      <c r="AI119" s="707"/>
      <c r="AJ119" s="708"/>
      <c r="AK119" s="710"/>
      <c r="AL119" s="706"/>
      <c r="AM119" s="706"/>
      <c r="AN119" s="706"/>
      <c r="AO119" s="706"/>
      <c r="AP119" s="706"/>
      <c r="AQ119" s="707"/>
      <c r="AR119" s="711"/>
      <c r="AS119" s="706"/>
      <c r="AT119" s="706"/>
      <c r="AU119" s="706"/>
      <c r="AV119" s="706"/>
      <c r="AW119" s="706"/>
      <c r="AX119" s="706"/>
      <c r="AY119" s="707"/>
      <c r="AZ119" s="708"/>
      <c r="BA119" s="707"/>
      <c r="BB119" s="706"/>
      <c r="BC119" s="707"/>
      <c r="BD119" s="707"/>
      <c r="BE119" s="706"/>
      <c r="BF119" s="706"/>
      <c r="BG119" s="707"/>
      <c r="BH119" s="708"/>
      <c r="BI119" s="710"/>
      <c r="BJ119" s="706"/>
      <c r="BK119" s="706"/>
      <c r="BL119" s="706"/>
      <c r="BM119" s="706"/>
      <c r="BN119" s="706"/>
      <c r="BO119" s="707"/>
      <c r="BP119" s="708"/>
      <c r="BQ119" s="707"/>
      <c r="BR119" s="706"/>
      <c r="BS119" s="707"/>
      <c r="BT119" s="707"/>
      <c r="BU119" s="706"/>
      <c r="BV119" s="706"/>
      <c r="BW119" s="707"/>
      <c r="BX119" s="709"/>
    </row>
    <row r="120" spans="1:76" ht="30" customHeight="1" x14ac:dyDescent="0.2">
      <c r="A120" s="717">
        <v>114</v>
      </c>
      <c r="B120" s="705" t="s">
        <v>413</v>
      </c>
      <c r="C120" s="705" t="s">
        <v>1264</v>
      </c>
      <c r="D120" s="631">
        <v>104784</v>
      </c>
      <c r="E120" s="706"/>
      <c r="F120" s="706"/>
      <c r="G120" s="706"/>
      <c r="H120" s="706"/>
      <c r="I120" s="706"/>
      <c r="J120" s="707"/>
      <c r="K120" s="708"/>
      <c r="L120" s="708"/>
      <c r="M120" s="706"/>
      <c r="N120" s="706"/>
      <c r="O120" s="706"/>
      <c r="P120" s="706"/>
      <c r="Q120" s="706"/>
      <c r="R120" s="706"/>
      <c r="S120" s="707"/>
      <c r="T120" s="708"/>
      <c r="U120" s="707"/>
      <c r="V120" s="706"/>
      <c r="W120" s="707"/>
      <c r="X120" s="707"/>
      <c r="Y120" s="706"/>
      <c r="Z120" s="706"/>
      <c r="AA120" s="707"/>
      <c r="AB120" s="708"/>
      <c r="AC120" s="710"/>
      <c r="AD120" s="706"/>
      <c r="AE120" s="706"/>
      <c r="AF120" s="706"/>
      <c r="AG120" s="706"/>
      <c r="AH120" s="706"/>
      <c r="AI120" s="707"/>
      <c r="AJ120" s="708"/>
      <c r="AK120" s="710"/>
      <c r="AL120" s="706"/>
      <c r="AM120" s="706"/>
      <c r="AN120" s="706"/>
      <c r="AO120" s="706"/>
      <c r="AP120" s="706"/>
      <c r="AQ120" s="707"/>
      <c r="AR120" s="711"/>
      <c r="AS120" s="706"/>
      <c r="AT120" s="706"/>
      <c r="AU120" s="706"/>
      <c r="AV120" s="706"/>
      <c r="AW120" s="706"/>
      <c r="AX120" s="706"/>
      <c r="AY120" s="707"/>
      <c r="AZ120" s="708"/>
      <c r="BA120" s="707"/>
      <c r="BB120" s="706"/>
      <c r="BC120" s="707"/>
      <c r="BD120" s="707"/>
      <c r="BE120" s="706"/>
      <c r="BF120" s="706"/>
      <c r="BG120" s="707"/>
      <c r="BH120" s="708"/>
      <c r="BI120" s="710"/>
      <c r="BJ120" s="706"/>
      <c r="BK120" s="706"/>
      <c r="BL120" s="706"/>
      <c r="BM120" s="706"/>
      <c r="BN120" s="706"/>
      <c r="BO120" s="707"/>
      <c r="BP120" s="708"/>
      <c r="BQ120" s="707"/>
      <c r="BR120" s="706"/>
      <c r="BS120" s="707"/>
      <c r="BT120" s="707"/>
      <c r="BU120" s="706"/>
      <c r="BV120" s="706"/>
      <c r="BW120" s="707"/>
      <c r="BX120" s="709"/>
    </row>
    <row r="121" spans="1:76" ht="30" customHeight="1" x14ac:dyDescent="0.2">
      <c r="A121" s="717">
        <v>115</v>
      </c>
      <c r="B121" s="705" t="s">
        <v>413</v>
      </c>
      <c r="C121" s="705" t="s">
        <v>1265</v>
      </c>
      <c r="D121" s="631">
        <v>103476</v>
      </c>
      <c r="E121" s="706"/>
      <c r="F121" s="706"/>
      <c r="G121" s="706"/>
      <c r="H121" s="706"/>
      <c r="I121" s="706"/>
      <c r="J121" s="707"/>
      <c r="K121" s="708"/>
      <c r="L121" s="708"/>
      <c r="M121" s="706"/>
      <c r="N121" s="706"/>
      <c r="O121" s="706"/>
      <c r="P121" s="706"/>
      <c r="Q121" s="706"/>
      <c r="R121" s="706"/>
      <c r="S121" s="707"/>
      <c r="T121" s="708"/>
      <c r="U121" s="707" t="s">
        <v>1104</v>
      </c>
      <c r="V121" s="706" t="s">
        <v>1223</v>
      </c>
      <c r="W121" s="707" t="s">
        <v>1225</v>
      </c>
      <c r="X121" s="707"/>
      <c r="Y121" s="706" t="s">
        <v>1219</v>
      </c>
      <c r="Z121" s="706" t="s">
        <v>1220</v>
      </c>
      <c r="AA121" s="707"/>
      <c r="AB121" s="708"/>
      <c r="AC121" s="710"/>
      <c r="AD121" s="706"/>
      <c r="AE121" s="706"/>
      <c r="AF121" s="706"/>
      <c r="AG121" s="706"/>
      <c r="AH121" s="706"/>
      <c r="AI121" s="707"/>
      <c r="AJ121" s="708"/>
      <c r="AK121" s="710"/>
      <c r="AL121" s="706"/>
      <c r="AM121" s="706"/>
      <c r="AN121" s="706"/>
      <c r="AO121" s="706"/>
      <c r="AP121" s="706"/>
      <c r="AQ121" s="707"/>
      <c r="AR121" s="711"/>
      <c r="AS121" s="706"/>
      <c r="AT121" s="706"/>
      <c r="AU121" s="706"/>
      <c r="AV121" s="706"/>
      <c r="AW121" s="706"/>
      <c r="AX121" s="706"/>
      <c r="AY121" s="707"/>
      <c r="AZ121" s="708"/>
      <c r="BA121" s="707"/>
      <c r="BB121" s="706"/>
      <c r="BC121" s="707"/>
      <c r="BD121" s="707"/>
      <c r="BE121" s="706"/>
      <c r="BF121" s="706"/>
      <c r="BG121" s="707"/>
      <c r="BH121" s="708"/>
      <c r="BI121" s="710"/>
      <c r="BJ121" s="706"/>
      <c r="BK121" s="706"/>
      <c r="BL121" s="706"/>
      <c r="BM121" s="706"/>
      <c r="BN121" s="706"/>
      <c r="BO121" s="707"/>
      <c r="BP121" s="708"/>
      <c r="BQ121" s="707"/>
      <c r="BR121" s="706"/>
      <c r="BS121" s="707"/>
      <c r="BT121" s="707"/>
      <c r="BU121" s="706"/>
      <c r="BV121" s="706"/>
      <c r="BW121" s="707"/>
      <c r="BX121" s="709"/>
    </row>
    <row r="122" spans="1:76" ht="30" customHeight="1" x14ac:dyDescent="0.2">
      <c r="A122" s="717">
        <v>116</v>
      </c>
      <c r="B122" s="705" t="s">
        <v>413</v>
      </c>
      <c r="C122" s="705" t="s">
        <v>1266</v>
      </c>
      <c r="D122" s="631">
        <v>103504</v>
      </c>
      <c r="E122" s="706"/>
      <c r="F122" s="706"/>
      <c r="G122" s="706"/>
      <c r="H122" s="706"/>
      <c r="I122" s="706"/>
      <c r="J122" s="707"/>
      <c r="K122" s="708"/>
      <c r="L122" s="708"/>
      <c r="M122" s="706" t="s">
        <v>1104</v>
      </c>
      <c r="N122" s="706" t="s">
        <v>1223</v>
      </c>
      <c r="O122" s="706" t="s">
        <v>1225</v>
      </c>
      <c r="P122" s="706"/>
      <c r="Q122" s="706" t="s">
        <v>1219</v>
      </c>
      <c r="R122" s="706" t="s">
        <v>1220</v>
      </c>
      <c r="S122" s="707"/>
      <c r="T122" s="708"/>
      <c r="U122" s="707"/>
      <c r="V122" s="706"/>
      <c r="W122" s="707"/>
      <c r="X122" s="707"/>
      <c r="Y122" s="706"/>
      <c r="Z122" s="706"/>
      <c r="AA122" s="707"/>
      <c r="AB122" s="708"/>
      <c r="AC122" s="710"/>
      <c r="AD122" s="706"/>
      <c r="AE122" s="706"/>
      <c r="AF122" s="706"/>
      <c r="AG122" s="706"/>
      <c r="AH122" s="706"/>
      <c r="AI122" s="707"/>
      <c r="AJ122" s="708"/>
      <c r="AK122" s="710"/>
      <c r="AL122" s="706"/>
      <c r="AM122" s="706"/>
      <c r="AN122" s="706"/>
      <c r="AO122" s="706"/>
      <c r="AP122" s="706"/>
      <c r="AQ122" s="707"/>
      <c r="AR122" s="711"/>
      <c r="AS122" s="706"/>
      <c r="AT122" s="706"/>
      <c r="AU122" s="706"/>
      <c r="AV122" s="706"/>
      <c r="AW122" s="706"/>
      <c r="AX122" s="706"/>
      <c r="AY122" s="707"/>
      <c r="AZ122" s="708"/>
      <c r="BA122" s="707"/>
      <c r="BB122" s="706"/>
      <c r="BC122" s="707"/>
      <c r="BD122" s="707"/>
      <c r="BE122" s="706"/>
      <c r="BF122" s="706"/>
      <c r="BG122" s="707"/>
      <c r="BH122" s="708"/>
      <c r="BI122" s="710"/>
      <c r="BJ122" s="706"/>
      <c r="BK122" s="706"/>
      <c r="BL122" s="706"/>
      <c r="BM122" s="706"/>
      <c r="BN122" s="706"/>
      <c r="BO122" s="707"/>
      <c r="BP122" s="708"/>
      <c r="BQ122" s="707"/>
      <c r="BR122" s="706"/>
      <c r="BS122" s="707"/>
      <c r="BT122" s="707"/>
      <c r="BU122" s="706"/>
      <c r="BV122" s="706"/>
      <c r="BW122" s="707"/>
      <c r="BX122" s="709"/>
    </row>
    <row r="123" spans="1:76" ht="30" customHeight="1" x14ac:dyDescent="0.2">
      <c r="A123" s="717">
        <v>117</v>
      </c>
      <c r="B123" s="705" t="s">
        <v>413</v>
      </c>
      <c r="C123" s="705" t="s">
        <v>456</v>
      </c>
      <c r="D123" s="631">
        <v>104303</v>
      </c>
      <c r="E123" s="706"/>
      <c r="F123" s="706"/>
      <c r="G123" s="706"/>
      <c r="H123" s="706"/>
      <c r="I123" s="706"/>
      <c r="J123" s="707"/>
      <c r="K123" s="708"/>
      <c r="L123" s="708"/>
      <c r="M123" s="706"/>
      <c r="N123" s="706"/>
      <c r="O123" s="706"/>
      <c r="P123" s="706"/>
      <c r="Q123" s="706"/>
      <c r="R123" s="706"/>
      <c r="S123" s="707"/>
      <c r="T123" s="708"/>
      <c r="U123" s="707"/>
      <c r="V123" s="706"/>
      <c r="W123" s="707"/>
      <c r="X123" s="707"/>
      <c r="Y123" s="706"/>
      <c r="Z123" s="706"/>
      <c r="AA123" s="707"/>
      <c r="AB123" s="708"/>
      <c r="AC123" s="710"/>
      <c r="AD123" s="706"/>
      <c r="AE123" s="706"/>
      <c r="AF123" s="706"/>
      <c r="AG123" s="706"/>
      <c r="AH123" s="706"/>
      <c r="AI123" s="707"/>
      <c r="AJ123" s="708"/>
      <c r="AK123" s="710"/>
      <c r="AL123" s="706"/>
      <c r="AM123" s="706"/>
      <c r="AN123" s="706"/>
      <c r="AO123" s="706"/>
      <c r="AP123" s="706"/>
      <c r="AQ123" s="707"/>
      <c r="AR123" s="711"/>
      <c r="AS123" s="706"/>
      <c r="AT123" s="706"/>
      <c r="AU123" s="706"/>
      <c r="AV123" s="706"/>
      <c r="AW123" s="706"/>
      <c r="AX123" s="706"/>
      <c r="AY123" s="707"/>
      <c r="AZ123" s="708"/>
      <c r="BA123" s="707"/>
      <c r="BB123" s="706"/>
      <c r="BC123" s="707"/>
      <c r="BD123" s="707"/>
      <c r="BE123" s="706"/>
      <c r="BF123" s="706"/>
      <c r="BG123" s="707"/>
      <c r="BH123" s="708"/>
      <c r="BI123" s="710"/>
      <c r="BJ123" s="706"/>
      <c r="BK123" s="706"/>
      <c r="BL123" s="706"/>
      <c r="BM123" s="706"/>
      <c r="BN123" s="706"/>
      <c r="BO123" s="707"/>
      <c r="BP123" s="708"/>
      <c r="BQ123" s="707"/>
      <c r="BR123" s="706"/>
      <c r="BS123" s="707"/>
      <c r="BT123" s="707"/>
      <c r="BU123" s="706"/>
      <c r="BV123" s="706"/>
      <c r="BW123" s="707"/>
      <c r="BX123" s="709"/>
    </row>
    <row r="124" spans="1:76" ht="30" customHeight="1" x14ac:dyDescent="0.2">
      <c r="A124" s="717">
        <v>118</v>
      </c>
      <c r="B124" s="705" t="s">
        <v>413</v>
      </c>
      <c r="C124" s="705" t="s">
        <v>446</v>
      </c>
      <c r="D124" s="631">
        <v>53504</v>
      </c>
      <c r="E124" s="706"/>
      <c r="F124" s="706"/>
      <c r="G124" s="706"/>
      <c r="H124" s="706"/>
      <c r="I124" s="706"/>
      <c r="J124" s="707"/>
      <c r="K124" s="708"/>
      <c r="L124" s="708"/>
      <c r="M124" s="706"/>
      <c r="N124" s="706"/>
      <c r="O124" s="706"/>
      <c r="P124" s="706"/>
      <c r="Q124" s="706"/>
      <c r="R124" s="706"/>
      <c r="S124" s="707"/>
      <c r="T124" s="708"/>
      <c r="U124" s="707"/>
      <c r="V124" s="706"/>
      <c r="W124" s="707"/>
      <c r="X124" s="707"/>
      <c r="Y124" s="706"/>
      <c r="Z124" s="706"/>
      <c r="AA124" s="707"/>
      <c r="AB124" s="708"/>
      <c r="AC124" s="710"/>
      <c r="AD124" s="706"/>
      <c r="AE124" s="706"/>
      <c r="AF124" s="706"/>
      <c r="AG124" s="706"/>
      <c r="AH124" s="706"/>
      <c r="AI124" s="707"/>
      <c r="AJ124" s="708"/>
      <c r="AK124" s="710"/>
      <c r="AL124" s="706"/>
      <c r="AM124" s="706"/>
      <c r="AN124" s="706"/>
      <c r="AO124" s="706"/>
      <c r="AP124" s="706"/>
      <c r="AQ124" s="707"/>
      <c r="AR124" s="711"/>
      <c r="AS124" s="706"/>
      <c r="AT124" s="706"/>
      <c r="AU124" s="706"/>
      <c r="AV124" s="706"/>
      <c r="AW124" s="706"/>
      <c r="AX124" s="706"/>
      <c r="AY124" s="707"/>
      <c r="AZ124" s="708"/>
      <c r="BA124" s="707"/>
      <c r="BB124" s="706"/>
      <c r="BC124" s="707"/>
      <c r="BD124" s="707"/>
      <c r="BE124" s="706"/>
      <c r="BF124" s="706"/>
      <c r="BG124" s="707"/>
      <c r="BH124" s="708"/>
      <c r="BI124" s="710"/>
      <c r="BJ124" s="706"/>
      <c r="BK124" s="706"/>
      <c r="BL124" s="706"/>
      <c r="BM124" s="706"/>
      <c r="BN124" s="706"/>
      <c r="BO124" s="707"/>
      <c r="BP124" s="708"/>
      <c r="BQ124" s="707"/>
      <c r="BR124" s="706"/>
      <c r="BS124" s="707"/>
      <c r="BT124" s="707"/>
      <c r="BU124" s="706"/>
      <c r="BV124" s="706"/>
      <c r="BW124" s="707"/>
      <c r="BX124" s="709"/>
    </row>
    <row r="125" spans="1:76" ht="30" customHeight="1" x14ac:dyDescent="0.2">
      <c r="A125" s="717">
        <v>119</v>
      </c>
      <c r="B125" s="705" t="s">
        <v>413</v>
      </c>
      <c r="C125" s="705" t="s">
        <v>546</v>
      </c>
      <c r="D125" s="631">
        <v>256</v>
      </c>
      <c r="E125" s="706"/>
      <c r="F125" s="706"/>
      <c r="G125" s="706"/>
      <c r="H125" s="706"/>
      <c r="I125" s="706"/>
      <c r="J125" s="707"/>
      <c r="K125" s="708"/>
      <c r="L125" s="708"/>
      <c r="M125" s="706"/>
      <c r="N125" s="706"/>
      <c r="O125" s="706"/>
      <c r="P125" s="706"/>
      <c r="Q125" s="706"/>
      <c r="R125" s="706"/>
      <c r="S125" s="707"/>
      <c r="T125" s="708"/>
      <c r="U125" s="707"/>
      <c r="V125" s="706"/>
      <c r="W125" s="707"/>
      <c r="X125" s="707"/>
      <c r="Y125" s="706"/>
      <c r="Z125" s="706"/>
      <c r="AA125" s="707"/>
      <c r="AB125" s="708"/>
      <c r="AC125" s="710"/>
      <c r="AD125" s="706"/>
      <c r="AE125" s="706"/>
      <c r="AF125" s="706"/>
      <c r="AG125" s="706"/>
      <c r="AH125" s="706"/>
      <c r="AI125" s="707"/>
      <c r="AJ125" s="708"/>
      <c r="AK125" s="710"/>
      <c r="AL125" s="706"/>
      <c r="AM125" s="706"/>
      <c r="AN125" s="706"/>
      <c r="AO125" s="706"/>
      <c r="AP125" s="706"/>
      <c r="AQ125" s="707"/>
      <c r="AR125" s="711"/>
      <c r="AS125" s="706"/>
      <c r="AT125" s="706"/>
      <c r="AU125" s="706"/>
      <c r="AV125" s="706"/>
      <c r="AW125" s="706"/>
      <c r="AX125" s="706"/>
      <c r="AY125" s="707"/>
      <c r="AZ125" s="708"/>
      <c r="BA125" s="707"/>
      <c r="BB125" s="706"/>
      <c r="BC125" s="707"/>
      <c r="BD125" s="707"/>
      <c r="BE125" s="706"/>
      <c r="BF125" s="706"/>
      <c r="BG125" s="707"/>
      <c r="BH125" s="708"/>
      <c r="BI125" s="710"/>
      <c r="BJ125" s="706"/>
      <c r="BK125" s="706"/>
      <c r="BL125" s="706"/>
      <c r="BM125" s="706"/>
      <c r="BN125" s="706"/>
      <c r="BO125" s="707"/>
      <c r="BP125" s="708"/>
      <c r="BQ125" s="707"/>
      <c r="BR125" s="706"/>
      <c r="BS125" s="707"/>
      <c r="BT125" s="707"/>
      <c r="BU125" s="706"/>
      <c r="BV125" s="706"/>
      <c r="BW125" s="707"/>
      <c r="BX125" s="709"/>
    </row>
    <row r="126" spans="1:76" ht="30" customHeight="1" x14ac:dyDescent="0.2">
      <c r="A126" s="717">
        <v>120</v>
      </c>
      <c r="B126" s="705" t="s">
        <v>413</v>
      </c>
      <c r="C126" s="705" t="s">
        <v>1019</v>
      </c>
      <c r="D126" s="631">
        <v>4010</v>
      </c>
      <c r="E126" s="706"/>
      <c r="F126" s="706"/>
      <c r="G126" s="706"/>
      <c r="H126" s="706"/>
      <c r="I126" s="706"/>
      <c r="J126" s="707"/>
      <c r="K126" s="708"/>
      <c r="L126" s="708"/>
      <c r="M126" s="706"/>
      <c r="N126" s="706"/>
      <c r="O126" s="706"/>
      <c r="P126" s="706"/>
      <c r="Q126" s="706"/>
      <c r="R126" s="706"/>
      <c r="S126" s="707"/>
      <c r="T126" s="708"/>
      <c r="U126" s="707"/>
      <c r="V126" s="706"/>
      <c r="W126" s="707"/>
      <c r="X126" s="707"/>
      <c r="Y126" s="706"/>
      <c r="Z126" s="706"/>
      <c r="AA126" s="707"/>
      <c r="AB126" s="708"/>
      <c r="AC126" s="710" t="s">
        <v>1104</v>
      </c>
      <c r="AD126" s="706" t="s">
        <v>1217</v>
      </c>
      <c r="AE126" s="706" t="s">
        <v>1218</v>
      </c>
      <c r="AF126" s="706"/>
      <c r="AG126" s="706" t="s">
        <v>1219</v>
      </c>
      <c r="AH126" s="706" t="s">
        <v>1220</v>
      </c>
      <c r="AI126" s="707"/>
      <c r="AJ126" s="708"/>
      <c r="AK126" s="710"/>
      <c r="AL126" s="706"/>
      <c r="AM126" s="706"/>
      <c r="AN126" s="706"/>
      <c r="AO126" s="706"/>
      <c r="AP126" s="706"/>
      <c r="AQ126" s="707"/>
      <c r="AR126" s="711"/>
      <c r="AS126" s="706"/>
      <c r="AT126" s="706"/>
      <c r="AU126" s="706"/>
      <c r="AV126" s="706"/>
      <c r="AW126" s="706"/>
      <c r="AX126" s="706"/>
      <c r="AY126" s="707"/>
      <c r="AZ126" s="708"/>
      <c r="BA126" s="707"/>
      <c r="BB126" s="706"/>
      <c r="BC126" s="707"/>
      <c r="BD126" s="707"/>
      <c r="BE126" s="706"/>
      <c r="BF126" s="706"/>
      <c r="BG126" s="707"/>
      <c r="BH126" s="708"/>
      <c r="BI126" s="710"/>
      <c r="BJ126" s="706"/>
      <c r="BK126" s="706"/>
      <c r="BL126" s="706"/>
      <c r="BM126" s="706"/>
      <c r="BN126" s="706"/>
      <c r="BO126" s="707"/>
      <c r="BP126" s="708"/>
      <c r="BQ126" s="707"/>
      <c r="BR126" s="706"/>
      <c r="BS126" s="707"/>
      <c r="BT126" s="707"/>
      <c r="BU126" s="706"/>
      <c r="BV126" s="706"/>
      <c r="BW126" s="707"/>
      <c r="BX126" s="709"/>
    </row>
    <row r="127" spans="1:76" ht="30" customHeight="1" x14ac:dyDescent="0.2">
      <c r="A127" s="717">
        <v>121</v>
      </c>
      <c r="B127" s="705" t="s">
        <v>413</v>
      </c>
      <c r="C127" s="705" t="s">
        <v>1018</v>
      </c>
      <c r="D127" s="631">
        <v>2130</v>
      </c>
      <c r="E127" s="706"/>
      <c r="F127" s="706"/>
      <c r="G127" s="706"/>
      <c r="H127" s="706"/>
      <c r="I127" s="706"/>
      <c r="J127" s="707"/>
      <c r="K127" s="708"/>
      <c r="L127" s="708"/>
      <c r="M127" s="706"/>
      <c r="N127" s="706"/>
      <c r="O127" s="706"/>
      <c r="P127" s="706"/>
      <c r="Q127" s="706"/>
      <c r="R127" s="706"/>
      <c r="S127" s="707"/>
      <c r="T127" s="708"/>
      <c r="U127" s="707"/>
      <c r="V127" s="706"/>
      <c r="W127" s="707"/>
      <c r="X127" s="707"/>
      <c r="Y127" s="706"/>
      <c r="Z127" s="706"/>
      <c r="AA127" s="707"/>
      <c r="AB127" s="708"/>
      <c r="AC127" s="710"/>
      <c r="AD127" s="706"/>
      <c r="AE127" s="706"/>
      <c r="AF127" s="706"/>
      <c r="AG127" s="706"/>
      <c r="AH127" s="706"/>
      <c r="AI127" s="707"/>
      <c r="AJ127" s="708"/>
      <c r="AK127" s="710" t="s">
        <v>1104</v>
      </c>
      <c r="AL127" s="706" t="s">
        <v>1217</v>
      </c>
      <c r="AM127" s="706" t="s">
        <v>1218</v>
      </c>
      <c r="AN127" s="706"/>
      <c r="AO127" s="706" t="s">
        <v>1219</v>
      </c>
      <c r="AP127" s="706" t="s">
        <v>1220</v>
      </c>
      <c r="AQ127" s="707"/>
      <c r="AR127" s="711"/>
      <c r="AS127" s="706"/>
      <c r="AT127" s="706"/>
      <c r="AU127" s="706"/>
      <c r="AV127" s="706"/>
      <c r="AW127" s="706"/>
      <c r="AX127" s="706"/>
      <c r="AY127" s="707"/>
      <c r="AZ127" s="708"/>
      <c r="BA127" s="707"/>
      <c r="BB127" s="706"/>
      <c r="BC127" s="707"/>
      <c r="BD127" s="707"/>
      <c r="BE127" s="706"/>
      <c r="BF127" s="706"/>
      <c r="BG127" s="707"/>
      <c r="BH127" s="708"/>
      <c r="BI127" s="710"/>
      <c r="BJ127" s="706"/>
      <c r="BK127" s="706"/>
      <c r="BL127" s="706"/>
      <c r="BM127" s="706"/>
      <c r="BN127" s="706"/>
      <c r="BO127" s="707"/>
      <c r="BP127" s="708"/>
      <c r="BQ127" s="707"/>
      <c r="BR127" s="706"/>
      <c r="BS127" s="707"/>
      <c r="BT127" s="707"/>
      <c r="BU127" s="706"/>
      <c r="BV127" s="706"/>
      <c r="BW127" s="707"/>
      <c r="BX127" s="709"/>
    </row>
    <row r="128" spans="1:76" ht="30" customHeight="1" x14ac:dyDescent="0.2">
      <c r="A128" s="717">
        <v>122</v>
      </c>
      <c r="B128" s="705" t="s">
        <v>413</v>
      </c>
      <c r="C128" s="705" t="s">
        <v>1127</v>
      </c>
      <c r="D128" s="631">
        <v>104822</v>
      </c>
      <c r="E128" s="706"/>
      <c r="F128" s="706"/>
      <c r="G128" s="706"/>
      <c r="H128" s="706"/>
      <c r="I128" s="706"/>
      <c r="J128" s="707"/>
      <c r="K128" s="708"/>
      <c r="L128" s="708"/>
      <c r="M128" s="706"/>
      <c r="N128" s="706"/>
      <c r="O128" s="706"/>
      <c r="P128" s="706"/>
      <c r="Q128" s="706"/>
      <c r="R128" s="706"/>
      <c r="S128" s="707"/>
      <c r="T128" s="708"/>
      <c r="U128" s="707"/>
      <c r="V128" s="706"/>
      <c r="W128" s="707"/>
      <c r="X128" s="707"/>
      <c r="Y128" s="706"/>
      <c r="Z128" s="706"/>
      <c r="AA128" s="707"/>
      <c r="AB128" s="708"/>
      <c r="AC128" s="710"/>
      <c r="AD128" s="706"/>
      <c r="AE128" s="706"/>
      <c r="AF128" s="706"/>
      <c r="AG128" s="706"/>
      <c r="AH128" s="706"/>
      <c r="AI128" s="707"/>
      <c r="AJ128" s="708"/>
      <c r="AK128" s="710"/>
      <c r="AL128" s="706"/>
      <c r="AM128" s="706"/>
      <c r="AN128" s="706"/>
      <c r="AO128" s="706"/>
      <c r="AP128" s="706"/>
      <c r="AQ128" s="707"/>
      <c r="AR128" s="711"/>
      <c r="AS128" s="706"/>
      <c r="AT128" s="706"/>
      <c r="AU128" s="706"/>
      <c r="AV128" s="706"/>
      <c r="AW128" s="706"/>
      <c r="AX128" s="706"/>
      <c r="AY128" s="707"/>
      <c r="AZ128" s="708"/>
      <c r="BA128" s="707"/>
      <c r="BB128" s="706"/>
      <c r="BC128" s="707"/>
      <c r="BD128" s="707"/>
      <c r="BE128" s="706"/>
      <c r="BF128" s="706"/>
      <c r="BG128" s="707"/>
      <c r="BH128" s="708"/>
      <c r="BI128" s="710"/>
      <c r="BJ128" s="706"/>
      <c r="BK128" s="706"/>
      <c r="BL128" s="706"/>
      <c r="BM128" s="706"/>
      <c r="BN128" s="706"/>
      <c r="BO128" s="707"/>
      <c r="BP128" s="708"/>
      <c r="BQ128" s="707"/>
      <c r="BR128" s="706"/>
      <c r="BS128" s="707"/>
      <c r="BT128" s="707"/>
      <c r="BU128" s="706"/>
      <c r="BV128" s="706"/>
      <c r="BW128" s="707"/>
      <c r="BX128" s="709"/>
    </row>
    <row r="129" spans="1:76" ht="30" customHeight="1" x14ac:dyDescent="0.2">
      <c r="A129" s="718">
        <v>123</v>
      </c>
      <c r="B129" s="705" t="s">
        <v>574</v>
      </c>
      <c r="C129" s="705" t="s">
        <v>591</v>
      </c>
      <c r="D129" s="631">
        <v>4080</v>
      </c>
      <c r="E129" s="706"/>
      <c r="F129" s="706"/>
      <c r="G129" s="706"/>
      <c r="H129" s="706"/>
      <c r="I129" s="706"/>
      <c r="J129" s="707"/>
      <c r="K129" s="708"/>
      <c r="L129" s="708"/>
      <c r="M129" s="706"/>
      <c r="N129" s="706"/>
      <c r="O129" s="706"/>
      <c r="P129" s="706"/>
      <c r="Q129" s="706"/>
      <c r="R129" s="706"/>
      <c r="S129" s="707"/>
      <c r="T129" s="708"/>
      <c r="U129" s="707"/>
      <c r="V129" s="706"/>
      <c r="W129" s="707"/>
      <c r="X129" s="707"/>
      <c r="Y129" s="706"/>
      <c r="Z129" s="706"/>
      <c r="AA129" s="707"/>
      <c r="AB129" s="708"/>
      <c r="AC129" s="710"/>
      <c r="AD129" s="706"/>
      <c r="AE129" s="706"/>
      <c r="AF129" s="706"/>
      <c r="AG129" s="706"/>
      <c r="AH129" s="706"/>
      <c r="AI129" s="707"/>
      <c r="AJ129" s="708"/>
      <c r="AK129" s="710"/>
      <c r="AL129" s="706"/>
      <c r="AM129" s="706"/>
      <c r="AN129" s="706"/>
      <c r="AO129" s="706"/>
      <c r="AP129" s="706"/>
      <c r="AQ129" s="707"/>
      <c r="AR129" s="711"/>
      <c r="AS129" s="706"/>
      <c r="AT129" s="706"/>
      <c r="AU129" s="706"/>
      <c r="AV129" s="706"/>
      <c r="AW129" s="706"/>
      <c r="AX129" s="706"/>
      <c r="AY129" s="707"/>
      <c r="AZ129" s="708"/>
      <c r="BA129" s="707"/>
      <c r="BB129" s="706"/>
      <c r="BC129" s="707"/>
      <c r="BD129" s="707"/>
      <c r="BE129" s="706"/>
      <c r="BF129" s="706"/>
      <c r="BG129" s="707"/>
      <c r="BH129" s="708"/>
      <c r="BI129" s="710"/>
      <c r="BJ129" s="706"/>
      <c r="BK129" s="706"/>
      <c r="BL129" s="706"/>
      <c r="BM129" s="706"/>
      <c r="BN129" s="706"/>
      <c r="BO129" s="707"/>
      <c r="BP129" s="708"/>
      <c r="BQ129" s="707"/>
      <c r="BR129" s="706"/>
      <c r="BS129" s="707"/>
      <c r="BT129" s="707"/>
      <c r="BU129" s="706"/>
      <c r="BV129" s="706"/>
      <c r="BW129" s="707"/>
      <c r="BX129" s="709"/>
    </row>
    <row r="130" spans="1:76" ht="30" customHeight="1" x14ac:dyDescent="0.2">
      <c r="A130" s="718">
        <v>124</v>
      </c>
      <c r="B130" s="705" t="s">
        <v>574</v>
      </c>
      <c r="C130" s="705" t="s">
        <v>1064</v>
      </c>
      <c r="D130" s="631">
        <v>8170</v>
      </c>
      <c r="E130" s="706"/>
      <c r="F130" s="706"/>
      <c r="G130" s="706"/>
      <c r="H130" s="706"/>
      <c r="I130" s="706"/>
      <c r="J130" s="707"/>
      <c r="K130" s="708"/>
      <c r="L130" s="708"/>
      <c r="M130" s="706" t="s">
        <v>1104</v>
      </c>
      <c r="N130" s="706" t="s">
        <v>1229</v>
      </c>
      <c r="O130" s="706" t="s">
        <v>1225</v>
      </c>
      <c r="P130" s="706"/>
      <c r="Q130" s="706" t="s">
        <v>1219</v>
      </c>
      <c r="R130" s="706" t="s">
        <v>1220</v>
      </c>
      <c r="S130" s="707"/>
      <c r="T130" s="708"/>
      <c r="U130" s="707" t="s">
        <v>1104</v>
      </c>
      <c r="V130" s="706" t="s">
        <v>1229</v>
      </c>
      <c r="W130" s="707" t="s">
        <v>1218</v>
      </c>
      <c r="X130" s="707"/>
      <c r="Y130" s="706" t="s">
        <v>1219</v>
      </c>
      <c r="Z130" s="706" t="s">
        <v>1220</v>
      </c>
      <c r="AA130" s="707"/>
      <c r="AB130" s="708"/>
      <c r="AC130" s="710"/>
      <c r="AD130" s="706"/>
      <c r="AE130" s="706"/>
      <c r="AF130" s="706"/>
      <c r="AG130" s="706"/>
      <c r="AH130" s="706"/>
      <c r="AI130" s="707"/>
      <c r="AJ130" s="708"/>
      <c r="AK130" s="710"/>
      <c r="AL130" s="706"/>
      <c r="AM130" s="706"/>
      <c r="AN130" s="706"/>
      <c r="AO130" s="706"/>
      <c r="AP130" s="706"/>
      <c r="AQ130" s="707"/>
      <c r="AR130" s="711"/>
      <c r="AS130" s="706"/>
      <c r="AT130" s="706"/>
      <c r="AU130" s="706"/>
      <c r="AV130" s="706"/>
      <c r="AW130" s="706"/>
      <c r="AX130" s="706"/>
      <c r="AY130" s="707"/>
      <c r="AZ130" s="708"/>
      <c r="BA130" s="707"/>
      <c r="BB130" s="706"/>
      <c r="BC130" s="707"/>
      <c r="BD130" s="707"/>
      <c r="BE130" s="706"/>
      <c r="BF130" s="706"/>
      <c r="BG130" s="707"/>
      <c r="BH130" s="708"/>
      <c r="BI130" s="710"/>
      <c r="BJ130" s="706"/>
      <c r="BK130" s="706"/>
      <c r="BL130" s="706"/>
      <c r="BM130" s="706"/>
      <c r="BN130" s="706"/>
      <c r="BO130" s="707"/>
      <c r="BP130" s="708"/>
      <c r="BQ130" s="707"/>
      <c r="BR130" s="706"/>
      <c r="BS130" s="707"/>
      <c r="BT130" s="707"/>
      <c r="BU130" s="706"/>
      <c r="BV130" s="706"/>
      <c r="BW130" s="707"/>
      <c r="BX130" s="709"/>
    </row>
    <row r="131" spans="1:76" ht="30" customHeight="1" x14ac:dyDescent="0.2">
      <c r="A131" s="718">
        <v>125</v>
      </c>
      <c r="B131" s="705" t="s">
        <v>574</v>
      </c>
      <c r="C131" s="705" t="s">
        <v>1160</v>
      </c>
      <c r="D131" s="631">
        <v>233</v>
      </c>
      <c r="E131" s="706"/>
      <c r="F131" s="706"/>
      <c r="G131" s="706"/>
      <c r="H131" s="706"/>
      <c r="I131" s="706"/>
      <c r="J131" s="707"/>
      <c r="K131" s="708"/>
      <c r="L131" s="708"/>
      <c r="M131" s="706" t="s">
        <v>1104</v>
      </c>
      <c r="N131" s="706" t="s">
        <v>1223</v>
      </c>
      <c r="O131" s="706" t="s">
        <v>1225</v>
      </c>
      <c r="P131" s="706"/>
      <c r="Q131" s="706" t="s">
        <v>1219</v>
      </c>
      <c r="R131" s="706" t="s">
        <v>1220</v>
      </c>
      <c r="S131" s="707"/>
      <c r="T131" s="708"/>
      <c r="U131" s="707"/>
      <c r="V131" s="706"/>
      <c r="W131" s="707"/>
      <c r="X131" s="707"/>
      <c r="Y131" s="706"/>
      <c r="Z131" s="706"/>
      <c r="AA131" s="707"/>
      <c r="AB131" s="708"/>
      <c r="AC131" s="710" t="s">
        <v>1104</v>
      </c>
      <c r="AD131" s="706" t="s">
        <v>1223</v>
      </c>
      <c r="AE131" s="706" t="s">
        <v>1218</v>
      </c>
      <c r="AF131" s="706"/>
      <c r="AG131" s="706" t="s">
        <v>1219</v>
      </c>
      <c r="AH131" s="706" t="s">
        <v>1220</v>
      </c>
      <c r="AI131" s="707"/>
      <c r="AJ131" s="708"/>
      <c r="AK131" s="710"/>
      <c r="AL131" s="706"/>
      <c r="AM131" s="706"/>
      <c r="AN131" s="706"/>
      <c r="AO131" s="706"/>
      <c r="AP131" s="706"/>
      <c r="AQ131" s="707"/>
      <c r="AR131" s="711"/>
      <c r="AS131" s="706"/>
      <c r="AT131" s="706"/>
      <c r="AU131" s="706"/>
      <c r="AV131" s="706"/>
      <c r="AW131" s="706"/>
      <c r="AX131" s="706"/>
      <c r="AY131" s="707"/>
      <c r="AZ131" s="708"/>
      <c r="BA131" s="707"/>
      <c r="BB131" s="706"/>
      <c r="BC131" s="707"/>
      <c r="BD131" s="707"/>
      <c r="BE131" s="706"/>
      <c r="BF131" s="706"/>
      <c r="BG131" s="707"/>
      <c r="BH131" s="708"/>
      <c r="BI131" s="710"/>
      <c r="BJ131" s="706"/>
      <c r="BK131" s="706"/>
      <c r="BL131" s="706"/>
      <c r="BM131" s="706"/>
      <c r="BN131" s="706"/>
      <c r="BO131" s="707"/>
      <c r="BP131" s="708"/>
      <c r="BQ131" s="707"/>
      <c r="BR131" s="706"/>
      <c r="BS131" s="707"/>
      <c r="BT131" s="707"/>
      <c r="BU131" s="706"/>
      <c r="BV131" s="706"/>
      <c r="BW131" s="707"/>
      <c r="BX131" s="709"/>
    </row>
    <row r="132" spans="1:76" ht="30" customHeight="1" x14ac:dyDescent="0.2">
      <c r="A132" s="718">
        <v>126</v>
      </c>
      <c r="B132" s="705" t="s">
        <v>574</v>
      </c>
      <c r="C132" s="705" t="s">
        <v>1165</v>
      </c>
      <c r="D132" s="631">
        <v>102182</v>
      </c>
      <c r="E132" s="706"/>
      <c r="F132" s="706"/>
      <c r="G132" s="706"/>
      <c r="H132" s="706"/>
      <c r="I132" s="706"/>
      <c r="J132" s="707"/>
      <c r="K132" s="708"/>
      <c r="L132" s="708"/>
      <c r="M132" s="706"/>
      <c r="N132" s="706"/>
      <c r="O132" s="706"/>
      <c r="P132" s="706"/>
      <c r="Q132" s="706"/>
      <c r="R132" s="706"/>
      <c r="S132" s="707"/>
      <c r="T132" s="708"/>
      <c r="U132" s="707" t="s">
        <v>1104</v>
      </c>
      <c r="V132" s="706" t="s">
        <v>1223</v>
      </c>
      <c r="W132" s="707" t="s">
        <v>1218</v>
      </c>
      <c r="X132" s="707"/>
      <c r="Y132" s="706" t="s">
        <v>1219</v>
      </c>
      <c r="Z132" s="706" t="s">
        <v>1220</v>
      </c>
      <c r="AA132" s="707"/>
      <c r="AB132" s="708"/>
      <c r="AC132" s="710"/>
      <c r="AD132" s="706"/>
      <c r="AE132" s="706"/>
      <c r="AF132" s="706"/>
      <c r="AG132" s="706"/>
      <c r="AH132" s="706"/>
      <c r="AI132" s="707"/>
      <c r="AJ132" s="708"/>
      <c r="AK132" s="710" t="s">
        <v>1104</v>
      </c>
      <c r="AL132" s="706" t="s">
        <v>1223</v>
      </c>
      <c r="AM132" s="706" t="s">
        <v>1218</v>
      </c>
      <c r="AN132" s="706"/>
      <c r="AO132" s="706" t="s">
        <v>1224</v>
      </c>
      <c r="AP132" s="706" t="s">
        <v>1220</v>
      </c>
      <c r="AQ132" s="707" t="s">
        <v>82</v>
      </c>
      <c r="AR132" s="711"/>
      <c r="AS132" s="706"/>
      <c r="AT132" s="706"/>
      <c r="AU132" s="706"/>
      <c r="AV132" s="706"/>
      <c r="AW132" s="706"/>
      <c r="AX132" s="706"/>
      <c r="AY132" s="707"/>
      <c r="AZ132" s="708"/>
      <c r="BA132" s="707"/>
      <c r="BB132" s="706"/>
      <c r="BC132" s="707"/>
      <c r="BD132" s="707"/>
      <c r="BE132" s="706"/>
      <c r="BF132" s="706"/>
      <c r="BG132" s="707"/>
      <c r="BH132" s="708"/>
      <c r="BI132" s="710"/>
      <c r="BJ132" s="706"/>
      <c r="BK132" s="706"/>
      <c r="BL132" s="706"/>
      <c r="BM132" s="706"/>
      <c r="BN132" s="706"/>
      <c r="BO132" s="707"/>
      <c r="BP132" s="708"/>
      <c r="BQ132" s="707"/>
      <c r="BR132" s="706"/>
      <c r="BS132" s="707"/>
      <c r="BT132" s="707"/>
      <c r="BU132" s="706"/>
      <c r="BV132" s="706"/>
      <c r="BW132" s="707"/>
      <c r="BX132" s="709"/>
    </row>
    <row r="133" spans="1:76" ht="30" customHeight="1" x14ac:dyDescent="0.2">
      <c r="A133" s="718">
        <v>127</v>
      </c>
      <c r="B133" s="705" t="s">
        <v>574</v>
      </c>
      <c r="C133" s="705" t="s">
        <v>1128</v>
      </c>
      <c r="D133" s="631">
        <v>245</v>
      </c>
      <c r="E133" s="706"/>
      <c r="F133" s="706"/>
      <c r="G133" s="706"/>
      <c r="H133" s="706"/>
      <c r="I133" s="706"/>
      <c r="J133" s="707"/>
      <c r="K133" s="708"/>
      <c r="L133" s="708"/>
      <c r="M133" s="706"/>
      <c r="N133" s="706"/>
      <c r="O133" s="706"/>
      <c r="P133" s="706"/>
      <c r="Q133" s="706"/>
      <c r="R133" s="706"/>
      <c r="S133" s="707"/>
      <c r="T133" s="708"/>
      <c r="U133" s="707"/>
      <c r="V133" s="706"/>
      <c r="W133" s="707"/>
      <c r="X133" s="707"/>
      <c r="Y133" s="706"/>
      <c r="Z133" s="706"/>
      <c r="AA133" s="707"/>
      <c r="AB133" s="708"/>
      <c r="AC133" s="710"/>
      <c r="AD133" s="706"/>
      <c r="AE133" s="706"/>
      <c r="AF133" s="706"/>
      <c r="AG133" s="706"/>
      <c r="AH133" s="706"/>
      <c r="AI133" s="707"/>
      <c r="AJ133" s="708"/>
      <c r="AK133" s="710"/>
      <c r="AL133" s="706"/>
      <c r="AM133" s="706"/>
      <c r="AN133" s="706"/>
      <c r="AO133" s="706"/>
      <c r="AP133" s="706"/>
      <c r="AQ133" s="707"/>
      <c r="AR133" s="711"/>
      <c r="AS133" s="706"/>
      <c r="AT133" s="706"/>
      <c r="AU133" s="706"/>
      <c r="AV133" s="706"/>
      <c r="AW133" s="706"/>
      <c r="AX133" s="706"/>
      <c r="AY133" s="707"/>
      <c r="AZ133" s="708"/>
      <c r="BA133" s="707"/>
      <c r="BB133" s="706"/>
      <c r="BC133" s="707"/>
      <c r="BD133" s="707"/>
      <c r="BE133" s="706"/>
      <c r="BF133" s="706"/>
      <c r="BG133" s="707"/>
      <c r="BH133" s="708"/>
      <c r="BI133" s="710"/>
      <c r="BJ133" s="706"/>
      <c r="BK133" s="706"/>
      <c r="BL133" s="706"/>
      <c r="BM133" s="706"/>
      <c r="BN133" s="706"/>
      <c r="BO133" s="707"/>
      <c r="BP133" s="708"/>
      <c r="BQ133" s="707"/>
      <c r="BR133" s="706"/>
      <c r="BS133" s="707"/>
      <c r="BT133" s="707"/>
      <c r="BU133" s="706"/>
      <c r="BV133" s="706"/>
      <c r="BW133" s="707"/>
      <c r="BX133" s="709"/>
    </row>
    <row r="134" spans="1:76" ht="30" customHeight="1" x14ac:dyDescent="0.2">
      <c r="A134" s="718">
        <v>128</v>
      </c>
      <c r="B134" s="705" t="s">
        <v>574</v>
      </c>
      <c r="C134" s="705" t="s">
        <v>1131</v>
      </c>
      <c r="D134" s="631">
        <v>103335</v>
      </c>
      <c r="E134" s="706"/>
      <c r="F134" s="706"/>
      <c r="G134" s="706"/>
      <c r="H134" s="706"/>
      <c r="I134" s="706"/>
      <c r="J134" s="707"/>
      <c r="K134" s="708"/>
      <c r="L134" s="708"/>
      <c r="M134" s="706"/>
      <c r="N134" s="706"/>
      <c r="O134" s="706"/>
      <c r="P134" s="706"/>
      <c r="Q134" s="706"/>
      <c r="R134" s="706"/>
      <c r="S134" s="707"/>
      <c r="T134" s="708"/>
      <c r="U134" s="707"/>
      <c r="V134" s="706"/>
      <c r="W134" s="707"/>
      <c r="X134" s="707"/>
      <c r="Y134" s="706"/>
      <c r="Z134" s="706"/>
      <c r="AA134" s="707"/>
      <c r="AB134" s="708"/>
      <c r="AC134" s="710"/>
      <c r="AD134" s="706"/>
      <c r="AE134" s="706"/>
      <c r="AF134" s="706"/>
      <c r="AG134" s="706"/>
      <c r="AH134" s="706"/>
      <c r="AI134" s="707"/>
      <c r="AJ134" s="708"/>
      <c r="AK134" s="710"/>
      <c r="AL134" s="706"/>
      <c r="AM134" s="706"/>
      <c r="AN134" s="706"/>
      <c r="AO134" s="706"/>
      <c r="AP134" s="706"/>
      <c r="AQ134" s="707"/>
      <c r="AR134" s="711"/>
      <c r="AS134" s="706"/>
      <c r="AT134" s="706"/>
      <c r="AU134" s="706"/>
      <c r="AV134" s="706"/>
      <c r="AW134" s="706"/>
      <c r="AX134" s="706"/>
      <c r="AY134" s="707"/>
      <c r="AZ134" s="708"/>
      <c r="BA134" s="707"/>
      <c r="BB134" s="706"/>
      <c r="BC134" s="707"/>
      <c r="BD134" s="707"/>
      <c r="BE134" s="706"/>
      <c r="BF134" s="706"/>
      <c r="BG134" s="707"/>
      <c r="BH134" s="708"/>
      <c r="BI134" s="710"/>
      <c r="BJ134" s="706"/>
      <c r="BK134" s="706"/>
      <c r="BL134" s="706"/>
      <c r="BM134" s="706"/>
      <c r="BN134" s="706"/>
      <c r="BO134" s="707"/>
      <c r="BP134" s="708"/>
      <c r="BQ134" s="707"/>
      <c r="BR134" s="706"/>
      <c r="BS134" s="707"/>
      <c r="BT134" s="707"/>
      <c r="BU134" s="706"/>
      <c r="BV134" s="706"/>
      <c r="BW134" s="707"/>
      <c r="BX134" s="709"/>
    </row>
    <row r="135" spans="1:76" ht="30" customHeight="1" x14ac:dyDescent="0.2">
      <c r="A135" s="718">
        <v>129</v>
      </c>
      <c r="B135" s="705" t="s">
        <v>574</v>
      </c>
      <c r="C135" s="705" t="s">
        <v>596</v>
      </c>
      <c r="D135" s="631">
        <v>103788</v>
      </c>
      <c r="E135" s="706"/>
      <c r="F135" s="706"/>
      <c r="G135" s="706"/>
      <c r="H135" s="706"/>
      <c r="I135" s="706"/>
      <c r="J135" s="707"/>
      <c r="K135" s="708"/>
      <c r="L135" s="708"/>
      <c r="M135" s="706"/>
      <c r="N135" s="706"/>
      <c r="O135" s="706"/>
      <c r="P135" s="706"/>
      <c r="Q135" s="706"/>
      <c r="R135" s="706"/>
      <c r="S135" s="707"/>
      <c r="T135" s="708"/>
      <c r="U135" s="707"/>
      <c r="V135" s="706"/>
      <c r="W135" s="707"/>
      <c r="X135" s="707"/>
      <c r="Y135" s="706"/>
      <c r="Z135" s="706"/>
      <c r="AA135" s="707"/>
      <c r="AB135" s="708"/>
      <c r="AC135" s="710"/>
      <c r="AD135" s="706"/>
      <c r="AE135" s="706"/>
      <c r="AF135" s="706"/>
      <c r="AG135" s="706"/>
      <c r="AH135" s="706"/>
      <c r="AI135" s="707"/>
      <c r="AJ135" s="708"/>
      <c r="AK135" s="710"/>
      <c r="AL135" s="706"/>
      <c r="AM135" s="706"/>
      <c r="AN135" s="706"/>
      <c r="AO135" s="706"/>
      <c r="AP135" s="706"/>
      <c r="AQ135" s="707"/>
      <c r="AR135" s="711"/>
      <c r="AS135" s="706"/>
      <c r="AT135" s="706"/>
      <c r="AU135" s="706"/>
      <c r="AV135" s="706"/>
      <c r="AW135" s="706"/>
      <c r="AX135" s="706"/>
      <c r="AY135" s="707"/>
      <c r="AZ135" s="708"/>
      <c r="BA135" s="707"/>
      <c r="BB135" s="706"/>
      <c r="BC135" s="707"/>
      <c r="BD135" s="707"/>
      <c r="BE135" s="706"/>
      <c r="BF135" s="706"/>
      <c r="BG135" s="707"/>
      <c r="BH135" s="708"/>
      <c r="BI135" s="710"/>
      <c r="BJ135" s="706"/>
      <c r="BK135" s="706"/>
      <c r="BL135" s="706"/>
      <c r="BM135" s="706"/>
      <c r="BN135" s="706"/>
      <c r="BO135" s="707"/>
      <c r="BP135" s="708"/>
      <c r="BQ135" s="707"/>
      <c r="BR135" s="706"/>
      <c r="BS135" s="707"/>
      <c r="BT135" s="707"/>
      <c r="BU135" s="706"/>
      <c r="BV135" s="706"/>
      <c r="BW135" s="707"/>
      <c r="BX135" s="709"/>
    </row>
    <row r="136" spans="1:76" ht="30" customHeight="1" x14ac:dyDescent="0.2">
      <c r="A136" s="718">
        <v>130</v>
      </c>
      <c r="B136" s="705"/>
      <c r="C136" s="705" t="s">
        <v>1021</v>
      </c>
      <c r="D136" s="631">
        <v>106623</v>
      </c>
      <c r="E136" s="706"/>
      <c r="F136" s="706"/>
      <c r="G136" s="706"/>
      <c r="H136" s="706"/>
      <c r="I136" s="706"/>
      <c r="J136" s="707"/>
      <c r="K136" s="708"/>
      <c r="L136" s="708"/>
      <c r="M136" s="706"/>
      <c r="N136" s="706"/>
      <c r="O136" s="706"/>
      <c r="P136" s="706"/>
      <c r="Q136" s="706"/>
      <c r="R136" s="706"/>
      <c r="S136" s="707"/>
      <c r="T136" s="708"/>
      <c r="U136" s="707"/>
      <c r="V136" s="706"/>
      <c r="W136" s="707"/>
      <c r="X136" s="707"/>
      <c r="Y136" s="706"/>
      <c r="Z136" s="706"/>
      <c r="AA136" s="707"/>
      <c r="AB136" s="708"/>
      <c r="AC136" s="710"/>
      <c r="AD136" s="706"/>
      <c r="AE136" s="706"/>
      <c r="AF136" s="706"/>
      <c r="AG136" s="706"/>
      <c r="AH136" s="706"/>
      <c r="AI136" s="707"/>
      <c r="AJ136" s="708"/>
      <c r="AK136" s="710"/>
      <c r="AL136" s="706"/>
      <c r="AM136" s="706"/>
      <c r="AN136" s="706"/>
      <c r="AO136" s="706"/>
      <c r="AP136" s="706"/>
      <c r="AQ136" s="707"/>
      <c r="AR136" s="711"/>
      <c r="AS136" s="706"/>
      <c r="AT136" s="706"/>
      <c r="AU136" s="706"/>
      <c r="AV136" s="706"/>
      <c r="AW136" s="706"/>
      <c r="AX136" s="706"/>
      <c r="AY136" s="707"/>
      <c r="AZ136" s="708"/>
      <c r="BA136" s="707"/>
      <c r="BB136" s="706"/>
      <c r="BC136" s="707"/>
      <c r="BD136" s="707"/>
      <c r="BE136" s="706"/>
      <c r="BF136" s="706"/>
      <c r="BG136" s="707"/>
      <c r="BH136" s="708"/>
      <c r="BI136" s="710"/>
      <c r="BJ136" s="706"/>
      <c r="BK136" s="706"/>
      <c r="BL136" s="706"/>
      <c r="BM136" s="706"/>
      <c r="BN136" s="706"/>
      <c r="BO136" s="707"/>
      <c r="BP136" s="708"/>
      <c r="BQ136" s="707"/>
      <c r="BR136" s="706"/>
      <c r="BS136" s="707"/>
      <c r="BT136" s="707"/>
      <c r="BU136" s="706"/>
      <c r="BV136" s="706"/>
      <c r="BW136" s="707"/>
      <c r="BX136" s="709"/>
    </row>
    <row r="137" spans="1:76" ht="30" customHeight="1" x14ac:dyDescent="0.2">
      <c r="A137" s="718">
        <v>131</v>
      </c>
      <c r="B137" s="705" t="s">
        <v>574</v>
      </c>
      <c r="C137" s="705" t="s">
        <v>1130</v>
      </c>
      <c r="D137" s="631">
        <v>103197</v>
      </c>
      <c r="E137" s="706"/>
      <c r="F137" s="706"/>
      <c r="G137" s="706"/>
      <c r="H137" s="706"/>
      <c r="I137" s="706"/>
      <c r="J137" s="707"/>
      <c r="K137" s="708"/>
      <c r="L137" s="708"/>
      <c r="M137" s="706"/>
      <c r="N137" s="706"/>
      <c r="O137" s="706"/>
      <c r="P137" s="706"/>
      <c r="Q137" s="706"/>
      <c r="R137" s="706"/>
      <c r="S137" s="707"/>
      <c r="T137" s="708"/>
      <c r="U137" s="707"/>
      <c r="V137" s="706"/>
      <c r="W137" s="707"/>
      <c r="X137" s="707"/>
      <c r="Y137" s="706"/>
      <c r="Z137" s="706"/>
      <c r="AA137" s="707"/>
      <c r="AB137" s="708"/>
      <c r="AC137" s="710"/>
      <c r="AD137" s="706"/>
      <c r="AE137" s="706"/>
      <c r="AF137" s="706"/>
      <c r="AG137" s="706"/>
      <c r="AH137" s="706"/>
      <c r="AI137" s="707"/>
      <c r="AJ137" s="708"/>
      <c r="AK137" s="710"/>
      <c r="AL137" s="706"/>
      <c r="AM137" s="706"/>
      <c r="AN137" s="706"/>
      <c r="AO137" s="706"/>
      <c r="AP137" s="706"/>
      <c r="AQ137" s="707"/>
      <c r="AR137" s="711"/>
      <c r="AS137" s="706"/>
      <c r="AT137" s="706"/>
      <c r="AU137" s="706"/>
      <c r="AV137" s="706"/>
      <c r="AW137" s="706"/>
      <c r="AX137" s="706"/>
      <c r="AY137" s="707"/>
      <c r="AZ137" s="708"/>
      <c r="BA137" s="707"/>
      <c r="BB137" s="706"/>
      <c r="BC137" s="707"/>
      <c r="BD137" s="707"/>
      <c r="BE137" s="706"/>
      <c r="BF137" s="706"/>
      <c r="BG137" s="707"/>
      <c r="BH137" s="708"/>
      <c r="BI137" s="710"/>
      <c r="BJ137" s="706"/>
      <c r="BK137" s="706"/>
      <c r="BL137" s="706"/>
      <c r="BM137" s="706"/>
      <c r="BN137" s="706"/>
      <c r="BO137" s="707"/>
      <c r="BP137" s="708"/>
      <c r="BQ137" s="707"/>
      <c r="BR137" s="706"/>
      <c r="BS137" s="707"/>
      <c r="BT137" s="707"/>
      <c r="BU137" s="706"/>
      <c r="BV137" s="706"/>
      <c r="BW137" s="707"/>
      <c r="BX137" s="709"/>
    </row>
    <row r="138" spans="1:76" ht="30" customHeight="1" x14ac:dyDescent="0.2">
      <c r="A138" s="718">
        <v>132</v>
      </c>
      <c r="B138" s="705" t="s">
        <v>574</v>
      </c>
      <c r="C138" s="705" t="s">
        <v>600</v>
      </c>
      <c r="D138" s="631">
        <v>102803</v>
      </c>
      <c r="E138" s="706"/>
      <c r="F138" s="706"/>
      <c r="G138" s="706"/>
      <c r="H138" s="706"/>
      <c r="I138" s="706"/>
      <c r="J138" s="707"/>
      <c r="K138" s="708"/>
      <c r="L138" s="708"/>
      <c r="M138" s="706" t="s">
        <v>1104</v>
      </c>
      <c r="N138" s="706" t="s">
        <v>1223</v>
      </c>
      <c r="O138" s="706" t="s">
        <v>1225</v>
      </c>
      <c r="P138" s="706"/>
      <c r="Q138" s="706" t="s">
        <v>1219</v>
      </c>
      <c r="R138" s="706" t="s">
        <v>1220</v>
      </c>
      <c r="S138" s="707"/>
      <c r="T138" s="708"/>
      <c r="U138" s="707"/>
      <c r="V138" s="706"/>
      <c r="W138" s="707"/>
      <c r="X138" s="707"/>
      <c r="Y138" s="706"/>
      <c r="Z138" s="706"/>
      <c r="AA138" s="707"/>
      <c r="AB138" s="708"/>
      <c r="AC138" s="710" t="s">
        <v>1104</v>
      </c>
      <c r="AD138" s="706" t="s">
        <v>1223</v>
      </c>
      <c r="AE138" s="706" t="s">
        <v>1225</v>
      </c>
      <c r="AF138" s="706"/>
      <c r="AG138" s="706" t="s">
        <v>1219</v>
      </c>
      <c r="AH138" s="706" t="s">
        <v>1220</v>
      </c>
      <c r="AI138" s="707"/>
      <c r="AJ138" s="708"/>
      <c r="AK138" s="710"/>
      <c r="AL138" s="706"/>
      <c r="AM138" s="706"/>
      <c r="AN138" s="706"/>
      <c r="AO138" s="706"/>
      <c r="AP138" s="706"/>
      <c r="AQ138" s="707"/>
      <c r="AR138" s="711"/>
      <c r="AS138" s="706"/>
      <c r="AT138" s="706"/>
      <c r="AU138" s="706"/>
      <c r="AV138" s="706"/>
      <c r="AW138" s="706"/>
      <c r="AX138" s="706"/>
      <c r="AY138" s="707"/>
      <c r="AZ138" s="708"/>
      <c r="BA138" s="707"/>
      <c r="BB138" s="706"/>
      <c r="BC138" s="707"/>
      <c r="BD138" s="707"/>
      <c r="BE138" s="706"/>
      <c r="BF138" s="706"/>
      <c r="BG138" s="707"/>
      <c r="BH138" s="708"/>
      <c r="BI138" s="710"/>
      <c r="BJ138" s="706"/>
      <c r="BK138" s="706"/>
      <c r="BL138" s="706"/>
      <c r="BM138" s="706"/>
      <c r="BN138" s="706"/>
      <c r="BO138" s="707"/>
      <c r="BP138" s="708"/>
      <c r="BQ138" s="707"/>
      <c r="BR138" s="706"/>
      <c r="BS138" s="707"/>
      <c r="BT138" s="707"/>
      <c r="BU138" s="706"/>
      <c r="BV138" s="706"/>
      <c r="BW138" s="707"/>
      <c r="BX138" s="709"/>
    </row>
    <row r="139" spans="1:76" ht="30" customHeight="1" x14ac:dyDescent="0.2">
      <c r="A139" s="718">
        <v>133</v>
      </c>
      <c r="B139" s="705" t="s">
        <v>574</v>
      </c>
      <c r="C139" s="705" t="s">
        <v>1134</v>
      </c>
      <c r="D139" s="631">
        <v>103789</v>
      </c>
      <c r="E139" s="706"/>
      <c r="F139" s="706"/>
      <c r="G139" s="706"/>
      <c r="H139" s="706"/>
      <c r="I139" s="706"/>
      <c r="J139" s="707"/>
      <c r="K139" s="708"/>
      <c r="L139" s="708"/>
      <c r="M139" s="706"/>
      <c r="N139" s="706"/>
      <c r="O139" s="706"/>
      <c r="P139" s="706"/>
      <c r="Q139" s="706"/>
      <c r="R139" s="706"/>
      <c r="S139" s="707"/>
      <c r="T139" s="708"/>
      <c r="U139" s="707"/>
      <c r="V139" s="706"/>
      <c r="W139" s="707"/>
      <c r="X139" s="707"/>
      <c r="Y139" s="706"/>
      <c r="Z139" s="706"/>
      <c r="AA139" s="707"/>
      <c r="AB139" s="708"/>
      <c r="AC139" s="710"/>
      <c r="AD139" s="706"/>
      <c r="AE139" s="706"/>
      <c r="AF139" s="706"/>
      <c r="AG139" s="706"/>
      <c r="AH139" s="706"/>
      <c r="AI139" s="707"/>
      <c r="AJ139" s="708"/>
      <c r="AK139" s="710"/>
      <c r="AL139" s="706"/>
      <c r="AM139" s="706"/>
      <c r="AN139" s="706"/>
      <c r="AO139" s="706"/>
      <c r="AP139" s="706"/>
      <c r="AQ139" s="707"/>
      <c r="AR139" s="711"/>
      <c r="AS139" s="706"/>
      <c r="AT139" s="706"/>
      <c r="AU139" s="706"/>
      <c r="AV139" s="706"/>
      <c r="AW139" s="706"/>
      <c r="AX139" s="706"/>
      <c r="AY139" s="707"/>
      <c r="AZ139" s="708"/>
      <c r="BA139" s="707"/>
      <c r="BB139" s="706"/>
      <c r="BC139" s="707"/>
      <c r="BD139" s="707"/>
      <c r="BE139" s="706"/>
      <c r="BF139" s="706"/>
      <c r="BG139" s="707"/>
      <c r="BH139" s="708"/>
      <c r="BI139" s="710"/>
      <c r="BJ139" s="706"/>
      <c r="BK139" s="706"/>
      <c r="BL139" s="706"/>
      <c r="BM139" s="706"/>
      <c r="BN139" s="706"/>
      <c r="BO139" s="707"/>
      <c r="BP139" s="708"/>
      <c r="BQ139" s="707"/>
      <c r="BR139" s="706"/>
      <c r="BS139" s="707"/>
      <c r="BT139" s="707"/>
      <c r="BU139" s="706"/>
      <c r="BV139" s="706"/>
      <c r="BW139" s="707"/>
      <c r="BX139" s="709"/>
    </row>
    <row r="140" spans="1:76" ht="30" customHeight="1" x14ac:dyDescent="0.2">
      <c r="A140" s="718">
        <v>134</v>
      </c>
      <c r="B140" s="705" t="s">
        <v>574</v>
      </c>
      <c r="C140" s="705" t="s">
        <v>1136</v>
      </c>
      <c r="D140" s="631">
        <v>105566</v>
      </c>
      <c r="E140" s="706"/>
      <c r="F140" s="706"/>
      <c r="G140" s="706"/>
      <c r="H140" s="706"/>
      <c r="I140" s="706"/>
      <c r="J140" s="707"/>
      <c r="K140" s="708"/>
      <c r="L140" s="708"/>
      <c r="M140" s="706"/>
      <c r="N140" s="706"/>
      <c r="O140" s="706"/>
      <c r="P140" s="706"/>
      <c r="Q140" s="706"/>
      <c r="R140" s="706"/>
      <c r="S140" s="707"/>
      <c r="T140" s="708"/>
      <c r="U140" s="707"/>
      <c r="V140" s="706"/>
      <c r="W140" s="707"/>
      <c r="X140" s="707"/>
      <c r="Y140" s="706"/>
      <c r="Z140" s="706"/>
      <c r="AA140" s="707"/>
      <c r="AB140" s="708"/>
      <c r="AC140" s="710"/>
      <c r="AD140" s="706"/>
      <c r="AE140" s="706"/>
      <c r="AF140" s="706"/>
      <c r="AG140" s="706"/>
      <c r="AH140" s="706"/>
      <c r="AI140" s="707"/>
      <c r="AJ140" s="708"/>
      <c r="AK140" s="710"/>
      <c r="AL140" s="706"/>
      <c r="AM140" s="706"/>
      <c r="AN140" s="706"/>
      <c r="AO140" s="706"/>
      <c r="AP140" s="706"/>
      <c r="AQ140" s="707"/>
      <c r="AR140" s="711"/>
      <c r="AS140" s="706"/>
      <c r="AT140" s="706"/>
      <c r="AU140" s="706"/>
      <c r="AV140" s="706"/>
      <c r="AW140" s="706"/>
      <c r="AX140" s="706"/>
      <c r="AY140" s="707"/>
      <c r="AZ140" s="708"/>
      <c r="BA140" s="707"/>
      <c r="BB140" s="706"/>
      <c r="BC140" s="707"/>
      <c r="BD140" s="707"/>
      <c r="BE140" s="706"/>
      <c r="BF140" s="706"/>
      <c r="BG140" s="707"/>
      <c r="BH140" s="708"/>
      <c r="BI140" s="710"/>
      <c r="BJ140" s="706"/>
      <c r="BK140" s="706"/>
      <c r="BL140" s="706"/>
      <c r="BM140" s="706"/>
      <c r="BN140" s="706"/>
      <c r="BO140" s="707"/>
      <c r="BP140" s="708"/>
      <c r="BQ140" s="707"/>
      <c r="BR140" s="706"/>
      <c r="BS140" s="707"/>
      <c r="BT140" s="707"/>
      <c r="BU140" s="706"/>
      <c r="BV140" s="706"/>
      <c r="BW140" s="707"/>
      <c r="BX140" s="709"/>
    </row>
    <row r="141" spans="1:76" ht="30" customHeight="1" x14ac:dyDescent="0.2">
      <c r="A141" s="718">
        <v>135</v>
      </c>
      <c r="B141" s="705" t="s">
        <v>574</v>
      </c>
      <c r="C141" s="705" t="s">
        <v>1267</v>
      </c>
      <c r="D141" s="631">
        <v>102484</v>
      </c>
      <c r="E141" s="706"/>
      <c r="F141" s="706"/>
      <c r="G141" s="706"/>
      <c r="H141" s="706"/>
      <c r="I141" s="706"/>
      <c r="J141" s="707"/>
      <c r="K141" s="708"/>
      <c r="L141" s="708"/>
      <c r="M141" s="706"/>
      <c r="N141" s="706"/>
      <c r="O141" s="706"/>
      <c r="P141" s="706"/>
      <c r="Q141" s="706"/>
      <c r="R141" s="706"/>
      <c r="S141" s="707"/>
      <c r="T141" s="708"/>
      <c r="U141" s="707"/>
      <c r="V141" s="706"/>
      <c r="W141" s="707"/>
      <c r="X141" s="707"/>
      <c r="Y141" s="706"/>
      <c r="Z141" s="706"/>
      <c r="AA141" s="707"/>
      <c r="AB141" s="708"/>
      <c r="AC141" s="710"/>
      <c r="AD141" s="706"/>
      <c r="AE141" s="706"/>
      <c r="AF141" s="706"/>
      <c r="AG141" s="706"/>
      <c r="AH141" s="706"/>
      <c r="AI141" s="707"/>
      <c r="AJ141" s="708"/>
      <c r="AK141" s="710"/>
      <c r="AL141" s="706"/>
      <c r="AM141" s="706"/>
      <c r="AN141" s="706"/>
      <c r="AO141" s="706"/>
      <c r="AP141" s="706"/>
      <c r="AQ141" s="707"/>
      <c r="AR141" s="711"/>
      <c r="AS141" s="706"/>
      <c r="AT141" s="706"/>
      <c r="AU141" s="706"/>
      <c r="AV141" s="706"/>
      <c r="AW141" s="706"/>
      <c r="AX141" s="706"/>
      <c r="AY141" s="707"/>
      <c r="AZ141" s="708"/>
      <c r="BA141" s="707"/>
      <c r="BB141" s="706"/>
      <c r="BC141" s="707"/>
      <c r="BD141" s="707"/>
      <c r="BE141" s="706"/>
      <c r="BF141" s="706"/>
      <c r="BG141" s="707"/>
      <c r="BH141" s="708"/>
      <c r="BI141" s="710"/>
      <c r="BJ141" s="706"/>
      <c r="BK141" s="706"/>
      <c r="BL141" s="706"/>
      <c r="BM141" s="706"/>
      <c r="BN141" s="706"/>
      <c r="BO141" s="707"/>
      <c r="BP141" s="708"/>
      <c r="BQ141" s="707"/>
      <c r="BR141" s="706"/>
      <c r="BS141" s="707"/>
      <c r="BT141" s="707"/>
      <c r="BU141" s="706"/>
      <c r="BV141" s="706"/>
      <c r="BW141" s="707"/>
      <c r="BX141" s="709"/>
    </row>
    <row r="142" spans="1:76" ht="30" customHeight="1" x14ac:dyDescent="0.2">
      <c r="A142" s="718">
        <v>136</v>
      </c>
      <c r="B142" s="705" t="s">
        <v>574</v>
      </c>
      <c r="C142" s="705" t="s">
        <v>1268</v>
      </c>
      <c r="D142" s="631">
        <v>104098</v>
      </c>
      <c r="E142" s="706"/>
      <c r="F142" s="706"/>
      <c r="G142" s="706"/>
      <c r="H142" s="706"/>
      <c r="I142" s="706"/>
      <c r="J142" s="707"/>
      <c r="K142" s="708"/>
      <c r="L142" s="708"/>
      <c r="M142" s="706"/>
      <c r="N142" s="706"/>
      <c r="O142" s="706"/>
      <c r="P142" s="706"/>
      <c r="Q142" s="706"/>
      <c r="R142" s="706"/>
      <c r="S142" s="707"/>
      <c r="T142" s="708"/>
      <c r="U142" s="707"/>
      <c r="V142" s="706"/>
      <c r="W142" s="707"/>
      <c r="X142" s="707"/>
      <c r="Y142" s="706"/>
      <c r="Z142" s="706"/>
      <c r="AA142" s="707"/>
      <c r="AB142" s="708"/>
      <c r="AC142" s="710"/>
      <c r="AD142" s="706"/>
      <c r="AE142" s="706"/>
      <c r="AF142" s="706"/>
      <c r="AG142" s="706"/>
      <c r="AH142" s="706"/>
      <c r="AI142" s="707"/>
      <c r="AJ142" s="708"/>
      <c r="AK142" s="710"/>
      <c r="AL142" s="706"/>
      <c r="AM142" s="706"/>
      <c r="AN142" s="706"/>
      <c r="AO142" s="706"/>
      <c r="AP142" s="706"/>
      <c r="AQ142" s="707"/>
      <c r="AR142" s="711"/>
      <c r="AS142" s="706"/>
      <c r="AT142" s="706"/>
      <c r="AU142" s="706"/>
      <c r="AV142" s="706"/>
      <c r="AW142" s="706"/>
      <c r="AX142" s="706"/>
      <c r="AY142" s="707"/>
      <c r="AZ142" s="708"/>
      <c r="BA142" s="707"/>
      <c r="BB142" s="706"/>
      <c r="BC142" s="707"/>
      <c r="BD142" s="707"/>
      <c r="BE142" s="706"/>
      <c r="BF142" s="706"/>
      <c r="BG142" s="707"/>
      <c r="BH142" s="708"/>
      <c r="BI142" s="710"/>
      <c r="BJ142" s="706"/>
      <c r="BK142" s="706"/>
      <c r="BL142" s="706"/>
      <c r="BM142" s="706"/>
      <c r="BN142" s="706"/>
      <c r="BO142" s="707"/>
      <c r="BP142" s="708"/>
      <c r="BQ142" s="707"/>
      <c r="BR142" s="706"/>
      <c r="BS142" s="707"/>
      <c r="BT142" s="707"/>
      <c r="BU142" s="706"/>
      <c r="BV142" s="706"/>
      <c r="BW142" s="707"/>
      <c r="BX142" s="709"/>
    </row>
    <row r="143" spans="1:76" ht="30" customHeight="1" x14ac:dyDescent="0.2">
      <c r="A143" s="718">
        <v>137</v>
      </c>
      <c r="B143" s="705" t="s">
        <v>574</v>
      </c>
      <c r="C143" s="705" t="s">
        <v>1133</v>
      </c>
      <c r="D143" s="631">
        <v>103513</v>
      </c>
      <c r="E143" s="706"/>
      <c r="F143" s="706"/>
      <c r="G143" s="706"/>
      <c r="H143" s="706"/>
      <c r="I143" s="706"/>
      <c r="J143" s="707"/>
      <c r="K143" s="708"/>
      <c r="L143" s="708"/>
      <c r="M143" s="706"/>
      <c r="N143" s="706"/>
      <c r="O143" s="706"/>
      <c r="P143" s="706"/>
      <c r="Q143" s="706"/>
      <c r="R143" s="706"/>
      <c r="S143" s="707"/>
      <c r="T143" s="708"/>
      <c r="U143" s="707"/>
      <c r="V143" s="706"/>
      <c r="W143" s="707"/>
      <c r="X143" s="707"/>
      <c r="Y143" s="706"/>
      <c r="Z143" s="706"/>
      <c r="AA143" s="707"/>
      <c r="AB143" s="708"/>
      <c r="AC143" s="710"/>
      <c r="AD143" s="706"/>
      <c r="AE143" s="706"/>
      <c r="AF143" s="706"/>
      <c r="AG143" s="706"/>
      <c r="AH143" s="706"/>
      <c r="AI143" s="707"/>
      <c r="AJ143" s="708"/>
      <c r="AK143" s="710"/>
      <c r="AL143" s="706"/>
      <c r="AM143" s="706"/>
      <c r="AN143" s="706"/>
      <c r="AO143" s="706"/>
      <c r="AP143" s="706"/>
      <c r="AQ143" s="707"/>
      <c r="AR143" s="711"/>
      <c r="AS143" s="706"/>
      <c r="AT143" s="706"/>
      <c r="AU143" s="706"/>
      <c r="AV143" s="706"/>
      <c r="AW143" s="706"/>
      <c r="AX143" s="706"/>
      <c r="AY143" s="707"/>
      <c r="AZ143" s="708"/>
      <c r="BA143" s="707"/>
      <c r="BB143" s="706"/>
      <c r="BC143" s="707"/>
      <c r="BD143" s="707"/>
      <c r="BE143" s="706"/>
      <c r="BF143" s="706"/>
      <c r="BG143" s="707"/>
      <c r="BH143" s="708"/>
      <c r="BI143" s="710"/>
      <c r="BJ143" s="706"/>
      <c r="BK143" s="706"/>
      <c r="BL143" s="706"/>
      <c r="BM143" s="706"/>
      <c r="BN143" s="706"/>
      <c r="BO143" s="707"/>
      <c r="BP143" s="708"/>
      <c r="BQ143" s="707"/>
      <c r="BR143" s="706"/>
      <c r="BS143" s="707"/>
      <c r="BT143" s="707"/>
      <c r="BU143" s="706"/>
      <c r="BV143" s="706"/>
      <c r="BW143" s="707"/>
      <c r="BX143" s="709"/>
    </row>
    <row r="144" spans="1:76" ht="30" customHeight="1" x14ac:dyDescent="0.2">
      <c r="A144" s="718">
        <v>138</v>
      </c>
      <c r="B144" s="705" t="s">
        <v>574</v>
      </c>
      <c r="C144" s="705" t="s">
        <v>1132</v>
      </c>
      <c r="D144" s="631">
        <v>103480</v>
      </c>
      <c r="E144" s="706"/>
      <c r="F144" s="706"/>
      <c r="G144" s="706"/>
      <c r="H144" s="706"/>
      <c r="I144" s="706"/>
      <c r="J144" s="707"/>
      <c r="K144" s="708"/>
      <c r="L144" s="708"/>
      <c r="M144" s="706"/>
      <c r="N144" s="706"/>
      <c r="O144" s="706"/>
      <c r="P144" s="706"/>
      <c r="Q144" s="706"/>
      <c r="R144" s="706"/>
      <c r="S144" s="707"/>
      <c r="T144" s="708"/>
      <c r="U144" s="707"/>
      <c r="V144" s="706"/>
      <c r="W144" s="707"/>
      <c r="X144" s="707"/>
      <c r="Y144" s="706"/>
      <c r="Z144" s="706"/>
      <c r="AA144" s="707"/>
      <c r="AB144" s="708"/>
      <c r="AC144" s="710"/>
      <c r="AD144" s="706"/>
      <c r="AE144" s="706"/>
      <c r="AF144" s="706"/>
      <c r="AG144" s="706"/>
      <c r="AH144" s="706"/>
      <c r="AI144" s="707"/>
      <c r="AJ144" s="708"/>
      <c r="AK144" s="710"/>
      <c r="AL144" s="706"/>
      <c r="AM144" s="706"/>
      <c r="AN144" s="706"/>
      <c r="AO144" s="706"/>
      <c r="AP144" s="706"/>
      <c r="AQ144" s="707"/>
      <c r="AR144" s="711"/>
      <c r="AS144" s="706"/>
      <c r="AT144" s="706"/>
      <c r="AU144" s="706"/>
      <c r="AV144" s="706"/>
      <c r="AW144" s="706"/>
      <c r="AX144" s="706"/>
      <c r="AY144" s="707"/>
      <c r="AZ144" s="708"/>
      <c r="BA144" s="707"/>
      <c r="BB144" s="706"/>
      <c r="BC144" s="707"/>
      <c r="BD144" s="707"/>
      <c r="BE144" s="706"/>
      <c r="BF144" s="706"/>
      <c r="BG144" s="707"/>
      <c r="BH144" s="708"/>
      <c r="BI144" s="710"/>
      <c r="BJ144" s="706"/>
      <c r="BK144" s="706"/>
      <c r="BL144" s="706"/>
      <c r="BM144" s="706"/>
      <c r="BN144" s="706"/>
      <c r="BO144" s="707"/>
      <c r="BP144" s="708"/>
      <c r="BQ144" s="707"/>
      <c r="BR144" s="706"/>
      <c r="BS144" s="707"/>
      <c r="BT144" s="707"/>
      <c r="BU144" s="706"/>
      <c r="BV144" s="706"/>
      <c r="BW144" s="707"/>
      <c r="BX144" s="709"/>
    </row>
    <row r="145" spans="1:76" ht="30" customHeight="1" x14ac:dyDescent="0.2">
      <c r="A145" s="718">
        <v>139</v>
      </c>
      <c r="B145" s="705" t="s">
        <v>574</v>
      </c>
      <c r="C145" s="705" t="s">
        <v>1137</v>
      </c>
      <c r="D145" s="631">
        <v>105571</v>
      </c>
      <c r="E145" s="706"/>
      <c r="F145" s="706"/>
      <c r="G145" s="706"/>
      <c r="H145" s="706"/>
      <c r="I145" s="706"/>
      <c r="J145" s="707"/>
      <c r="K145" s="708"/>
      <c r="L145" s="708"/>
      <c r="M145" s="706"/>
      <c r="N145" s="706"/>
      <c r="O145" s="706"/>
      <c r="P145" s="706"/>
      <c r="Q145" s="706"/>
      <c r="R145" s="706"/>
      <c r="S145" s="707"/>
      <c r="T145" s="708"/>
      <c r="U145" s="707"/>
      <c r="V145" s="706"/>
      <c r="W145" s="707"/>
      <c r="X145" s="707"/>
      <c r="Y145" s="706"/>
      <c r="Z145" s="706"/>
      <c r="AA145" s="707"/>
      <c r="AB145" s="708"/>
      <c r="AC145" s="710"/>
      <c r="AD145" s="706"/>
      <c r="AE145" s="706"/>
      <c r="AF145" s="706"/>
      <c r="AG145" s="706"/>
      <c r="AH145" s="706"/>
      <c r="AI145" s="707"/>
      <c r="AJ145" s="708"/>
      <c r="AK145" s="710"/>
      <c r="AL145" s="706"/>
      <c r="AM145" s="706"/>
      <c r="AN145" s="706"/>
      <c r="AO145" s="706"/>
      <c r="AP145" s="706"/>
      <c r="AQ145" s="707"/>
      <c r="AR145" s="711"/>
      <c r="AS145" s="706"/>
      <c r="AT145" s="706"/>
      <c r="AU145" s="706"/>
      <c r="AV145" s="706"/>
      <c r="AW145" s="706"/>
      <c r="AX145" s="706"/>
      <c r="AY145" s="707"/>
      <c r="AZ145" s="708"/>
      <c r="BA145" s="707"/>
      <c r="BB145" s="706"/>
      <c r="BC145" s="707"/>
      <c r="BD145" s="707"/>
      <c r="BE145" s="706"/>
      <c r="BF145" s="706"/>
      <c r="BG145" s="707"/>
      <c r="BH145" s="708"/>
      <c r="BI145" s="710"/>
      <c r="BJ145" s="706"/>
      <c r="BK145" s="706"/>
      <c r="BL145" s="706"/>
      <c r="BM145" s="706"/>
      <c r="BN145" s="706"/>
      <c r="BO145" s="707"/>
      <c r="BP145" s="708"/>
      <c r="BQ145" s="707"/>
      <c r="BR145" s="706"/>
      <c r="BS145" s="707"/>
      <c r="BT145" s="707"/>
      <c r="BU145" s="706"/>
      <c r="BV145" s="706"/>
      <c r="BW145" s="707"/>
      <c r="BX145" s="709"/>
    </row>
    <row r="146" spans="1:76" ht="30" customHeight="1" x14ac:dyDescent="0.2">
      <c r="A146" s="718">
        <v>140</v>
      </c>
      <c r="B146" s="705" t="s">
        <v>574</v>
      </c>
      <c r="C146" s="705" t="s">
        <v>1135</v>
      </c>
      <c r="D146" s="631">
        <v>105221</v>
      </c>
      <c r="E146" s="706"/>
      <c r="F146" s="706"/>
      <c r="G146" s="706"/>
      <c r="H146" s="706"/>
      <c r="I146" s="706"/>
      <c r="J146" s="707"/>
      <c r="K146" s="708"/>
      <c r="L146" s="708"/>
      <c r="M146" s="706" t="s">
        <v>1104</v>
      </c>
      <c r="N146" s="706" t="s">
        <v>1223</v>
      </c>
      <c r="O146" s="706" t="s">
        <v>1225</v>
      </c>
      <c r="P146" s="706"/>
      <c r="Q146" s="706" t="s">
        <v>1219</v>
      </c>
      <c r="R146" s="706" t="s">
        <v>1220</v>
      </c>
      <c r="S146" s="707"/>
      <c r="T146" s="708"/>
      <c r="U146" s="707"/>
      <c r="V146" s="706"/>
      <c r="W146" s="707"/>
      <c r="X146" s="707"/>
      <c r="Y146" s="706"/>
      <c r="Z146" s="706"/>
      <c r="AA146" s="707"/>
      <c r="AB146" s="708"/>
      <c r="AC146" s="710"/>
      <c r="AD146" s="706"/>
      <c r="AE146" s="706"/>
      <c r="AF146" s="706"/>
      <c r="AG146" s="706"/>
      <c r="AH146" s="706"/>
      <c r="AI146" s="707"/>
      <c r="AJ146" s="708"/>
      <c r="AK146" s="710"/>
      <c r="AL146" s="706"/>
      <c r="AM146" s="706"/>
      <c r="AN146" s="706"/>
      <c r="AO146" s="706"/>
      <c r="AP146" s="706"/>
      <c r="AQ146" s="707"/>
      <c r="AR146" s="711"/>
      <c r="AS146" s="706"/>
      <c r="AT146" s="706"/>
      <c r="AU146" s="706"/>
      <c r="AV146" s="706"/>
      <c r="AW146" s="706"/>
      <c r="AX146" s="706"/>
      <c r="AY146" s="707"/>
      <c r="AZ146" s="708"/>
      <c r="BA146" s="707"/>
      <c r="BB146" s="706"/>
      <c r="BC146" s="707"/>
      <c r="BD146" s="707"/>
      <c r="BE146" s="706"/>
      <c r="BF146" s="706"/>
      <c r="BG146" s="707"/>
      <c r="BH146" s="708"/>
      <c r="BI146" s="710"/>
      <c r="BJ146" s="706"/>
      <c r="BK146" s="706"/>
      <c r="BL146" s="706"/>
      <c r="BM146" s="706"/>
      <c r="BN146" s="706"/>
      <c r="BO146" s="707"/>
      <c r="BP146" s="708"/>
      <c r="BQ146" s="707"/>
      <c r="BR146" s="706"/>
      <c r="BS146" s="707"/>
      <c r="BT146" s="707"/>
      <c r="BU146" s="706"/>
      <c r="BV146" s="706"/>
      <c r="BW146" s="707"/>
      <c r="BX146" s="709"/>
    </row>
    <row r="147" spans="1:76" ht="30" customHeight="1" x14ac:dyDescent="0.2">
      <c r="A147" s="719">
        <v>141</v>
      </c>
      <c r="B147" s="705" t="s">
        <v>609</v>
      </c>
      <c r="C147" s="705" t="s">
        <v>686</v>
      </c>
      <c r="D147" s="631">
        <v>106111</v>
      </c>
      <c r="E147" s="706"/>
      <c r="F147" s="706"/>
      <c r="G147" s="706"/>
      <c r="H147" s="706"/>
      <c r="I147" s="706"/>
      <c r="J147" s="707"/>
      <c r="K147" s="708"/>
      <c r="L147" s="708"/>
      <c r="M147" s="706"/>
      <c r="N147" s="706"/>
      <c r="O147" s="706"/>
      <c r="P147" s="706"/>
      <c r="Q147" s="706"/>
      <c r="R147" s="706"/>
      <c r="S147" s="707"/>
      <c r="T147" s="708"/>
      <c r="U147" s="707"/>
      <c r="V147" s="706"/>
      <c r="W147" s="707"/>
      <c r="X147" s="707"/>
      <c r="Y147" s="706"/>
      <c r="Z147" s="706"/>
      <c r="AA147" s="707"/>
      <c r="AB147" s="708"/>
      <c r="AC147" s="710"/>
      <c r="AD147" s="706"/>
      <c r="AE147" s="706"/>
      <c r="AF147" s="706"/>
      <c r="AG147" s="706"/>
      <c r="AH147" s="706"/>
      <c r="AI147" s="707"/>
      <c r="AJ147" s="708"/>
      <c r="AK147" s="710"/>
      <c r="AL147" s="706"/>
      <c r="AM147" s="706"/>
      <c r="AN147" s="706"/>
      <c r="AO147" s="706"/>
      <c r="AP147" s="706"/>
      <c r="AQ147" s="707"/>
      <c r="AR147" s="711"/>
      <c r="AS147" s="706"/>
      <c r="AT147" s="706"/>
      <c r="AU147" s="706"/>
      <c r="AV147" s="706"/>
      <c r="AW147" s="706"/>
      <c r="AX147" s="706"/>
      <c r="AY147" s="707"/>
      <c r="AZ147" s="708"/>
      <c r="BA147" s="707"/>
      <c r="BB147" s="706"/>
      <c r="BC147" s="707"/>
      <c r="BD147" s="707"/>
      <c r="BE147" s="706"/>
      <c r="BF147" s="706"/>
      <c r="BG147" s="707"/>
      <c r="BH147" s="708"/>
      <c r="BI147" s="710"/>
      <c r="BJ147" s="706"/>
      <c r="BK147" s="706"/>
      <c r="BL147" s="706"/>
      <c r="BM147" s="706"/>
      <c r="BN147" s="706"/>
      <c r="BO147" s="707"/>
      <c r="BP147" s="708"/>
      <c r="BQ147" s="707"/>
      <c r="BR147" s="706"/>
      <c r="BS147" s="707"/>
      <c r="BT147" s="707"/>
      <c r="BU147" s="706"/>
      <c r="BV147" s="706"/>
      <c r="BW147" s="707"/>
      <c r="BX147" s="709"/>
    </row>
    <row r="148" spans="1:76" ht="30" customHeight="1" x14ac:dyDescent="0.2">
      <c r="A148" s="719">
        <v>142</v>
      </c>
      <c r="B148" s="705" t="s">
        <v>609</v>
      </c>
      <c r="C148" s="705" t="s">
        <v>638</v>
      </c>
      <c r="D148" s="631">
        <v>4730</v>
      </c>
      <c r="E148" s="706" t="s">
        <v>1104</v>
      </c>
      <c r="F148" s="706" t="s">
        <v>1223</v>
      </c>
      <c r="G148" s="706" t="s">
        <v>1225</v>
      </c>
      <c r="H148" s="706"/>
      <c r="I148" s="706" t="s">
        <v>1219</v>
      </c>
      <c r="J148" s="707" t="s">
        <v>1226</v>
      </c>
      <c r="K148" s="708"/>
      <c r="L148" s="708"/>
      <c r="M148" s="706"/>
      <c r="N148" s="706"/>
      <c r="O148" s="706"/>
      <c r="P148" s="706"/>
      <c r="Q148" s="706"/>
      <c r="R148" s="706"/>
      <c r="S148" s="707"/>
      <c r="T148" s="708"/>
      <c r="U148" s="707"/>
      <c r="V148" s="706"/>
      <c r="W148" s="707"/>
      <c r="X148" s="707"/>
      <c r="Y148" s="706"/>
      <c r="Z148" s="706"/>
      <c r="AA148" s="707"/>
      <c r="AB148" s="708"/>
      <c r="AC148" s="710"/>
      <c r="AD148" s="706"/>
      <c r="AE148" s="706"/>
      <c r="AF148" s="706"/>
      <c r="AG148" s="706"/>
      <c r="AH148" s="706"/>
      <c r="AI148" s="707"/>
      <c r="AJ148" s="708"/>
      <c r="AK148" s="710"/>
      <c r="AL148" s="706"/>
      <c r="AM148" s="706"/>
      <c r="AN148" s="706"/>
      <c r="AO148" s="706"/>
      <c r="AP148" s="706"/>
      <c r="AQ148" s="707"/>
      <c r="AR148" s="711"/>
      <c r="AS148" s="706"/>
      <c r="AT148" s="706"/>
      <c r="AU148" s="706"/>
      <c r="AV148" s="706"/>
      <c r="AW148" s="706"/>
      <c r="AX148" s="706"/>
      <c r="AY148" s="707"/>
      <c r="AZ148" s="708"/>
      <c r="BA148" s="707"/>
      <c r="BB148" s="706"/>
      <c r="BC148" s="707"/>
      <c r="BD148" s="707"/>
      <c r="BE148" s="706"/>
      <c r="BF148" s="706"/>
      <c r="BG148" s="707"/>
      <c r="BH148" s="708"/>
      <c r="BI148" s="710"/>
      <c r="BJ148" s="706"/>
      <c r="BK148" s="706"/>
      <c r="BL148" s="706"/>
      <c r="BM148" s="706"/>
      <c r="BN148" s="706"/>
      <c r="BO148" s="707"/>
      <c r="BP148" s="708"/>
      <c r="BQ148" s="707"/>
      <c r="BR148" s="706"/>
      <c r="BS148" s="707"/>
      <c r="BT148" s="707"/>
      <c r="BU148" s="706"/>
      <c r="BV148" s="706"/>
      <c r="BW148" s="707"/>
      <c r="BX148" s="709"/>
    </row>
    <row r="149" spans="1:76" ht="30" customHeight="1" x14ac:dyDescent="0.2">
      <c r="A149" s="719">
        <v>143</v>
      </c>
      <c r="B149" s="705" t="s">
        <v>609</v>
      </c>
      <c r="C149" s="705" t="s">
        <v>1138</v>
      </c>
      <c r="D149" s="631">
        <v>9299</v>
      </c>
      <c r="E149" s="706" t="s">
        <v>1104</v>
      </c>
      <c r="F149" s="706" t="s">
        <v>1223</v>
      </c>
      <c r="G149" s="706" t="s">
        <v>1225</v>
      </c>
      <c r="H149" s="706"/>
      <c r="I149" s="706" t="s">
        <v>1219</v>
      </c>
      <c r="J149" s="707" t="s">
        <v>1226</v>
      </c>
      <c r="K149" s="708"/>
      <c r="L149" s="708"/>
      <c r="M149" s="706"/>
      <c r="N149" s="706"/>
      <c r="O149" s="706"/>
      <c r="P149" s="706"/>
      <c r="Q149" s="706"/>
      <c r="R149" s="706"/>
      <c r="S149" s="707"/>
      <c r="T149" s="708"/>
      <c r="U149" s="707"/>
      <c r="V149" s="706"/>
      <c r="W149" s="707"/>
      <c r="X149" s="707"/>
      <c r="Y149" s="706"/>
      <c r="Z149" s="706"/>
      <c r="AA149" s="707"/>
      <c r="AB149" s="708"/>
      <c r="AC149" s="710"/>
      <c r="AD149" s="706"/>
      <c r="AE149" s="706"/>
      <c r="AF149" s="706"/>
      <c r="AG149" s="706"/>
      <c r="AH149" s="706"/>
      <c r="AI149" s="707"/>
      <c r="AJ149" s="708"/>
      <c r="AK149" s="710"/>
      <c r="AL149" s="706"/>
      <c r="AM149" s="706"/>
      <c r="AN149" s="706"/>
      <c r="AO149" s="706"/>
      <c r="AP149" s="706"/>
      <c r="AQ149" s="707"/>
      <c r="AR149" s="711"/>
      <c r="AS149" s="706"/>
      <c r="AT149" s="706"/>
      <c r="AU149" s="706"/>
      <c r="AV149" s="706"/>
      <c r="AW149" s="706"/>
      <c r="AX149" s="706"/>
      <c r="AY149" s="707"/>
      <c r="AZ149" s="708"/>
      <c r="BA149" s="707"/>
      <c r="BB149" s="706"/>
      <c r="BC149" s="707"/>
      <c r="BD149" s="707"/>
      <c r="BE149" s="706"/>
      <c r="BF149" s="706"/>
      <c r="BG149" s="707"/>
      <c r="BH149" s="708"/>
      <c r="BI149" s="710"/>
      <c r="BJ149" s="706"/>
      <c r="BK149" s="706"/>
      <c r="BL149" s="706"/>
      <c r="BM149" s="706"/>
      <c r="BN149" s="706"/>
      <c r="BO149" s="707"/>
      <c r="BP149" s="708"/>
      <c r="BQ149" s="707"/>
      <c r="BR149" s="706"/>
      <c r="BS149" s="707"/>
      <c r="BT149" s="707"/>
      <c r="BU149" s="706"/>
      <c r="BV149" s="706"/>
      <c r="BW149" s="707"/>
      <c r="BX149" s="709"/>
    </row>
    <row r="150" spans="1:76" ht="30" customHeight="1" x14ac:dyDescent="0.2">
      <c r="A150" s="719">
        <v>144</v>
      </c>
      <c r="B150" s="705" t="s">
        <v>609</v>
      </c>
      <c r="C150" s="705" t="s">
        <v>677</v>
      </c>
      <c r="D150" s="631">
        <v>105480</v>
      </c>
      <c r="E150" s="706"/>
      <c r="F150" s="706"/>
      <c r="G150" s="706"/>
      <c r="H150" s="706"/>
      <c r="I150" s="706"/>
      <c r="J150" s="707"/>
      <c r="K150" s="708"/>
      <c r="L150" s="708"/>
      <c r="M150" s="706"/>
      <c r="N150" s="706"/>
      <c r="O150" s="706"/>
      <c r="P150" s="706"/>
      <c r="Q150" s="706"/>
      <c r="R150" s="706"/>
      <c r="S150" s="707"/>
      <c r="T150" s="708"/>
      <c r="U150" s="707"/>
      <c r="V150" s="706"/>
      <c r="W150" s="707"/>
      <c r="X150" s="707"/>
      <c r="Y150" s="706"/>
      <c r="Z150" s="706"/>
      <c r="AA150" s="707"/>
      <c r="AB150" s="708"/>
      <c r="AC150" s="710"/>
      <c r="AD150" s="706"/>
      <c r="AE150" s="706"/>
      <c r="AF150" s="706"/>
      <c r="AG150" s="706"/>
      <c r="AH150" s="706"/>
      <c r="AI150" s="707"/>
      <c r="AJ150" s="708"/>
      <c r="AK150" s="710"/>
      <c r="AL150" s="706"/>
      <c r="AM150" s="706"/>
      <c r="AN150" s="706"/>
      <c r="AO150" s="706"/>
      <c r="AP150" s="706"/>
      <c r="AQ150" s="707"/>
      <c r="AR150" s="711"/>
      <c r="AS150" s="706"/>
      <c r="AT150" s="706"/>
      <c r="AU150" s="706"/>
      <c r="AV150" s="706"/>
      <c r="AW150" s="706"/>
      <c r="AX150" s="706"/>
      <c r="AY150" s="707"/>
      <c r="AZ150" s="708"/>
      <c r="BA150" s="707"/>
      <c r="BB150" s="706"/>
      <c r="BC150" s="707"/>
      <c r="BD150" s="707"/>
      <c r="BE150" s="706"/>
      <c r="BF150" s="706"/>
      <c r="BG150" s="707"/>
      <c r="BH150" s="708"/>
      <c r="BI150" s="710"/>
      <c r="BJ150" s="706"/>
      <c r="BK150" s="706"/>
      <c r="BL150" s="706"/>
      <c r="BM150" s="706"/>
      <c r="BN150" s="706"/>
      <c r="BO150" s="707"/>
      <c r="BP150" s="708"/>
      <c r="BQ150" s="707"/>
      <c r="BR150" s="706"/>
      <c r="BS150" s="707"/>
      <c r="BT150" s="707"/>
      <c r="BU150" s="706"/>
      <c r="BV150" s="706"/>
      <c r="BW150" s="707"/>
      <c r="BX150" s="709"/>
    </row>
    <row r="151" spans="1:76" ht="30" customHeight="1" x14ac:dyDescent="0.2">
      <c r="A151" s="719">
        <v>145</v>
      </c>
      <c r="B151" s="705" t="s">
        <v>609</v>
      </c>
      <c r="C151" s="705" t="s">
        <v>610</v>
      </c>
      <c r="D151" s="631">
        <v>246</v>
      </c>
      <c r="E151" s="706" t="s">
        <v>1104</v>
      </c>
      <c r="F151" s="706" t="s">
        <v>1223</v>
      </c>
      <c r="G151" s="706" t="s">
        <v>1218</v>
      </c>
      <c r="H151" s="706"/>
      <c r="I151" s="706" t="s">
        <v>1219</v>
      </c>
      <c r="J151" s="707" t="s">
        <v>1226</v>
      </c>
      <c r="K151" s="720" t="s">
        <v>82</v>
      </c>
      <c r="L151" s="708"/>
      <c r="M151" s="706"/>
      <c r="N151" s="706"/>
      <c r="O151" s="706"/>
      <c r="P151" s="706"/>
      <c r="Q151" s="706"/>
      <c r="R151" s="706"/>
      <c r="S151" s="707"/>
      <c r="T151" s="708"/>
      <c r="U151" s="707" t="s">
        <v>1104</v>
      </c>
      <c r="V151" s="706" t="s">
        <v>1223</v>
      </c>
      <c r="W151" s="707" t="s">
        <v>1218</v>
      </c>
      <c r="X151" s="707">
        <v>43440</v>
      </c>
      <c r="Y151" s="706" t="s">
        <v>1219</v>
      </c>
      <c r="Z151" s="706" t="s">
        <v>1220</v>
      </c>
      <c r="AA151" s="707" t="s">
        <v>89</v>
      </c>
      <c r="AB151" s="708"/>
      <c r="AC151" s="710"/>
      <c r="AD151" s="706"/>
      <c r="AE151" s="706"/>
      <c r="AF151" s="706"/>
      <c r="AG151" s="706"/>
      <c r="AH151" s="706"/>
      <c r="AI151" s="707"/>
      <c r="AJ151" s="708"/>
      <c r="AK151" s="710"/>
      <c r="AL151" s="706"/>
      <c r="AM151" s="706"/>
      <c r="AN151" s="706"/>
      <c r="AO151" s="706"/>
      <c r="AP151" s="706"/>
      <c r="AQ151" s="707"/>
      <c r="AR151" s="711"/>
      <c r="AS151" s="706"/>
      <c r="AT151" s="706"/>
      <c r="AU151" s="706"/>
      <c r="AV151" s="706"/>
      <c r="AW151" s="706"/>
      <c r="AX151" s="706"/>
      <c r="AY151" s="707"/>
      <c r="AZ151" s="708"/>
      <c r="BA151" s="707"/>
      <c r="BB151" s="706"/>
      <c r="BC151" s="707"/>
      <c r="BD151" s="707"/>
      <c r="BE151" s="706"/>
      <c r="BF151" s="706"/>
      <c r="BG151" s="707"/>
      <c r="BH151" s="708"/>
      <c r="BI151" s="710"/>
      <c r="BJ151" s="706"/>
      <c r="BK151" s="706"/>
      <c r="BL151" s="706"/>
      <c r="BM151" s="706"/>
      <c r="BN151" s="706"/>
      <c r="BO151" s="707"/>
      <c r="BP151" s="708"/>
      <c r="BQ151" s="707"/>
      <c r="BR151" s="706"/>
      <c r="BS151" s="707"/>
      <c r="BT151" s="707"/>
      <c r="BU151" s="706"/>
      <c r="BV151" s="706"/>
      <c r="BW151" s="707"/>
      <c r="BX151" s="709"/>
    </row>
    <row r="152" spans="1:76" ht="30" customHeight="1" x14ac:dyDescent="0.2">
      <c r="A152" s="719">
        <v>146</v>
      </c>
      <c r="B152" s="705" t="s">
        <v>609</v>
      </c>
      <c r="C152" s="705" t="s">
        <v>657</v>
      </c>
      <c r="D152" s="631">
        <v>222</v>
      </c>
      <c r="E152" s="706"/>
      <c r="F152" s="706"/>
      <c r="G152" s="706"/>
      <c r="H152" s="706"/>
      <c r="I152" s="706"/>
      <c r="J152" s="707"/>
      <c r="K152" s="708"/>
      <c r="L152" s="708"/>
      <c r="M152" s="706"/>
      <c r="N152" s="706"/>
      <c r="O152" s="706"/>
      <c r="P152" s="706"/>
      <c r="Q152" s="706"/>
      <c r="R152" s="706"/>
      <c r="S152" s="707"/>
      <c r="T152" s="708"/>
      <c r="U152" s="707" t="s">
        <v>1104</v>
      </c>
      <c r="V152" s="706" t="s">
        <v>1223</v>
      </c>
      <c r="W152" s="707" t="s">
        <v>1251</v>
      </c>
      <c r="X152" s="707">
        <v>43006</v>
      </c>
      <c r="Y152" s="706" t="s">
        <v>1269</v>
      </c>
      <c r="Z152" s="706" t="s">
        <v>1220</v>
      </c>
      <c r="AA152" s="707" t="s">
        <v>82</v>
      </c>
      <c r="AB152" s="708"/>
      <c r="AC152" s="710"/>
      <c r="AD152" s="706"/>
      <c r="AE152" s="706"/>
      <c r="AF152" s="706"/>
      <c r="AG152" s="706"/>
      <c r="AH152" s="706"/>
      <c r="AI152" s="707"/>
      <c r="AJ152" s="708"/>
      <c r="AK152" s="710"/>
      <c r="AL152" s="706"/>
      <c r="AM152" s="706"/>
      <c r="AN152" s="706"/>
      <c r="AO152" s="706"/>
      <c r="AP152" s="706"/>
      <c r="AQ152" s="707"/>
      <c r="AR152" s="711"/>
      <c r="AS152" s="706"/>
      <c r="AT152" s="706"/>
      <c r="AU152" s="706"/>
      <c r="AV152" s="706"/>
      <c r="AW152" s="706"/>
      <c r="AX152" s="706"/>
      <c r="AY152" s="707"/>
      <c r="AZ152" s="708"/>
      <c r="BA152" s="707"/>
      <c r="BB152" s="706"/>
      <c r="BC152" s="707"/>
      <c r="BD152" s="707"/>
      <c r="BE152" s="706"/>
      <c r="BF152" s="706"/>
      <c r="BG152" s="707"/>
      <c r="BH152" s="708"/>
      <c r="BI152" s="710"/>
      <c r="BJ152" s="706"/>
      <c r="BK152" s="706"/>
      <c r="BL152" s="706"/>
      <c r="BM152" s="706"/>
      <c r="BN152" s="706"/>
      <c r="BO152" s="707"/>
      <c r="BP152" s="708"/>
      <c r="BQ152" s="707"/>
      <c r="BR152" s="706"/>
      <c r="BS152" s="707"/>
      <c r="BT152" s="707"/>
      <c r="BU152" s="706"/>
      <c r="BV152" s="706"/>
      <c r="BW152" s="707"/>
      <c r="BX152" s="709"/>
    </row>
    <row r="153" spans="1:76" ht="30" customHeight="1" x14ac:dyDescent="0.2">
      <c r="A153" s="719">
        <v>147</v>
      </c>
      <c r="B153" s="705" t="s">
        <v>609</v>
      </c>
      <c r="C153" s="705" t="s">
        <v>627</v>
      </c>
      <c r="D153" s="631">
        <v>8704</v>
      </c>
      <c r="E153" s="706"/>
      <c r="F153" s="706"/>
      <c r="G153" s="706"/>
      <c r="H153" s="706"/>
      <c r="I153" s="706"/>
      <c r="J153" s="707"/>
      <c r="K153" s="708"/>
      <c r="L153" s="708"/>
      <c r="M153" s="706"/>
      <c r="N153" s="706"/>
      <c r="O153" s="706"/>
      <c r="P153" s="706"/>
      <c r="Q153" s="706"/>
      <c r="R153" s="706"/>
      <c r="S153" s="707"/>
      <c r="T153" s="708"/>
      <c r="U153" s="707"/>
      <c r="V153" s="706"/>
      <c r="W153" s="707"/>
      <c r="X153" s="707"/>
      <c r="Y153" s="706"/>
      <c r="Z153" s="706"/>
      <c r="AA153" s="707"/>
      <c r="AB153" s="708"/>
      <c r="AC153" s="710"/>
      <c r="AD153" s="706"/>
      <c r="AE153" s="706"/>
      <c r="AF153" s="706"/>
      <c r="AG153" s="706"/>
      <c r="AH153" s="706"/>
      <c r="AI153" s="707"/>
      <c r="AJ153" s="708"/>
      <c r="AK153" s="710"/>
      <c r="AL153" s="706"/>
      <c r="AM153" s="706"/>
      <c r="AN153" s="706"/>
      <c r="AO153" s="706"/>
      <c r="AP153" s="706"/>
      <c r="AQ153" s="707"/>
      <c r="AR153" s="711"/>
      <c r="AS153" s="706"/>
      <c r="AT153" s="706"/>
      <c r="AU153" s="706"/>
      <c r="AV153" s="706"/>
      <c r="AW153" s="706"/>
      <c r="AX153" s="706"/>
      <c r="AY153" s="707"/>
      <c r="AZ153" s="708"/>
      <c r="BA153" s="707"/>
      <c r="BB153" s="706"/>
      <c r="BC153" s="707"/>
      <c r="BD153" s="707"/>
      <c r="BE153" s="706"/>
      <c r="BF153" s="706"/>
      <c r="BG153" s="707"/>
      <c r="BH153" s="708"/>
      <c r="BI153" s="710"/>
      <c r="BJ153" s="706"/>
      <c r="BK153" s="706"/>
      <c r="BL153" s="706"/>
      <c r="BM153" s="706"/>
      <c r="BN153" s="706"/>
      <c r="BO153" s="707"/>
      <c r="BP153" s="708"/>
      <c r="BQ153" s="707"/>
      <c r="BR153" s="706"/>
      <c r="BS153" s="707"/>
      <c r="BT153" s="707"/>
      <c r="BU153" s="706"/>
      <c r="BV153" s="706"/>
      <c r="BW153" s="707"/>
      <c r="BX153" s="709"/>
    </row>
    <row r="154" spans="1:76" ht="30" customHeight="1" x14ac:dyDescent="0.2">
      <c r="A154" s="719">
        <v>148</v>
      </c>
      <c r="B154" s="705" t="s">
        <v>609</v>
      </c>
      <c r="C154" s="705" t="s">
        <v>1270</v>
      </c>
      <c r="D154" s="631">
        <v>102471</v>
      </c>
      <c r="E154" s="706"/>
      <c r="F154" s="706"/>
      <c r="G154" s="706"/>
      <c r="H154" s="706"/>
      <c r="I154" s="706"/>
      <c r="J154" s="707"/>
      <c r="K154" s="708"/>
      <c r="L154" s="708"/>
      <c r="M154" s="706" t="s">
        <v>1104</v>
      </c>
      <c r="N154" s="706" t="s">
        <v>1223</v>
      </c>
      <c r="O154" s="706" t="s">
        <v>1225</v>
      </c>
      <c r="P154" s="706"/>
      <c r="Q154" s="706" t="s">
        <v>1219</v>
      </c>
      <c r="R154" s="706" t="s">
        <v>1220</v>
      </c>
      <c r="S154" s="707"/>
      <c r="T154" s="708"/>
      <c r="U154" s="707"/>
      <c r="V154" s="706"/>
      <c r="W154" s="707"/>
      <c r="X154" s="707"/>
      <c r="Y154" s="706"/>
      <c r="Z154" s="706"/>
      <c r="AA154" s="707"/>
      <c r="AB154" s="708"/>
      <c r="AC154" s="710" t="s">
        <v>1104</v>
      </c>
      <c r="AD154" s="706" t="s">
        <v>1223</v>
      </c>
      <c r="AE154" s="706" t="s">
        <v>1225</v>
      </c>
      <c r="AF154" s="706"/>
      <c r="AG154" s="706" t="s">
        <v>1219</v>
      </c>
      <c r="AH154" s="706" t="s">
        <v>1220</v>
      </c>
      <c r="AI154" s="707"/>
      <c r="AJ154" s="708"/>
      <c r="AK154" s="710"/>
      <c r="AL154" s="706"/>
      <c r="AM154" s="706"/>
      <c r="AN154" s="706"/>
      <c r="AO154" s="706"/>
      <c r="AP154" s="706"/>
      <c r="AQ154" s="707"/>
      <c r="AR154" s="711"/>
      <c r="AS154" s="706"/>
      <c r="AT154" s="706"/>
      <c r="AU154" s="706"/>
      <c r="AV154" s="706"/>
      <c r="AW154" s="706"/>
      <c r="AX154" s="706"/>
      <c r="AY154" s="707"/>
      <c r="AZ154" s="708"/>
      <c r="BA154" s="707"/>
      <c r="BB154" s="706"/>
      <c r="BC154" s="707"/>
      <c r="BD154" s="707"/>
      <c r="BE154" s="706"/>
      <c r="BF154" s="706"/>
      <c r="BG154" s="707"/>
      <c r="BH154" s="708"/>
      <c r="BI154" s="710"/>
      <c r="BJ154" s="706"/>
      <c r="BK154" s="706"/>
      <c r="BL154" s="706"/>
      <c r="BM154" s="706"/>
      <c r="BN154" s="706"/>
      <c r="BO154" s="707"/>
      <c r="BP154" s="708"/>
      <c r="BQ154" s="707"/>
      <c r="BR154" s="706"/>
      <c r="BS154" s="707"/>
      <c r="BT154" s="707"/>
      <c r="BU154" s="706"/>
      <c r="BV154" s="706"/>
      <c r="BW154" s="707"/>
      <c r="BX154" s="709"/>
    </row>
    <row r="155" spans="1:76" ht="30" customHeight="1" x14ac:dyDescent="0.2">
      <c r="A155" s="719">
        <v>149</v>
      </c>
      <c r="B155" s="705" t="s">
        <v>609</v>
      </c>
      <c r="C155" s="705" t="s">
        <v>1271</v>
      </c>
      <c r="D155" s="631">
        <v>236</v>
      </c>
      <c r="E155" s="706"/>
      <c r="F155" s="706"/>
      <c r="G155" s="706"/>
      <c r="H155" s="706"/>
      <c r="I155" s="706"/>
      <c r="J155" s="707"/>
      <c r="K155" s="708"/>
      <c r="L155" s="708"/>
      <c r="M155" s="706"/>
      <c r="N155" s="706"/>
      <c r="O155" s="706"/>
      <c r="P155" s="706"/>
      <c r="Q155" s="706"/>
      <c r="R155" s="706"/>
      <c r="S155" s="707"/>
      <c r="T155" s="708"/>
      <c r="U155" s="707"/>
      <c r="V155" s="706"/>
      <c r="W155" s="707"/>
      <c r="X155" s="707"/>
      <c r="Y155" s="706"/>
      <c r="Z155" s="706"/>
      <c r="AA155" s="707"/>
      <c r="AB155" s="708"/>
      <c r="AC155" s="710"/>
      <c r="AD155" s="706"/>
      <c r="AE155" s="706"/>
      <c r="AF155" s="706"/>
      <c r="AG155" s="706"/>
      <c r="AH155" s="706"/>
      <c r="AI155" s="707"/>
      <c r="AJ155" s="708"/>
      <c r="AK155" s="710"/>
      <c r="AL155" s="706"/>
      <c r="AM155" s="706"/>
      <c r="AN155" s="706"/>
      <c r="AO155" s="706"/>
      <c r="AP155" s="706"/>
      <c r="AQ155" s="707"/>
      <c r="AR155" s="711"/>
      <c r="AS155" s="706"/>
      <c r="AT155" s="706"/>
      <c r="AU155" s="706"/>
      <c r="AV155" s="706"/>
      <c r="AW155" s="706"/>
      <c r="AX155" s="706"/>
      <c r="AY155" s="707"/>
      <c r="AZ155" s="708"/>
      <c r="BA155" s="707"/>
      <c r="BB155" s="706"/>
      <c r="BC155" s="707"/>
      <c r="BD155" s="707"/>
      <c r="BE155" s="706"/>
      <c r="BF155" s="706"/>
      <c r="BG155" s="707"/>
      <c r="BH155" s="708"/>
      <c r="BI155" s="710"/>
      <c r="BJ155" s="706"/>
      <c r="BK155" s="706"/>
      <c r="BL155" s="706"/>
      <c r="BM155" s="706"/>
      <c r="BN155" s="706"/>
      <c r="BO155" s="707"/>
      <c r="BP155" s="708"/>
      <c r="BQ155" s="707"/>
      <c r="BR155" s="706"/>
      <c r="BS155" s="707"/>
      <c r="BT155" s="707"/>
      <c r="BU155" s="706"/>
      <c r="BV155" s="706"/>
      <c r="BW155" s="707"/>
      <c r="BX155" s="709"/>
    </row>
    <row r="156" spans="1:76" ht="30" customHeight="1" x14ac:dyDescent="0.2">
      <c r="A156" s="719">
        <v>150</v>
      </c>
      <c r="B156" s="705" t="s">
        <v>609</v>
      </c>
      <c r="C156" s="705" t="s">
        <v>673</v>
      </c>
      <c r="D156" s="631">
        <v>105455</v>
      </c>
      <c r="E156" s="706"/>
      <c r="F156" s="706"/>
      <c r="G156" s="706"/>
      <c r="H156" s="706"/>
      <c r="I156" s="706"/>
      <c r="J156" s="707"/>
      <c r="K156" s="708"/>
      <c r="L156" s="708"/>
      <c r="M156" s="706"/>
      <c r="N156" s="706"/>
      <c r="O156" s="706"/>
      <c r="P156" s="706"/>
      <c r="Q156" s="706"/>
      <c r="R156" s="706"/>
      <c r="S156" s="707"/>
      <c r="T156" s="708"/>
      <c r="U156" s="707"/>
      <c r="V156" s="706"/>
      <c r="W156" s="707"/>
      <c r="X156" s="707"/>
      <c r="Y156" s="706"/>
      <c r="Z156" s="706"/>
      <c r="AA156" s="707"/>
      <c r="AB156" s="708"/>
      <c r="AC156" s="710"/>
      <c r="AD156" s="706"/>
      <c r="AE156" s="706"/>
      <c r="AF156" s="706"/>
      <c r="AG156" s="706"/>
      <c r="AH156" s="706"/>
      <c r="AI156" s="707"/>
      <c r="AJ156" s="708"/>
      <c r="AK156" s="710"/>
      <c r="AL156" s="706"/>
      <c r="AM156" s="706"/>
      <c r="AN156" s="706"/>
      <c r="AO156" s="706"/>
      <c r="AP156" s="706"/>
      <c r="AQ156" s="707"/>
      <c r="AR156" s="711"/>
      <c r="AS156" s="706"/>
      <c r="AT156" s="706"/>
      <c r="AU156" s="706"/>
      <c r="AV156" s="706"/>
      <c r="AW156" s="706"/>
      <c r="AX156" s="706"/>
      <c r="AY156" s="707"/>
      <c r="AZ156" s="708"/>
      <c r="BA156" s="707"/>
      <c r="BB156" s="706"/>
      <c r="BC156" s="707"/>
      <c r="BD156" s="707"/>
      <c r="BE156" s="706"/>
      <c r="BF156" s="706"/>
      <c r="BG156" s="707"/>
      <c r="BH156" s="708"/>
      <c r="BI156" s="710"/>
      <c r="BJ156" s="706"/>
      <c r="BK156" s="706"/>
      <c r="BL156" s="706"/>
      <c r="BM156" s="706"/>
      <c r="BN156" s="706"/>
      <c r="BO156" s="707"/>
      <c r="BP156" s="708"/>
      <c r="BQ156" s="707"/>
      <c r="BR156" s="706"/>
      <c r="BS156" s="707"/>
      <c r="BT156" s="707"/>
      <c r="BU156" s="706"/>
      <c r="BV156" s="706"/>
      <c r="BW156" s="707"/>
      <c r="BX156" s="709"/>
    </row>
    <row r="157" spans="1:76" ht="30" customHeight="1" x14ac:dyDescent="0.2">
      <c r="A157" s="719">
        <v>151</v>
      </c>
      <c r="B157" s="51" t="s">
        <v>609</v>
      </c>
      <c r="C157" s="181" t="s">
        <v>623</v>
      </c>
      <c r="D157" s="50">
        <v>109143</v>
      </c>
      <c r="E157" s="706"/>
      <c r="F157" s="706"/>
      <c r="G157" s="706"/>
      <c r="H157" s="706"/>
      <c r="I157" s="706"/>
      <c r="J157" s="707"/>
      <c r="K157" s="708"/>
      <c r="L157" s="708"/>
      <c r="M157" s="706"/>
      <c r="N157" s="706"/>
      <c r="O157" s="706"/>
      <c r="P157" s="706"/>
      <c r="Q157" s="706"/>
      <c r="R157" s="706"/>
      <c r="S157" s="707"/>
      <c r="T157" s="708"/>
      <c r="U157" s="707"/>
      <c r="V157" s="706"/>
      <c r="W157" s="707"/>
      <c r="X157" s="707"/>
      <c r="Y157" s="706"/>
      <c r="Z157" s="706"/>
      <c r="AA157" s="707"/>
      <c r="AB157" s="708"/>
      <c r="AC157" s="710"/>
      <c r="AD157" s="706"/>
      <c r="AE157" s="706"/>
      <c r="AF157" s="706"/>
      <c r="AG157" s="706"/>
      <c r="AH157" s="706"/>
      <c r="AI157" s="707"/>
      <c r="AJ157" s="708"/>
      <c r="AK157" s="710"/>
      <c r="AL157" s="706"/>
      <c r="AM157" s="706"/>
      <c r="AN157" s="706"/>
      <c r="AO157" s="706"/>
      <c r="AP157" s="706"/>
      <c r="AQ157" s="707"/>
      <c r="AR157" s="711"/>
      <c r="AS157" s="706"/>
      <c r="AT157" s="706"/>
      <c r="AU157" s="706"/>
      <c r="AV157" s="706"/>
      <c r="AW157" s="706"/>
      <c r="AX157" s="706"/>
      <c r="AY157" s="707"/>
      <c r="AZ157" s="708"/>
      <c r="BA157" s="707"/>
      <c r="BB157" s="706"/>
      <c r="BC157" s="707"/>
      <c r="BD157" s="707"/>
      <c r="BE157" s="706"/>
      <c r="BF157" s="706"/>
      <c r="BG157" s="707"/>
      <c r="BH157" s="708"/>
      <c r="BI157" s="710"/>
      <c r="BJ157" s="706"/>
      <c r="BK157" s="706"/>
      <c r="BL157" s="706"/>
      <c r="BM157" s="706"/>
      <c r="BN157" s="706"/>
      <c r="BO157" s="707"/>
      <c r="BP157" s="708"/>
      <c r="BQ157" s="707"/>
      <c r="BR157" s="706"/>
      <c r="BS157" s="707"/>
      <c r="BT157" s="707"/>
      <c r="BU157" s="706"/>
      <c r="BV157" s="706"/>
      <c r="BW157" s="707"/>
      <c r="BX157" s="709"/>
    </row>
    <row r="158" spans="1:76" ht="30" customHeight="1" x14ac:dyDescent="0.2">
      <c r="A158" s="719">
        <v>152</v>
      </c>
      <c r="B158" s="51" t="s">
        <v>609</v>
      </c>
      <c r="C158" s="181" t="s">
        <v>618</v>
      </c>
      <c r="D158" s="50">
        <v>108684</v>
      </c>
      <c r="E158" s="706"/>
      <c r="F158" s="706"/>
      <c r="G158" s="706"/>
      <c r="H158" s="706"/>
      <c r="I158" s="706"/>
      <c r="J158" s="707"/>
      <c r="K158" s="708"/>
      <c r="L158" s="708"/>
      <c r="M158" s="706"/>
      <c r="N158" s="706"/>
      <c r="O158" s="706"/>
      <c r="P158" s="706"/>
      <c r="Q158" s="706"/>
      <c r="R158" s="706"/>
      <c r="S158" s="707"/>
      <c r="T158" s="708"/>
      <c r="U158" s="707"/>
      <c r="V158" s="706"/>
      <c r="W158" s="707"/>
      <c r="X158" s="707"/>
      <c r="Y158" s="706"/>
      <c r="Z158" s="706"/>
      <c r="AA158" s="707"/>
      <c r="AB158" s="708"/>
      <c r="AC158" s="710"/>
      <c r="AD158" s="706"/>
      <c r="AE158" s="706"/>
      <c r="AF158" s="706"/>
      <c r="AG158" s="706"/>
      <c r="AH158" s="706"/>
      <c r="AI158" s="707"/>
      <c r="AJ158" s="708"/>
      <c r="AK158" s="710"/>
      <c r="AL158" s="706"/>
      <c r="AM158" s="706"/>
      <c r="AN158" s="706"/>
      <c r="AO158" s="706"/>
      <c r="AP158" s="706"/>
      <c r="AQ158" s="707"/>
      <c r="AR158" s="711"/>
      <c r="AS158" s="706"/>
      <c r="AT158" s="706"/>
      <c r="AU158" s="706"/>
      <c r="AV158" s="706"/>
      <c r="AW158" s="706"/>
      <c r="AX158" s="706"/>
      <c r="AY158" s="707"/>
      <c r="AZ158" s="708"/>
      <c r="BA158" s="707"/>
      <c r="BB158" s="706"/>
      <c r="BC158" s="707"/>
      <c r="BD158" s="707"/>
      <c r="BE158" s="706"/>
      <c r="BF158" s="706"/>
      <c r="BG158" s="707"/>
      <c r="BH158" s="708"/>
      <c r="BI158" s="710"/>
      <c r="BJ158" s="706"/>
      <c r="BK158" s="706"/>
      <c r="BL158" s="706"/>
      <c r="BM158" s="706"/>
      <c r="BN158" s="706"/>
      <c r="BO158" s="707"/>
      <c r="BP158" s="708"/>
      <c r="BQ158" s="707"/>
      <c r="BR158" s="706"/>
      <c r="BS158" s="707"/>
      <c r="BT158" s="707"/>
      <c r="BU158" s="706"/>
      <c r="BV158" s="706"/>
      <c r="BW158" s="707"/>
      <c r="BX158" s="709"/>
    </row>
    <row r="159" spans="1:76" ht="30" customHeight="1" x14ac:dyDescent="0.2">
      <c r="A159" s="719">
        <v>153</v>
      </c>
      <c r="B159" s="705" t="s">
        <v>609</v>
      </c>
      <c r="C159" s="705" t="s">
        <v>648</v>
      </c>
      <c r="D159" s="631">
        <v>104528</v>
      </c>
      <c r="E159" s="706"/>
      <c r="F159" s="706"/>
      <c r="G159" s="706"/>
      <c r="H159" s="706"/>
      <c r="I159" s="706"/>
      <c r="J159" s="707"/>
      <c r="K159" s="708"/>
      <c r="L159" s="708"/>
      <c r="M159" s="706"/>
      <c r="N159" s="706"/>
      <c r="O159" s="706"/>
      <c r="P159" s="706"/>
      <c r="Q159" s="706"/>
      <c r="R159" s="706"/>
      <c r="S159" s="707"/>
      <c r="T159" s="708"/>
      <c r="U159" s="707"/>
      <c r="V159" s="706"/>
      <c r="W159" s="707"/>
      <c r="X159" s="707"/>
      <c r="Y159" s="706"/>
      <c r="Z159" s="706"/>
      <c r="AA159" s="707"/>
      <c r="AB159" s="708"/>
      <c r="AC159" s="710"/>
      <c r="AD159" s="706"/>
      <c r="AE159" s="706"/>
      <c r="AF159" s="706"/>
      <c r="AG159" s="706"/>
      <c r="AH159" s="706"/>
      <c r="AI159" s="707"/>
      <c r="AJ159" s="708"/>
      <c r="AK159" s="710"/>
      <c r="AL159" s="706"/>
      <c r="AM159" s="706"/>
      <c r="AN159" s="706"/>
      <c r="AO159" s="706"/>
      <c r="AP159" s="706"/>
      <c r="AQ159" s="707"/>
      <c r="AR159" s="711"/>
      <c r="AS159" s="706"/>
      <c r="AT159" s="706"/>
      <c r="AU159" s="706"/>
      <c r="AV159" s="706"/>
      <c r="AW159" s="706"/>
      <c r="AX159" s="706"/>
      <c r="AY159" s="707"/>
      <c r="AZ159" s="708"/>
      <c r="BA159" s="707"/>
      <c r="BB159" s="706"/>
      <c r="BC159" s="707"/>
      <c r="BD159" s="707"/>
      <c r="BE159" s="706"/>
      <c r="BF159" s="706"/>
      <c r="BG159" s="707"/>
      <c r="BH159" s="708"/>
      <c r="BI159" s="710"/>
      <c r="BJ159" s="706"/>
      <c r="BK159" s="706"/>
      <c r="BL159" s="706"/>
      <c r="BM159" s="706"/>
      <c r="BN159" s="706"/>
      <c r="BO159" s="707"/>
      <c r="BP159" s="708"/>
      <c r="BQ159" s="707"/>
      <c r="BR159" s="706"/>
      <c r="BS159" s="707"/>
      <c r="BT159" s="707"/>
      <c r="BU159" s="706"/>
      <c r="BV159" s="706"/>
      <c r="BW159" s="707"/>
      <c r="BX159" s="709"/>
    </row>
    <row r="160" spans="1:76" ht="30" customHeight="1" x14ac:dyDescent="0.2">
      <c r="A160" s="719">
        <v>154</v>
      </c>
      <c r="B160" s="705" t="s">
        <v>609</v>
      </c>
      <c r="C160" s="705" t="s">
        <v>1078</v>
      </c>
      <c r="D160" s="631">
        <v>104611</v>
      </c>
      <c r="E160" s="706"/>
      <c r="F160" s="706"/>
      <c r="G160" s="706"/>
      <c r="H160" s="706"/>
      <c r="I160" s="706"/>
      <c r="J160" s="707"/>
      <c r="K160" s="708"/>
      <c r="L160" s="708"/>
      <c r="M160" s="706"/>
      <c r="N160" s="706"/>
      <c r="O160" s="706"/>
      <c r="P160" s="706"/>
      <c r="Q160" s="706"/>
      <c r="R160" s="706"/>
      <c r="S160" s="707"/>
      <c r="T160" s="708"/>
      <c r="U160" s="707"/>
      <c r="V160" s="706"/>
      <c r="W160" s="707"/>
      <c r="X160" s="707"/>
      <c r="Y160" s="706"/>
      <c r="Z160" s="706"/>
      <c r="AA160" s="707"/>
      <c r="AB160" s="708"/>
      <c r="AC160" s="710"/>
      <c r="AD160" s="706"/>
      <c r="AE160" s="706"/>
      <c r="AF160" s="706"/>
      <c r="AG160" s="706"/>
      <c r="AH160" s="706"/>
      <c r="AI160" s="707"/>
      <c r="AJ160" s="708"/>
      <c r="AK160" s="710"/>
      <c r="AL160" s="706"/>
      <c r="AM160" s="706"/>
      <c r="AN160" s="706"/>
      <c r="AO160" s="706"/>
      <c r="AP160" s="706"/>
      <c r="AQ160" s="707"/>
      <c r="AR160" s="711"/>
      <c r="AS160" s="706"/>
      <c r="AT160" s="706"/>
      <c r="AU160" s="706"/>
      <c r="AV160" s="706"/>
      <c r="AW160" s="706"/>
      <c r="AX160" s="706"/>
      <c r="AY160" s="707"/>
      <c r="AZ160" s="708"/>
      <c r="BA160" s="707"/>
      <c r="BB160" s="706"/>
      <c r="BC160" s="707"/>
      <c r="BD160" s="707"/>
      <c r="BE160" s="706"/>
      <c r="BF160" s="706"/>
      <c r="BG160" s="707"/>
      <c r="BH160" s="708"/>
      <c r="BI160" s="710"/>
      <c r="BJ160" s="706"/>
      <c r="BK160" s="706"/>
      <c r="BL160" s="706"/>
      <c r="BM160" s="706"/>
      <c r="BN160" s="706"/>
      <c r="BO160" s="707"/>
      <c r="BP160" s="708"/>
      <c r="BQ160" s="707"/>
      <c r="BR160" s="706"/>
      <c r="BS160" s="707"/>
      <c r="BT160" s="707"/>
      <c r="BU160" s="706"/>
      <c r="BV160" s="706"/>
      <c r="BW160" s="707"/>
      <c r="BX160" s="709"/>
    </row>
    <row r="161" spans="1:76" ht="30" customHeight="1" x14ac:dyDescent="0.2">
      <c r="A161" s="719">
        <v>155</v>
      </c>
      <c r="B161" s="705" t="s">
        <v>609</v>
      </c>
      <c r="C161" s="705" t="s">
        <v>1139</v>
      </c>
      <c r="D161" s="631">
        <v>104524</v>
      </c>
      <c r="E161" s="706"/>
      <c r="F161" s="706"/>
      <c r="G161" s="706"/>
      <c r="H161" s="706"/>
      <c r="I161" s="706"/>
      <c r="J161" s="707"/>
      <c r="K161" s="708"/>
      <c r="L161" s="708"/>
      <c r="M161" s="706"/>
      <c r="N161" s="706"/>
      <c r="O161" s="706"/>
      <c r="P161" s="706"/>
      <c r="Q161" s="706"/>
      <c r="R161" s="706"/>
      <c r="S161" s="707"/>
      <c r="T161" s="708"/>
      <c r="U161" s="707"/>
      <c r="V161" s="706"/>
      <c r="W161" s="707"/>
      <c r="X161" s="707"/>
      <c r="Y161" s="706"/>
      <c r="Z161" s="706"/>
      <c r="AA161" s="707"/>
      <c r="AB161" s="708"/>
      <c r="AC161" s="710"/>
      <c r="AD161" s="706"/>
      <c r="AE161" s="706"/>
      <c r="AF161" s="706"/>
      <c r="AG161" s="706"/>
      <c r="AH161" s="706"/>
      <c r="AI161" s="707"/>
      <c r="AJ161" s="708"/>
      <c r="AK161" s="710"/>
      <c r="AL161" s="706"/>
      <c r="AM161" s="706"/>
      <c r="AN161" s="706"/>
      <c r="AO161" s="706"/>
      <c r="AP161" s="706"/>
      <c r="AQ161" s="707"/>
      <c r="AR161" s="711"/>
      <c r="AS161" s="706"/>
      <c r="AT161" s="706"/>
      <c r="AU161" s="706"/>
      <c r="AV161" s="706"/>
      <c r="AW161" s="706"/>
      <c r="AX161" s="706"/>
      <c r="AY161" s="707"/>
      <c r="AZ161" s="708"/>
      <c r="BA161" s="707"/>
      <c r="BB161" s="706"/>
      <c r="BC161" s="707"/>
      <c r="BD161" s="707"/>
      <c r="BE161" s="706"/>
      <c r="BF161" s="706"/>
      <c r="BG161" s="707"/>
      <c r="BH161" s="708"/>
      <c r="BI161" s="710"/>
      <c r="BJ161" s="706"/>
      <c r="BK161" s="706"/>
      <c r="BL161" s="706"/>
      <c r="BM161" s="706"/>
      <c r="BN161" s="706"/>
      <c r="BO161" s="707"/>
      <c r="BP161" s="708"/>
      <c r="BQ161" s="707"/>
      <c r="BR161" s="706"/>
      <c r="BS161" s="707"/>
      <c r="BT161" s="707"/>
      <c r="BU161" s="706"/>
      <c r="BV161" s="706"/>
      <c r="BW161" s="707"/>
      <c r="BX161" s="709"/>
    </row>
    <row r="162" spans="1:76" ht="30" customHeight="1" x14ac:dyDescent="0.2">
      <c r="A162" s="719">
        <v>156</v>
      </c>
      <c r="B162" s="705" t="s">
        <v>609</v>
      </c>
      <c r="C162" s="705" t="s">
        <v>665</v>
      </c>
      <c r="D162" s="631">
        <v>104525</v>
      </c>
      <c r="E162" s="706"/>
      <c r="F162" s="706"/>
      <c r="G162" s="706"/>
      <c r="H162" s="706"/>
      <c r="I162" s="706"/>
      <c r="J162" s="707"/>
      <c r="K162" s="708"/>
      <c r="L162" s="708"/>
      <c r="M162" s="706"/>
      <c r="N162" s="706"/>
      <c r="O162" s="706"/>
      <c r="P162" s="706"/>
      <c r="Q162" s="706"/>
      <c r="R162" s="706"/>
      <c r="S162" s="707"/>
      <c r="T162" s="708"/>
      <c r="U162" s="707"/>
      <c r="V162" s="706"/>
      <c r="W162" s="707"/>
      <c r="X162" s="707"/>
      <c r="Y162" s="706"/>
      <c r="Z162" s="706"/>
      <c r="AA162" s="707"/>
      <c r="AB162" s="708"/>
      <c r="AC162" s="710"/>
      <c r="AD162" s="706"/>
      <c r="AE162" s="706"/>
      <c r="AF162" s="706"/>
      <c r="AG162" s="706"/>
      <c r="AH162" s="706"/>
      <c r="AI162" s="707"/>
      <c r="AJ162" s="708"/>
      <c r="AK162" s="710"/>
      <c r="AL162" s="706"/>
      <c r="AM162" s="706"/>
      <c r="AN162" s="706"/>
      <c r="AO162" s="706"/>
      <c r="AP162" s="706"/>
      <c r="AQ162" s="707"/>
      <c r="AR162" s="711"/>
      <c r="AS162" s="706"/>
      <c r="AT162" s="706"/>
      <c r="AU162" s="706"/>
      <c r="AV162" s="706"/>
      <c r="AW162" s="706"/>
      <c r="AX162" s="706"/>
      <c r="AY162" s="707"/>
      <c r="AZ162" s="708"/>
      <c r="BA162" s="707"/>
      <c r="BB162" s="706"/>
      <c r="BC162" s="707"/>
      <c r="BD162" s="707"/>
      <c r="BE162" s="706"/>
      <c r="BF162" s="706"/>
      <c r="BG162" s="707"/>
      <c r="BH162" s="708"/>
      <c r="BI162" s="710"/>
      <c r="BJ162" s="706"/>
      <c r="BK162" s="706"/>
      <c r="BL162" s="706"/>
      <c r="BM162" s="706"/>
      <c r="BN162" s="706"/>
      <c r="BO162" s="707"/>
      <c r="BP162" s="708"/>
      <c r="BQ162" s="707"/>
      <c r="BR162" s="706"/>
      <c r="BS162" s="707"/>
      <c r="BT162" s="707"/>
      <c r="BU162" s="706"/>
      <c r="BV162" s="706"/>
      <c r="BW162" s="707"/>
      <c r="BX162" s="709"/>
    </row>
    <row r="163" spans="1:76" ht="30" customHeight="1" x14ac:dyDescent="0.2">
      <c r="A163" s="721">
        <v>157</v>
      </c>
      <c r="B163" s="705" t="s">
        <v>691</v>
      </c>
      <c r="C163" s="705" t="s">
        <v>758</v>
      </c>
      <c r="D163" s="631">
        <v>54103</v>
      </c>
      <c r="E163" s="706"/>
      <c r="F163" s="706"/>
      <c r="G163" s="706"/>
      <c r="H163" s="706"/>
      <c r="I163" s="706"/>
      <c r="J163" s="707"/>
      <c r="K163" s="708"/>
      <c r="L163" s="708"/>
      <c r="M163" s="706" t="s">
        <v>1104</v>
      </c>
      <c r="N163" s="706" t="s">
        <v>1229</v>
      </c>
      <c r="O163" s="706" t="s">
        <v>1218</v>
      </c>
      <c r="P163" s="722">
        <v>43418</v>
      </c>
      <c r="Q163" s="706" t="s">
        <v>1219</v>
      </c>
      <c r="R163" s="706" t="s">
        <v>1220</v>
      </c>
      <c r="S163" s="707" t="s">
        <v>89</v>
      </c>
      <c r="T163" s="708"/>
      <c r="U163" s="707"/>
      <c r="V163" s="706"/>
      <c r="W163" s="707"/>
      <c r="X163" s="707"/>
      <c r="Y163" s="706"/>
      <c r="Z163" s="706"/>
      <c r="AA163" s="707"/>
      <c r="AB163" s="708"/>
      <c r="AC163" s="710" t="s">
        <v>1104</v>
      </c>
      <c r="AD163" s="706" t="s">
        <v>1223</v>
      </c>
      <c r="AE163" s="706" t="s">
        <v>1218</v>
      </c>
      <c r="AF163" s="706"/>
      <c r="AG163" s="706" t="s">
        <v>1219</v>
      </c>
      <c r="AH163" s="706" t="s">
        <v>1220</v>
      </c>
      <c r="AI163" s="707" t="s">
        <v>82</v>
      </c>
      <c r="AJ163" s="708"/>
      <c r="AK163" s="710"/>
      <c r="AL163" s="706"/>
      <c r="AM163" s="706"/>
      <c r="AN163" s="706"/>
      <c r="AO163" s="706" t="s">
        <v>1219</v>
      </c>
      <c r="AP163" s="706" t="s">
        <v>1220</v>
      </c>
      <c r="AQ163" s="707" t="s">
        <v>89</v>
      </c>
      <c r="AR163" s="711"/>
      <c r="AS163" s="706"/>
      <c r="AT163" s="706"/>
      <c r="AU163" s="706"/>
      <c r="AV163" s="706"/>
      <c r="AW163" s="706"/>
      <c r="AX163" s="706"/>
      <c r="AY163" s="707"/>
      <c r="AZ163" s="708"/>
      <c r="BA163" s="707"/>
      <c r="BB163" s="706"/>
      <c r="BC163" s="707"/>
      <c r="BD163" s="707"/>
      <c r="BE163" s="706"/>
      <c r="BF163" s="706"/>
      <c r="BG163" s="707"/>
      <c r="BH163" s="708"/>
      <c r="BI163" s="710"/>
      <c r="BJ163" s="706"/>
      <c r="BK163" s="706"/>
      <c r="BL163" s="706"/>
      <c r="BM163" s="706"/>
      <c r="BN163" s="706"/>
      <c r="BO163" s="707"/>
      <c r="BP163" s="708"/>
      <c r="BQ163" s="707"/>
      <c r="BR163" s="706"/>
      <c r="BS163" s="707"/>
      <c r="BT163" s="707"/>
      <c r="BU163" s="706"/>
      <c r="BV163" s="706"/>
      <c r="BW163" s="707"/>
      <c r="BX163" s="709"/>
    </row>
    <row r="164" spans="1:76" ht="30" customHeight="1" x14ac:dyDescent="0.2">
      <c r="A164" s="721">
        <v>158</v>
      </c>
      <c r="B164" s="705" t="s">
        <v>691</v>
      </c>
      <c r="C164" s="705" t="s">
        <v>738</v>
      </c>
      <c r="D164" s="631">
        <v>53918</v>
      </c>
      <c r="E164" s="706"/>
      <c r="F164" s="706"/>
      <c r="G164" s="706"/>
      <c r="H164" s="706"/>
      <c r="I164" s="706"/>
      <c r="J164" s="707"/>
      <c r="K164" s="708"/>
      <c r="L164" s="708"/>
      <c r="M164" s="706"/>
      <c r="N164" s="706"/>
      <c r="O164" s="706"/>
      <c r="P164" s="706"/>
      <c r="Q164" s="706"/>
      <c r="R164" s="706"/>
      <c r="S164" s="707"/>
      <c r="T164" s="708"/>
      <c r="U164" s="707"/>
      <c r="V164" s="706"/>
      <c r="W164" s="707"/>
      <c r="X164" s="707"/>
      <c r="Y164" s="706"/>
      <c r="Z164" s="706"/>
      <c r="AA164" s="707"/>
      <c r="AB164" s="708"/>
      <c r="AC164" s="710" t="s">
        <v>1104</v>
      </c>
      <c r="AD164" s="706" t="s">
        <v>1229</v>
      </c>
      <c r="AE164" s="706" t="s">
        <v>1218</v>
      </c>
      <c r="AF164" s="706"/>
      <c r="AG164" s="706" t="s">
        <v>1219</v>
      </c>
      <c r="AH164" s="706" t="s">
        <v>1220</v>
      </c>
      <c r="AI164" s="707" t="s">
        <v>89</v>
      </c>
      <c r="AJ164" s="708"/>
      <c r="AK164" s="710"/>
      <c r="AL164" s="706"/>
      <c r="AM164" s="706"/>
      <c r="AN164" s="706"/>
      <c r="AO164" s="706"/>
      <c r="AP164" s="706"/>
      <c r="AQ164" s="707"/>
      <c r="AR164" s="711"/>
      <c r="AS164" s="706"/>
      <c r="AT164" s="706"/>
      <c r="AU164" s="706"/>
      <c r="AV164" s="706"/>
      <c r="AW164" s="706"/>
      <c r="AX164" s="706"/>
      <c r="AY164" s="707"/>
      <c r="AZ164" s="708"/>
      <c r="BA164" s="707"/>
      <c r="BB164" s="706"/>
      <c r="BC164" s="707"/>
      <c r="BD164" s="707"/>
      <c r="BE164" s="706"/>
      <c r="BF164" s="706"/>
      <c r="BG164" s="707"/>
      <c r="BH164" s="708"/>
      <c r="BI164" s="710"/>
      <c r="BJ164" s="706"/>
      <c r="BK164" s="706"/>
      <c r="BL164" s="706"/>
      <c r="BM164" s="706"/>
      <c r="BN164" s="706"/>
      <c r="BO164" s="707"/>
      <c r="BP164" s="708"/>
      <c r="BQ164" s="707"/>
      <c r="BR164" s="706"/>
      <c r="BS164" s="707"/>
      <c r="BT164" s="707"/>
      <c r="BU164" s="706"/>
      <c r="BV164" s="706"/>
      <c r="BW164" s="707"/>
      <c r="BX164" s="709"/>
    </row>
    <row r="165" spans="1:76" ht="30" customHeight="1" x14ac:dyDescent="0.2">
      <c r="A165" s="721">
        <v>159</v>
      </c>
      <c r="B165" s="705" t="s">
        <v>691</v>
      </c>
      <c r="C165" s="705" t="s">
        <v>1272</v>
      </c>
      <c r="D165" s="631">
        <v>101755</v>
      </c>
      <c r="E165" s="706"/>
      <c r="F165" s="706"/>
      <c r="G165" s="706"/>
      <c r="H165" s="706"/>
      <c r="I165" s="706"/>
      <c r="J165" s="707"/>
      <c r="K165" s="708"/>
      <c r="L165" s="708"/>
      <c r="M165" s="706"/>
      <c r="N165" s="706"/>
      <c r="O165" s="706"/>
      <c r="P165" s="706"/>
      <c r="Q165" s="706"/>
      <c r="R165" s="706"/>
      <c r="S165" s="707"/>
      <c r="T165" s="708"/>
      <c r="U165" s="707"/>
      <c r="V165" s="706"/>
      <c r="W165" s="707"/>
      <c r="X165" s="707"/>
      <c r="Y165" s="706"/>
      <c r="Z165" s="706"/>
      <c r="AA165" s="707"/>
      <c r="AB165" s="708"/>
      <c r="AC165" s="710" t="s">
        <v>1104</v>
      </c>
      <c r="AD165" s="706" t="s">
        <v>1223</v>
      </c>
      <c r="AE165" s="706" t="s">
        <v>1218</v>
      </c>
      <c r="AF165" s="706"/>
      <c r="AG165" s="706" t="s">
        <v>1219</v>
      </c>
      <c r="AH165" s="706" t="s">
        <v>1220</v>
      </c>
      <c r="AI165" s="707"/>
      <c r="AJ165" s="708"/>
      <c r="AK165" s="710"/>
      <c r="AL165" s="706"/>
      <c r="AM165" s="706"/>
      <c r="AN165" s="706"/>
      <c r="AO165" s="706"/>
      <c r="AP165" s="706"/>
      <c r="AQ165" s="707"/>
      <c r="AR165" s="711"/>
      <c r="AS165" s="706" t="s">
        <v>1104</v>
      </c>
      <c r="AT165" s="706" t="s">
        <v>1223</v>
      </c>
      <c r="AU165" s="706" t="s">
        <v>1218</v>
      </c>
      <c r="AV165" s="706"/>
      <c r="AW165" s="706" t="s">
        <v>1219</v>
      </c>
      <c r="AX165" s="706" t="s">
        <v>1220</v>
      </c>
      <c r="AY165" s="707"/>
      <c r="AZ165" s="708"/>
      <c r="BA165" s="707"/>
      <c r="BB165" s="706"/>
      <c r="BC165" s="707"/>
      <c r="BD165" s="707"/>
      <c r="BE165" s="706"/>
      <c r="BF165" s="706"/>
      <c r="BG165" s="707"/>
      <c r="BH165" s="708"/>
      <c r="BI165" s="710"/>
      <c r="BJ165" s="706"/>
      <c r="BK165" s="706"/>
      <c r="BL165" s="706"/>
      <c r="BM165" s="706"/>
      <c r="BN165" s="706"/>
      <c r="BO165" s="707"/>
      <c r="BP165" s="708"/>
      <c r="BQ165" s="707"/>
      <c r="BR165" s="706"/>
      <c r="BS165" s="707"/>
      <c r="BT165" s="707"/>
      <c r="BU165" s="706"/>
      <c r="BV165" s="706"/>
      <c r="BW165" s="707"/>
      <c r="BX165" s="709"/>
    </row>
    <row r="166" spans="1:76" ht="30" customHeight="1" x14ac:dyDescent="0.2">
      <c r="A166" s="721">
        <v>160</v>
      </c>
      <c r="B166" s="705" t="s">
        <v>691</v>
      </c>
      <c r="C166" s="705" t="s">
        <v>1273</v>
      </c>
      <c r="D166" s="631">
        <v>4615</v>
      </c>
      <c r="E166" s="706"/>
      <c r="F166" s="706"/>
      <c r="G166" s="706"/>
      <c r="H166" s="706"/>
      <c r="I166" s="706"/>
      <c r="J166" s="707"/>
      <c r="K166" s="708"/>
      <c r="L166" s="708"/>
      <c r="M166" s="706" t="s">
        <v>1104</v>
      </c>
      <c r="N166" s="706" t="s">
        <v>1223</v>
      </c>
      <c r="O166" s="706" t="s">
        <v>1218</v>
      </c>
      <c r="P166" s="706"/>
      <c r="Q166" s="706" t="s">
        <v>1219</v>
      </c>
      <c r="R166" s="706" t="s">
        <v>1220</v>
      </c>
      <c r="S166" s="707"/>
      <c r="T166" s="708"/>
      <c r="U166" s="707"/>
      <c r="V166" s="706"/>
      <c r="W166" s="707"/>
      <c r="X166" s="707"/>
      <c r="Y166" s="706"/>
      <c r="Z166" s="706"/>
      <c r="AA166" s="707"/>
      <c r="AB166" s="708"/>
      <c r="AC166" s="710"/>
      <c r="AD166" s="706"/>
      <c r="AE166" s="706"/>
      <c r="AF166" s="706"/>
      <c r="AG166" s="706"/>
      <c r="AH166" s="706"/>
      <c r="AI166" s="707"/>
      <c r="AJ166" s="708"/>
      <c r="AK166" s="710" t="s">
        <v>1104</v>
      </c>
      <c r="AL166" s="706" t="s">
        <v>1223</v>
      </c>
      <c r="AM166" s="706" t="s">
        <v>1218</v>
      </c>
      <c r="AN166" s="706"/>
      <c r="AO166" s="706" t="s">
        <v>1219</v>
      </c>
      <c r="AP166" s="706" t="s">
        <v>1220</v>
      </c>
      <c r="AQ166" s="707"/>
      <c r="AR166" s="711"/>
      <c r="AS166" s="706"/>
      <c r="AT166" s="706"/>
      <c r="AU166" s="706"/>
      <c r="AV166" s="706"/>
      <c r="AW166" s="706"/>
      <c r="AX166" s="706"/>
      <c r="AY166" s="707"/>
      <c r="AZ166" s="708"/>
      <c r="BA166" s="707"/>
      <c r="BB166" s="706"/>
      <c r="BC166" s="707"/>
      <c r="BD166" s="707"/>
      <c r="BE166" s="706"/>
      <c r="BF166" s="706"/>
      <c r="BG166" s="707"/>
      <c r="BH166" s="708"/>
      <c r="BI166" s="710"/>
      <c r="BJ166" s="706"/>
      <c r="BK166" s="706"/>
      <c r="BL166" s="706"/>
      <c r="BM166" s="706"/>
      <c r="BN166" s="706"/>
      <c r="BO166" s="707"/>
      <c r="BP166" s="708"/>
      <c r="BQ166" s="707"/>
      <c r="BR166" s="706"/>
      <c r="BS166" s="707"/>
      <c r="BT166" s="707"/>
      <c r="BU166" s="706"/>
      <c r="BV166" s="706"/>
      <c r="BW166" s="707"/>
      <c r="BX166" s="709"/>
    </row>
    <row r="167" spans="1:76" ht="30" customHeight="1" x14ac:dyDescent="0.2">
      <c r="A167" s="721">
        <v>161</v>
      </c>
      <c r="B167" s="705" t="s">
        <v>691</v>
      </c>
      <c r="C167" s="705" t="s">
        <v>1140</v>
      </c>
      <c r="D167" s="631">
        <v>19814</v>
      </c>
      <c r="E167" s="706"/>
      <c r="F167" s="706"/>
      <c r="G167" s="706"/>
      <c r="H167" s="706"/>
      <c r="I167" s="706"/>
      <c r="J167" s="707"/>
      <c r="K167" s="708"/>
      <c r="L167" s="708"/>
      <c r="M167" s="706"/>
      <c r="N167" s="706"/>
      <c r="O167" s="706"/>
      <c r="P167" s="706"/>
      <c r="Q167" s="706"/>
      <c r="R167" s="706"/>
      <c r="S167" s="707"/>
      <c r="T167" s="708"/>
      <c r="U167" s="707"/>
      <c r="V167" s="706"/>
      <c r="W167" s="707"/>
      <c r="X167" s="707"/>
      <c r="Y167" s="706"/>
      <c r="Z167" s="706"/>
      <c r="AA167" s="707"/>
      <c r="AB167" s="708"/>
      <c r="AC167" s="710"/>
      <c r="AD167" s="706"/>
      <c r="AE167" s="706"/>
      <c r="AF167" s="706"/>
      <c r="AG167" s="706"/>
      <c r="AH167" s="706"/>
      <c r="AI167" s="707"/>
      <c r="AJ167" s="708"/>
      <c r="AK167" s="710"/>
      <c r="AL167" s="706"/>
      <c r="AM167" s="706"/>
      <c r="AN167" s="706"/>
      <c r="AO167" s="706"/>
      <c r="AP167" s="706"/>
      <c r="AQ167" s="707"/>
      <c r="AR167" s="711"/>
      <c r="AS167" s="706"/>
      <c r="AT167" s="706"/>
      <c r="AU167" s="706"/>
      <c r="AV167" s="706"/>
      <c r="AW167" s="706"/>
      <c r="AX167" s="706"/>
      <c r="AY167" s="707"/>
      <c r="AZ167" s="708"/>
      <c r="BA167" s="707"/>
      <c r="BB167" s="706"/>
      <c r="BC167" s="707"/>
      <c r="BD167" s="707"/>
      <c r="BE167" s="706"/>
      <c r="BF167" s="706"/>
      <c r="BG167" s="707"/>
      <c r="BH167" s="708"/>
      <c r="BI167" s="710"/>
      <c r="BJ167" s="706"/>
      <c r="BK167" s="706"/>
      <c r="BL167" s="706"/>
      <c r="BM167" s="706"/>
      <c r="BN167" s="706"/>
      <c r="BO167" s="707"/>
      <c r="BP167" s="708"/>
      <c r="BQ167" s="707"/>
      <c r="BR167" s="706"/>
      <c r="BS167" s="707"/>
      <c r="BT167" s="707"/>
      <c r="BU167" s="706"/>
      <c r="BV167" s="706"/>
      <c r="BW167" s="707"/>
      <c r="BX167" s="709"/>
    </row>
    <row r="168" spans="1:76" ht="30" customHeight="1" x14ac:dyDescent="0.2">
      <c r="A168" s="721">
        <v>162</v>
      </c>
      <c r="B168" s="705" t="s">
        <v>691</v>
      </c>
      <c r="C168" s="705" t="s">
        <v>748</v>
      </c>
      <c r="D168" s="631">
        <v>105149</v>
      </c>
      <c r="E168" s="706" t="s">
        <v>1104</v>
      </c>
      <c r="F168" s="706" t="s">
        <v>1223</v>
      </c>
      <c r="G168" s="706" t="s">
        <v>1225</v>
      </c>
      <c r="H168" s="706"/>
      <c r="I168" s="706" t="s">
        <v>1219</v>
      </c>
      <c r="J168" s="707" t="s">
        <v>1226</v>
      </c>
      <c r="K168" s="708"/>
      <c r="L168" s="708"/>
      <c r="M168" s="706"/>
      <c r="N168" s="706"/>
      <c r="O168" s="706"/>
      <c r="P168" s="706"/>
      <c r="Q168" s="706"/>
      <c r="R168" s="706"/>
      <c r="S168" s="707"/>
      <c r="T168" s="708"/>
      <c r="U168" s="707"/>
      <c r="V168" s="706"/>
      <c r="W168" s="707"/>
      <c r="X168" s="707"/>
      <c r="Y168" s="706"/>
      <c r="Z168" s="706"/>
      <c r="AA168" s="707"/>
      <c r="AB168" s="708"/>
      <c r="AC168" s="710"/>
      <c r="AD168" s="706"/>
      <c r="AE168" s="706"/>
      <c r="AF168" s="706"/>
      <c r="AG168" s="706"/>
      <c r="AH168" s="706"/>
      <c r="AI168" s="707"/>
      <c r="AJ168" s="708"/>
      <c r="AK168" s="710"/>
      <c r="AL168" s="706"/>
      <c r="AM168" s="706"/>
      <c r="AN168" s="706"/>
      <c r="AO168" s="706"/>
      <c r="AP168" s="706"/>
      <c r="AQ168" s="707"/>
      <c r="AR168" s="711"/>
      <c r="AS168" s="706"/>
      <c r="AT168" s="706"/>
      <c r="AU168" s="706"/>
      <c r="AV168" s="706"/>
      <c r="AW168" s="706"/>
      <c r="AX168" s="706"/>
      <c r="AY168" s="707"/>
      <c r="AZ168" s="708"/>
      <c r="BA168" s="707"/>
      <c r="BB168" s="706"/>
      <c r="BC168" s="707"/>
      <c r="BD168" s="707"/>
      <c r="BE168" s="706"/>
      <c r="BF168" s="706"/>
      <c r="BG168" s="707"/>
      <c r="BH168" s="708"/>
      <c r="BI168" s="710"/>
      <c r="BJ168" s="706"/>
      <c r="BK168" s="706"/>
      <c r="BL168" s="706"/>
      <c r="BM168" s="706"/>
      <c r="BN168" s="706"/>
      <c r="BO168" s="707"/>
      <c r="BP168" s="708"/>
      <c r="BQ168" s="707"/>
      <c r="BR168" s="706"/>
      <c r="BS168" s="707"/>
      <c r="BT168" s="707"/>
      <c r="BU168" s="706"/>
      <c r="BV168" s="706"/>
      <c r="BW168" s="707"/>
      <c r="BX168" s="709"/>
    </row>
    <row r="169" spans="1:76" ht="30" customHeight="1" x14ac:dyDescent="0.2">
      <c r="A169" s="721">
        <v>163</v>
      </c>
      <c r="B169" s="705" t="s">
        <v>691</v>
      </c>
      <c r="C169" s="705" t="s">
        <v>1274</v>
      </c>
      <c r="D169" s="631">
        <v>7520</v>
      </c>
      <c r="E169" s="706"/>
      <c r="F169" s="706"/>
      <c r="G169" s="706"/>
      <c r="H169" s="706"/>
      <c r="I169" s="706"/>
      <c r="J169" s="707"/>
      <c r="K169" s="708"/>
      <c r="L169" s="708"/>
      <c r="M169" s="706" t="s">
        <v>1104</v>
      </c>
      <c r="N169" s="706" t="s">
        <v>1229</v>
      </c>
      <c r="O169" s="706" t="s">
        <v>1218</v>
      </c>
      <c r="P169" s="706"/>
      <c r="Q169" s="706" t="s">
        <v>1219</v>
      </c>
      <c r="R169" s="706" t="s">
        <v>1220</v>
      </c>
      <c r="S169" s="707"/>
      <c r="T169" s="708"/>
      <c r="U169" s="707"/>
      <c r="V169" s="706"/>
      <c r="W169" s="707"/>
      <c r="X169" s="707"/>
      <c r="Y169" s="706"/>
      <c r="Z169" s="706"/>
      <c r="AA169" s="707"/>
      <c r="AB169" s="708"/>
      <c r="AC169" s="710" t="s">
        <v>1104</v>
      </c>
      <c r="AD169" s="706" t="s">
        <v>1223</v>
      </c>
      <c r="AE169" s="706" t="s">
        <v>1218</v>
      </c>
      <c r="AF169" s="706"/>
      <c r="AG169" s="706" t="s">
        <v>1219</v>
      </c>
      <c r="AH169" s="706" t="s">
        <v>1220</v>
      </c>
      <c r="AI169" s="707" t="s">
        <v>89</v>
      </c>
      <c r="AJ169" s="708"/>
      <c r="AK169" s="710"/>
      <c r="AL169" s="706"/>
      <c r="AM169" s="706"/>
      <c r="AN169" s="706"/>
      <c r="AO169" s="706"/>
      <c r="AP169" s="706"/>
      <c r="AQ169" s="707"/>
      <c r="AR169" s="711"/>
      <c r="AS169" s="706"/>
      <c r="AT169" s="706"/>
      <c r="AU169" s="706"/>
      <c r="AV169" s="706"/>
      <c r="AW169" s="706"/>
      <c r="AX169" s="706"/>
      <c r="AY169" s="707"/>
      <c r="AZ169" s="708"/>
      <c r="BA169" s="707"/>
      <c r="BB169" s="706"/>
      <c r="BC169" s="707"/>
      <c r="BD169" s="707"/>
      <c r="BE169" s="706"/>
      <c r="BF169" s="706"/>
      <c r="BG169" s="707"/>
      <c r="BH169" s="708"/>
      <c r="BI169" s="710"/>
      <c r="BJ169" s="706"/>
      <c r="BK169" s="706"/>
      <c r="BL169" s="706"/>
      <c r="BM169" s="706"/>
      <c r="BN169" s="706"/>
      <c r="BO169" s="707"/>
      <c r="BP169" s="708"/>
      <c r="BQ169" s="707"/>
      <c r="BR169" s="706"/>
      <c r="BS169" s="707"/>
      <c r="BT169" s="707"/>
      <c r="BU169" s="706"/>
      <c r="BV169" s="706"/>
      <c r="BW169" s="707"/>
      <c r="BX169" s="709"/>
    </row>
    <row r="170" spans="1:76" ht="30" customHeight="1" x14ac:dyDescent="0.2">
      <c r="A170" s="721">
        <v>164</v>
      </c>
      <c r="B170" s="705" t="s">
        <v>691</v>
      </c>
      <c r="C170" s="705" t="s">
        <v>1275</v>
      </c>
      <c r="D170" s="631">
        <v>105430</v>
      </c>
      <c r="E170" s="706"/>
      <c r="F170" s="706"/>
      <c r="G170" s="706"/>
      <c r="H170" s="706"/>
      <c r="I170" s="706"/>
      <c r="J170" s="707"/>
      <c r="K170" s="708"/>
      <c r="L170" s="708"/>
      <c r="M170" s="706"/>
      <c r="N170" s="706"/>
      <c r="O170" s="706"/>
      <c r="P170" s="706"/>
      <c r="Q170" s="706"/>
      <c r="R170" s="706"/>
      <c r="S170" s="707"/>
      <c r="T170" s="708"/>
      <c r="U170" s="707"/>
      <c r="V170" s="706"/>
      <c r="W170" s="707"/>
      <c r="X170" s="707"/>
      <c r="Y170" s="706"/>
      <c r="Z170" s="706"/>
      <c r="AA170" s="707"/>
      <c r="AB170" s="708"/>
      <c r="AC170" s="710"/>
      <c r="AD170" s="706"/>
      <c r="AE170" s="706"/>
      <c r="AF170" s="706"/>
      <c r="AG170" s="706"/>
      <c r="AH170" s="706"/>
      <c r="AI170" s="707"/>
      <c r="AJ170" s="708"/>
      <c r="AK170" s="710"/>
      <c r="AL170" s="706"/>
      <c r="AM170" s="706"/>
      <c r="AN170" s="706"/>
      <c r="AO170" s="706"/>
      <c r="AP170" s="706"/>
      <c r="AQ170" s="707"/>
      <c r="AR170" s="711"/>
      <c r="AS170" s="706"/>
      <c r="AT170" s="706"/>
      <c r="AU170" s="706"/>
      <c r="AV170" s="706"/>
      <c r="AW170" s="706"/>
      <c r="AX170" s="706"/>
      <c r="AY170" s="707"/>
      <c r="AZ170" s="708"/>
      <c r="BA170" s="707"/>
      <c r="BB170" s="706"/>
      <c r="BC170" s="707"/>
      <c r="BD170" s="707"/>
      <c r="BE170" s="706"/>
      <c r="BF170" s="706"/>
      <c r="BG170" s="707"/>
      <c r="BH170" s="708"/>
      <c r="BI170" s="710"/>
      <c r="BJ170" s="706"/>
      <c r="BK170" s="706"/>
      <c r="BL170" s="706"/>
      <c r="BM170" s="706"/>
      <c r="BN170" s="706"/>
      <c r="BO170" s="707"/>
      <c r="BP170" s="708"/>
      <c r="BQ170" s="707"/>
      <c r="BR170" s="706"/>
      <c r="BS170" s="707"/>
      <c r="BT170" s="707"/>
      <c r="BU170" s="706"/>
      <c r="BV170" s="706"/>
      <c r="BW170" s="707"/>
      <c r="BX170" s="709"/>
    </row>
    <row r="171" spans="1:76" ht="30" customHeight="1" x14ac:dyDescent="0.2">
      <c r="A171" s="721">
        <v>165</v>
      </c>
      <c r="B171" s="705" t="s">
        <v>691</v>
      </c>
      <c r="C171" s="705" t="s">
        <v>702</v>
      </c>
      <c r="D171" s="631">
        <v>238</v>
      </c>
      <c r="E171" s="706"/>
      <c r="F171" s="706"/>
      <c r="G171" s="706"/>
      <c r="H171" s="706"/>
      <c r="I171" s="706"/>
      <c r="J171" s="707"/>
      <c r="K171" s="708"/>
      <c r="L171" s="708"/>
      <c r="M171" s="706"/>
      <c r="N171" s="706"/>
      <c r="O171" s="706"/>
      <c r="P171" s="706"/>
      <c r="Q171" s="706"/>
      <c r="R171" s="706"/>
      <c r="S171" s="707"/>
      <c r="T171" s="708"/>
      <c r="U171" s="707" t="s">
        <v>1104</v>
      </c>
      <c r="V171" s="706" t="s">
        <v>1229</v>
      </c>
      <c r="W171" s="707" t="s">
        <v>1218</v>
      </c>
      <c r="X171" s="707"/>
      <c r="Y171" s="706" t="s">
        <v>1219</v>
      </c>
      <c r="Z171" s="706" t="s">
        <v>1220</v>
      </c>
      <c r="AA171" s="707"/>
      <c r="AB171" s="708"/>
      <c r="AC171" s="710" t="s">
        <v>1104</v>
      </c>
      <c r="AD171" s="706" t="s">
        <v>1229</v>
      </c>
      <c r="AE171" s="706" t="s">
        <v>1218</v>
      </c>
      <c r="AF171" s="706"/>
      <c r="AG171" s="706"/>
      <c r="AH171" s="706"/>
      <c r="AI171" s="707"/>
      <c r="AJ171" s="708"/>
      <c r="AK171" s="710" t="s">
        <v>1104</v>
      </c>
      <c r="AL171" s="706" t="s">
        <v>1217</v>
      </c>
      <c r="AM171" s="706" t="s">
        <v>1218</v>
      </c>
      <c r="AN171" s="706"/>
      <c r="AO171" s="706" t="s">
        <v>1219</v>
      </c>
      <c r="AP171" s="706" t="s">
        <v>1220</v>
      </c>
      <c r="AQ171" s="707"/>
      <c r="AR171" s="711"/>
      <c r="AS171" s="706"/>
      <c r="AT171" s="706"/>
      <c r="AU171" s="706"/>
      <c r="AV171" s="706"/>
      <c r="AW171" s="706"/>
      <c r="AX171" s="706"/>
      <c r="AY171" s="707"/>
      <c r="AZ171" s="708"/>
      <c r="BA171" s="707"/>
      <c r="BB171" s="706"/>
      <c r="BC171" s="707"/>
      <c r="BD171" s="707"/>
      <c r="BE171" s="706"/>
      <c r="BF171" s="706"/>
      <c r="BG171" s="707"/>
      <c r="BH171" s="708"/>
      <c r="BI171" s="707" t="s">
        <v>1104</v>
      </c>
      <c r="BJ171" s="706" t="s">
        <v>1229</v>
      </c>
      <c r="BK171" s="707" t="s">
        <v>1218</v>
      </c>
      <c r="BL171" s="707">
        <v>40984</v>
      </c>
      <c r="BM171" s="706" t="s">
        <v>1219</v>
      </c>
      <c r="BN171" s="706" t="s">
        <v>1220</v>
      </c>
      <c r="BO171" s="707"/>
      <c r="BP171" s="708"/>
      <c r="BQ171" s="707"/>
      <c r="BR171" s="706"/>
      <c r="BS171" s="707"/>
      <c r="BT171" s="707"/>
      <c r="BU171" s="706"/>
      <c r="BV171" s="706"/>
      <c r="BW171" s="707"/>
      <c r="BX171" s="709"/>
    </row>
    <row r="172" spans="1:76" ht="30" customHeight="1" x14ac:dyDescent="0.2">
      <c r="A172" s="721">
        <v>166</v>
      </c>
      <c r="B172" s="705" t="s">
        <v>691</v>
      </c>
      <c r="C172" s="705" t="s">
        <v>770</v>
      </c>
      <c r="D172" s="631">
        <v>7519</v>
      </c>
      <c r="E172" s="706"/>
      <c r="F172" s="706"/>
      <c r="G172" s="706"/>
      <c r="H172" s="706"/>
      <c r="I172" s="706"/>
      <c r="J172" s="707"/>
      <c r="K172" s="708"/>
      <c r="L172" s="708"/>
      <c r="M172" s="706"/>
      <c r="N172" s="706"/>
      <c r="O172" s="706"/>
      <c r="P172" s="706"/>
      <c r="Q172" s="706"/>
      <c r="R172" s="706"/>
      <c r="S172" s="707"/>
      <c r="T172" s="708"/>
      <c r="U172" s="707" t="s">
        <v>1104</v>
      </c>
      <c r="V172" s="706" t="s">
        <v>1229</v>
      </c>
      <c r="W172" s="707" t="s">
        <v>1218</v>
      </c>
      <c r="X172" s="707"/>
      <c r="Y172" s="706" t="s">
        <v>1219</v>
      </c>
      <c r="Z172" s="706" t="s">
        <v>1220</v>
      </c>
      <c r="AA172" s="707"/>
      <c r="AB172" s="708"/>
      <c r="AC172" s="710" t="s">
        <v>1104</v>
      </c>
      <c r="AD172" s="706" t="s">
        <v>1229</v>
      </c>
      <c r="AE172" s="706"/>
      <c r="AF172" s="706"/>
      <c r="AG172" s="706" t="s">
        <v>1219</v>
      </c>
      <c r="AH172" s="706" t="s">
        <v>1220</v>
      </c>
      <c r="AI172" s="707"/>
      <c r="AJ172" s="708"/>
      <c r="AK172" s="710"/>
      <c r="AL172" s="706"/>
      <c r="AM172" s="706"/>
      <c r="AN172" s="706"/>
      <c r="AO172" s="706"/>
      <c r="AP172" s="706"/>
      <c r="AQ172" s="707"/>
      <c r="AR172" s="711"/>
      <c r="AS172" s="706"/>
      <c r="AT172" s="706"/>
      <c r="AU172" s="706"/>
      <c r="AV172" s="706"/>
      <c r="AW172" s="706"/>
      <c r="AX172" s="706"/>
      <c r="AY172" s="707"/>
      <c r="AZ172" s="708"/>
      <c r="BA172" s="707"/>
      <c r="BB172" s="706"/>
      <c r="BC172" s="707"/>
      <c r="BD172" s="707"/>
      <c r="BE172" s="706"/>
      <c r="BF172" s="706"/>
      <c r="BG172" s="707"/>
      <c r="BH172" s="708"/>
      <c r="BI172" s="710"/>
      <c r="BJ172" s="706"/>
      <c r="BK172" s="706"/>
      <c r="BL172" s="706"/>
      <c r="BM172" s="706"/>
      <c r="BN172" s="706"/>
      <c r="BO172" s="707"/>
      <c r="BP172" s="708"/>
      <c r="BQ172" s="710"/>
      <c r="BR172" s="706"/>
      <c r="BS172" s="706"/>
      <c r="BT172" s="706"/>
      <c r="BU172" s="706"/>
      <c r="BV172" s="706"/>
      <c r="BW172" s="707"/>
      <c r="BX172" s="709"/>
    </row>
    <row r="173" spans="1:76" ht="30" customHeight="1" x14ac:dyDescent="0.2">
      <c r="A173" s="721">
        <v>167</v>
      </c>
      <c r="B173" s="705" t="s">
        <v>691</v>
      </c>
      <c r="C173" s="705" t="s">
        <v>751</v>
      </c>
      <c r="D173" s="631">
        <v>55175</v>
      </c>
      <c r="E173" s="706"/>
      <c r="F173" s="706"/>
      <c r="G173" s="706"/>
      <c r="H173" s="706"/>
      <c r="I173" s="706"/>
      <c r="J173" s="707"/>
      <c r="K173" s="708"/>
      <c r="L173" s="708"/>
      <c r="M173" s="706" t="s">
        <v>1104</v>
      </c>
      <c r="N173" s="706" t="s">
        <v>1229</v>
      </c>
      <c r="O173" s="706" t="s">
        <v>1218</v>
      </c>
      <c r="P173" s="722">
        <v>43418</v>
      </c>
      <c r="Q173" s="706" t="s">
        <v>1219</v>
      </c>
      <c r="R173" s="706" t="s">
        <v>1220</v>
      </c>
      <c r="S173" s="707" t="s">
        <v>89</v>
      </c>
      <c r="T173" s="708"/>
      <c r="U173" s="707"/>
      <c r="V173" s="706"/>
      <c r="W173" s="707"/>
      <c r="X173" s="707"/>
      <c r="Y173" s="706"/>
      <c r="Z173" s="706"/>
      <c r="AA173" s="707"/>
      <c r="AB173" s="708"/>
      <c r="AC173" s="710" t="s">
        <v>1104</v>
      </c>
      <c r="AD173" s="706" t="s">
        <v>1223</v>
      </c>
      <c r="AE173" s="706" t="s">
        <v>1218</v>
      </c>
      <c r="AF173" s="706"/>
      <c r="AG173" s="706" t="s">
        <v>1219</v>
      </c>
      <c r="AH173" s="706" t="s">
        <v>1220</v>
      </c>
      <c r="AI173" s="707" t="s">
        <v>89</v>
      </c>
      <c r="AJ173" s="708"/>
      <c r="AK173" s="710"/>
      <c r="AL173" s="706"/>
      <c r="AM173" s="706"/>
      <c r="AN173" s="706"/>
      <c r="AO173" s="706"/>
      <c r="AP173" s="706"/>
      <c r="AQ173" s="707"/>
      <c r="AR173" s="711"/>
      <c r="AS173" s="706"/>
      <c r="AT173" s="706"/>
      <c r="AU173" s="706"/>
      <c r="AV173" s="706"/>
      <c r="AW173" s="706"/>
      <c r="AX173" s="706"/>
      <c r="AY173" s="707"/>
      <c r="AZ173" s="708"/>
      <c r="BA173" s="707"/>
      <c r="BB173" s="706"/>
      <c r="BC173" s="707"/>
      <c r="BD173" s="707"/>
      <c r="BE173" s="706"/>
      <c r="BF173" s="706"/>
      <c r="BG173" s="707"/>
      <c r="BH173" s="708"/>
      <c r="BI173" s="710"/>
      <c r="BJ173" s="706"/>
      <c r="BK173" s="706"/>
      <c r="BL173" s="706"/>
      <c r="BM173" s="706"/>
      <c r="BN173" s="706"/>
      <c r="BO173" s="707"/>
      <c r="BP173" s="708"/>
      <c r="BQ173" s="710"/>
      <c r="BR173" s="706"/>
      <c r="BS173" s="706"/>
      <c r="BT173" s="706"/>
      <c r="BU173" s="706"/>
      <c r="BV173" s="706"/>
      <c r="BW173" s="707"/>
      <c r="BX173" s="709"/>
    </row>
    <row r="174" spans="1:76" ht="30" customHeight="1" x14ac:dyDescent="0.2">
      <c r="A174" s="721">
        <v>168</v>
      </c>
      <c r="B174" s="705" t="s">
        <v>691</v>
      </c>
      <c r="C174" s="705" t="s">
        <v>764</v>
      </c>
      <c r="D174" s="631">
        <v>53505</v>
      </c>
      <c r="E174" s="706"/>
      <c r="F174" s="706"/>
      <c r="G174" s="706"/>
      <c r="H174" s="706"/>
      <c r="I174" s="706"/>
      <c r="J174" s="707"/>
      <c r="K174" s="708"/>
      <c r="L174" s="708"/>
      <c r="M174" s="706"/>
      <c r="N174" s="706"/>
      <c r="O174" s="706"/>
      <c r="P174" s="706"/>
      <c r="Q174" s="706"/>
      <c r="R174" s="706"/>
      <c r="S174" s="707"/>
      <c r="T174" s="708"/>
      <c r="U174" s="707" t="s">
        <v>1104</v>
      </c>
      <c r="V174" s="706" t="s">
        <v>1223</v>
      </c>
      <c r="W174" s="707" t="s">
        <v>1218</v>
      </c>
      <c r="X174" s="707">
        <v>43017</v>
      </c>
      <c r="Y174" s="706" t="s">
        <v>1219</v>
      </c>
      <c r="Z174" s="706" t="s">
        <v>1220</v>
      </c>
      <c r="AA174" s="707" t="s">
        <v>89</v>
      </c>
      <c r="AB174" s="708"/>
      <c r="AC174" s="710"/>
      <c r="AD174" s="706"/>
      <c r="AE174" s="706"/>
      <c r="AF174" s="706"/>
      <c r="AG174" s="706"/>
      <c r="AH174" s="706"/>
      <c r="AI174" s="707"/>
      <c r="AJ174" s="708"/>
      <c r="AK174" s="710"/>
      <c r="AL174" s="706"/>
      <c r="AM174" s="706"/>
      <c r="AN174" s="706"/>
      <c r="AO174" s="706"/>
      <c r="AP174" s="706"/>
      <c r="AQ174" s="707"/>
      <c r="AR174" s="711"/>
      <c r="AS174" s="706"/>
      <c r="AT174" s="706"/>
      <c r="AU174" s="706"/>
      <c r="AV174" s="706"/>
      <c r="AW174" s="706"/>
      <c r="AX174" s="706"/>
      <c r="AY174" s="707"/>
      <c r="AZ174" s="708"/>
      <c r="BA174" s="707"/>
      <c r="BB174" s="706"/>
      <c r="BC174" s="707"/>
      <c r="BD174" s="707"/>
      <c r="BE174" s="706"/>
      <c r="BF174" s="706"/>
      <c r="BG174" s="707"/>
      <c r="BH174" s="708"/>
      <c r="BI174" s="710"/>
      <c r="BJ174" s="706"/>
      <c r="BK174" s="706"/>
      <c r="BL174" s="706"/>
      <c r="BM174" s="706"/>
      <c r="BN174" s="706"/>
      <c r="BO174" s="707"/>
      <c r="BP174" s="708"/>
      <c r="BQ174" s="710"/>
      <c r="BR174" s="706"/>
      <c r="BS174" s="706"/>
      <c r="BT174" s="706"/>
      <c r="BU174" s="706"/>
      <c r="BV174" s="706"/>
      <c r="BW174" s="707"/>
      <c r="BX174" s="709"/>
    </row>
    <row r="175" spans="1:76" ht="30" customHeight="1" x14ac:dyDescent="0.2">
      <c r="A175" s="721">
        <v>169</v>
      </c>
      <c r="B175" s="705" t="s">
        <v>691</v>
      </c>
      <c r="C175" s="705" t="s">
        <v>733</v>
      </c>
      <c r="D175" s="631">
        <v>252</v>
      </c>
      <c r="E175" s="706"/>
      <c r="F175" s="706"/>
      <c r="G175" s="706"/>
      <c r="H175" s="706"/>
      <c r="I175" s="706"/>
      <c r="J175" s="707"/>
      <c r="K175" s="708"/>
      <c r="L175" s="708"/>
      <c r="M175" s="706"/>
      <c r="N175" s="706"/>
      <c r="O175" s="706"/>
      <c r="P175" s="706"/>
      <c r="Q175" s="706"/>
      <c r="R175" s="706"/>
      <c r="S175" s="707"/>
      <c r="T175" s="708"/>
      <c r="U175" s="707" t="s">
        <v>1104</v>
      </c>
      <c r="V175" s="706" t="s">
        <v>1223</v>
      </c>
      <c r="W175" s="707" t="s">
        <v>1218</v>
      </c>
      <c r="X175" s="707">
        <v>42964</v>
      </c>
      <c r="Y175" s="706" t="s">
        <v>1219</v>
      </c>
      <c r="Z175" s="706" t="s">
        <v>1220</v>
      </c>
      <c r="AA175" s="707" t="s">
        <v>89</v>
      </c>
      <c r="AB175" s="708"/>
      <c r="AC175" s="710"/>
      <c r="AD175" s="706"/>
      <c r="AE175" s="706"/>
      <c r="AF175" s="706"/>
      <c r="AG175" s="706"/>
      <c r="AH175" s="706"/>
      <c r="AI175" s="707"/>
      <c r="AJ175" s="708"/>
      <c r="AK175" s="710"/>
      <c r="AL175" s="706"/>
      <c r="AM175" s="706"/>
      <c r="AN175" s="706"/>
      <c r="AO175" s="706"/>
      <c r="AP175" s="706"/>
      <c r="AQ175" s="707"/>
      <c r="AR175" s="711"/>
      <c r="AS175" s="706"/>
      <c r="AT175" s="706"/>
      <c r="AU175" s="706"/>
      <c r="AV175" s="706"/>
      <c r="AW175" s="706"/>
      <c r="AX175" s="706"/>
      <c r="AY175" s="707"/>
      <c r="AZ175" s="708"/>
      <c r="BA175" s="707"/>
      <c r="BB175" s="706"/>
      <c r="BC175" s="707"/>
      <c r="BD175" s="707"/>
      <c r="BE175" s="706"/>
      <c r="BF175" s="706"/>
      <c r="BG175" s="707"/>
      <c r="BH175" s="708"/>
      <c r="BI175" s="710"/>
      <c r="BJ175" s="706"/>
      <c r="BK175" s="706"/>
      <c r="BL175" s="706"/>
      <c r="BM175" s="706"/>
      <c r="BN175" s="706"/>
      <c r="BO175" s="707"/>
      <c r="BP175" s="708"/>
      <c r="BQ175" s="710"/>
      <c r="BR175" s="706"/>
      <c r="BS175" s="706"/>
      <c r="BT175" s="706"/>
      <c r="BU175" s="706"/>
      <c r="BV175" s="706"/>
      <c r="BW175" s="707"/>
      <c r="BX175" s="709"/>
    </row>
    <row r="176" spans="1:76" ht="30" customHeight="1" x14ac:dyDescent="0.2">
      <c r="A176" s="721">
        <v>170</v>
      </c>
      <c r="B176" s="705" t="s">
        <v>691</v>
      </c>
      <c r="C176" s="705" t="s">
        <v>710</v>
      </c>
      <c r="D176" s="631">
        <v>90930</v>
      </c>
      <c r="E176" s="706"/>
      <c r="F176" s="706"/>
      <c r="G176" s="706"/>
      <c r="H176" s="706"/>
      <c r="I176" s="706"/>
      <c r="J176" s="707"/>
      <c r="K176" s="708"/>
      <c r="L176" s="708"/>
      <c r="M176" s="706"/>
      <c r="N176" s="706"/>
      <c r="O176" s="706"/>
      <c r="P176" s="706"/>
      <c r="Q176" s="706"/>
      <c r="R176" s="706"/>
      <c r="S176" s="707"/>
      <c r="T176" s="708"/>
      <c r="U176" s="707"/>
      <c r="V176" s="706"/>
      <c r="W176" s="707"/>
      <c r="X176" s="707"/>
      <c r="Y176" s="706"/>
      <c r="Z176" s="706"/>
      <c r="AA176" s="707"/>
      <c r="AB176" s="708"/>
      <c r="AC176" s="710" t="s">
        <v>1104</v>
      </c>
      <c r="AD176" s="706" t="s">
        <v>1217</v>
      </c>
      <c r="AE176" s="706" t="s">
        <v>1218</v>
      </c>
      <c r="AF176" s="706"/>
      <c r="AG176" s="706" t="s">
        <v>1224</v>
      </c>
      <c r="AH176" s="706" t="s">
        <v>1220</v>
      </c>
      <c r="AI176" s="707"/>
      <c r="AJ176" s="708"/>
      <c r="AK176" s="710"/>
      <c r="AL176" s="706"/>
      <c r="AM176" s="706"/>
      <c r="AN176" s="706"/>
      <c r="AO176" s="706"/>
      <c r="AP176" s="706"/>
      <c r="AQ176" s="707"/>
      <c r="AR176" s="711"/>
      <c r="AS176" s="706"/>
      <c r="AT176" s="706"/>
      <c r="AU176" s="706"/>
      <c r="AV176" s="706"/>
      <c r="AW176" s="706"/>
      <c r="AX176" s="706"/>
      <c r="AY176" s="707"/>
      <c r="AZ176" s="708"/>
      <c r="BA176" s="707"/>
      <c r="BB176" s="706"/>
      <c r="BC176" s="707"/>
      <c r="BD176" s="707"/>
      <c r="BE176" s="706"/>
      <c r="BF176" s="706"/>
      <c r="BG176" s="707"/>
      <c r="BH176" s="708"/>
      <c r="BI176" s="710"/>
      <c r="BJ176" s="706"/>
      <c r="BK176" s="706"/>
      <c r="BL176" s="706"/>
      <c r="BM176" s="706"/>
      <c r="BN176" s="706"/>
      <c r="BO176" s="707"/>
      <c r="BP176" s="708"/>
      <c r="BQ176" s="710"/>
      <c r="BR176" s="706"/>
      <c r="BS176" s="706"/>
      <c r="BT176" s="706"/>
      <c r="BU176" s="706"/>
      <c r="BV176" s="706"/>
      <c r="BW176" s="707"/>
      <c r="BX176" s="709"/>
    </row>
    <row r="177" spans="1:76" ht="30" customHeight="1" x14ac:dyDescent="0.2">
      <c r="A177" s="721">
        <v>171</v>
      </c>
      <c r="B177" s="705" t="s">
        <v>691</v>
      </c>
      <c r="C177" s="705" t="s">
        <v>743</v>
      </c>
      <c r="D177" s="631">
        <v>104646</v>
      </c>
      <c r="E177" s="706"/>
      <c r="F177" s="706"/>
      <c r="G177" s="706"/>
      <c r="H177" s="706"/>
      <c r="I177" s="706"/>
      <c r="J177" s="707"/>
      <c r="K177" s="708"/>
      <c r="L177" s="708"/>
      <c r="M177" s="706"/>
      <c r="N177" s="706"/>
      <c r="O177" s="706"/>
      <c r="P177" s="706"/>
      <c r="Q177" s="706"/>
      <c r="R177" s="706"/>
      <c r="S177" s="707"/>
      <c r="T177" s="708"/>
      <c r="U177" s="707"/>
      <c r="V177" s="706"/>
      <c r="W177" s="707"/>
      <c r="X177" s="707"/>
      <c r="Y177" s="706"/>
      <c r="Z177" s="706"/>
      <c r="AA177" s="707"/>
      <c r="AB177" s="708"/>
      <c r="AC177" s="710"/>
      <c r="AD177" s="706"/>
      <c r="AE177" s="706"/>
      <c r="AF177" s="706"/>
      <c r="AG177" s="706"/>
      <c r="AH177" s="706"/>
      <c r="AI177" s="707"/>
      <c r="AJ177" s="708"/>
      <c r="AK177" s="710"/>
      <c r="AL177" s="706"/>
      <c r="AM177" s="706"/>
      <c r="AN177" s="706"/>
      <c r="AO177" s="706"/>
      <c r="AP177" s="706"/>
      <c r="AQ177" s="707"/>
      <c r="AR177" s="711"/>
      <c r="AS177" s="706"/>
      <c r="AT177" s="706"/>
      <c r="AU177" s="706"/>
      <c r="AV177" s="706"/>
      <c r="AW177" s="706"/>
      <c r="AX177" s="706"/>
      <c r="AY177" s="707"/>
      <c r="AZ177" s="708"/>
      <c r="BA177" s="707"/>
      <c r="BB177" s="706"/>
      <c r="BC177" s="707"/>
      <c r="BD177" s="707"/>
      <c r="BE177" s="706"/>
      <c r="BF177" s="706"/>
      <c r="BG177" s="707"/>
      <c r="BH177" s="708"/>
      <c r="BI177" s="710"/>
      <c r="BJ177" s="706"/>
      <c r="BK177" s="706"/>
      <c r="BL177" s="706"/>
      <c r="BM177" s="706"/>
      <c r="BN177" s="706"/>
      <c r="BO177" s="707"/>
      <c r="BP177" s="708"/>
      <c r="BQ177" s="710"/>
      <c r="BR177" s="706"/>
      <c r="BS177" s="706"/>
      <c r="BT177" s="706"/>
      <c r="BU177" s="706"/>
      <c r="BV177" s="706"/>
      <c r="BW177" s="707"/>
      <c r="BX177" s="709"/>
    </row>
    <row r="178" spans="1:76" ht="30" customHeight="1" x14ac:dyDescent="0.2">
      <c r="A178" s="723">
        <v>172</v>
      </c>
      <c r="B178" s="724" t="s">
        <v>691</v>
      </c>
      <c r="C178" s="724" t="s">
        <v>720</v>
      </c>
      <c r="D178" s="725">
        <v>223</v>
      </c>
      <c r="E178" s="726"/>
      <c r="F178" s="726"/>
      <c r="G178" s="726"/>
      <c r="H178" s="726"/>
      <c r="I178" s="726"/>
      <c r="J178" s="726"/>
      <c r="K178" s="727"/>
      <c r="L178" s="728"/>
      <c r="M178" s="726" t="s">
        <v>1104</v>
      </c>
      <c r="N178" s="726" t="s">
        <v>1229</v>
      </c>
      <c r="O178" s="726" t="s">
        <v>1218</v>
      </c>
      <c r="P178" s="726"/>
      <c r="Q178" s="726" t="s">
        <v>1219</v>
      </c>
      <c r="R178" s="726" t="s">
        <v>1220</v>
      </c>
      <c r="S178" s="727"/>
      <c r="T178" s="728"/>
      <c r="U178" s="727"/>
      <c r="V178" s="726"/>
      <c r="W178" s="727"/>
      <c r="X178" s="727"/>
      <c r="Y178" s="726"/>
      <c r="Z178" s="726"/>
      <c r="AA178" s="727"/>
      <c r="AB178" s="728"/>
      <c r="AC178" s="729"/>
      <c r="AD178" s="726"/>
      <c r="AE178" s="726"/>
      <c r="AF178" s="726"/>
      <c r="AG178" s="726"/>
      <c r="AH178" s="726"/>
      <c r="AI178" s="727"/>
      <c r="AJ178" s="728"/>
      <c r="AK178" s="729"/>
      <c r="AL178" s="726"/>
      <c r="AM178" s="726"/>
      <c r="AN178" s="726"/>
      <c r="AO178" s="726"/>
      <c r="AP178" s="726"/>
      <c r="AQ178" s="727"/>
      <c r="AR178" s="730"/>
      <c r="AS178" s="726"/>
      <c r="AT178" s="726"/>
      <c r="AU178" s="726"/>
      <c r="AV178" s="726"/>
      <c r="AW178" s="726"/>
      <c r="AX178" s="726"/>
      <c r="AY178" s="727"/>
      <c r="AZ178" s="728"/>
      <c r="BA178" s="727"/>
      <c r="BB178" s="726"/>
      <c r="BC178" s="727"/>
      <c r="BD178" s="727"/>
      <c r="BE178" s="726"/>
      <c r="BF178" s="726"/>
      <c r="BG178" s="727"/>
      <c r="BH178" s="728"/>
      <c r="BI178" s="729"/>
      <c r="BJ178" s="726"/>
      <c r="BK178" s="726"/>
      <c r="BL178" s="726"/>
      <c r="BM178" s="726"/>
      <c r="BN178" s="726"/>
      <c r="BO178" s="727"/>
      <c r="BP178" s="728"/>
      <c r="BQ178" s="729"/>
      <c r="BR178" s="726"/>
      <c r="BS178" s="726"/>
      <c r="BT178" s="726"/>
      <c r="BU178" s="726"/>
      <c r="BV178" s="726"/>
      <c r="BW178" s="727"/>
      <c r="BX178" s="731"/>
    </row>
  </sheetData>
  <mergeCells count="3">
    <mergeCell ref="B2:C2"/>
    <mergeCell ref="B3:C3"/>
    <mergeCell ref="B4:C4"/>
  </mergeCells>
  <pageMargins left="0.7" right="0.7" top="0.75" bottom="0.75" header="0" footer="0"/>
  <pageSetup orientation="portrait"/>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F00-000000000000}">
          <x14:formula1>
            <xm:f>Listas!$B$40:$B$42</xm:f>
          </x14:formula1>
          <xm:sqref>F64 F87 N7:N176 V7:V176 AD7:AD176 AL7:AL176 AT7:AT176 BB7:BB176 BJ7:BJ176 BR7:BR176</xm:sqref>
        </x14:dataValidation>
        <x14:dataValidation type="list" allowBlank="1" showErrorMessage="1" xr:uid="{00000000-0002-0000-0F00-000001000000}">
          <x14:formula1>
            <xm:f>Listas!$B$34:$B$36</xm:f>
          </x14:formula1>
          <xm:sqref>I64 Q7:Q176 Y7:Y176 AG7:AG176 AO7:AO176 AW7:AW176 BE7:BE176 BM7:BM176 BU7:BU176</xm:sqref>
        </x14:dataValidation>
        <x14:dataValidation type="list" allowBlank="1" showErrorMessage="1" xr:uid="{00000000-0002-0000-0F00-000002000000}">
          <x14:formula1>
            <xm:f>Listas!$B$46:$B$47</xm:f>
          </x14:formula1>
          <xm:sqref>J64 J87 R7:R176 Z7:Z176 AH7:AH176 AP7:AP176 AX7:AX176 BF7:BF176 BN7:BN176 BV7:BV176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G50"/>
  <sheetViews>
    <sheetView workbookViewId="0"/>
  </sheetViews>
  <sheetFormatPr baseColWidth="10" defaultColWidth="12.5703125" defaultRowHeight="15" customHeight="1" x14ac:dyDescent="0.2"/>
  <cols>
    <col min="1" max="1" width="35.7109375" customWidth="1"/>
    <col min="2" max="2" width="45.42578125" customWidth="1"/>
    <col min="3" max="3" width="20.85546875" customWidth="1"/>
    <col min="4" max="4" width="20.28515625" customWidth="1"/>
    <col min="5" max="5" width="15.85546875" customWidth="1"/>
    <col min="6" max="6" width="14.42578125" customWidth="1"/>
    <col min="7" max="7" width="11.28515625" hidden="1" customWidth="1"/>
    <col min="8" max="8" width="8.7109375" customWidth="1"/>
    <col min="9" max="9" width="4.85546875" customWidth="1"/>
    <col min="10" max="10" width="13.42578125" customWidth="1"/>
    <col min="11" max="11" width="8.85546875" customWidth="1"/>
    <col min="12" max="12" width="5.42578125" customWidth="1"/>
    <col min="13" max="25" width="11.42578125" customWidth="1"/>
  </cols>
  <sheetData>
    <row r="2" spans="1:5" ht="12.75" customHeight="1" x14ac:dyDescent="0.2">
      <c r="B2" s="808" t="s">
        <v>0</v>
      </c>
      <c r="C2" s="758"/>
    </row>
    <row r="3" spans="1:5" ht="12.75" customHeight="1" x14ac:dyDescent="0.2">
      <c r="B3" s="808" t="s">
        <v>1276</v>
      </c>
      <c r="C3" s="758"/>
    </row>
    <row r="4" spans="1:5" ht="12.75" customHeight="1" x14ac:dyDescent="0.2">
      <c r="B4" s="809" t="s">
        <v>1277</v>
      </c>
      <c r="C4" s="758"/>
    </row>
    <row r="5" spans="1:5" ht="12.75" customHeight="1" x14ac:dyDescent="0.2"/>
    <row r="6" spans="1:5" ht="12.75" customHeight="1" x14ac:dyDescent="0.2">
      <c r="A6" s="364" t="s">
        <v>19</v>
      </c>
      <c r="B6" s="364" t="s">
        <v>20</v>
      </c>
      <c r="C6" s="364" t="s">
        <v>32</v>
      </c>
      <c r="D6" s="364" t="s">
        <v>1278</v>
      </c>
      <c r="E6" s="364" t="s">
        <v>1279</v>
      </c>
    </row>
    <row r="7" spans="1:5" ht="12.75" customHeight="1" x14ac:dyDescent="0.2">
      <c r="A7" s="51" t="s">
        <v>74</v>
      </c>
      <c r="B7" s="51" t="s">
        <v>101</v>
      </c>
      <c r="C7" s="53" t="s">
        <v>89</v>
      </c>
      <c r="D7" s="732" t="s">
        <v>337</v>
      </c>
      <c r="E7" s="53" t="s">
        <v>81</v>
      </c>
    </row>
    <row r="8" spans="1:5" ht="12.75" customHeight="1" x14ac:dyDescent="0.2">
      <c r="A8" s="51" t="s">
        <v>130</v>
      </c>
      <c r="B8" s="51" t="s">
        <v>131</v>
      </c>
      <c r="C8" s="53" t="s">
        <v>136</v>
      </c>
      <c r="D8" s="732" t="s">
        <v>1280</v>
      </c>
      <c r="E8" s="53" t="s">
        <v>81</v>
      </c>
    </row>
    <row r="9" spans="1:5" ht="12.75" customHeight="1" x14ac:dyDescent="0.2">
      <c r="A9" s="51" t="s">
        <v>130</v>
      </c>
      <c r="B9" s="51" t="s">
        <v>966</v>
      </c>
      <c r="C9" s="53" t="s">
        <v>136</v>
      </c>
      <c r="D9" s="732" t="s">
        <v>1280</v>
      </c>
      <c r="E9" s="53" t="s">
        <v>81</v>
      </c>
    </row>
    <row r="10" spans="1:5" ht="12.75" customHeight="1" x14ac:dyDescent="0.2">
      <c r="A10" s="51" t="s">
        <v>130</v>
      </c>
      <c r="B10" s="51" t="s">
        <v>1107</v>
      </c>
      <c r="C10" s="53" t="s">
        <v>89</v>
      </c>
      <c r="D10" s="732" t="s">
        <v>337</v>
      </c>
      <c r="E10" s="53" t="s">
        <v>81</v>
      </c>
    </row>
    <row r="11" spans="1:5" ht="12.75" customHeight="1" x14ac:dyDescent="0.2">
      <c r="A11" s="51" t="s">
        <v>130</v>
      </c>
      <c r="B11" s="51" t="s">
        <v>143</v>
      </c>
      <c r="C11" s="53" t="s">
        <v>89</v>
      </c>
      <c r="D11" s="732" t="s">
        <v>337</v>
      </c>
      <c r="E11" s="53" t="s">
        <v>81</v>
      </c>
    </row>
    <row r="12" spans="1:5" ht="12.75" customHeight="1" x14ac:dyDescent="0.2">
      <c r="A12" s="51" t="s">
        <v>130</v>
      </c>
      <c r="B12" s="51" t="s">
        <v>131</v>
      </c>
      <c r="C12" s="53" t="s">
        <v>89</v>
      </c>
      <c r="D12" s="732" t="s">
        <v>337</v>
      </c>
      <c r="E12" s="53" t="s">
        <v>81</v>
      </c>
    </row>
    <row r="13" spans="1:5" ht="12.75" customHeight="1" x14ac:dyDescent="0.2">
      <c r="A13" s="51" t="s">
        <v>130</v>
      </c>
      <c r="B13" s="51" t="s">
        <v>1023</v>
      </c>
      <c r="C13" s="53" t="s">
        <v>89</v>
      </c>
      <c r="D13" s="732" t="s">
        <v>337</v>
      </c>
      <c r="E13" s="53" t="s">
        <v>81</v>
      </c>
    </row>
    <row r="14" spans="1:5" ht="12.75" customHeight="1" x14ac:dyDescent="0.2">
      <c r="A14" s="51" t="s">
        <v>130</v>
      </c>
      <c r="B14" s="51" t="s">
        <v>1106</v>
      </c>
      <c r="C14" s="53" t="s">
        <v>89</v>
      </c>
      <c r="D14" s="732" t="s">
        <v>337</v>
      </c>
      <c r="E14" s="53" t="s">
        <v>147</v>
      </c>
    </row>
    <row r="15" spans="1:5" ht="12.75" customHeight="1" x14ac:dyDescent="0.2">
      <c r="A15" s="51" t="s">
        <v>130</v>
      </c>
      <c r="B15" s="51" t="s">
        <v>1024</v>
      </c>
      <c r="C15" s="53" t="s">
        <v>89</v>
      </c>
      <c r="D15" s="732" t="s">
        <v>337</v>
      </c>
      <c r="E15" s="53" t="s">
        <v>147</v>
      </c>
    </row>
    <row r="16" spans="1:5" ht="12.75" customHeight="1" x14ac:dyDescent="0.2">
      <c r="A16" s="51" t="s">
        <v>130</v>
      </c>
      <c r="B16" s="51" t="s">
        <v>1105</v>
      </c>
      <c r="C16" s="53" t="s">
        <v>89</v>
      </c>
      <c r="D16" s="732" t="s">
        <v>1281</v>
      </c>
      <c r="E16" s="53" t="s">
        <v>1282</v>
      </c>
    </row>
    <row r="17" spans="1:5" ht="12.75" customHeight="1" x14ac:dyDescent="0.2">
      <c r="A17" s="51" t="s">
        <v>182</v>
      </c>
      <c r="B17" s="51" t="s">
        <v>985</v>
      </c>
      <c r="C17" s="53" t="s">
        <v>1283</v>
      </c>
      <c r="D17" s="732" t="s">
        <v>1284</v>
      </c>
      <c r="E17" s="53" t="s">
        <v>81</v>
      </c>
    </row>
    <row r="18" spans="1:5" ht="12.75" customHeight="1" x14ac:dyDescent="0.2">
      <c r="A18" s="51" t="s">
        <v>182</v>
      </c>
      <c r="B18" s="51" t="s">
        <v>203</v>
      </c>
      <c r="C18" s="53" t="s">
        <v>89</v>
      </c>
      <c r="D18" s="732" t="s">
        <v>207</v>
      </c>
      <c r="E18" s="53" t="s">
        <v>81</v>
      </c>
    </row>
    <row r="19" spans="1:5" ht="12.75" customHeight="1" x14ac:dyDescent="0.2">
      <c r="A19" s="51" t="s">
        <v>182</v>
      </c>
      <c r="B19" s="51" t="s">
        <v>198</v>
      </c>
      <c r="C19" s="53" t="s">
        <v>89</v>
      </c>
      <c r="D19" s="732" t="s">
        <v>337</v>
      </c>
      <c r="E19" s="53" t="s">
        <v>81</v>
      </c>
    </row>
    <row r="20" spans="1:5" ht="12.75" customHeight="1" x14ac:dyDescent="0.2">
      <c r="A20" s="51" t="s">
        <v>182</v>
      </c>
      <c r="B20" s="51" t="s">
        <v>1111</v>
      </c>
      <c r="C20" s="53" t="s">
        <v>89</v>
      </c>
      <c r="D20" s="732" t="s">
        <v>337</v>
      </c>
      <c r="E20" s="53" t="s">
        <v>81</v>
      </c>
    </row>
    <row r="21" spans="1:5" ht="12.75" customHeight="1" x14ac:dyDescent="0.2">
      <c r="A21" s="51" t="s">
        <v>182</v>
      </c>
      <c r="B21" s="51" t="s">
        <v>985</v>
      </c>
      <c r="C21" s="53" t="s">
        <v>89</v>
      </c>
      <c r="D21" s="732" t="s">
        <v>337</v>
      </c>
      <c r="E21" s="53" t="s">
        <v>81</v>
      </c>
    </row>
    <row r="22" spans="1:5" ht="12.75" customHeight="1" x14ac:dyDescent="0.2">
      <c r="A22" s="51" t="s">
        <v>182</v>
      </c>
      <c r="B22" s="51" t="s">
        <v>1110</v>
      </c>
      <c r="C22" s="53" t="s">
        <v>89</v>
      </c>
      <c r="D22" s="732" t="s">
        <v>337</v>
      </c>
      <c r="E22" s="53" t="s">
        <v>81</v>
      </c>
    </row>
    <row r="23" spans="1:5" ht="12.75" customHeight="1" x14ac:dyDescent="0.2">
      <c r="A23" s="51" t="s">
        <v>182</v>
      </c>
      <c r="B23" s="51" t="s">
        <v>244</v>
      </c>
      <c r="C23" s="53" t="s">
        <v>89</v>
      </c>
      <c r="D23" s="732" t="s">
        <v>207</v>
      </c>
      <c r="E23" s="53" t="s">
        <v>81</v>
      </c>
    </row>
    <row r="24" spans="1:5" ht="12.75" customHeight="1" x14ac:dyDescent="0.2">
      <c r="A24" s="51" t="s">
        <v>182</v>
      </c>
      <c r="B24" s="51" t="s">
        <v>1112</v>
      </c>
      <c r="C24" s="53" t="s">
        <v>89</v>
      </c>
      <c r="D24" s="732" t="s">
        <v>337</v>
      </c>
      <c r="E24" s="53" t="s">
        <v>81</v>
      </c>
    </row>
    <row r="25" spans="1:5" ht="12.75" customHeight="1" x14ac:dyDescent="0.2">
      <c r="A25" s="51" t="s">
        <v>182</v>
      </c>
      <c r="B25" s="51" t="s">
        <v>1285</v>
      </c>
      <c r="C25" s="53" t="s">
        <v>89</v>
      </c>
      <c r="D25" s="732" t="s">
        <v>337</v>
      </c>
      <c r="E25" s="53" t="s">
        <v>81</v>
      </c>
    </row>
    <row r="26" spans="1:5" ht="12.75" customHeight="1" x14ac:dyDescent="0.2">
      <c r="A26" s="51" t="s">
        <v>333</v>
      </c>
      <c r="B26" s="51" t="s">
        <v>997</v>
      </c>
      <c r="C26" s="53" t="s">
        <v>1283</v>
      </c>
      <c r="D26" s="732" t="s">
        <v>337</v>
      </c>
      <c r="E26" s="53" t="s">
        <v>81</v>
      </c>
    </row>
    <row r="27" spans="1:5" ht="12.75" customHeight="1" x14ac:dyDescent="0.2">
      <c r="A27" s="51" t="s">
        <v>333</v>
      </c>
      <c r="B27" s="51" t="s">
        <v>1286</v>
      </c>
      <c r="C27" s="53" t="s">
        <v>89</v>
      </c>
      <c r="D27" s="732" t="s">
        <v>337</v>
      </c>
      <c r="E27" s="53"/>
    </row>
    <row r="28" spans="1:5" ht="12.75" customHeight="1" x14ac:dyDescent="0.2">
      <c r="A28" s="51" t="s">
        <v>333</v>
      </c>
      <c r="B28" s="51" t="s">
        <v>994</v>
      </c>
      <c r="C28" s="53" t="s">
        <v>89</v>
      </c>
      <c r="D28" s="732" t="s">
        <v>1287</v>
      </c>
      <c r="E28" s="53" t="s">
        <v>1282</v>
      </c>
    </row>
    <row r="29" spans="1:5" ht="12.75" customHeight="1" x14ac:dyDescent="0.2">
      <c r="A29" s="51" t="s">
        <v>333</v>
      </c>
      <c r="B29" s="51" t="s">
        <v>357</v>
      </c>
      <c r="C29" s="53" t="s">
        <v>89</v>
      </c>
      <c r="D29" s="732" t="s">
        <v>337</v>
      </c>
      <c r="E29" s="53" t="s">
        <v>81</v>
      </c>
    </row>
    <row r="30" spans="1:5" ht="12.75" customHeight="1" x14ac:dyDescent="0.2">
      <c r="A30" s="51" t="s">
        <v>333</v>
      </c>
      <c r="B30" s="51" t="s">
        <v>1117</v>
      </c>
      <c r="C30" s="53" t="s">
        <v>89</v>
      </c>
      <c r="D30" s="732" t="s">
        <v>337</v>
      </c>
      <c r="E30" s="53" t="s">
        <v>81</v>
      </c>
    </row>
    <row r="31" spans="1:5" ht="12.75" customHeight="1" x14ac:dyDescent="0.2">
      <c r="A31" s="51" t="s">
        <v>413</v>
      </c>
      <c r="B31" s="51" t="s">
        <v>1125</v>
      </c>
      <c r="C31" s="53" t="s">
        <v>89</v>
      </c>
      <c r="D31" s="732" t="s">
        <v>1288</v>
      </c>
      <c r="E31" s="53" t="s">
        <v>81</v>
      </c>
    </row>
    <row r="32" spans="1:5" ht="12.75" customHeight="1" x14ac:dyDescent="0.2">
      <c r="A32" s="51" t="s">
        <v>413</v>
      </c>
      <c r="B32" s="51" t="s">
        <v>1125</v>
      </c>
      <c r="C32" s="53" t="s">
        <v>89</v>
      </c>
      <c r="D32" s="732" t="s">
        <v>1289</v>
      </c>
      <c r="E32" s="53" t="s">
        <v>81</v>
      </c>
    </row>
    <row r="33" spans="1:5" ht="12.75" customHeight="1" x14ac:dyDescent="0.2">
      <c r="A33" s="51" t="s">
        <v>413</v>
      </c>
      <c r="B33" s="51" t="s">
        <v>1125</v>
      </c>
      <c r="C33" s="53" t="s">
        <v>89</v>
      </c>
      <c r="D33" s="732" t="s">
        <v>1290</v>
      </c>
      <c r="E33" s="53" t="s">
        <v>81</v>
      </c>
    </row>
    <row r="34" spans="1:5" ht="12.75" customHeight="1" x14ac:dyDescent="0.2">
      <c r="A34" s="51" t="s">
        <v>413</v>
      </c>
      <c r="B34" s="51" t="s">
        <v>1125</v>
      </c>
      <c r="C34" s="53" t="s">
        <v>89</v>
      </c>
      <c r="D34" s="732" t="s">
        <v>1291</v>
      </c>
      <c r="E34" s="53" t="s">
        <v>81</v>
      </c>
    </row>
    <row r="35" spans="1:5" ht="12.75" customHeight="1" x14ac:dyDescent="0.2">
      <c r="A35" s="51" t="s">
        <v>413</v>
      </c>
      <c r="B35" s="51" t="s">
        <v>1125</v>
      </c>
      <c r="C35" s="53" t="s">
        <v>89</v>
      </c>
      <c r="D35" s="732" t="s">
        <v>1292</v>
      </c>
      <c r="E35" s="53" t="s">
        <v>81</v>
      </c>
    </row>
    <row r="36" spans="1:5" ht="12.75" customHeight="1" x14ac:dyDescent="0.2">
      <c r="A36" s="51" t="s">
        <v>413</v>
      </c>
      <c r="B36" s="51" t="s">
        <v>1125</v>
      </c>
      <c r="C36" s="53" t="s">
        <v>89</v>
      </c>
      <c r="D36" s="732" t="s">
        <v>207</v>
      </c>
      <c r="E36" s="53" t="s">
        <v>81</v>
      </c>
    </row>
    <row r="37" spans="1:5" ht="12.75" customHeight="1" x14ac:dyDescent="0.2">
      <c r="A37" s="51" t="s">
        <v>413</v>
      </c>
      <c r="B37" s="51" t="s">
        <v>1125</v>
      </c>
      <c r="C37" s="53" t="s">
        <v>89</v>
      </c>
      <c r="D37" s="732" t="s">
        <v>337</v>
      </c>
      <c r="E37" s="53" t="s">
        <v>81</v>
      </c>
    </row>
    <row r="38" spans="1:5" ht="12.75" customHeight="1" x14ac:dyDescent="0.2">
      <c r="A38" s="51" t="s">
        <v>413</v>
      </c>
      <c r="B38" s="51" t="s">
        <v>1125</v>
      </c>
      <c r="C38" s="53" t="s">
        <v>89</v>
      </c>
      <c r="D38" s="732" t="s">
        <v>1293</v>
      </c>
      <c r="E38" s="53" t="s">
        <v>81</v>
      </c>
    </row>
    <row r="39" spans="1:5" ht="12.75" customHeight="1" x14ac:dyDescent="0.2">
      <c r="A39" s="51" t="s">
        <v>413</v>
      </c>
      <c r="B39" s="51" t="s">
        <v>1125</v>
      </c>
      <c r="C39" s="53" t="s">
        <v>89</v>
      </c>
      <c r="D39" s="732" t="s">
        <v>1294</v>
      </c>
      <c r="E39" s="53" t="s">
        <v>81</v>
      </c>
    </row>
    <row r="40" spans="1:5" ht="12.75" customHeight="1" x14ac:dyDescent="0.2">
      <c r="A40" s="51" t="s">
        <v>413</v>
      </c>
      <c r="B40" s="51" t="s">
        <v>427</v>
      </c>
      <c r="C40" s="53" t="s">
        <v>89</v>
      </c>
      <c r="D40" s="732" t="s">
        <v>337</v>
      </c>
      <c r="E40" s="53" t="s">
        <v>81</v>
      </c>
    </row>
    <row r="41" spans="1:5" ht="12.75" customHeight="1" x14ac:dyDescent="0.2">
      <c r="A41" s="51" t="s">
        <v>413</v>
      </c>
      <c r="B41" s="51" t="s">
        <v>1127</v>
      </c>
      <c r="C41" s="53" t="s">
        <v>89</v>
      </c>
      <c r="D41" s="732" t="s">
        <v>337</v>
      </c>
      <c r="E41" s="53" t="s">
        <v>81</v>
      </c>
    </row>
    <row r="42" spans="1:5" ht="12.75" customHeight="1" x14ac:dyDescent="0.2">
      <c r="A42" s="51" t="s">
        <v>413</v>
      </c>
      <c r="B42" s="51" t="s">
        <v>1020</v>
      </c>
      <c r="C42" s="53" t="s">
        <v>89</v>
      </c>
      <c r="D42" s="732" t="s">
        <v>337</v>
      </c>
      <c r="E42" s="53" t="s">
        <v>81</v>
      </c>
    </row>
    <row r="43" spans="1:5" ht="12.75" customHeight="1" x14ac:dyDescent="0.2">
      <c r="A43" s="51" t="s">
        <v>413</v>
      </c>
      <c r="B43" s="51" t="s">
        <v>570</v>
      </c>
      <c r="C43" s="53" t="s">
        <v>89</v>
      </c>
      <c r="D43" s="732" t="s">
        <v>337</v>
      </c>
      <c r="E43" s="53"/>
    </row>
    <row r="44" spans="1:5" ht="12.75" customHeight="1" x14ac:dyDescent="0.2">
      <c r="A44" s="51" t="s">
        <v>574</v>
      </c>
      <c r="B44" s="51" t="s">
        <v>1065</v>
      </c>
      <c r="C44" s="53" t="s">
        <v>89</v>
      </c>
      <c r="D44" s="732" t="s">
        <v>1284</v>
      </c>
      <c r="E44" s="53" t="s">
        <v>81</v>
      </c>
    </row>
    <row r="45" spans="1:5" ht="12.75" customHeight="1" x14ac:dyDescent="0.2">
      <c r="A45" s="51" t="s">
        <v>574</v>
      </c>
      <c r="B45" s="51" t="s">
        <v>1065</v>
      </c>
      <c r="C45" s="53" t="s">
        <v>89</v>
      </c>
      <c r="D45" s="732" t="s">
        <v>80</v>
      </c>
      <c r="E45" s="53" t="s">
        <v>187</v>
      </c>
    </row>
    <row r="46" spans="1:5" ht="12.75" customHeight="1" x14ac:dyDescent="0.2">
      <c r="A46" s="51" t="s">
        <v>574</v>
      </c>
      <c r="B46" s="51" t="s">
        <v>1065</v>
      </c>
      <c r="C46" s="53" t="s">
        <v>89</v>
      </c>
      <c r="D46" s="732" t="s">
        <v>337</v>
      </c>
      <c r="E46" s="53" t="s">
        <v>81</v>
      </c>
    </row>
    <row r="47" spans="1:5" ht="12.75" customHeight="1" x14ac:dyDescent="0.2">
      <c r="A47" s="51" t="s">
        <v>574</v>
      </c>
      <c r="B47" s="51" t="s">
        <v>1129</v>
      </c>
      <c r="C47" s="53" t="s">
        <v>89</v>
      </c>
      <c r="D47" s="732" t="s">
        <v>207</v>
      </c>
      <c r="E47" s="53" t="s">
        <v>81</v>
      </c>
    </row>
    <row r="48" spans="1:5" ht="12.75" customHeight="1" x14ac:dyDescent="0.2">
      <c r="A48" s="51" t="s">
        <v>609</v>
      </c>
      <c r="B48" s="51" t="s">
        <v>644</v>
      </c>
      <c r="C48" s="53" t="s">
        <v>89</v>
      </c>
      <c r="D48" s="732" t="s">
        <v>337</v>
      </c>
      <c r="E48" s="53" t="s">
        <v>81</v>
      </c>
    </row>
    <row r="49" spans="1:5" ht="12.75" customHeight="1" x14ac:dyDescent="0.2">
      <c r="A49" s="51" t="s">
        <v>691</v>
      </c>
      <c r="B49" s="51" t="s">
        <v>692</v>
      </c>
      <c r="C49" s="53" t="s">
        <v>89</v>
      </c>
      <c r="D49" s="732" t="s">
        <v>697</v>
      </c>
      <c r="E49" s="53" t="s">
        <v>81</v>
      </c>
    </row>
    <row r="50" spans="1:5" ht="12.75" customHeight="1" x14ac:dyDescent="0.2">
      <c r="A50" s="51" t="s">
        <v>691</v>
      </c>
      <c r="B50" s="51" t="s">
        <v>727</v>
      </c>
      <c r="C50" s="53" t="s">
        <v>89</v>
      </c>
      <c r="D50" s="732" t="s">
        <v>337</v>
      </c>
      <c r="E50" s="53" t="s">
        <v>81</v>
      </c>
    </row>
  </sheetData>
  <mergeCells count="3">
    <mergeCell ref="B2:C2"/>
    <mergeCell ref="B3:C3"/>
    <mergeCell ref="B4:C4"/>
  </mergeCells>
  <printOptions horizontalCentered="1"/>
  <pageMargins left="0.70866141732283472" right="0.19685039370078741" top="0.59055118110236227" bottom="0.47244094488188981" header="0" footer="0"/>
  <pageSetup scale="60"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1000-000000000000}">
          <x14:formula1>
            <xm:f>Listas!$B$4:$B$8</xm:f>
          </x14:formula1>
          <xm:sqref>C7:C50</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36C09"/>
  </sheetPr>
  <dimension ref="A1:M198"/>
  <sheetViews>
    <sheetView workbookViewId="0"/>
  </sheetViews>
  <sheetFormatPr baseColWidth="10" defaultColWidth="12.5703125" defaultRowHeight="15" customHeight="1" x14ac:dyDescent="0.2"/>
  <cols>
    <col min="1" max="1" width="21.42578125" customWidth="1"/>
    <col min="2" max="26" width="11.42578125" customWidth="1"/>
  </cols>
  <sheetData>
    <row r="1" spans="1:13" ht="12.75" customHeight="1" x14ac:dyDescent="0.2">
      <c r="A1" s="329" t="s">
        <v>988</v>
      </c>
      <c r="B1" s="329"/>
      <c r="C1" s="329"/>
      <c r="D1" s="329"/>
      <c r="E1" s="329"/>
      <c r="F1" s="329"/>
      <c r="G1" s="329"/>
      <c r="H1" s="329"/>
      <c r="I1" s="329"/>
      <c r="J1" s="329"/>
      <c r="K1" s="329"/>
      <c r="L1" s="329"/>
      <c r="M1" s="329"/>
    </row>
    <row r="2" spans="1:13" ht="12.75" customHeight="1" x14ac:dyDescent="0.2">
      <c r="A2" s="329" t="s">
        <v>1002</v>
      </c>
      <c r="B2" s="329"/>
      <c r="C2" s="329"/>
      <c r="D2" s="329"/>
      <c r="E2" s="329"/>
      <c r="F2" s="329"/>
      <c r="G2" s="329"/>
      <c r="H2" s="329"/>
      <c r="I2" s="329"/>
      <c r="J2" s="329"/>
      <c r="K2" s="329"/>
      <c r="L2" s="329"/>
      <c r="M2" s="329"/>
    </row>
    <row r="3" spans="1:13" ht="12.75" customHeight="1" x14ac:dyDescent="0.2">
      <c r="A3" s="329" t="s">
        <v>1295</v>
      </c>
      <c r="B3" s="329"/>
      <c r="C3" s="329"/>
      <c r="D3" s="329"/>
      <c r="E3" s="329"/>
      <c r="F3" s="329"/>
      <c r="G3" s="329"/>
      <c r="H3" s="329"/>
      <c r="I3" s="438"/>
      <c r="J3" s="329"/>
      <c r="K3" s="329"/>
      <c r="L3" s="329"/>
      <c r="M3" s="329"/>
    </row>
    <row r="4" spans="1:13" ht="12.75" customHeight="1" x14ac:dyDescent="0.2">
      <c r="A4" s="329"/>
      <c r="B4" s="329"/>
      <c r="C4" s="329"/>
      <c r="D4" s="329"/>
      <c r="E4" s="329"/>
      <c r="F4" s="329"/>
      <c r="G4" s="329"/>
      <c r="H4" s="329"/>
      <c r="I4" s="329"/>
      <c r="J4" s="329"/>
      <c r="K4" s="329"/>
      <c r="L4" s="329"/>
      <c r="M4" s="329"/>
    </row>
    <row r="5" spans="1:13" ht="12.75" customHeight="1" x14ac:dyDescent="0.2">
      <c r="A5" s="31" t="s">
        <v>1296</v>
      </c>
      <c r="B5" s="31">
        <v>2012</v>
      </c>
      <c r="C5" s="31">
        <v>2013</v>
      </c>
      <c r="D5" s="31">
        <v>2014</v>
      </c>
      <c r="E5" s="31">
        <v>2015</v>
      </c>
      <c r="F5" s="31">
        <v>2016</v>
      </c>
      <c r="G5" s="31">
        <v>2017</v>
      </c>
      <c r="H5" s="31">
        <v>2018</v>
      </c>
      <c r="I5" s="31">
        <v>2019</v>
      </c>
      <c r="J5" s="31">
        <v>2020</v>
      </c>
      <c r="K5" s="31">
        <v>2021</v>
      </c>
      <c r="L5" s="31">
        <v>2022</v>
      </c>
      <c r="M5" s="31">
        <v>2023</v>
      </c>
    </row>
    <row r="6" spans="1:13" ht="12.75" customHeight="1" x14ac:dyDescent="0.2">
      <c r="A6" s="50" t="s">
        <v>84</v>
      </c>
      <c r="B6" s="50">
        <v>4</v>
      </c>
      <c r="C6" s="50">
        <v>1</v>
      </c>
      <c r="D6" s="50">
        <v>4</v>
      </c>
      <c r="E6" s="50">
        <v>1</v>
      </c>
      <c r="F6" s="50">
        <v>2</v>
      </c>
      <c r="G6" s="50">
        <v>3</v>
      </c>
      <c r="H6" s="50">
        <v>4</v>
      </c>
      <c r="I6" s="50">
        <v>0</v>
      </c>
      <c r="J6" s="50">
        <v>1</v>
      </c>
      <c r="K6" s="13">
        <v>0</v>
      </c>
      <c r="L6" s="329"/>
      <c r="M6" s="329"/>
    </row>
    <row r="7" spans="1:13" ht="12.75" customHeight="1" x14ac:dyDescent="0.2">
      <c r="A7" s="50" t="s">
        <v>96</v>
      </c>
      <c r="B7" s="50">
        <v>2</v>
      </c>
      <c r="C7" s="50">
        <v>1</v>
      </c>
      <c r="D7" s="50">
        <v>14</v>
      </c>
      <c r="E7" s="50">
        <v>31</v>
      </c>
      <c r="F7" s="50">
        <v>14</v>
      </c>
      <c r="G7" s="50">
        <v>4</v>
      </c>
      <c r="H7" s="50">
        <v>0</v>
      </c>
      <c r="I7" s="50">
        <v>2</v>
      </c>
      <c r="J7" s="50">
        <v>1</v>
      </c>
      <c r="K7" s="13">
        <v>2</v>
      </c>
      <c r="L7" s="329"/>
      <c r="M7" s="329"/>
    </row>
    <row r="8" spans="1:13" ht="12.75" customHeight="1" x14ac:dyDescent="0.2">
      <c r="A8" s="733" t="s">
        <v>807</v>
      </c>
      <c r="B8" s="733">
        <f t="shared" ref="B8:K8" si="0">+B6+B7</f>
        <v>6</v>
      </c>
      <c r="C8" s="733">
        <f t="shared" si="0"/>
        <v>2</v>
      </c>
      <c r="D8" s="733">
        <f t="shared" si="0"/>
        <v>18</v>
      </c>
      <c r="E8" s="733">
        <f t="shared" si="0"/>
        <v>32</v>
      </c>
      <c r="F8" s="733">
        <f t="shared" si="0"/>
        <v>16</v>
      </c>
      <c r="G8" s="733">
        <f t="shared" si="0"/>
        <v>7</v>
      </c>
      <c r="H8" s="733">
        <f t="shared" si="0"/>
        <v>4</v>
      </c>
      <c r="I8" s="733">
        <f t="shared" si="0"/>
        <v>2</v>
      </c>
      <c r="J8" s="733">
        <f t="shared" si="0"/>
        <v>2</v>
      </c>
      <c r="K8" s="733">
        <f t="shared" si="0"/>
        <v>2</v>
      </c>
      <c r="L8" s="329"/>
      <c r="M8" s="329"/>
    </row>
    <row r="9" spans="1:13" ht="12.75" customHeight="1" x14ac:dyDescent="0.2">
      <c r="A9" s="329"/>
      <c r="B9" s="329"/>
      <c r="C9" s="329"/>
      <c r="D9" s="329"/>
      <c r="E9" s="329"/>
      <c r="F9" s="329"/>
      <c r="G9" s="329"/>
      <c r="H9" s="329"/>
      <c r="I9" s="329"/>
      <c r="J9" s="329"/>
      <c r="K9" s="329"/>
      <c r="L9" s="329"/>
      <c r="M9" s="329"/>
    </row>
    <row r="10" spans="1:13" ht="12.75" customHeight="1" x14ac:dyDescent="0.2">
      <c r="A10" s="31" t="s">
        <v>1297</v>
      </c>
      <c r="B10" s="31">
        <v>2011</v>
      </c>
      <c r="C10" s="31">
        <v>2012</v>
      </c>
      <c r="D10" s="31">
        <v>2013</v>
      </c>
      <c r="E10" s="31">
        <v>2014</v>
      </c>
      <c r="F10" s="31">
        <v>2015</v>
      </c>
      <c r="G10" s="31">
        <v>2016</v>
      </c>
      <c r="H10" s="31">
        <v>2017</v>
      </c>
      <c r="I10" s="31">
        <v>2018</v>
      </c>
      <c r="J10" s="31">
        <v>2019</v>
      </c>
      <c r="K10" s="31">
        <v>2020</v>
      </c>
      <c r="L10" s="31">
        <v>2021</v>
      </c>
      <c r="M10" s="329"/>
    </row>
    <row r="11" spans="1:13" ht="12.75" customHeight="1" x14ac:dyDescent="0.2">
      <c r="A11" s="50" t="s">
        <v>84</v>
      </c>
      <c r="B11" s="50">
        <v>44</v>
      </c>
      <c r="C11" s="50">
        <f t="shared" ref="C11:I11" si="1">+B11+B6</f>
        <v>48</v>
      </c>
      <c r="D11" s="50">
        <f t="shared" si="1"/>
        <v>49</v>
      </c>
      <c r="E11" s="50">
        <f t="shared" si="1"/>
        <v>53</v>
      </c>
      <c r="F11" s="50">
        <f t="shared" si="1"/>
        <v>54</v>
      </c>
      <c r="G11" s="50">
        <f t="shared" si="1"/>
        <v>56</v>
      </c>
      <c r="H11" s="50">
        <f t="shared" si="1"/>
        <v>59</v>
      </c>
      <c r="I11" s="50">
        <f t="shared" si="1"/>
        <v>63</v>
      </c>
      <c r="J11" s="50">
        <v>60</v>
      </c>
      <c r="K11" s="50">
        <v>60</v>
      </c>
      <c r="L11" s="13">
        <v>59</v>
      </c>
      <c r="M11" s="329"/>
    </row>
    <row r="12" spans="1:13" ht="12.75" customHeight="1" x14ac:dyDescent="0.2">
      <c r="A12" s="50" t="s">
        <v>96</v>
      </c>
      <c r="B12" s="50">
        <v>43</v>
      </c>
      <c r="C12" s="50">
        <f t="shared" ref="C12:I12" si="2">+B12+B7</f>
        <v>45</v>
      </c>
      <c r="D12" s="50">
        <f t="shared" si="2"/>
        <v>46</v>
      </c>
      <c r="E12" s="50">
        <f t="shared" si="2"/>
        <v>60</v>
      </c>
      <c r="F12" s="50">
        <f t="shared" si="2"/>
        <v>91</v>
      </c>
      <c r="G12" s="50">
        <f t="shared" si="2"/>
        <v>105</v>
      </c>
      <c r="H12" s="50">
        <f t="shared" si="2"/>
        <v>109</v>
      </c>
      <c r="I12" s="50">
        <f t="shared" si="2"/>
        <v>109</v>
      </c>
      <c r="J12" s="50">
        <v>110</v>
      </c>
      <c r="K12" s="50">
        <v>108</v>
      </c>
      <c r="L12" s="13">
        <v>101</v>
      </c>
      <c r="M12" s="329"/>
    </row>
    <row r="13" spans="1:13" ht="12.75" customHeight="1" x14ac:dyDescent="0.2">
      <c r="A13" s="733" t="s">
        <v>807</v>
      </c>
      <c r="B13" s="733">
        <f t="shared" ref="B13:L13" si="3">+B11+B12</f>
        <v>87</v>
      </c>
      <c r="C13" s="733">
        <f t="shared" si="3"/>
        <v>93</v>
      </c>
      <c r="D13" s="733">
        <f t="shared" si="3"/>
        <v>95</v>
      </c>
      <c r="E13" s="733">
        <f t="shared" si="3"/>
        <v>113</v>
      </c>
      <c r="F13" s="733">
        <f t="shared" si="3"/>
        <v>145</v>
      </c>
      <c r="G13" s="733">
        <f t="shared" si="3"/>
        <v>161</v>
      </c>
      <c r="H13" s="733">
        <f t="shared" si="3"/>
        <v>168</v>
      </c>
      <c r="I13" s="733">
        <f t="shared" si="3"/>
        <v>172</v>
      </c>
      <c r="J13" s="733">
        <f t="shared" si="3"/>
        <v>170</v>
      </c>
      <c r="K13" s="733">
        <f t="shared" si="3"/>
        <v>168</v>
      </c>
      <c r="L13" s="733">
        <f t="shared" si="3"/>
        <v>160</v>
      </c>
      <c r="M13" s="329"/>
    </row>
    <row r="54" spans="1:5" ht="12.75" customHeight="1" x14ac:dyDescent="0.2">
      <c r="A54" s="329" t="s">
        <v>988</v>
      </c>
    </row>
    <row r="55" spans="1:5" ht="12.75" customHeight="1" x14ac:dyDescent="0.2">
      <c r="A55" s="329" t="s">
        <v>1002</v>
      </c>
    </row>
    <row r="56" spans="1:5" ht="12.75" customHeight="1" x14ac:dyDescent="0.2">
      <c r="A56" s="329" t="s">
        <v>1298</v>
      </c>
      <c r="E56" s="438">
        <v>43662</v>
      </c>
    </row>
    <row r="57" spans="1:5" ht="12.75" customHeight="1" x14ac:dyDescent="0.2"/>
    <row r="58" spans="1:5" ht="12.75" customHeight="1" x14ac:dyDescent="0.2">
      <c r="A58" s="733">
        <v>2012</v>
      </c>
      <c r="B58" s="733"/>
    </row>
    <row r="59" spans="1:5" ht="12.75" customHeight="1" x14ac:dyDescent="0.2">
      <c r="A59" s="734" t="s">
        <v>84</v>
      </c>
      <c r="B59" s="734"/>
    </row>
    <row r="60" spans="1:5" ht="12.75" customHeight="1" x14ac:dyDescent="0.2">
      <c r="A60" s="31" t="s">
        <v>961</v>
      </c>
      <c r="B60" s="31" t="s">
        <v>19</v>
      </c>
      <c r="C60" s="31" t="s">
        <v>20</v>
      </c>
      <c r="D60" s="31" t="s">
        <v>23</v>
      </c>
      <c r="E60" s="31" t="s">
        <v>30</v>
      </c>
    </row>
    <row r="61" spans="1:5" ht="12.75" customHeight="1" x14ac:dyDescent="0.2">
      <c r="A61" s="13">
        <v>1</v>
      </c>
      <c r="B61" s="51" t="s">
        <v>333</v>
      </c>
      <c r="C61" s="51" t="s">
        <v>997</v>
      </c>
      <c r="D61" s="50">
        <v>102149</v>
      </c>
      <c r="E61" s="51" t="s">
        <v>337</v>
      </c>
    </row>
    <row r="62" spans="1:5" ht="12.75" customHeight="1" x14ac:dyDescent="0.2">
      <c r="A62" s="13">
        <v>2</v>
      </c>
      <c r="B62" s="51" t="s">
        <v>333</v>
      </c>
      <c r="C62" s="51" t="s">
        <v>1116</v>
      </c>
      <c r="D62" s="50">
        <v>102181</v>
      </c>
      <c r="E62" s="51" t="s">
        <v>337</v>
      </c>
    </row>
    <row r="63" spans="1:5" ht="12.75" customHeight="1" x14ac:dyDescent="0.2">
      <c r="A63" s="13">
        <v>3</v>
      </c>
      <c r="B63" s="51" t="s">
        <v>574</v>
      </c>
      <c r="C63" s="51" t="s">
        <v>1065</v>
      </c>
      <c r="D63" s="50">
        <v>102182</v>
      </c>
      <c r="E63" s="181" t="s">
        <v>337</v>
      </c>
    </row>
    <row r="64" spans="1:5" ht="12.75" customHeight="1" x14ac:dyDescent="0.2">
      <c r="A64" s="13">
        <v>4</v>
      </c>
      <c r="B64" s="51" t="s">
        <v>574</v>
      </c>
      <c r="C64" s="51" t="s">
        <v>1065</v>
      </c>
      <c r="D64" s="50">
        <v>102184</v>
      </c>
      <c r="E64" s="181" t="s">
        <v>1284</v>
      </c>
    </row>
    <row r="65" spans="1:5" ht="12.75" customHeight="1" x14ac:dyDescent="0.2">
      <c r="A65" s="734" t="s">
        <v>96</v>
      </c>
    </row>
    <row r="66" spans="1:5" ht="12.75" customHeight="1" x14ac:dyDescent="0.2">
      <c r="A66" s="31" t="s">
        <v>961</v>
      </c>
      <c r="B66" s="31" t="s">
        <v>19</v>
      </c>
      <c r="C66" s="31" t="s">
        <v>20</v>
      </c>
      <c r="D66" s="31" t="s">
        <v>23</v>
      </c>
      <c r="E66" s="31" t="s">
        <v>30</v>
      </c>
    </row>
    <row r="67" spans="1:5" ht="12.75" customHeight="1" x14ac:dyDescent="0.2">
      <c r="A67" s="13">
        <v>1</v>
      </c>
      <c r="B67" s="51" t="s">
        <v>182</v>
      </c>
      <c r="C67" s="51" t="s">
        <v>203</v>
      </c>
      <c r="D67" s="50">
        <v>102109</v>
      </c>
      <c r="E67" s="51" t="s">
        <v>207</v>
      </c>
    </row>
    <row r="68" spans="1:5" ht="12.75" customHeight="1" x14ac:dyDescent="0.2">
      <c r="A68" s="13">
        <v>2</v>
      </c>
      <c r="B68" s="51" t="s">
        <v>691</v>
      </c>
      <c r="C68" s="51" t="s">
        <v>692</v>
      </c>
      <c r="D68" s="50">
        <v>101755</v>
      </c>
      <c r="E68" s="51" t="s">
        <v>697</v>
      </c>
    </row>
    <row r="69" spans="1:5" ht="12.75" customHeight="1" x14ac:dyDescent="0.2">
      <c r="A69" s="27"/>
    </row>
    <row r="70" spans="1:5" ht="12.75" customHeight="1" x14ac:dyDescent="0.2">
      <c r="A70" s="733">
        <v>2013</v>
      </c>
    </row>
    <row r="71" spans="1:5" ht="12.75" customHeight="1" x14ac:dyDescent="0.2">
      <c r="A71" s="734" t="s">
        <v>84</v>
      </c>
    </row>
    <row r="72" spans="1:5" ht="12.75" customHeight="1" x14ac:dyDescent="0.2">
      <c r="A72" s="31" t="s">
        <v>961</v>
      </c>
      <c r="B72" s="31" t="s">
        <v>19</v>
      </c>
      <c r="C72" s="31" t="s">
        <v>20</v>
      </c>
      <c r="D72" s="31" t="s">
        <v>23</v>
      </c>
      <c r="E72" s="31" t="s">
        <v>30</v>
      </c>
    </row>
    <row r="73" spans="1:5" ht="12.75" customHeight="1" x14ac:dyDescent="0.2">
      <c r="A73" s="13">
        <v>1</v>
      </c>
      <c r="B73" s="51" t="s">
        <v>609</v>
      </c>
      <c r="C73" s="51" t="s">
        <v>644</v>
      </c>
      <c r="D73" s="50">
        <v>102471</v>
      </c>
      <c r="E73" s="51" t="s">
        <v>337</v>
      </c>
    </row>
    <row r="74" spans="1:5" ht="12.75" customHeight="1" x14ac:dyDescent="0.2">
      <c r="A74" s="734" t="s">
        <v>96</v>
      </c>
    </row>
    <row r="75" spans="1:5" ht="12.75" customHeight="1" x14ac:dyDescent="0.2">
      <c r="A75" s="31" t="s">
        <v>961</v>
      </c>
      <c r="B75" s="31" t="s">
        <v>19</v>
      </c>
      <c r="C75" s="31" t="s">
        <v>20</v>
      </c>
      <c r="D75" s="31" t="s">
        <v>23</v>
      </c>
      <c r="E75" s="31" t="s">
        <v>30</v>
      </c>
    </row>
    <row r="76" spans="1:5" ht="12.75" customHeight="1" x14ac:dyDescent="0.2">
      <c r="A76" s="13">
        <v>1</v>
      </c>
      <c r="B76" s="51" t="s">
        <v>574</v>
      </c>
      <c r="C76" s="51" t="s">
        <v>1129</v>
      </c>
      <c r="D76" s="50">
        <v>102484</v>
      </c>
      <c r="E76" s="51" t="s">
        <v>80</v>
      </c>
    </row>
    <row r="77" spans="1:5" ht="12.75" customHeight="1" x14ac:dyDescent="0.2">
      <c r="A77" s="27"/>
    </row>
    <row r="78" spans="1:5" ht="12.75" customHeight="1" x14ac:dyDescent="0.2">
      <c r="A78" s="733">
        <v>2014</v>
      </c>
    </row>
    <row r="79" spans="1:5" ht="12.75" customHeight="1" x14ac:dyDescent="0.2">
      <c r="A79" s="734" t="s">
        <v>84</v>
      </c>
    </row>
    <row r="80" spans="1:5" ht="12.75" customHeight="1" x14ac:dyDescent="0.2">
      <c r="A80" s="31" t="s">
        <v>961</v>
      </c>
      <c r="B80" s="31" t="s">
        <v>19</v>
      </c>
      <c r="C80" s="31" t="s">
        <v>20</v>
      </c>
      <c r="D80" s="31" t="s">
        <v>23</v>
      </c>
      <c r="E80" s="31" t="s">
        <v>30</v>
      </c>
    </row>
    <row r="81" spans="1:5" ht="12.75" customHeight="1" x14ac:dyDescent="0.2">
      <c r="A81" s="13">
        <v>1</v>
      </c>
      <c r="B81" s="51" t="s">
        <v>74</v>
      </c>
      <c r="C81" s="51" t="s">
        <v>101</v>
      </c>
      <c r="D81" s="72">
        <v>106085</v>
      </c>
      <c r="E81" s="51" t="s">
        <v>337</v>
      </c>
    </row>
    <row r="82" spans="1:5" ht="12.75" customHeight="1" x14ac:dyDescent="0.2">
      <c r="A82" s="13">
        <v>2</v>
      </c>
      <c r="B82" s="51" t="s">
        <v>130</v>
      </c>
      <c r="C82" s="51" t="s">
        <v>131</v>
      </c>
      <c r="D82" s="50">
        <v>103303</v>
      </c>
      <c r="E82" s="51" t="s">
        <v>337</v>
      </c>
    </row>
    <row r="83" spans="1:5" ht="12.75" customHeight="1" x14ac:dyDescent="0.2">
      <c r="A83" s="13">
        <v>3</v>
      </c>
      <c r="B83" s="51" t="s">
        <v>333</v>
      </c>
      <c r="C83" s="51" t="s">
        <v>1117</v>
      </c>
      <c r="D83" s="50">
        <v>103336</v>
      </c>
      <c r="E83" s="51" t="s">
        <v>80</v>
      </c>
    </row>
    <row r="84" spans="1:5" ht="12.75" customHeight="1" x14ac:dyDescent="0.2">
      <c r="A84" s="13">
        <v>4</v>
      </c>
      <c r="B84" s="51" t="s">
        <v>333</v>
      </c>
      <c r="C84" s="51" t="s">
        <v>1117</v>
      </c>
      <c r="D84" s="50">
        <v>103787</v>
      </c>
      <c r="E84" s="51" t="s">
        <v>337</v>
      </c>
    </row>
    <row r="85" spans="1:5" ht="12.75" customHeight="1" x14ac:dyDescent="0.2">
      <c r="A85" s="734" t="s">
        <v>96</v>
      </c>
    </row>
    <row r="86" spans="1:5" ht="12.75" customHeight="1" x14ac:dyDescent="0.2">
      <c r="A86" s="31" t="s">
        <v>961</v>
      </c>
      <c r="B86" s="31" t="s">
        <v>19</v>
      </c>
      <c r="C86" s="31" t="s">
        <v>20</v>
      </c>
      <c r="D86" s="31" t="s">
        <v>23</v>
      </c>
      <c r="E86" s="31" t="s">
        <v>30</v>
      </c>
    </row>
    <row r="87" spans="1:5" ht="12.75" customHeight="1" x14ac:dyDescent="0.2">
      <c r="A87" s="13">
        <v>1</v>
      </c>
      <c r="B87" s="51" t="s">
        <v>130</v>
      </c>
      <c r="C87" s="51" t="s">
        <v>143</v>
      </c>
      <c r="D87" s="50">
        <v>103292</v>
      </c>
      <c r="E87" s="51" t="s">
        <v>80</v>
      </c>
    </row>
    <row r="88" spans="1:5" ht="12.75" customHeight="1" x14ac:dyDescent="0.2">
      <c r="A88" s="13">
        <v>2</v>
      </c>
      <c r="B88" s="51" t="s">
        <v>130</v>
      </c>
      <c r="C88" s="51" t="s">
        <v>143</v>
      </c>
      <c r="D88" s="50">
        <v>103386</v>
      </c>
      <c r="E88" s="51" t="s">
        <v>337</v>
      </c>
    </row>
    <row r="89" spans="1:5" ht="12.75" customHeight="1" x14ac:dyDescent="0.2">
      <c r="A89" s="13">
        <v>3</v>
      </c>
      <c r="B89" s="51" t="s">
        <v>182</v>
      </c>
      <c r="C89" s="51" t="s">
        <v>1108</v>
      </c>
      <c r="D89" s="50">
        <v>103477</v>
      </c>
      <c r="E89" s="51" t="s">
        <v>80</v>
      </c>
    </row>
    <row r="90" spans="1:5" ht="12.75" customHeight="1" x14ac:dyDescent="0.2">
      <c r="A90" s="13">
        <v>4</v>
      </c>
      <c r="B90" s="51" t="s">
        <v>182</v>
      </c>
      <c r="C90" s="51" t="s">
        <v>198</v>
      </c>
      <c r="D90" s="72">
        <v>103753</v>
      </c>
      <c r="E90" s="51" t="s">
        <v>337</v>
      </c>
    </row>
    <row r="91" spans="1:5" ht="12.75" customHeight="1" x14ac:dyDescent="0.2">
      <c r="A91" s="13">
        <v>5</v>
      </c>
      <c r="B91" s="51" t="s">
        <v>182</v>
      </c>
      <c r="C91" s="51" t="s">
        <v>244</v>
      </c>
      <c r="D91" s="72">
        <v>103818</v>
      </c>
      <c r="E91" s="51" t="s">
        <v>207</v>
      </c>
    </row>
    <row r="92" spans="1:5" ht="12.75" customHeight="1" x14ac:dyDescent="0.2">
      <c r="A92" s="13">
        <v>6</v>
      </c>
      <c r="B92" s="51" t="s">
        <v>413</v>
      </c>
      <c r="C92" s="51" t="s">
        <v>427</v>
      </c>
      <c r="D92" s="50">
        <v>103476</v>
      </c>
      <c r="E92" s="51" t="s">
        <v>80</v>
      </c>
    </row>
    <row r="93" spans="1:5" ht="12.75" customHeight="1" x14ac:dyDescent="0.2">
      <c r="A93" s="13">
        <v>7</v>
      </c>
      <c r="B93" s="51" t="s">
        <v>413</v>
      </c>
      <c r="C93" s="51" t="s">
        <v>427</v>
      </c>
      <c r="D93" s="50">
        <v>103504</v>
      </c>
      <c r="E93" s="51" t="s">
        <v>337</v>
      </c>
    </row>
    <row r="94" spans="1:5" ht="12.75" customHeight="1" x14ac:dyDescent="0.2">
      <c r="A94" s="13">
        <v>8</v>
      </c>
      <c r="B94" s="51" t="s">
        <v>574</v>
      </c>
      <c r="C94" s="51" t="s">
        <v>1130</v>
      </c>
      <c r="D94" s="50">
        <v>103197</v>
      </c>
      <c r="E94" s="51" t="s">
        <v>80</v>
      </c>
    </row>
    <row r="95" spans="1:5" ht="12.75" customHeight="1" x14ac:dyDescent="0.2">
      <c r="A95" s="13">
        <v>9</v>
      </c>
      <c r="B95" s="51" t="s">
        <v>574</v>
      </c>
      <c r="C95" s="51" t="s">
        <v>1131</v>
      </c>
      <c r="D95" s="50">
        <v>103335</v>
      </c>
      <c r="E95" s="51" t="s">
        <v>80</v>
      </c>
    </row>
    <row r="96" spans="1:5" ht="12.75" customHeight="1" x14ac:dyDescent="0.2">
      <c r="A96" s="13">
        <v>10</v>
      </c>
      <c r="B96" s="51" t="s">
        <v>574</v>
      </c>
      <c r="C96" s="51" t="s">
        <v>1132</v>
      </c>
      <c r="D96" s="72">
        <v>103480</v>
      </c>
      <c r="E96" s="51" t="s">
        <v>80</v>
      </c>
    </row>
    <row r="97" spans="1:5" ht="12.75" customHeight="1" x14ac:dyDescent="0.2">
      <c r="A97" s="13">
        <v>11</v>
      </c>
      <c r="B97" s="51" t="s">
        <v>574</v>
      </c>
      <c r="C97" s="51" t="s">
        <v>1133</v>
      </c>
      <c r="D97" s="50">
        <v>103513</v>
      </c>
      <c r="E97" s="51" t="s">
        <v>80</v>
      </c>
    </row>
    <row r="98" spans="1:5" ht="12.75" customHeight="1" x14ac:dyDescent="0.2">
      <c r="A98" s="13">
        <v>12</v>
      </c>
      <c r="B98" s="51" t="s">
        <v>574</v>
      </c>
      <c r="C98" s="51" t="s">
        <v>596</v>
      </c>
      <c r="D98" s="50">
        <v>103788</v>
      </c>
      <c r="E98" s="51" t="s">
        <v>80</v>
      </c>
    </row>
    <row r="99" spans="1:5" ht="12.75" customHeight="1" x14ac:dyDescent="0.2">
      <c r="A99" s="13">
        <v>13</v>
      </c>
      <c r="B99" s="51" t="s">
        <v>574</v>
      </c>
      <c r="C99" s="51" t="s">
        <v>1134</v>
      </c>
      <c r="D99" s="50">
        <v>103789</v>
      </c>
      <c r="E99" s="51" t="s">
        <v>80</v>
      </c>
    </row>
    <row r="100" spans="1:5" ht="12.75" customHeight="1" x14ac:dyDescent="0.2">
      <c r="A100" s="13">
        <v>14</v>
      </c>
      <c r="B100" s="51" t="s">
        <v>574</v>
      </c>
      <c r="C100" s="51" t="s">
        <v>1129</v>
      </c>
      <c r="D100" s="50">
        <v>104098</v>
      </c>
      <c r="E100" s="51" t="s">
        <v>207</v>
      </c>
    </row>
    <row r="101" spans="1:5" ht="12.75" customHeight="1" x14ac:dyDescent="0.2">
      <c r="A101" s="27"/>
    </row>
    <row r="102" spans="1:5" ht="12.75" customHeight="1" x14ac:dyDescent="0.2">
      <c r="A102" s="733">
        <v>2015</v>
      </c>
    </row>
    <row r="103" spans="1:5" ht="12.75" customHeight="1" x14ac:dyDescent="0.2">
      <c r="A103" s="734" t="s">
        <v>84</v>
      </c>
    </row>
    <row r="104" spans="1:5" ht="12.75" customHeight="1" x14ac:dyDescent="0.2">
      <c r="A104" s="31" t="s">
        <v>961</v>
      </c>
      <c r="B104" s="31" t="s">
        <v>19</v>
      </c>
      <c r="C104" s="31" t="s">
        <v>20</v>
      </c>
      <c r="D104" s="31" t="s">
        <v>23</v>
      </c>
      <c r="E104" s="31" t="s">
        <v>30</v>
      </c>
    </row>
    <row r="105" spans="1:5" ht="12.75" customHeight="1" x14ac:dyDescent="0.2">
      <c r="A105" s="13">
        <v>1</v>
      </c>
      <c r="B105" s="51" t="s">
        <v>413</v>
      </c>
      <c r="C105" s="51" t="s">
        <v>1127</v>
      </c>
      <c r="D105" s="50">
        <v>104822</v>
      </c>
      <c r="E105" s="51" t="s">
        <v>337</v>
      </c>
    </row>
    <row r="106" spans="1:5" ht="12.75" customHeight="1" x14ac:dyDescent="0.2">
      <c r="A106" s="734" t="s">
        <v>96</v>
      </c>
    </row>
    <row r="107" spans="1:5" ht="12.75" customHeight="1" x14ac:dyDescent="0.2">
      <c r="A107" s="31" t="s">
        <v>961</v>
      </c>
      <c r="B107" s="31" t="s">
        <v>19</v>
      </c>
      <c r="C107" s="31" t="s">
        <v>20</v>
      </c>
      <c r="D107" s="31" t="s">
        <v>23</v>
      </c>
      <c r="E107" s="31" t="s">
        <v>30</v>
      </c>
    </row>
    <row r="108" spans="1:5" ht="12.75" customHeight="1" x14ac:dyDescent="0.2">
      <c r="A108" s="13">
        <v>1</v>
      </c>
      <c r="B108" s="51" t="s">
        <v>74</v>
      </c>
      <c r="C108" s="51" t="s">
        <v>90</v>
      </c>
      <c r="D108" s="50">
        <v>104526</v>
      </c>
      <c r="E108" s="51" t="s">
        <v>80</v>
      </c>
    </row>
    <row r="109" spans="1:5" ht="12.75" customHeight="1" x14ac:dyDescent="0.2">
      <c r="A109" s="13">
        <v>2</v>
      </c>
      <c r="B109" s="51" t="s">
        <v>130</v>
      </c>
      <c r="C109" s="51" t="s">
        <v>1106</v>
      </c>
      <c r="D109" s="50">
        <v>104369</v>
      </c>
      <c r="E109" s="51" t="s">
        <v>1299</v>
      </c>
    </row>
    <row r="110" spans="1:5" ht="12.75" customHeight="1" x14ac:dyDescent="0.2">
      <c r="A110" s="13">
        <v>3</v>
      </c>
      <c r="B110" s="51" t="s">
        <v>130</v>
      </c>
      <c r="C110" s="51" t="s">
        <v>158</v>
      </c>
      <c r="D110" s="50">
        <v>104677</v>
      </c>
      <c r="E110" s="51" t="s">
        <v>80</v>
      </c>
    </row>
    <row r="111" spans="1:5" ht="12.75" customHeight="1" x14ac:dyDescent="0.2">
      <c r="A111" s="13">
        <v>4</v>
      </c>
      <c r="B111" s="51" t="s">
        <v>130</v>
      </c>
      <c r="C111" s="51" t="s">
        <v>1107</v>
      </c>
      <c r="D111" s="50">
        <v>104845</v>
      </c>
      <c r="E111" s="51" t="s">
        <v>1299</v>
      </c>
    </row>
    <row r="112" spans="1:5" ht="12.75" customHeight="1" x14ac:dyDescent="0.2">
      <c r="A112" s="13">
        <v>5</v>
      </c>
      <c r="B112" s="51" t="s">
        <v>130</v>
      </c>
      <c r="C112" s="51" t="s">
        <v>151</v>
      </c>
      <c r="D112" s="50">
        <v>104846</v>
      </c>
      <c r="E112" s="51" t="s">
        <v>80</v>
      </c>
    </row>
    <row r="113" spans="1:5" ht="12.75" customHeight="1" x14ac:dyDescent="0.2">
      <c r="A113" s="13">
        <v>6</v>
      </c>
      <c r="B113" s="51" t="s">
        <v>182</v>
      </c>
      <c r="C113" s="51" t="s">
        <v>1109</v>
      </c>
      <c r="D113" s="72">
        <v>104192</v>
      </c>
      <c r="E113" s="51" t="s">
        <v>80</v>
      </c>
    </row>
    <row r="114" spans="1:5" ht="12.75" customHeight="1" x14ac:dyDescent="0.2">
      <c r="A114" s="13">
        <v>7</v>
      </c>
      <c r="B114" s="51" t="s">
        <v>182</v>
      </c>
      <c r="C114" s="51" t="s">
        <v>1110</v>
      </c>
      <c r="D114" s="72">
        <v>104292</v>
      </c>
      <c r="E114" s="51" t="s">
        <v>337</v>
      </c>
    </row>
    <row r="115" spans="1:5" ht="12.75" customHeight="1" x14ac:dyDescent="0.2">
      <c r="A115" s="13">
        <v>8</v>
      </c>
      <c r="B115" s="51" t="s">
        <v>182</v>
      </c>
      <c r="C115" s="51" t="s">
        <v>1111</v>
      </c>
      <c r="D115" s="72">
        <v>104679</v>
      </c>
      <c r="E115" s="51" t="s">
        <v>337</v>
      </c>
    </row>
    <row r="116" spans="1:5" ht="12.75" customHeight="1" x14ac:dyDescent="0.2">
      <c r="A116" s="13">
        <v>9</v>
      </c>
      <c r="B116" s="51" t="s">
        <v>182</v>
      </c>
      <c r="C116" s="51" t="s">
        <v>1111</v>
      </c>
      <c r="D116" s="72">
        <v>104698</v>
      </c>
      <c r="E116" s="51" t="s">
        <v>80</v>
      </c>
    </row>
    <row r="117" spans="1:5" ht="12.75" customHeight="1" x14ac:dyDescent="0.2">
      <c r="A117" s="13">
        <v>10</v>
      </c>
      <c r="B117" s="51" t="s">
        <v>255</v>
      </c>
      <c r="C117" s="51" t="s">
        <v>1115</v>
      </c>
      <c r="D117" s="380">
        <v>104917</v>
      </c>
      <c r="E117" s="51" t="s">
        <v>80</v>
      </c>
    </row>
    <row r="118" spans="1:5" ht="12.75" customHeight="1" x14ac:dyDescent="0.2">
      <c r="A118" s="13">
        <v>11</v>
      </c>
      <c r="B118" s="51" t="s">
        <v>333</v>
      </c>
      <c r="C118" s="51" t="s">
        <v>362</v>
      </c>
      <c r="D118" s="50">
        <v>104296</v>
      </c>
      <c r="E118" s="51" t="s">
        <v>80</v>
      </c>
    </row>
    <row r="119" spans="1:5" ht="12.75" customHeight="1" x14ac:dyDescent="0.2">
      <c r="A119" s="13">
        <v>12</v>
      </c>
      <c r="B119" s="51" t="s">
        <v>333</v>
      </c>
      <c r="C119" s="51" t="s">
        <v>387</v>
      </c>
      <c r="D119" s="50">
        <v>104456</v>
      </c>
      <c r="E119" s="51" t="s">
        <v>80</v>
      </c>
    </row>
    <row r="120" spans="1:5" ht="12.75" customHeight="1" x14ac:dyDescent="0.2">
      <c r="A120" s="13">
        <v>13</v>
      </c>
      <c r="B120" s="51" t="s">
        <v>333</v>
      </c>
      <c r="C120" s="51" t="s">
        <v>1118</v>
      </c>
      <c r="D120" s="50">
        <v>104622</v>
      </c>
      <c r="E120" s="51" t="s">
        <v>80</v>
      </c>
    </row>
    <row r="121" spans="1:5" ht="12.75" customHeight="1" x14ac:dyDescent="0.2">
      <c r="A121" s="13">
        <v>14</v>
      </c>
      <c r="B121" s="51" t="s">
        <v>333</v>
      </c>
      <c r="C121" s="51" t="s">
        <v>1119</v>
      </c>
      <c r="D121" s="50">
        <v>104678</v>
      </c>
      <c r="E121" s="51" t="s">
        <v>80</v>
      </c>
    </row>
    <row r="122" spans="1:5" ht="12.75" customHeight="1" x14ac:dyDescent="0.2">
      <c r="A122" s="13">
        <v>15</v>
      </c>
      <c r="B122" s="51" t="s">
        <v>413</v>
      </c>
      <c r="C122" s="51" t="s">
        <v>456</v>
      </c>
      <c r="D122" s="50">
        <v>104303</v>
      </c>
      <c r="E122" s="51" t="s">
        <v>80</v>
      </c>
    </row>
    <row r="123" spans="1:5" ht="12.75" customHeight="1" x14ac:dyDescent="0.2">
      <c r="A123" s="13">
        <v>16</v>
      </c>
      <c r="B123" s="51" t="s">
        <v>413</v>
      </c>
      <c r="C123" s="51" t="s">
        <v>1126</v>
      </c>
      <c r="D123" s="50">
        <v>104520</v>
      </c>
      <c r="E123" s="51" t="s">
        <v>1289</v>
      </c>
    </row>
    <row r="124" spans="1:5" ht="12.75" customHeight="1" x14ac:dyDescent="0.2">
      <c r="A124" s="13">
        <v>17</v>
      </c>
      <c r="B124" s="51" t="s">
        <v>413</v>
      </c>
      <c r="C124" s="51" t="s">
        <v>1126</v>
      </c>
      <c r="D124" s="50">
        <v>104521</v>
      </c>
      <c r="E124" s="51" t="s">
        <v>1290</v>
      </c>
    </row>
    <row r="125" spans="1:5" ht="12.75" customHeight="1" x14ac:dyDescent="0.2">
      <c r="A125" s="13">
        <v>18</v>
      </c>
      <c r="B125" s="51" t="s">
        <v>413</v>
      </c>
      <c r="C125" s="51" t="s">
        <v>1126</v>
      </c>
      <c r="D125" s="50">
        <v>104522</v>
      </c>
      <c r="E125" s="51" t="s">
        <v>1291</v>
      </c>
    </row>
    <row r="126" spans="1:5" ht="12.75" customHeight="1" x14ac:dyDescent="0.2">
      <c r="A126" s="13">
        <v>19</v>
      </c>
      <c r="B126" s="51" t="s">
        <v>413</v>
      </c>
      <c r="C126" s="51" t="s">
        <v>1126</v>
      </c>
      <c r="D126" s="50">
        <v>104523</v>
      </c>
      <c r="E126" s="51" t="s">
        <v>337</v>
      </c>
    </row>
    <row r="127" spans="1:5" ht="12.75" customHeight="1" x14ac:dyDescent="0.2">
      <c r="A127" s="13">
        <v>20</v>
      </c>
      <c r="B127" s="51" t="s">
        <v>413</v>
      </c>
      <c r="C127" s="51" t="s">
        <v>1077</v>
      </c>
      <c r="D127" s="50">
        <v>104621</v>
      </c>
      <c r="E127" s="51" t="s">
        <v>80</v>
      </c>
    </row>
    <row r="128" spans="1:5" ht="12.75" customHeight="1" x14ac:dyDescent="0.2">
      <c r="A128" s="13">
        <v>21</v>
      </c>
      <c r="B128" s="51" t="s">
        <v>413</v>
      </c>
      <c r="C128" s="51" t="s">
        <v>1126</v>
      </c>
      <c r="D128" s="50">
        <v>104784</v>
      </c>
      <c r="E128" s="51" t="s">
        <v>80</v>
      </c>
    </row>
    <row r="129" spans="1:5" ht="12.75" customHeight="1" x14ac:dyDescent="0.2">
      <c r="A129" s="13">
        <v>22</v>
      </c>
      <c r="B129" s="51" t="s">
        <v>413</v>
      </c>
      <c r="C129" s="51" t="s">
        <v>1126</v>
      </c>
      <c r="D129" s="50">
        <v>105168</v>
      </c>
      <c r="E129" s="51" t="s">
        <v>1288</v>
      </c>
    </row>
    <row r="130" spans="1:5" ht="12.75" customHeight="1" x14ac:dyDescent="0.2">
      <c r="A130" s="13">
        <v>23</v>
      </c>
      <c r="B130" s="51" t="s">
        <v>413</v>
      </c>
      <c r="C130" s="51" t="s">
        <v>1126</v>
      </c>
      <c r="D130" s="50">
        <v>105275</v>
      </c>
      <c r="E130" s="51" t="s">
        <v>207</v>
      </c>
    </row>
    <row r="131" spans="1:5" ht="12.75" customHeight="1" x14ac:dyDescent="0.2">
      <c r="A131" s="13">
        <v>24</v>
      </c>
      <c r="B131" s="51" t="s">
        <v>413</v>
      </c>
      <c r="C131" s="51" t="s">
        <v>1126</v>
      </c>
      <c r="D131" s="50">
        <v>105276</v>
      </c>
      <c r="E131" s="51" t="s">
        <v>1293</v>
      </c>
    </row>
    <row r="132" spans="1:5" ht="12.75" customHeight="1" x14ac:dyDescent="0.2">
      <c r="A132" s="13">
        <v>25</v>
      </c>
      <c r="B132" s="51" t="s">
        <v>413</v>
      </c>
      <c r="C132" s="51" t="s">
        <v>1126</v>
      </c>
      <c r="D132" s="50">
        <v>105277</v>
      </c>
      <c r="E132" s="51" t="s">
        <v>1294</v>
      </c>
    </row>
    <row r="133" spans="1:5" ht="12.75" customHeight="1" x14ac:dyDescent="0.2">
      <c r="A133" s="13">
        <v>26</v>
      </c>
      <c r="B133" s="51" t="s">
        <v>413</v>
      </c>
      <c r="C133" s="51" t="s">
        <v>1126</v>
      </c>
      <c r="D133" s="50">
        <v>105278</v>
      </c>
      <c r="E133" s="51" t="s">
        <v>1292</v>
      </c>
    </row>
    <row r="134" spans="1:5" ht="12.75" customHeight="1" x14ac:dyDescent="0.2">
      <c r="A134" s="13">
        <v>27</v>
      </c>
      <c r="B134" s="51" t="s">
        <v>609</v>
      </c>
      <c r="C134" s="193" t="s">
        <v>1139</v>
      </c>
      <c r="D134" s="50">
        <v>104524</v>
      </c>
      <c r="E134" s="51" t="s">
        <v>80</v>
      </c>
    </row>
    <row r="135" spans="1:5" ht="12.75" customHeight="1" x14ac:dyDescent="0.2">
      <c r="A135" s="13">
        <v>28</v>
      </c>
      <c r="B135" s="51" t="s">
        <v>609</v>
      </c>
      <c r="C135" s="51" t="s">
        <v>648</v>
      </c>
      <c r="D135" s="50">
        <v>104528</v>
      </c>
      <c r="E135" s="51" t="s">
        <v>80</v>
      </c>
    </row>
    <row r="136" spans="1:5" ht="12.75" customHeight="1" x14ac:dyDescent="0.2">
      <c r="A136" s="13">
        <v>29</v>
      </c>
      <c r="B136" s="51" t="s">
        <v>609</v>
      </c>
      <c r="C136" s="181" t="s">
        <v>1078</v>
      </c>
      <c r="D136" s="72">
        <v>104611</v>
      </c>
      <c r="E136" s="51" t="s">
        <v>80</v>
      </c>
    </row>
    <row r="137" spans="1:5" ht="12.75" customHeight="1" x14ac:dyDescent="0.2">
      <c r="A137" s="13">
        <v>30</v>
      </c>
      <c r="B137" s="208" t="s">
        <v>691</v>
      </c>
      <c r="C137" s="208" t="s">
        <v>743</v>
      </c>
      <c r="D137" s="207">
        <v>104646</v>
      </c>
      <c r="E137" s="208" t="s">
        <v>80</v>
      </c>
    </row>
    <row r="138" spans="1:5" ht="12.75" customHeight="1" x14ac:dyDescent="0.2">
      <c r="A138" s="13">
        <v>31</v>
      </c>
      <c r="B138" s="208" t="s">
        <v>691</v>
      </c>
      <c r="C138" s="208" t="s">
        <v>748</v>
      </c>
      <c r="D138" s="207">
        <v>105149</v>
      </c>
      <c r="E138" s="208" t="s">
        <v>80</v>
      </c>
    </row>
    <row r="139" spans="1:5" ht="12.75" customHeight="1" x14ac:dyDescent="0.2">
      <c r="A139" s="27"/>
    </row>
    <row r="140" spans="1:5" ht="12.75" customHeight="1" x14ac:dyDescent="0.2">
      <c r="A140" s="733">
        <v>2016</v>
      </c>
    </row>
    <row r="141" spans="1:5" ht="12.75" customHeight="1" x14ac:dyDescent="0.2">
      <c r="A141" s="734" t="s">
        <v>84</v>
      </c>
    </row>
    <row r="142" spans="1:5" ht="12.75" customHeight="1" x14ac:dyDescent="0.2">
      <c r="A142" s="31" t="s">
        <v>961</v>
      </c>
      <c r="B142" s="31" t="s">
        <v>19</v>
      </c>
      <c r="C142" s="31" t="s">
        <v>20</v>
      </c>
      <c r="D142" s="31" t="s">
        <v>23</v>
      </c>
      <c r="E142" s="31" t="s">
        <v>30</v>
      </c>
    </row>
    <row r="143" spans="1:5" ht="12.75" customHeight="1" x14ac:dyDescent="0.2">
      <c r="A143" s="13">
        <v>1</v>
      </c>
      <c r="B143" s="51" t="s">
        <v>182</v>
      </c>
      <c r="C143" s="51" t="s">
        <v>985</v>
      </c>
      <c r="D143" s="50">
        <v>105715</v>
      </c>
      <c r="E143" s="51" t="s">
        <v>337</v>
      </c>
    </row>
    <row r="144" spans="1:5" ht="12.75" customHeight="1" x14ac:dyDescent="0.2">
      <c r="A144" s="13">
        <v>2</v>
      </c>
      <c r="B144" s="51" t="s">
        <v>691</v>
      </c>
      <c r="C144" s="51" t="s">
        <v>727</v>
      </c>
      <c r="D144" s="50">
        <v>105430</v>
      </c>
      <c r="E144" s="51" t="s">
        <v>337</v>
      </c>
    </row>
    <row r="145" spans="1:5" ht="12.75" customHeight="1" x14ac:dyDescent="0.2">
      <c r="A145" s="734" t="s">
        <v>96</v>
      </c>
    </row>
    <row r="146" spans="1:5" ht="12.75" customHeight="1" x14ac:dyDescent="0.2">
      <c r="A146" s="31" t="s">
        <v>961</v>
      </c>
      <c r="B146" s="31" t="s">
        <v>19</v>
      </c>
      <c r="C146" s="31" t="s">
        <v>20</v>
      </c>
      <c r="D146" s="31" t="s">
        <v>23</v>
      </c>
      <c r="E146" s="31" t="s">
        <v>30</v>
      </c>
    </row>
    <row r="147" spans="1:5" ht="12.75" customHeight="1" x14ac:dyDescent="0.2">
      <c r="A147" s="13">
        <v>1</v>
      </c>
      <c r="B147" s="51" t="s">
        <v>255</v>
      </c>
      <c r="C147" s="51" t="s">
        <v>292</v>
      </c>
      <c r="D147" s="50">
        <v>105964</v>
      </c>
      <c r="E147" s="51" t="s">
        <v>80</v>
      </c>
    </row>
    <row r="148" spans="1:5" ht="12.75" customHeight="1" x14ac:dyDescent="0.2">
      <c r="A148" s="13">
        <v>2</v>
      </c>
      <c r="B148" s="51" t="s">
        <v>333</v>
      </c>
      <c r="C148" s="51" t="s">
        <v>1120</v>
      </c>
      <c r="D148" s="50">
        <v>105456</v>
      </c>
      <c r="E148" s="51" t="s">
        <v>80</v>
      </c>
    </row>
    <row r="149" spans="1:5" ht="12.75" customHeight="1" x14ac:dyDescent="0.2">
      <c r="A149" s="13">
        <v>3</v>
      </c>
      <c r="B149" s="51" t="s">
        <v>333</v>
      </c>
      <c r="C149" s="51" t="s">
        <v>1121</v>
      </c>
      <c r="D149" s="50">
        <v>105457</v>
      </c>
      <c r="E149" s="51" t="s">
        <v>80</v>
      </c>
    </row>
    <row r="150" spans="1:5" ht="12.75" customHeight="1" x14ac:dyDescent="0.2">
      <c r="A150" s="13">
        <v>4</v>
      </c>
      <c r="B150" s="51" t="s">
        <v>333</v>
      </c>
      <c r="C150" s="51" t="s">
        <v>367</v>
      </c>
      <c r="D150" s="50">
        <v>105733</v>
      </c>
      <c r="E150" s="51" t="s">
        <v>80</v>
      </c>
    </row>
    <row r="151" spans="1:5" ht="12.75" customHeight="1" x14ac:dyDescent="0.2">
      <c r="A151" s="13">
        <v>5</v>
      </c>
      <c r="B151" s="51" t="s">
        <v>413</v>
      </c>
      <c r="C151" s="51" t="s">
        <v>521</v>
      </c>
      <c r="D151" s="50">
        <v>105532</v>
      </c>
      <c r="E151" s="51" t="s">
        <v>80</v>
      </c>
    </row>
    <row r="152" spans="1:5" ht="12.75" customHeight="1" x14ac:dyDescent="0.2">
      <c r="A152" s="13">
        <v>6</v>
      </c>
      <c r="B152" s="51" t="s">
        <v>413</v>
      </c>
      <c r="C152" s="51" t="s">
        <v>498</v>
      </c>
      <c r="D152" s="50">
        <v>105533</v>
      </c>
      <c r="E152" s="51" t="s">
        <v>80</v>
      </c>
    </row>
    <row r="153" spans="1:5" ht="12.75" customHeight="1" x14ac:dyDescent="0.2">
      <c r="A153" s="13">
        <v>7</v>
      </c>
      <c r="B153" s="51" t="s">
        <v>413</v>
      </c>
      <c r="C153" s="51" t="s">
        <v>535</v>
      </c>
      <c r="D153" s="50">
        <v>105656</v>
      </c>
      <c r="E153" s="51" t="s">
        <v>80</v>
      </c>
    </row>
    <row r="154" spans="1:5" ht="12.75" customHeight="1" x14ac:dyDescent="0.2">
      <c r="A154" s="13">
        <v>8</v>
      </c>
      <c r="B154" s="51" t="s">
        <v>413</v>
      </c>
      <c r="C154" s="51" t="s">
        <v>540</v>
      </c>
      <c r="D154" s="50">
        <v>105661</v>
      </c>
      <c r="E154" s="51" t="s">
        <v>80</v>
      </c>
    </row>
    <row r="155" spans="1:5" ht="12.75" customHeight="1" x14ac:dyDescent="0.2">
      <c r="A155" s="13">
        <v>9</v>
      </c>
      <c r="B155" s="51" t="s">
        <v>413</v>
      </c>
      <c r="C155" s="51" t="s">
        <v>502</v>
      </c>
      <c r="D155" s="50">
        <v>105772</v>
      </c>
      <c r="E155" s="51" t="s">
        <v>80</v>
      </c>
    </row>
    <row r="156" spans="1:5" ht="12.75" customHeight="1" x14ac:dyDescent="0.2">
      <c r="A156" s="13">
        <v>10</v>
      </c>
      <c r="B156" s="51" t="s">
        <v>574</v>
      </c>
      <c r="C156" s="51" t="s">
        <v>1135</v>
      </c>
      <c r="D156" s="50">
        <v>105221</v>
      </c>
      <c r="E156" s="51" t="s">
        <v>80</v>
      </c>
    </row>
    <row r="157" spans="1:5" ht="12.75" customHeight="1" x14ac:dyDescent="0.2">
      <c r="A157" s="13">
        <v>11</v>
      </c>
      <c r="B157" s="51" t="s">
        <v>574</v>
      </c>
      <c r="C157" s="51" t="s">
        <v>1136</v>
      </c>
      <c r="D157" s="50">
        <v>105566</v>
      </c>
      <c r="E157" s="51" t="s">
        <v>80</v>
      </c>
    </row>
    <row r="158" spans="1:5" ht="12.75" customHeight="1" x14ac:dyDescent="0.2">
      <c r="A158" s="13">
        <v>12</v>
      </c>
      <c r="B158" s="51" t="s">
        <v>574</v>
      </c>
      <c r="C158" s="51" t="s">
        <v>1137</v>
      </c>
      <c r="D158" s="50">
        <v>105571</v>
      </c>
      <c r="E158" s="51" t="s">
        <v>80</v>
      </c>
    </row>
    <row r="159" spans="1:5" ht="12.75" customHeight="1" x14ac:dyDescent="0.2">
      <c r="A159" s="13">
        <v>13</v>
      </c>
      <c r="B159" s="51" t="s">
        <v>609</v>
      </c>
      <c r="C159" s="181" t="s">
        <v>673</v>
      </c>
      <c r="D159" s="50">
        <v>105455</v>
      </c>
      <c r="E159" s="51" t="s">
        <v>80</v>
      </c>
    </row>
    <row r="160" spans="1:5" ht="12.75" customHeight="1" x14ac:dyDescent="0.2">
      <c r="A160" s="13">
        <v>14</v>
      </c>
      <c r="B160" s="51" t="s">
        <v>609</v>
      </c>
      <c r="C160" s="181" t="s">
        <v>677</v>
      </c>
      <c r="D160" s="50">
        <v>105480</v>
      </c>
      <c r="E160" s="51" t="s">
        <v>80</v>
      </c>
    </row>
    <row r="162" spans="1:5" ht="12.75" customHeight="1" x14ac:dyDescent="0.2">
      <c r="A162" s="733">
        <v>2017</v>
      </c>
    </row>
    <row r="163" spans="1:5" ht="12.75" customHeight="1" x14ac:dyDescent="0.2">
      <c r="A163" s="734" t="s">
        <v>84</v>
      </c>
    </row>
    <row r="164" spans="1:5" ht="12.75" customHeight="1" x14ac:dyDescent="0.2">
      <c r="A164" s="31" t="s">
        <v>961</v>
      </c>
      <c r="B164" s="31" t="s">
        <v>19</v>
      </c>
      <c r="C164" s="31" t="s">
        <v>20</v>
      </c>
      <c r="D164" s="31" t="s">
        <v>23</v>
      </c>
      <c r="E164" s="31" t="s">
        <v>30</v>
      </c>
    </row>
    <row r="165" spans="1:5" ht="12.75" customHeight="1" x14ac:dyDescent="0.2">
      <c r="A165" s="13">
        <v>1</v>
      </c>
      <c r="B165" s="51" t="s">
        <v>413</v>
      </c>
      <c r="C165" s="51" t="s">
        <v>1020</v>
      </c>
      <c r="D165" s="50">
        <v>106421</v>
      </c>
      <c r="E165" s="51" t="s">
        <v>80</v>
      </c>
    </row>
    <row r="166" spans="1:5" ht="12.75" customHeight="1" x14ac:dyDescent="0.2">
      <c r="A166" s="13">
        <v>2</v>
      </c>
      <c r="B166" s="51" t="s">
        <v>413</v>
      </c>
      <c r="C166" s="51" t="s">
        <v>1020</v>
      </c>
      <c r="D166" s="50">
        <v>106422</v>
      </c>
      <c r="E166" s="51" t="s">
        <v>337</v>
      </c>
    </row>
    <row r="167" spans="1:5" ht="12.75" customHeight="1" x14ac:dyDescent="0.2">
      <c r="A167" s="13">
        <v>3</v>
      </c>
      <c r="B167" s="51" t="s">
        <v>609</v>
      </c>
      <c r="C167" s="51" t="s">
        <v>686</v>
      </c>
      <c r="D167" s="50">
        <v>106111</v>
      </c>
      <c r="E167" s="51" t="s">
        <v>80</v>
      </c>
    </row>
    <row r="168" spans="1:5" ht="12.75" customHeight="1" x14ac:dyDescent="0.2">
      <c r="A168" s="734" t="s">
        <v>96</v>
      </c>
    </row>
    <row r="169" spans="1:5" ht="12.75" customHeight="1" x14ac:dyDescent="0.2">
      <c r="A169" s="31" t="s">
        <v>961</v>
      </c>
      <c r="B169" s="31" t="s">
        <v>19</v>
      </c>
      <c r="C169" s="31" t="s">
        <v>20</v>
      </c>
      <c r="D169" s="31" t="s">
        <v>23</v>
      </c>
      <c r="E169" s="31" t="s">
        <v>30</v>
      </c>
    </row>
    <row r="170" spans="1:5" ht="12.75" customHeight="1" x14ac:dyDescent="0.2">
      <c r="A170" s="13">
        <v>1</v>
      </c>
      <c r="B170" s="51" t="s">
        <v>255</v>
      </c>
      <c r="C170" s="51" t="s">
        <v>318</v>
      </c>
      <c r="D170" s="50">
        <v>106126</v>
      </c>
      <c r="E170" s="51" t="s">
        <v>80</v>
      </c>
    </row>
    <row r="171" spans="1:5" ht="12.75" customHeight="1" x14ac:dyDescent="0.2">
      <c r="A171" s="13">
        <v>2</v>
      </c>
      <c r="B171" s="51" t="s">
        <v>333</v>
      </c>
      <c r="C171" s="51" t="s">
        <v>357</v>
      </c>
      <c r="D171" s="50">
        <v>106091</v>
      </c>
      <c r="E171" s="51" t="s">
        <v>337</v>
      </c>
    </row>
    <row r="172" spans="1:5" ht="12.75" customHeight="1" x14ac:dyDescent="0.2">
      <c r="A172" s="13">
        <v>3</v>
      </c>
      <c r="B172" s="51" t="s">
        <v>413</v>
      </c>
      <c r="C172" s="51" t="s">
        <v>570</v>
      </c>
      <c r="D172" s="50">
        <v>106198</v>
      </c>
      <c r="E172" s="51" t="s">
        <v>337</v>
      </c>
    </row>
    <row r="173" spans="1:5" ht="12.75" customHeight="1" x14ac:dyDescent="0.2">
      <c r="A173" s="13">
        <v>4</v>
      </c>
      <c r="B173" s="51" t="s">
        <v>574</v>
      </c>
      <c r="C173" s="51" t="s">
        <v>1021</v>
      </c>
      <c r="D173" s="50">
        <v>106623</v>
      </c>
      <c r="E173" s="51" t="s">
        <v>80</v>
      </c>
    </row>
    <row r="174" spans="1:5" ht="12.75" customHeight="1" x14ac:dyDescent="0.2">
      <c r="A174" s="27"/>
    </row>
    <row r="175" spans="1:5" ht="12.75" customHeight="1" x14ac:dyDescent="0.2">
      <c r="A175" s="733">
        <v>2018</v>
      </c>
    </row>
    <row r="176" spans="1:5" ht="12.75" customHeight="1" x14ac:dyDescent="0.2">
      <c r="A176" s="734" t="s">
        <v>84</v>
      </c>
    </row>
    <row r="177" spans="1:5" ht="12.75" customHeight="1" x14ac:dyDescent="0.2">
      <c r="A177" s="31" t="s">
        <v>961</v>
      </c>
      <c r="B177" s="31" t="s">
        <v>19</v>
      </c>
      <c r="C177" s="31" t="s">
        <v>20</v>
      </c>
      <c r="D177" s="31" t="s">
        <v>23</v>
      </c>
      <c r="E177" s="31" t="s">
        <v>30</v>
      </c>
    </row>
    <row r="178" spans="1:5" ht="12.75" customHeight="1" x14ac:dyDescent="0.2">
      <c r="A178" s="13">
        <v>1</v>
      </c>
      <c r="B178" s="51" t="s">
        <v>130</v>
      </c>
      <c r="C178" s="51" t="s">
        <v>1023</v>
      </c>
      <c r="D178" s="50">
        <v>106793</v>
      </c>
      <c r="E178" s="51" t="s">
        <v>337</v>
      </c>
    </row>
    <row r="179" spans="1:5" ht="12.75" customHeight="1" x14ac:dyDescent="0.2">
      <c r="A179" s="13">
        <v>2</v>
      </c>
      <c r="B179" s="51" t="s">
        <v>130</v>
      </c>
      <c r="C179" s="51" t="s">
        <v>1024</v>
      </c>
      <c r="D179" s="50">
        <v>106792</v>
      </c>
      <c r="E179" s="51" t="s">
        <v>337</v>
      </c>
    </row>
    <row r="180" spans="1:5" ht="12.75" customHeight="1" x14ac:dyDescent="0.2">
      <c r="A180" s="13">
        <v>3</v>
      </c>
      <c r="B180" s="51" t="s">
        <v>182</v>
      </c>
      <c r="C180" s="51" t="s">
        <v>1112</v>
      </c>
      <c r="D180" s="50">
        <v>107251</v>
      </c>
      <c r="E180" s="51" t="s">
        <v>337</v>
      </c>
    </row>
    <row r="181" spans="1:5" ht="12.75" customHeight="1" x14ac:dyDescent="0.2">
      <c r="A181" s="13">
        <v>4</v>
      </c>
      <c r="B181" s="51" t="s">
        <v>182</v>
      </c>
      <c r="C181" s="51" t="s">
        <v>1285</v>
      </c>
      <c r="D181" s="50">
        <v>107268</v>
      </c>
      <c r="E181" s="51" t="s">
        <v>337</v>
      </c>
    </row>
    <row r="182" spans="1:5" ht="12.75" customHeight="1" x14ac:dyDescent="0.2">
      <c r="A182" s="329"/>
      <c r="B182" s="329"/>
      <c r="C182" s="329"/>
      <c r="D182" s="329"/>
      <c r="E182" s="329"/>
    </row>
    <row r="183" spans="1:5" ht="12.75" customHeight="1" x14ac:dyDescent="0.2">
      <c r="A183" s="733">
        <v>2019</v>
      </c>
    </row>
    <row r="184" spans="1:5" ht="12.75" customHeight="1" x14ac:dyDescent="0.2">
      <c r="A184" s="734" t="s">
        <v>96</v>
      </c>
    </row>
    <row r="185" spans="1:5" ht="12.75" customHeight="1" x14ac:dyDescent="0.2">
      <c r="A185" s="31" t="s">
        <v>961</v>
      </c>
      <c r="B185" s="31" t="s">
        <v>19</v>
      </c>
      <c r="C185" s="31" t="s">
        <v>20</v>
      </c>
      <c r="D185" s="31" t="s">
        <v>23</v>
      </c>
      <c r="E185" s="31" t="s">
        <v>30</v>
      </c>
    </row>
    <row r="186" spans="1:5" ht="12.75" customHeight="1" x14ac:dyDescent="0.2">
      <c r="A186" s="13">
        <v>1</v>
      </c>
      <c r="B186" s="51" t="s">
        <v>609</v>
      </c>
      <c r="C186" s="181" t="s">
        <v>623</v>
      </c>
      <c r="D186" s="50">
        <v>109143</v>
      </c>
      <c r="E186" s="51" t="s">
        <v>80</v>
      </c>
    </row>
    <row r="187" spans="1:5" ht="12.75" customHeight="1" x14ac:dyDescent="0.2">
      <c r="A187" s="13">
        <v>2</v>
      </c>
      <c r="B187" s="51" t="s">
        <v>609</v>
      </c>
      <c r="C187" s="181" t="s">
        <v>618</v>
      </c>
      <c r="D187" s="50">
        <v>108684</v>
      </c>
      <c r="E187" s="51" t="s">
        <v>80</v>
      </c>
    </row>
    <row r="188" spans="1:5" ht="12.75" customHeight="1" x14ac:dyDescent="0.2">
      <c r="A188" s="329"/>
      <c r="B188" s="329"/>
      <c r="C188" s="329"/>
      <c r="D188" s="329"/>
      <c r="E188" s="329"/>
    </row>
    <row r="189" spans="1:5" ht="12.75" customHeight="1" x14ac:dyDescent="0.2">
      <c r="A189" s="733">
        <v>2020</v>
      </c>
    </row>
    <row r="190" spans="1:5" ht="12.75" customHeight="1" x14ac:dyDescent="0.2">
      <c r="A190" s="734" t="s">
        <v>96</v>
      </c>
    </row>
    <row r="191" spans="1:5" ht="12.75" customHeight="1" x14ac:dyDescent="0.2">
      <c r="A191" s="31" t="s">
        <v>961</v>
      </c>
      <c r="B191" s="31" t="s">
        <v>19</v>
      </c>
      <c r="C191" s="31" t="s">
        <v>20</v>
      </c>
      <c r="D191" s="31" t="s">
        <v>23</v>
      </c>
      <c r="E191" s="31" t="s">
        <v>30</v>
      </c>
    </row>
    <row r="192" spans="1:5" ht="12.75" customHeight="1" x14ac:dyDescent="0.2">
      <c r="A192" s="13">
        <v>1</v>
      </c>
      <c r="B192" s="51" t="s">
        <v>691</v>
      </c>
      <c r="C192" s="181" t="s">
        <v>717</v>
      </c>
      <c r="D192" s="50">
        <v>109668</v>
      </c>
      <c r="E192" s="51" t="s">
        <v>80</v>
      </c>
    </row>
    <row r="194" spans="1:5" ht="12.75" customHeight="1" x14ac:dyDescent="0.2">
      <c r="A194" s="733">
        <v>2021</v>
      </c>
    </row>
    <row r="195" spans="1:5" ht="12.75" customHeight="1" x14ac:dyDescent="0.2">
      <c r="A195" s="734" t="s">
        <v>96</v>
      </c>
    </row>
    <row r="196" spans="1:5" ht="12.75" customHeight="1" x14ac:dyDescent="0.2">
      <c r="A196" s="31" t="s">
        <v>961</v>
      </c>
      <c r="B196" s="31" t="s">
        <v>19</v>
      </c>
      <c r="C196" s="31" t="s">
        <v>20</v>
      </c>
      <c r="D196" s="31" t="s">
        <v>23</v>
      </c>
      <c r="E196" s="31" t="s">
        <v>30</v>
      </c>
    </row>
    <row r="197" spans="1:5" ht="12.75" customHeight="1" x14ac:dyDescent="0.2">
      <c r="A197" s="13">
        <v>1</v>
      </c>
      <c r="B197" s="51" t="s">
        <v>255</v>
      </c>
      <c r="C197" s="51" t="s">
        <v>256</v>
      </c>
      <c r="D197" s="50">
        <v>110739</v>
      </c>
      <c r="E197" s="51" t="s">
        <v>80</v>
      </c>
    </row>
    <row r="198" spans="1:5" ht="12.75" customHeight="1" x14ac:dyDescent="0.2">
      <c r="A198" s="13">
        <v>2</v>
      </c>
      <c r="B198" s="51" t="s">
        <v>413</v>
      </c>
      <c r="C198" s="51" t="s">
        <v>460</v>
      </c>
      <c r="D198" s="329"/>
      <c r="E198" s="51" t="s">
        <v>80</v>
      </c>
    </row>
  </sheetData>
  <pageMargins left="0.7" right="0.7" top="0.75" bottom="0.75" header="0" footer="0"/>
  <pageSetup orientation="landscape"/>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E18"/>
  <sheetViews>
    <sheetView showGridLines="0" workbookViewId="0"/>
  </sheetViews>
  <sheetFormatPr baseColWidth="10" defaultColWidth="12.5703125" defaultRowHeight="15" customHeight="1" x14ac:dyDescent="0.2"/>
  <cols>
    <col min="1" max="1" width="3.7109375" customWidth="1"/>
    <col min="2" max="2" width="26" customWidth="1"/>
    <col min="3" max="3" width="38.42578125" customWidth="1"/>
    <col min="4" max="4" width="28.7109375" customWidth="1"/>
    <col min="5" max="5" width="27" customWidth="1"/>
    <col min="6" max="7" width="11.42578125" customWidth="1"/>
    <col min="8" max="8" width="16.85546875" customWidth="1"/>
    <col min="9" max="9" width="16.42578125" customWidth="1"/>
    <col min="10" max="10" width="11.42578125" customWidth="1"/>
    <col min="11" max="11" width="12" customWidth="1"/>
    <col min="12" max="25" width="11.42578125" customWidth="1"/>
  </cols>
  <sheetData>
    <row r="2" spans="1:5" ht="12.75" customHeight="1" x14ac:dyDescent="0.2">
      <c r="A2" s="13"/>
      <c r="B2" s="13"/>
      <c r="C2" s="16" t="s">
        <v>0</v>
      </c>
    </row>
    <row r="3" spans="1:5" ht="12.75" customHeight="1" x14ac:dyDescent="0.2">
      <c r="A3" s="13"/>
      <c r="B3" s="13"/>
      <c r="C3" s="16" t="s">
        <v>1300</v>
      </c>
      <c r="D3" s="22"/>
      <c r="E3" s="22"/>
    </row>
    <row r="4" spans="1:5" ht="12.75" customHeight="1" x14ac:dyDescent="0.2">
      <c r="A4" s="13"/>
      <c r="B4" s="13"/>
      <c r="C4" s="24" t="s">
        <v>1301</v>
      </c>
      <c r="D4" s="735"/>
      <c r="E4" s="735"/>
    </row>
    <row r="5" spans="1:5" ht="12.75" customHeight="1" x14ac:dyDescent="0.2">
      <c r="A5" s="13"/>
      <c r="B5" s="13"/>
      <c r="C5" s="329"/>
      <c r="D5" s="329"/>
      <c r="E5" s="329"/>
    </row>
    <row r="6" spans="1:5" ht="17.25" customHeight="1" x14ac:dyDescent="0.2">
      <c r="A6" s="629"/>
      <c r="B6" s="629" t="s">
        <v>19</v>
      </c>
      <c r="C6" s="629" t="s">
        <v>1302</v>
      </c>
      <c r="D6" s="629" t="s">
        <v>1303</v>
      </c>
      <c r="E6" s="629" t="s">
        <v>1304</v>
      </c>
    </row>
    <row r="7" spans="1:5" ht="12.75" customHeight="1" x14ac:dyDescent="0.2">
      <c r="A7" s="822"/>
      <c r="B7" s="824" t="s">
        <v>74</v>
      </c>
      <c r="C7" s="737" t="s">
        <v>1305</v>
      </c>
      <c r="D7" s="705" t="s">
        <v>1306</v>
      </c>
      <c r="E7" s="631" t="s">
        <v>1307</v>
      </c>
    </row>
    <row r="8" spans="1:5" ht="12.75" customHeight="1" x14ac:dyDescent="0.2">
      <c r="A8" s="823"/>
      <c r="B8" s="823"/>
      <c r="C8" s="737" t="s">
        <v>1308</v>
      </c>
      <c r="D8" s="705" t="s">
        <v>1306</v>
      </c>
      <c r="E8" s="631" t="s">
        <v>1309</v>
      </c>
    </row>
    <row r="9" spans="1:5" ht="12.75" customHeight="1" x14ac:dyDescent="0.2">
      <c r="A9" s="825"/>
      <c r="B9" s="824" t="s">
        <v>1310</v>
      </c>
      <c r="C9" s="737" t="s">
        <v>1311</v>
      </c>
      <c r="D9" s="737" t="s">
        <v>1312</v>
      </c>
      <c r="E9" s="738" t="s">
        <v>1313</v>
      </c>
    </row>
    <row r="10" spans="1:5" ht="12.75" customHeight="1" x14ac:dyDescent="0.2">
      <c r="A10" s="813"/>
      <c r="B10" s="813"/>
      <c r="C10" s="737" t="s">
        <v>1314</v>
      </c>
      <c r="D10" s="705" t="s">
        <v>1306</v>
      </c>
      <c r="E10" s="738" t="s">
        <v>1315</v>
      </c>
    </row>
    <row r="11" spans="1:5" ht="12.75" customHeight="1" x14ac:dyDescent="0.2">
      <c r="A11" s="823"/>
      <c r="B11" s="823"/>
      <c r="C11" s="737" t="s">
        <v>1316</v>
      </c>
      <c r="D11" s="737" t="s">
        <v>1317</v>
      </c>
      <c r="E11" s="738" t="s">
        <v>1318</v>
      </c>
    </row>
    <row r="12" spans="1:5" ht="12.75" x14ac:dyDescent="0.2">
      <c r="A12" s="826"/>
      <c r="B12" s="824" t="s">
        <v>1319</v>
      </c>
      <c r="C12" s="739" t="s">
        <v>1320</v>
      </c>
      <c r="D12" s="705" t="s">
        <v>1321</v>
      </c>
      <c r="E12" s="631" t="s">
        <v>1322</v>
      </c>
    </row>
    <row r="13" spans="1:5" ht="12.75" x14ac:dyDescent="0.2">
      <c r="A13" s="823"/>
      <c r="B13" s="823"/>
      <c r="C13" s="737" t="s">
        <v>1323</v>
      </c>
      <c r="D13" s="705" t="s">
        <v>1306</v>
      </c>
      <c r="E13" s="631" t="s">
        <v>1324</v>
      </c>
    </row>
    <row r="14" spans="1:5" ht="25.5" x14ac:dyDescent="0.2">
      <c r="A14" s="740"/>
      <c r="B14" s="736" t="s">
        <v>1325</v>
      </c>
      <c r="C14" s="737" t="s">
        <v>1326</v>
      </c>
      <c r="D14" s="705" t="s">
        <v>1321</v>
      </c>
      <c r="E14" s="631" t="s">
        <v>1327</v>
      </c>
    </row>
    <row r="15" spans="1:5" ht="12.75" customHeight="1" x14ac:dyDescent="0.2">
      <c r="A15" s="827"/>
      <c r="B15" s="824" t="s">
        <v>1328</v>
      </c>
      <c r="C15" s="737" t="s">
        <v>1329</v>
      </c>
      <c r="D15" s="739" t="s">
        <v>1306</v>
      </c>
      <c r="E15" s="631" t="s">
        <v>1330</v>
      </c>
    </row>
    <row r="16" spans="1:5" ht="12.75" customHeight="1" x14ac:dyDescent="0.2">
      <c r="A16" s="813"/>
      <c r="B16" s="813"/>
      <c r="C16" s="737" t="s">
        <v>1331</v>
      </c>
      <c r="D16" s="737" t="s">
        <v>1332</v>
      </c>
      <c r="E16" s="631" t="s">
        <v>1330</v>
      </c>
    </row>
    <row r="17" spans="1:5" ht="12.75" customHeight="1" x14ac:dyDescent="0.2">
      <c r="A17" s="813"/>
      <c r="B17" s="813"/>
      <c r="C17" s="737" t="s">
        <v>1333</v>
      </c>
      <c r="D17" s="737" t="s">
        <v>1334</v>
      </c>
      <c r="E17" s="631" t="s">
        <v>1335</v>
      </c>
    </row>
    <row r="18" spans="1:5" ht="12.75" customHeight="1" x14ac:dyDescent="0.2">
      <c r="A18" s="823"/>
      <c r="B18" s="823"/>
      <c r="C18" s="737" t="s">
        <v>1336</v>
      </c>
      <c r="D18" s="737" t="s">
        <v>1337</v>
      </c>
      <c r="E18" s="631" t="s">
        <v>1335</v>
      </c>
    </row>
  </sheetData>
  <mergeCells count="8">
    <mergeCell ref="A15:A18"/>
    <mergeCell ref="B15:B18"/>
    <mergeCell ref="A7:A8"/>
    <mergeCell ref="B7:B8"/>
    <mergeCell ref="A9:A11"/>
    <mergeCell ref="B9:B11"/>
    <mergeCell ref="A12:A13"/>
    <mergeCell ref="B12:B13"/>
  </mergeCells>
  <printOptions horizontalCentered="1"/>
  <pageMargins left="0.70866141732283472" right="0.19685039370078741" top="0.59055118110236227" bottom="0.47244094488188981" header="0" footer="0"/>
  <pageSetup orientation="landscape"/>
  <headerFooter>
    <oddHeader>&amp;CCentro de Gestión de la Calidad y la Acreditación Institucional</oddHeader>
  </headerFooter>
  <colBreaks count="1" manualBreakCount="1">
    <brk id="4" man="1"/>
  </colBreak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B47"/>
  <sheetViews>
    <sheetView workbookViewId="0"/>
  </sheetViews>
  <sheetFormatPr baseColWidth="10" defaultColWidth="12.5703125" defaultRowHeight="15" customHeight="1" x14ac:dyDescent="0.2"/>
  <cols>
    <col min="1" max="1" width="10.5703125" customWidth="1"/>
    <col min="2" max="2" width="48.85546875" customWidth="1"/>
    <col min="3" max="6" width="10.5703125" customWidth="1"/>
  </cols>
  <sheetData>
    <row r="1" spans="2:2" ht="12" customHeight="1" x14ac:dyDescent="0.2">
      <c r="B1" s="741" t="s">
        <v>1338</v>
      </c>
    </row>
    <row r="2" spans="2:2" ht="12" customHeight="1" x14ac:dyDescent="0.2"/>
    <row r="3" spans="2:2" ht="12" customHeight="1" x14ac:dyDescent="0.2">
      <c r="B3" s="742" t="s">
        <v>1277</v>
      </c>
    </row>
    <row r="4" spans="2:2" ht="12" customHeight="1" x14ac:dyDescent="0.2">
      <c r="B4" s="743" t="s">
        <v>89</v>
      </c>
    </row>
    <row r="5" spans="2:2" ht="12" customHeight="1" x14ac:dyDescent="0.2">
      <c r="B5" s="743" t="s">
        <v>82</v>
      </c>
    </row>
    <row r="6" spans="2:2" ht="12" customHeight="1" x14ac:dyDescent="0.2">
      <c r="B6" s="744" t="s">
        <v>1283</v>
      </c>
    </row>
    <row r="7" spans="2:2" ht="12" customHeight="1" x14ac:dyDescent="0.2">
      <c r="B7" s="745" t="s">
        <v>136</v>
      </c>
    </row>
    <row r="8" spans="2:2" ht="12" customHeight="1" x14ac:dyDescent="0.2"/>
    <row r="9" spans="2:2" ht="12" customHeight="1" x14ac:dyDescent="0.2">
      <c r="B9" s="742" t="s">
        <v>800</v>
      </c>
    </row>
    <row r="10" spans="2:2" ht="12" customHeight="1" x14ac:dyDescent="0.2">
      <c r="B10" s="743" t="s">
        <v>84</v>
      </c>
    </row>
    <row r="11" spans="2:2" ht="12" customHeight="1" x14ac:dyDescent="0.2">
      <c r="B11" s="743" t="s">
        <v>96</v>
      </c>
    </row>
    <row r="12" spans="2:2" ht="12" customHeight="1" x14ac:dyDescent="0.2"/>
    <row r="13" spans="2:2" ht="12" customHeight="1" x14ac:dyDescent="0.2">
      <c r="B13" s="742" t="s">
        <v>1339</v>
      </c>
    </row>
    <row r="14" spans="2:2" ht="12" customHeight="1" x14ac:dyDescent="0.2">
      <c r="B14" s="746" t="s">
        <v>1340</v>
      </c>
    </row>
    <row r="15" spans="2:2" ht="12" customHeight="1" x14ac:dyDescent="0.2">
      <c r="B15" s="746" t="s">
        <v>1341</v>
      </c>
    </row>
    <row r="16" spans="2:2" ht="12" customHeight="1" x14ac:dyDescent="0.2">
      <c r="B16" s="746" t="s">
        <v>1342</v>
      </c>
    </row>
    <row r="17" spans="2:2" ht="12" customHeight="1" x14ac:dyDescent="0.2">
      <c r="B17" s="746" t="s">
        <v>1343</v>
      </c>
    </row>
    <row r="18" spans="2:2" ht="12" customHeight="1" x14ac:dyDescent="0.2">
      <c r="B18" s="746" t="s">
        <v>1344</v>
      </c>
    </row>
    <row r="19" spans="2:2" ht="12" customHeight="1" x14ac:dyDescent="0.2">
      <c r="B19" s="746" t="s">
        <v>1345</v>
      </c>
    </row>
    <row r="20" spans="2:2" ht="12" customHeight="1" x14ac:dyDescent="0.2">
      <c r="B20" s="746" t="s">
        <v>1346</v>
      </c>
    </row>
    <row r="21" spans="2:2" ht="12" customHeight="1" x14ac:dyDescent="0.2">
      <c r="B21" s="746" t="s">
        <v>1347</v>
      </c>
    </row>
    <row r="22" spans="2:2" ht="12" customHeight="1" x14ac:dyDescent="0.2">
      <c r="B22" s="746" t="s">
        <v>1348</v>
      </c>
    </row>
    <row r="23" spans="2:2" ht="12" customHeight="1" x14ac:dyDescent="0.2">
      <c r="B23" s="746"/>
    </row>
    <row r="24" spans="2:2" ht="12" customHeight="1" x14ac:dyDescent="0.2"/>
    <row r="25" spans="2:2" ht="12" customHeight="1" x14ac:dyDescent="0.2">
      <c r="B25" s="742" t="s">
        <v>1349</v>
      </c>
    </row>
    <row r="26" spans="2:2" ht="12" customHeight="1" x14ac:dyDescent="0.2">
      <c r="B26" s="743" t="s">
        <v>89</v>
      </c>
    </row>
    <row r="27" spans="2:2" ht="12" customHeight="1" x14ac:dyDescent="0.2">
      <c r="B27" s="743" t="s">
        <v>82</v>
      </c>
    </row>
    <row r="28" spans="2:2" ht="12" customHeight="1" x14ac:dyDescent="0.2"/>
    <row r="29" spans="2:2" ht="12" customHeight="1" x14ac:dyDescent="0.2">
      <c r="B29" s="742" t="s">
        <v>1350</v>
      </c>
    </row>
    <row r="30" spans="2:2" ht="12" customHeight="1" x14ac:dyDescent="0.2">
      <c r="B30" s="743" t="s">
        <v>1218</v>
      </c>
    </row>
    <row r="31" spans="2:2" ht="12" customHeight="1" x14ac:dyDescent="0.2">
      <c r="B31" s="743" t="s">
        <v>1225</v>
      </c>
    </row>
    <row r="33" spans="2:2" ht="12" customHeight="1" x14ac:dyDescent="0.2">
      <c r="B33" s="747" t="s">
        <v>1197</v>
      </c>
    </row>
    <row r="34" spans="2:2" ht="12" customHeight="1" x14ac:dyDescent="0.2">
      <c r="B34" s="748" t="s">
        <v>1219</v>
      </c>
    </row>
    <row r="35" spans="2:2" ht="12" customHeight="1" x14ac:dyDescent="0.2">
      <c r="B35" s="748" t="s">
        <v>1269</v>
      </c>
    </row>
    <row r="36" spans="2:2" ht="12" customHeight="1" x14ac:dyDescent="0.2">
      <c r="B36" s="749" t="s">
        <v>1224</v>
      </c>
    </row>
    <row r="37" spans="2:2" ht="12" customHeight="1" x14ac:dyDescent="0.2"/>
    <row r="38" spans="2:2" ht="12" customHeight="1" x14ac:dyDescent="0.2"/>
    <row r="39" spans="2:2" ht="12" customHeight="1" x14ac:dyDescent="0.2">
      <c r="B39" s="750" t="s">
        <v>1194</v>
      </c>
    </row>
    <row r="40" spans="2:2" ht="12" customHeight="1" x14ac:dyDescent="0.2">
      <c r="B40" s="748" t="s">
        <v>1223</v>
      </c>
    </row>
    <row r="41" spans="2:2" ht="12" customHeight="1" x14ac:dyDescent="0.2">
      <c r="B41" s="748" t="s">
        <v>1217</v>
      </c>
    </row>
    <row r="42" spans="2:2" ht="12" customHeight="1" x14ac:dyDescent="0.2">
      <c r="B42" s="749" t="s">
        <v>1229</v>
      </c>
    </row>
    <row r="43" spans="2:2" ht="12" customHeight="1" x14ac:dyDescent="0.2"/>
    <row r="44" spans="2:2" ht="12" customHeight="1" x14ac:dyDescent="0.2"/>
    <row r="45" spans="2:2" ht="12" customHeight="1" x14ac:dyDescent="0.2">
      <c r="B45" s="750" t="s">
        <v>1198</v>
      </c>
    </row>
    <row r="46" spans="2:2" ht="12" customHeight="1" x14ac:dyDescent="0.2">
      <c r="B46" s="748" t="s">
        <v>1220</v>
      </c>
    </row>
    <row r="47" spans="2:2" ht="12" customHeight="1" x14ac:dyDescent="0.2">
      <c r="B47" s="749" t="s">
        <v>1243</v>
      </c>
    </row>
  </sheetData>
  <dataValidations count="1">
    <dataValidation type="list" allowBlank="1" showErrorMessage="1" sqref="B26:B27" xr:uid="{00000000-0002-0000-1300-000000000000}">
      <formula1>SiNo</formula1>
    </dataValidation>
  </dataValidation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47"/>
  <sheetViews>
    <sheetView workbookViewId="0"/>
  </sheetViews>
  <sheetFormatPr baseColWidth="10" defaultColWidth="12.5703125" defaultRowHeight="15" customHeight="1" x14ac:dyDescent="0.2"/>
  <cols>
    <col min="1" max="1" width="11.42578125" customWidth="1"/>
    <col min="2" max="2" width="48.85546875" customWidth="1"/>
    <col min="3" max="12" width="11.42578125" customWidth="1"/>
    <col min="13" max="26" width="10.5703125" customWidth="1"/>
  </cols>
  <sheetData>
    <row r="1" spans="2:10" ht="12.75" customHeight="1" x14ac:dyDescent="0.2">
      <c r="B1" s="741" t="s">
        <v>1338</v>
      </c>
      <c r="C1" s="20"/>
      <c r="D1" s="20"/>
      <c r="E1" s="20"/>
      <c r="F1" s="20"/>
      <c r="G1" s="20"/>
      <c r="H1" s="20"/>
      <c r="I1" s="20"/>
      <c r="J1" s="20"/>
    </row>
    <row r="2" spans="2:10" ht="12.75" customHeight="1" x14ac:dyDescent="0.2">
      <c r="B2" s="20"/>
      <c r="C2" s="20"/>
      <c r="D2" s="20"/>
      <c r="E2" s="20"/>
      <c r="F2" s="20"/>
      <c r="G2" s="20"/>
      <c r="H2" s="20"/>
      <c r="I2" s="20"/>
      <c r="J2" s="20"/>
    </row>
    <row r="3" spans="2:10" ht="12.75" customHeight="1" x14ac:dyDescent="0.2">
      <c r="B3" s="742" t="s">
        <v>1277</v>
      </c>
      <c r="C3" s="20"/>
      <c r="D3" s="20"/>
      <c r="E3" s="20"/>
      <c r="F3" s="20"/>
      <c r="G3" s="20"/>
      <c r="H3" s="20"/>
      <c r="I3" s="20"/>
      <c r="J3" s="20"/>
    </row>
    <row r="4" spans="2:10" ht="12.75" customHeight="1" x14ac:dyDescent="0.2">
      <c r="B4" s="743" t="s">
        <v>89</v>
      </c>
      <c r="C4" s="20"/>
      <c r="D4" s="20"/>
      <c r="E4" s="20"/>
      <c r="F4" s="20"/>
      <c r="G4" s="20"/>
      <c r="H4" s="20"/>
      <c r="I4" s="20"/>
      <c r="J4" s="20"/>
    </row>
    <row r="5" spans="2:10" ht="12.75" customHeight="1" x14ac:dyDescent="0.2">
      <c r="B5" s="743" t="s">
        <v>82</v>
      </c>
      <c r="C5" s="20"/>
      <c r="D5" s="20"/>
      <c r="E5" s="20"/>
      <c r="F5" s="20"/>
      <c r="G5" s="20"/>
      <c r="H5" s="20"/>
      <c r="I5" s="20"/>
      <c r="J5" s="20"/>
    </row>
    <row r="6" spans="2:10" ht="12.75" customHeight="1" x14ac:dyDescent="0.2">
      <c r="B6" s="744" t="s">
        <v>1283</v>
      </c>
      <c r="C6" s="20"/>
      <c r="D6" s="20"/>
      <c r="E6" s="20"/>
      <c r="J6" s="20" t="s">
        <v>1103</v>
      </c>
    </row>
    <row r="7" spans="2:10" ht="12.75" customHeight="1" x14ac:dyDescent="0.2">
      <c r="B7" s="745" t="s">
        <v>136</v>
      </c>
      <c r="C7" s="20"/>
      <c r="D7" s="20"/>
      <c r="E7" s="20"/>
      <c r="F7" s="20" t="s">
        <v>1161</v>
      </c>
      <c r="H7" s="20" t="s">
        <v>84</v>
      </c>
      <c r="J7" s="20" t="s">
        <v>1183</v>
      </c>
    </row>
    <row r="8" spans="2:10" ht="12.75" customHeight="1" x14ac:dyDescent="0.2">
      <c r="B8" s="20"/>
      <c r="C8" s="20"/>
      <c r="D8" s="20"/>
      <c r="E8" s="20"/>
      <c r="F8" s="20" t="s">
        <v>1351</v>
      </c>
      <c r="H8" s="20" t="s">
        <v>96</v>
      </c>
      <c r="J8" s="751" t="s">
        <v>1352</v>
      </c>
    </row>
    <row r="9" spans="2:10" ht="12.75" customHeight="1" x14ac:dyDescent="0.2">
      <c r="B9" s="742" t="s">
        <v>800</v>
      </c>
      <c r="C9" s="20"/>
      <c r="D9" s="20"/>
      <c r="E9" s="20"/>
      <c r="F9" s="20" t="s">
        <v>1353</v>
      </c>
      <c r="J9" s="751" t="s">
        <v>1166</v>
      </c>
    </row>
    <row r="10" spans="2:10" ht="12.75" customHeight="1" x14ac:dyDescent="0.2">
      <c r="B10" s="743" t="s">
        <v>84</v>
      </c>
      <c r="C10" s="20"/>
      <c r="D10" s="20"/>
      <c r="E10" s="20"/>
      <c r="F10" s="20" t="s">
        <v>1354</v>
      </c>
      <c r="J10" s="20" t="s">
        <v>1170</v>
      </c>
    </row>
    <row r="11" spans="2:10" ht="12.75" customHeight="1" x14ac:dyDescent="0.2">
      <c r="B11" s="743" t="s">
        <v>96</v>
      </c>
      <c r="C11" s="20"/>
      <c r="D11" s="20"/>
      <c r="E11" s="20"/>
      <c r="F11" s="20" t="s">
        <v>1355</v>
      </c>
      <c r="J11" s="751" t="s">
        <v>1163</v>
      </c>
    </row>
    <row r="12" spans="2:10" ht="12.75" customHeight="1" x14ac:dyDescent="0.2">
      <c r="B12" s="20"/>
      <c r="C12" s="20"/>
      <c r="D12" s="20"/>
      <c r="E12" s="20"/>
      <c r="J12" s="751" t="s">
        <v>1356</v>
      </c>
    </row>
    <row r="13" spans="2:10" ht="12.75" customHeight="1" x14ac:dyDescent="0.2">
      <c r="B13" s="742" t="s">
        <v>1339</v>
      </c>
      <c r="C13" s="20"/>
      <c r="D13" s="20"/>
      <c r="E13" s="20"/>
      <c r="J13" s="751" t="s">
        <v>1357</v>
      </c>
    </row>
    <row r="14" spans="2:10" ht="12.75" customHeight="1" x14ac:dyDescent="0.2">
      <c r="B14" s="746" t="s">
        <v>1340</v>
      </c>
      <c r="C14" s="20"/>
      <c r="D14" s="20"/>
      <c r="E14" s="20"/>
      <c r="F14" s="20"/>
      <c r="G14" s="20"/>
      <c r="H14" s="20"/>
      <c r="I14" s="20"/>
      <c r="J14" s="20" t="s">
        <v>1358</v>
      </c>
    </row>
    <row r="15" spans="2:10" ht="12.75" customHeight="1" x14ac:dyDescent="0.2">
      <c r="B15" s="746" t="s">
        <v>1341</v>
      </c>
      <c r="C15" s="20"/>
      <c r="D15" s="20"/>
      <c r="E15" s="20"/>
      <c r="F15" s="20"/>
      <c r="G15" s="20"/>
      <c r="H15" s="20"/>
      <c r="I15" s="20"/>
      <c r="J15" s="20" t="s">
        <v>1162</v>
      </c>
    </row>
    <row r="16" spans="2:10" ht="12.75" customHeight="1" x14ac:dyDescent="0.2">
      <c r="B16" s="746" t="s">
        <v>1342</v>
      </c>
      <c r="C16" s="20"/>
      <c r="D16" s="20"/>
      <c r="E16" s="20"/>
      <c r="F16" s="20"/>
      <c r="G16" s="20"/>
      <c r="H16" s="20"/>
      <c r="I16" s="20"/>
      <c r="J16" s="20" t="s">
        <v>1359</v>
      </c>
    </row>
    <row r="17" spans="2:10" ht="12.75" customHeight="1" x14ac:dyDescent="0.2">
      <c r="B17" s="746" t="s">
        <v>1343</v>
      </c>
      <c r="C17" s="20"/>
      <c r="D17" s="20"/>
      <c r="E17" s="20"/>
      <c r="F17" s="20"/>
      <c r="G17" s="20"/>
      <c r="H17" s="20"/>
      <c r="I17" s="20"/>
      <c r="J17" s="20" t="s">
        <v>1360</v>
      </c>
    </row>
    <row r="18" spans="2:10" ht="12.75" customHeight="1" x14ac:dyDescent="0.2">
      <c r="B18" s="746" t="s">
        <v>1344</v>
      </c>
      <c r="C18" s="20"/>
      <c r="D18" s="20"/>
      <c r="E18" s="20"/>
      <c r="F18" s="20"/>
      <c r="G18" s="20"/>
      <c r="H18" s="20"/>
      <c r="I18" s="20"/>
      <c r="J18" s="20" t="s">
        <v>1167</v>
      </c>
    </row>
    <row r="19" spans="2:10" ht="12.75" customHeight="1" x14ac:dyDescent="0.2">
      <c r="B19" s="746" t="s">
        <v>1345</v>
      </c>
      <c r="C19" s="20"/>
      <c r="D19" s="20"/>
      <c r="E19" s="20"/>
      <c r="F19" s="20"/>
      <c r="G19" s="20"/>
      <c r="H19" s="20"/>
      <c r="I19" s="20"/>
      <c r="J19" s="20" t="s">
        <v>1361</v>
      </c>
    </row>
    <row r="20" spans="2:10" ht="12.75" customHeight="1" x14ac:dyDescent="0.2">
      <c r="B20" s="746" t="s">
        <v>1346</v>
      </c>
      <c r="C20" s="20"/>
      <c r="D20" s="20"/>
      <c r="E20" s="20"/>
      <c r="F20" s="20"/>
      <c r="G20" s="20"/>
      <c r="H20" s="20"/>
      <c r="I20" s="20"/>
      <c r="J20" s="20" t="s">
        <v>1362</v>
      </c>
    </row>
    <row r="21" spans="2:10" ht="12.75" customHeight="1" x14ac:dyDescent="0.2">
      <c r="B21" s="746" t="s">
        <v>1347</v>
      </c>
      <c r="C21" s="20"/>
      <c r="D21" s="20"/>
      <c r="E21" s="20"/>
      <c r="F21" s="20"/>
      <c r="G21" s="20"/>
      <c r="H21" s="20"/>
      <c r="I21" s="20"/>
      <c r="J21" s="20" t="s">
        <v>1363</v>
      </c>
    </row>
    <row r="22" spans="2:10" ht="12.75" customHeight="1" x14ac:dyDescent="0.2">
      <c r="B22" s="746" t="s">
        <v>1348</v>
      </c>
      <c r="C22" s="20"/>
      <c r="D22" s="20"/>
      <c r="E22" s="20"/>
      <c r="F22" s="20"/>
      <c r="G22" s="20"/>
      <c r="H22" s="20"/>
      <c r="I22" s="20"/>
      <c r="J22" s="20" t="s">
        <v>1364</v>
      </c>
    </row>
    <row r="23" spans="2:10" ht="12.75" customHeight="1" x14ac:dyDescent="0.2">
      <c r="B23" s="746"/>
      <c r="C23" s="20"/>
      <c r="D23" s="20"/>
      <c r="E23" s="20"/>
      <c r="F23" s="20"/>
      <c r="G23" s="20"/>
      <c r="H23" s="20"/>
      <c r="I23" s="20"/>
      <c r="J23" s="20" t="s">
        <v>1365</v>
      </c>
    </row>
    <row r="24" spans="2:10" ht="12.75" customHeight="1" x14ac:dyDescent="0.2">
      <c r="B24" s="20"/>
      <c r="C24" s="20"/>
      <c r="D24" s="20"/>
      <c r="E24" s="20"/>
      <c r="F24" s="20"/>
      <c r="G24" s="20"/>
      <c r="H24" s="20"/>
      <c r="I24" s="20"/>
      <c r="J24" s="20" t="s">
        <v>1175</v>
      </c>
    </row>
    <row r="25" spans="2:10" ht="12.75" customHeight="1" x14ac:dyDescent="0.2">
      <c r="B25" s="742" t="s">
        <v>1349</v>
      </c>
      <c r="C25" s="20"/>
      <c r="D25" s="20"/>
      <c r="E25" s="20"/>
      <c r="F25" s="20"/>
      <c r="G25" s="20"/>
      <c r="H25" s="20"/>
      <c r="I25" s="20"/>
      <c r="J25" s="20" t="s">
        <v>1366</v>
      </c>
    </row>
    <row r="26" spans="2:10" ht="12.75" customHeight="1" x14ac:dyDescent="0.2">
      <c r="B26" s="743" t="s">
        <v>89</v>
      </c>
      <c r="C26" s="20"/>
      <c r="D26" s="20"/>
      <c r="E26" s="20"/>
      <c r="F26" s="20"/>
      <c r="G26" s="20"/>
      <c r="H26" s="20"/>
      <c r="I26" s="20"/>
      <c r="J26" s="20"/>
    </row>
    <row r="27" spans="2:10" ht="12.75" customHeight="1" x14ac:dyDescent="0.2">
      <c r="B27" s="743" t="s">
        <v>82</v>
      </c>
      <c r="C27" s="20"/>
      <c r="D27" s="20"/>
      <c r="E27" s="20"/>
      <c r="F27" s="20"/>
      <c r="G27" s="20"/>
      <c r="H27" s="20"/>
      <c r="I27" s="20"/>
      <c r="J27" s="20"/>
    </row>
    <row r="28" spans="2:10" ht="12.75" customHeight="1" x14ac:dyDescent="0.2">
      <c r="B28" s="20"/>
      <c r="C28" s="20"/>
      <c r="D28" s="20"/>
      <c r="E28" s="20"/>
      <c r="F28" s="20"/>
      <c r="G28" s="20"/>
      <c r="H28" s="20"/>
      <c r="I28" s="20"/>
      <c r="J28" s="20"/>
    </row>
    <row r="29" spans="2:10" ht="12.75" customHeight="1" x14ac:dyDescent="0.2">
      <c r="B29" s="742" t="s">
        <v>1350</v>
      </c>
      <c r="C29" s="20"/>
      <c r="D29" s="20"/>
      <c r="E29" s="20"/>
      <c r="F29" s="20"/>
      <c r="G29" s="20"/>
      <c r="H29" s="20"/>
      <c r="I29" s="20"/>
      <c r="J29" s="20"/>
    </row>
    <row r="30" spans="2:10" ht="12.75" customHeight="1" x14ac:dyDescent="0.2">
      <c r="B30" s="743" t="s">
        <v>1218</v>
      </c>
      <c r="C30" s="20"/>
      <c r="D30" s="20"/>
      <c r="E30" s="20"/>
      <c r="F30" s="20"/>
      <c r="G30" s="20"/>
      <c r="H30" s="20"/>
      <c r="I30" s="20"/>
      <c r="J30" s="20"/>
    </row>
    <row r="31" spans="2:10" ht="12.75" customHeight="1" x14ac:dyDescent="0.2">
      <c r="B31" s="743" t="s">
        <v>1225</v>
      </c>
      <c r="C31" s="20"/>
      <c r="D31" s="20"/>
      <c r="E31" s="20"/>
      <c r="F31" s="20"/>
      <c r="G31" s="20"/>
      <c r="H31" s="20"/>
      <c r="I31" s="20"/>
      <c r="J31" s="20"/>
    </row>
    <row r="33" spans="2:2" ht="12.75" customHeight="1" x14ac:dyDescent="0.2">
      <c r="B33" s="747" t="s">
        <v>1197</v>
      </c>
    </row>
    <row r="34" spans="2:2" ht="12.75" customHeight="1" x14ac:dyDescent="0.2">
      <c r="B34" s="748" t="s">
        <v>1219</v>
      </c>
    </row>
    <row r="35" spans="2:2" ht="12.75" customHeight="1" x14ac:dyDescent="0.2">
      <c r="B35" s="748" t="s">
        <v>1269</v>
      </c>
    </row>
    <row r="36" spans="2:2" ht="12.75" customHeight="1" x14ac:dyDescent="0.2">
      <c r="B36" s="749" t="s">
        <v>1224</v>
      </c>
    </row>
    <row r="37" spans="2:2" ht="12.75" customHeight="1" x14ac:dyDescent="0.2">
      <c r="B37" s="20"/>
    </row>
    <row r="38" spans="2:2" ht="12.75" customHeight="1" x14ac:dyDescent="0.2">
      <c r="B38" s="20"/>
    </row>
    <row r="39" spans="2:2" ht="12.75" customHeight="1" x14ac:dyDescent="0.2">
      <c r="B39" s="750" t="s">
        <v>1194</v>
      </c>
    </row>
    <row r="40" spans="2:2" ht="12.75" customHeight="1" x14ac:dyDescent="0.2">
      <c r="B40" s="748" t="s">
        <v>1223</v>
      </c>
    </row>
    <row r="41" spans="2:2" ht="12.75" customHeight="1" x14ac:dyDescent="0.2">
      <c r="B41" s="748" t="s">
        <v>1217</v>
      </c>
    </row>
    <row r="42" spans="2:2" ht="12.75" customHeight="1" x14ac:dyDescent="0.2">
      <c r="B42" s="749" t="s">
        <v>1229</v>
      </c>
    </row>
    <row r="43" spans="2:2" ht="12.75" customHeight="1" x14ac:dyDescent="0.2">
      <c r="B43" s="20"/>
    </row>
    <row r="44" spans="2:2" ht="12.75" customHeight="1" x14ac:dyDescent="0.2">
      <c r="B44" s="20"/>
    </row>
    <row r="45" spans="2:2" ht="12.75" customHeight="1" x14ac:dyDescent="0.2">
      <c r="B45" s="750" t="s">
        <v>1198</v>
      </c>
    </row>
    <row r="46" spans="2:2" ht="12.75" customHeight="1" x14ac:dyDescent="0.2">
      <c r="B46" s="748" t="s">
        <v>1220</v>
      </c>
    </row>
    <row r="47" spans="2:2" ht="12.75" customHeight="1" x14ac:dyDescent="0.2">
      <c r="B47" s="749" t="s">
        <v>1243</v>
      </c>
    </row>
  </sheetData>
  <dataValidations count="1">
    <dataValidation type="list" allowBlank="1" showErrorMessage="1" sqref="B26:B27" xr:uid="{00000000-0002-0000-1400-000000000000}">
      <formula1>'Listas (2)'!SiNo</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20</vt:i4>
      </vt:variant>
    </vt:vector>
  </HeadingPairs>
  <TitlesOfParts>
    <vt:vector size="41" baseType="lpstr">
      <vt:lpstr>Menú</vt:lpstr>
      <vt:lpstr>Consolidado</vt:lpstr>
      <vt:lpstr>Alerta de vencimiento</vt:lpstr>
      <vt:lpstr>Alerta de vencimiento acreditad</vt:lpstr>
      <vt:lpstr>ProgramasRC</vt:lpstr>
      <vt:lpstr>Sintesis-Programas</vt:lpstr>
      <vt:lpstr>Acreditados</vt:lpstr>
      <vt:lpstr>Visitas de Pares</vt:lpstr>
      <vt:lpstr>Periodo de transición RC</vt:lpstr>
      <vt:lpstr>Ajuste Plan Mejora</vt:lpstr>
      <vt:lpstr>Acreditables a 2023</vt:lpstr>
      <vt:lpstr>Acreditables a 2026</vt:lpstr>
      <vt:lpstr>Rutas AAC</vt:lpstr>
      <vt:lpstr>Facultad-Ruta-AAC</vt:lpstr>
      <vt:lpstr>En proceso </vt:lpstr>
      <vt:lpstr>Autoevaluación</vt:lpstr>
      <vt:lpstr>Regionalización</vt:lpstr>
      <vt:lpstr>Histórico Programas</vt:lpstr>
      <vt:lpstr>Proceso Interno</vt:lpstr>
      <vt:lpstr>Listas</vt:lpstr>
      <vt:lpstr>Listas (2)</vt:lpstr>
      <vt:lpstr>Consolidado!_GoBack</vt:lpstr>
      <vt:lpstr>'Listas (2)'!Con_R.C.</vt:lpstr>
      <vt:lpstr>Con_R.C.</vt:lpstr>
      <vt:lpstr>'Listas (2)'!Modelo</vt:lpstr>
      <vt:lpstr>Modelo</vt:lpstr>
      <vt:lpstr>'En proceso '!NivelPrePos</vt:lpstr>
      <vt:lpstr>'Listas (2)'!NivelPrePos</vt:lpstr>
      <vt:lpstr>NivelPrePos</vt:lpstr>
      <vt:lpstr>'Listas (2)'!NivelU</vt:lpstr>
      <vt:lpstr>NivelU</vt:lpstr>
      <vt:lpstr>'En proceso '!Regionalizacion</vt:lpstr>
      <vt:lpstr>'Listas (2)'!Regionalizacion</vt:lpstr>
      <vt:lpstr>Regionalización!Regionalizacion</vt:lpstr>
      <vt:lpstr>Regionalizacion</vt:lpstr>
      <vt:lpstr>'Listas (2)'!Salas</vt:lpstr>
      <vt:lpstr>Salas</vt:lpstr>
      <vt:lpstr>'En proceso '!SiNo</vt:lpstr>
      <vt:lpstr>'Listas (2)'!SiNo</vt:lpstr>
      <vt:lpstr>Regionalización!SiNo</vt:lpstr>
      <vt:lpstr>SiNo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Acreditacion</dc:creator>
  <cp:lastModifiedBy>JUAN FELIPE HURTADO TRUJILLO</cp:lastModifiedBy>
  <dcterms:created xsi:type="dcterms:W3CDTF">2011-02-07T17:04:50Z</dcterms:created>
  <dcterms:modified xsi:type="dcterms:W3CDTF">2026-04-14T17:03:07Z</dcterms:modified>
</cp:coreProperties>
</file>