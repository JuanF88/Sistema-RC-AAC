
<file path=[Content_Types].xml><?xml version="1.0" encoding="utf-8"?>
<Types xmlns="http://schemas.openxmlformats.org/package/2006/content-types">
  <Default ContentType="image/jpeg" Extension="jpg"/>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21.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20.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18.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binary" PartName="/xl/commentsmeta6"/>
  <Override ContentType="application/binary" PartName="/xl/commentsmeta7"/>
  <Override ContentType="application/binary" PartName="/xl/commentsmeta4"/>
  <Override ContentType="application/binary" PartName="/xl/commentsmeta5"/>
  <Override ContentType="application/binary" PartName="/xl/commentsmeta2"/>
  <Override ContentType="application/binary" PartName="/xl/metadata"/>
  <Override ContentType="application/binary" PartName="/xl/commentsmeta3"/>
  <Override ContentType="application/binary" PartName="/xl/commentsmeta0"/>
  <Override ContentType="application/binary" PartName="/xl/commentsmeta1"/>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21.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11.xml"/>
  <Override ContentType="application/vnd.openxmlformats-officedocument.drawing+xml" PartName="/xl/drawings/drawing20.xml"/>
  <Override ContentType="application/vnd.openxmlformats-package.core-properties+xml" PartName="/docProps/core.xml"/>
  <Override ContentType="application/vnd.openxmlformats-officedocument.spreadsheetml.externalLink+xml" PartName="/xl/externalLinks/externalLink1.xml"/>
  <Override ContentType="application/vnd.openxmlformats-officedocument.spreadsheetml.externalLink+xml" PartName="/xl/externalLinks/externalLink7.xml"/>
  <Override ContentType="application/vnd.openxmlformats-officedocument.spreadsheetml.externalLink+xml" PartName="/xl/externalLinks/externalLink2.xml"/>
  <Override ContentType="application/vnd.openxmlformats-officedocument.spreadsheetml.externalLink+xml" PartName="/xl/externalLinks/externalLink3.xml"/>
  <Override ContentType="application/vnd.openxmlformats-officedocument.spreadsheetml.externalLink+xml" PartName="/xl/externalLinks/externalLink6.xml"/>
  <Override ContentType="application/vnd.openxmlformats-officedocument.spreadsheetml.externalLink+xml" PartName="/xl/externalLinks/externalLink5.xml"/>
  <Override ContentType="application/vnd.openxmlformats-officedocument.spreadsheetml.externalLink+xml" PartName="/xl/externalLinks/externalLink4.xml"/>
  <Override ContentType="application/vnd.openxmlformats-officedocument.spreadsheetml.styles+xml" PartName="/xl/styles.xml"/>
  <Override ContentType="application/vnd.openxmlformats-officedocument.spreadsheetml.comments+xml" PartName="/xl/comments8.xml"/>
  <Override ContentType="application/vnd.openxmlformats-officedocument.spreadsheetml.comments+xml" PartName="/xl/comments7.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1.xml"/>
  <Override ContentType="application/vnd.openxmlformats-officedocument.spreadsheetml.comments+xml" PartName="/xl/comments4.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drawingml.chart+xml" PartName="/xl/charts/chart1.xml"/>
  <Override ContentType="application/vnd.openxmlformats-officedocument.drawingml.chart+xml" PartName="/xl/charts/chart6.xml"/>
  <Override ContentType="application/vnd.openxmlformats-officedocument.drawingml.chart+xml" PartName="/xl/charts/chart7.xml"/>
  <Override ContentType="application/vnd.openxmlformats-officedocument.drawingml.chart+xml" PartName="/xl/charts/chart8.xml"/>
  <Override ContentType="application/vnd.openxmlformats-officedocument.drawingml.chart+xml" PartName="/xl/charts/chart4.xml"/>
  <Override ContentType="application/vnd.openxmlformats-officedocument.drawingml.chart+xml" PartName="/xl/charts/chart9.xml"/>
  <Override ContentType="application/vnd.openxmlformats-officedocument.drawingml.chart+xml" PartName="/xl/charts/chart5.xml"/>
  <Override ContentType="application/vnd.openxmlformats-officedocument.drawingml.chart+xml" PartName="/xl/charts/chart3.xml"/>
  <Override ContentType="application/vnd.openxmlformats-officedocument.drawingml.chart+xml" PartName="/xl/charts/chart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Menú" sheetId="1" r:id="rId4"/>
    <sheet state="visible" name="Consolidado" sheetId="2" r:id="rId5"/>
    <sheet state="visible" name="Alerta de vencimiento" sheetId="3" r:id="rId6"/>
    <sheet state="visible" name="Alerta de vencimiento acreditad" sheetId="4" r:id="rId7"/>
    <sheet state="visible" name="ProgramasRC" sheetId="5" r:id="rId8"/>
    <sheet state="visible" name="Sintesis-Programas" sheetId="6" r:id="rId9"/>
    <sheet state="visible" name="Acreditados" sheetId="7" r:id="rId10"/>
    <sheet state="visible" name="Visitas de Pares" sheetId="8" r:id="rId11"/>
    <sheet state="visible" name="Periodo de transición RC" sheetId="9" r:id="rId12"/>
    <sheet state="hidden" name="Ajuste Plan Mejora" sheetId="10" r:id="rId13"/>
    <sheet state="visible" name="Acreditables a 2023" sheetId="11" r:id="rId14"/>
    <sheet state="visible" name="Acreditables a 2026" sheetId="12" r:id="rId15"/>
    <sheet state="hidden" name="Rutas AAC" sheetId="13" r:id="rId16"/>
    <sheet state="hidden" name="Facultad-Ruta-AAC" sheetId="14" r:id="rId17"/>
    <sheet state="visible" name="En proceso " sheetId="15" r:id="rId18"/>
    <sheet state="visible" name="Autoevaluación" sheetId="16" r:id="rId19"/>
    <sheet state="visible" name="Regionalización" sheetId="17" r:id="rId20"/>
    <sheet state="hidden" name="Histórico Programas" sheetId="18" r:id="rId21"/>
    <sheet state="visible" name="Proceso Interno" sheetId="19" r:id="rId22"/>
    <sheet state="hidden" name="Listas" sheetId="20" r:id="rId23"/>
    <sheet state="hidden" name="Listas (2)" sheetId="21" r:id="rId24"/>
  </sheets>
  <externalReferences>
    <externalReference r:id="rId25"/>
    <externalReference r:id="rId26"/>
    <externalReference r:id="rId27"/>
    <externalReference r:id="rId28"/>
    <externalReference r:id="rId29"/>
    <externalReference r:id="rId30"/>
    <externalReference r:id="rId31"/>
  </externalReferences>
  <definedNames>
    <definedName localSheetId="13" name="Nivel">[1]Consolidado!#REF!</definedName>
    <definedName localSheetId="19" name="Nivel">[1]Consolidado!#REF!</definedName>
    <definedName name="Nivel">Consolidado!#REF!</definedName>
    <definedName localSheetId="13" name="Por_extensión">[1]Consolidado!#REF!</definedName>
    <definedName localSheetId="19" name="Por_extensión">[1]Consolidado!#REF!</definedName>
    <definedName name="Por_extensión">Consolidado!#REF!</definedName>
    <definedName localSheetId="13" name="Si">[1]Consolidado!#REF!</definedName>
    <definedName localSheetId="19" name="Si">[1]Consolidado!#REF!</definedName>
    <definedName name="Si">Consolidado!#REF!</definedName>
    <definedName localSheetId="4" name="Excel_BuiltIn__FilterDatabase_7">#REF!</definedName>
    <definedName localSheetId="16" name="Excel_BuiltIn__FilterDatabase_8">#REF!</definedName>
    <definedName localSheetId="1" name="_GoBack">Consolidado!$AQ$65</definedName>
    <definedName localSheetId="4" name="Excel_BuiltIn__FilterDatabase_8">#REF!</definedName>
    <definedName localSheetId="16" name="SiNo">Listas!$B$26:$B$27</definedName>
    <definedName localSheetId="4" name="Excel_BuiltIn_Print_Area_10">#REF!</definedName>
    <definedName name="Excel_BuiltIn__FilterDatabase_8">#REF!</definedName>
    <definedName localSheetId="16" name="Regionalizacion">Listas!$B$4:$B$7</definedName>
    <definedName localSheetId="16" name="Nivel">#REF!</definedName>
    <definedName name="SiNo">Listas!$B$26:$B$27</definedName>
    <definedName localSheetId="14" name="SiNo">Listas!$B$26:$B$27</definedName>
    <definedName name="Excel_BuiltIn_Print_Area_10">#REF!</definedName>
    <definedName localSheetId="20" name="Excel_BuiltIn__FilterDatabase_8">#REF!</definedName>
    <definedName localSheetId="14" name="Regionalizacion">Listas!$B$4:$B$7</definedName>
    <definedName localSheetId="14" name="Excel_BuiltIn__FilterDatabase_8">#REF!</definedName>
    <definedName localSheetId="16" name="Por_extensión">#REF!</definedName>
    <definedName localSheetId="20" name="Regionalizacion">'Listas (2)'!$B$4:$B$7</definedName>
    <definedName localSheetId="20" name="Excel_BuiltIn_Print_Area_10">#REF!</definedName>
    <definedName localSheetId="20" name="SiNo">'Listas (2)'!$B$26:$B$27</definedName>
    <definedName localSheetId="16" name="Excel_BuiltIn_Print_Area_10">#REF!</definedName>
    <definedName localSheetId="20" name="w">#REF!</definedName>
    <definedName localSheetId="20" name="NivelU">'Listas (2)'!$B$10:$B$11</definedName>
    <definedName name="NivelU">Listas!$B$10:$B$11</definedName>
    <definedName localSheetId="16" name="Excel_BuiltIn__FilterDatabase_7">#REF!</definedName>
    <definedName name="Modelo">Listas!$B$30:$B$31</definedName>
    <definedName localSheetId="20" name="Excel_BuiltIn__FilterDatabase_7">#REF!</definedName>
    <definedName localSheetId="20" name="Salas">'Listas (2)'!$B$14:$B$22</definedName>
    <definedName name="w">#REF!</definedName>
    <definedName localSheetId="14" name="Excel_BuiltIn_Print_Area_10">#REF!</definedName>
    <definedName name="NivelPrePos">Listas!$B$10:$B$11</definedName>
    <definedName localSheetId="14" name="w">#REF!</definedName>
    <definedName localSheetId="14" name="NivelPrePos">Listas!$B$10:$B$11</definedName>
    <definedName localSheetId="16" name="Si">#REF!</definedName>
    <definedName name="Excel_BuiltIn__FilterDatabase_7">#REF!</definedName>
    <definedName localSheetId="14" name="Excel_BuiltIn__FilterDatabase_7">#REF!</definedName>
    <definedName name="Con_R.C.">Listas!$B$26:$B$27</definedName>
    <definedName localSheetId="20" name="NivelPrePos">'Listas (2)'!$B$10:$B$11</definedName>
    <definedName localSheetId="20" name="Modelo">'Listas (2)'!$B$30:$B$31</definedName>
    <definedName localSheetId="20" name="Con_R.C.">'Listas (2)'!$B$26:$B$27</definedName>
    <definedName name="Regionalizacion">Listas!$B$4:$B$7</definedName>
    <definedName name="Salas">Listas!$B$14:$B$22</definedName>
    <definedName hidden="1" localSheetId="1" name="_xlnm._FilterDatabase">Consolidado!$A$6:$BG$124</definedName>
    <definedName hidden="1" localSheetId="2" name="_xlnm._FilterDatabase">'Alerta de vencimiento'!$A$1:$I$116</definedName>
    <definedName hidden="1" localSheetId="3" name="_xlnm._FilterDatabase">'Alerta de vencimiento acreditad'!$A$1:$I$36</definedName>
    <definedName hidden="1" localSheetId="6" name="_xlnm._FilterDatabase">Acreditados!$A$9:$I$45</definedName>
    <definedName hidden="1" localSheetId="9" name="_xlnm._FilterDatabase">'Ajuste Plan Mejora'!$A$5:$I$37</definedName>
    <definedName hidden="1" localSheetId="10" name="_xlnm._FilterDatabase">'Acreditables a 2023'!$A$6:$G$74</definedName>
    <definedName hidden="1" localSheetId="14" name="_xlnm._FilterDatabase">'En proceso '!$A$7:$G$32</definedName>
    <definedName hidden="1" name="Google_Sheet_Link_1044711242">SiNo</definedName>
    <definedName hidden="1" name="Google_Sheet_Link_1102425532_532239129">Modelo</definedName>
    <definedName hidden="1" name="Google_Sheet_Link_1162646474">Con_R.C.</definedName>
    <definedName hidden="1" name="Google_Sheet_Link_1219876071">Modelo</definedName>
    <definedName hidden="1" name="Google_Sheet_Link_1410921401_532239129">NivelPrePos</definedName>
    <definedName hidden="1" name="Google_Sheet_Link_1412593603_532239129">NivelU</definedName>
    <definedName hidden="1" name="Google_Sheet_Link_1448266535">NivelPrePos</definedName>
    <definedName hidden="1" name="Google_Sheet_Link_1669635398">NivelU</definedName>
    <definedName hidden="1" name="Google_Sheet_Link_1678713026_532239129">SiNo</definedName>
    <definedName hidden="1" name="Google_Sheet_Link_1701449013_76801130">_GoBack</definedName>
    <definedName hidden="1" name="Google_Sheet_Link_1845914611">Salas</definedName>
    <definedName hidden="1" name="Google_Sheet_Link_1957106706_1572554447">Regionalizacion</definedName>
    <definedName hidden="1" name="Google_Sheet_Link_2055006317_532239129">Salas</definedName>
    <definedName hidden="1" name="Google_Sheet_Link_2094000312_532239129">Con_R.C.</definedName>
    <definedName hidden="1" name="Google_Sheet_Link_2144229078_1867397793">SiNo</definedName>
    <definedName hidden="1" name="Google_Sheet_Link_375205127_1572554447">NivelPrePos</definedName>
    <definedName hidden="1" name="Google_Sheet_Link_589796294_1867397793">Regionalizacion</definedName>
    <definedName hidden="1" name="Google_Sheet_Link_692858173">Regionalizacion</definedName>
    <definedName hidden="1" name="Google_Sheet_Link_774103784_1572554447">SiNo</definedName>
    <definedName hidden="1" name="Google_Sheet_Link_886434002_532239129">Regionalizacion</definedName>
  </definedNames>
  <calcPr/>
  <extLst>
    <ext uri="GoogleSheetsCustomDataVersion2">
      <go:sheetsCustomData xmlns:go="http://customooxmlschemas.google.com/" r:id="rId32" roundtripDataChecksum="WDP/IE4Tt5APQd9tnivHAeTifLq20aFQMCp8l2G8jWY="/>
    </ext>
  </extLst>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AI53">
      <text>
        <t xml:space="preserve">======
ID#AAABw60mCMs
4RLZJ93    (2025-12-01 16:35:55)
Se ajustó conforme al beneficio del decreto 1174 de 2023</t>
      </text>
    </comment>
    <comment authorId="0" ref="AI31">
      <text>
        <t xml:space="preserve">======
ID#AAABw60mCMg
4RLZJ93    (2025-12-01 16:35:55)
Se ajustó conforme al beneficio del decreto 1174 de 2023</t>
      </text>
    </comment>
    <comment authorId="0" ref="AJ20">
      <text>
        <t xml:space="preserve">======
ID#AAABw6rLzro
UNICAUCA    (2025-12-01 16:35:55)
Sin fórmula, aplica decreto 1174 de 2023</t>
      </text>
    </comment>
    <comment authorId="0" ref="AI20">
      <text>
        <t xml:space="preserve">======
ID#AAABw6rLzrg
4RLZJ93    (2025-12-01 16:35:55)
Se ajustó conforme al beneficio del decreto 1174 de 2023</t>
      </text>
    </comment>
    <comment authorId="0" ref="AE19">
      <text>
        <t xml:space="preserve">======
ID#AAABw6rLzrM
tc={47F73AF5-D299-4376-9D10-D520E64206F2}    (2025-12-01 16:35:55)
[Comentario encadenado]
Su versión de Excel le permite leer este comentario encadenado; sin embargo, las ediciones que se apliquen se quitarán si el archivo se abre en una versión más reciente de Excel. Más información: https://go.microsoft.com/fwlink/?linkid=870924
Comentario:
    Se adjunta resolución de RRC, pero el término de la vigencia de RC se establece con el periodo de AAC</t>
      </text>
    </comment>
    <comment authorId="0" ref="AH20">
      <text>
        <t xml:space="preserve">======
ID#AAABw6rLzrE
4RLZJ93    (2025-12-01 16:35:55)
Se actualizó conforme a la extensión del decreto 1174</t>
      </text>
    </comment>
    <comment authorId="0" ref="AI44">
      <text>
        <t xml:space="preserve">======
ID#AAABw6rLzrA
4RLZJ93    (2025-12-01 16:35:55)
Se ajustó conforme al beneficio del decreto 1174 de 2023</t>
      </text>
    </comment>
    <comment authorId="0" ref="AD60">
      <text>
        <t xml:space="preserve">======
ID#AAABGVXgqGc
UNICAUCA    (2023-11-20 17:27:50)
Res. 16109 de 18-dic-19</t>
      </text>
    </comment>
    <comment authorId="0" ref="G53">
      <text>
        <t xml:space="preserve">======
ID#AAABGVXgqGY
CGC-AI    (2023-11-20 17:27:50)
SNIES anterior 12102</t>
      </text>
    </comment>
    <comment authorId="0" ref="AE16">
      <text>
        <t xml:space="preserve">======
ID#AAABGVXgqGo
4RJZJ93    (2023-11-20 17:27:50)
Res. AAC renovación por oficio</t>
      </text>
    </comment>
    <comment authorId="0" ref="AE60">
      <text>
        <t xml:space="preserve">======
ID#AAABGVXgqHQ
UNICAUCA    (2023-11-20 17:27:50)
Res. 16109 de 18-dic-19</t>
      </text>
    </comment>
    <comment authorId="0" ref="AE108">
      <text>
        <t xml:space="preserve">======
ID#AAABGVXgqGs
4RJZJ93    (2023-11-20 17:27:50)
RRC de oficio</t>
      </text>
    </comment>
    <comment authorId="0" ref="AD20">
      <text>
        <t xml:space="preserve">======
ID#AAABGVXgqHU
UNICAUCA    (2023-11-20 17:27:50)
Res. 8937 de 31-may-18</t>
      </text>
    </comment>
    <comment authorId="0" ref="AE75">
      <text>
        <t xml:space="preserve">======
ID#AAABGVXgqGg
David    (2023-11-20 17:27:50)
Renovación RC de oficio</t>
      </text>
    </comment>
    <comment authorId="0" ref="AE72">
      <text>
        <t xml:space="preserve">======
ID#AAABGVXgqHI
4RJZJ93    (2023-11-20 17:27:50)
Renovación RC de oficio</t>
      </text>
    </comment>
    <comment authorId="0" ref="AD13">
      <text>
        <t xml:space="preserve">======
ID#AAABGVXgqGw
LENOVO    (2023-11-20 17:27:50)
Res. AAC renovación por oficio</t>
      </text>
    </comment>
    <comment authorId="0" ref="AR31">
      <text>
        <t xml:space="preserve">======
ID#AAABGVXgqA4
CGC-AI    (2023-11-20 17:27:50)
Proyectadio para 2018</t>
      </text>
    </comment>
    <comment authorId="0" ref="AE71">
      <text>
        <t xml:space="preserve">======
ID#AAABGVXgqHk
4RJZJ93    (2023-11-20 17:27:50)
Renovación RC de oficio</t>
      </text>
    </comment>
    <comment authorId="0" ref="D56">
      <text>
        <t xml:space="preserve">======
ID#AAABGVXgqFA
CGC-AI    (2023-11-20 17:27:50)
Antes Licenciatura en Español Y Literatura</t>
      </text>
    </comment>
    <comment authorId="0" ref="D71">
      <text>
        <t xml:space="preserve">======
ID#AAABGVXgqDs
UNICAUCA    (2023-11-20 17:27:50)
Antes Licenciatura en Educación Básica con Énfasis en Ciencias Naturales y Educación Ambiental</t>
      </text>
    </comment>
    <comment authorId="0" ref="G46">
      <text>
        <t xml:space="preserve">======
ID#AAABGVXgqEU
UNICAUCA    (2023-11-20 17:27:50)
Anterior 102181</t>
      </text>
    </comment>
    <comment authorId="0" ref="AD70">
      <text>
        <t xml:space="preserve">======
ID#AAABGVXgqFM
4RJZJ93    (2023-11-20 17:27:50)
AAC: renovación de oficio</t>
      </text>
    </comment>
    <comment authorId="0" ref="D72">
      <text>
        <t xml:space="preserve">======
ID#AAABGVXgqG0
CGC-AI    (2023-11-20 17:27:50)
Anterior denominación: Licenciatura en Educación Básica con énfasis en Lengua Castellana e Inglés</t>
      </text>
    </comment>
    <comment authorId="0" ref="AE124">
      <text>
        <t xml:space="preserve">======
ID#AAABGVXgqG4
UNICAUCA    (2023-11-20 17:27:50)
Res. 2719 de 18-mar-19</t>
      </text>
    </comment>
    <comment authorId="0" ref="AD116">
      <text>
        <t xml:space="preserve">======
ID#AAABGVXgqFE
LENOVO    (2023-11-20 17:27:50)
Res. AAC renovación por oficio</t>
      </text>
    </comment>
    <comment authorId="0" ref="AM13">
      <text>
        <t xml:space="preserve">======
ID#AAABGVXgqGA
LENOVO    (2023-11-20 17:27:50)
Regionalización tiene RC hasta el 14 de julio de 2022</t>
      </text>
    </comment>
    <comment authorId="0" ref="AE12">
      <text>
        <t xml:space="preserve">======
ID#AAABGVXgqG8
David    (2023-11-20 17:27:50)
Renovación RC de oficio</t>
      </text>
    </comment>
    <comment authorId="0" ref="I60">
      <text>
        <t xml:space="preserve">======
ID#AAABGVXgqEw
UNICAUCA    (2023-11-20 17:27:50)
30 (2019)</t>
      </text>
    </comment>
    <comment authorId="0" ref="D53">
      <text>
        <t xml:space="preserve">======
ID#AAABGVXgqGM
UNICAUCA    (2023-11-20 17:27:50)
Antes Licenciatura en Lenguas Modernas Inglés - Francés</t>
      </text>
    </comment>
    <comment authorId="0" ref="D46">
      <text>
        <t xml:space="preserve">======
ID#AAABGVXgqGQ
UNICAUCA    (2023-11-20 17:27:50)
Antes Licenciatura en Lenguas Modernas, Inglés y Francés</t>
      </text>
    </comment>
    <comment authorId="0" ref="G72">
      <text>
        <t xml:space="preserve">======
ID#AAABGVXgqFs
CGC-AI    (2023-11-20 17:27:50)
Anterior SNIES 13153</t>
      </text>
    </comment>
    <comment authorId="0" ref="AD26">
      <text>
        <t xml:space="preserve">======
ID#AAABGVXgqGE
LENOVO    (2023-11-20 17:27:50)
Res. AAC renovación por oficio</t>
      </text>
    </comment>
    <comment authorId="0" ref="AE11">
      <text>
        <t xml:space="preserve">======
ID#AAABGVXgqBs
David    (2023-11-20 17:27:50)
Renovación RC de oficio</t>
      </text>
    </comment>
    <comment authorId="0" ref="I116">
      <text>
        <t xml:space="preserve">======
ID#AAABGVXgqD8
4RJZJ93    (2023-11-20 17:27:50)
Error en la plataforma 50</t>
      </text>
    </comment>
    <comment authorId="0" ref="AR118">
      <text>
        <t xml:space="preserve">======
ID#AAABGVXgqCo
CGC-AI    (2023-11-20 17:27:50)
Proyectado para 2018</t>
      </text>
    </comment>
    <comment authorId="0" ref="AE69">
      <text>
        <t xml:space="preserve">======
ID#AAABGVXgqDQ
4RJZJ93    (2023-11-20 17:27:50)
RAAC: renovación de oficio</t>
      </text>
    </comment>
    <comment authorId="0" ref="D70">
      <text>
        <t xml:space="preserve">======
ID#AAABGVXgqDU
UNICAUCA    (2023-11-20 17:27:50)
Antes Licenciatura en Educación Básica con Énfasis en Educación Artística</t>
      </text>
    </comment>
    <comment authorId="0" ref="AD16">
      <text>
        <t xml:space="preserve">======
ID#AAABGVXgqE8
4RJZJ93    (2023-11-20 17:27:50)
Res. AAC renovación por oficio</t>
      </text>
    </comment>
    <comment authorId="0" ref="AF20">
      <text>
        <t xml:space="preserve">======
ID#AAABGVXgqDY
UNICAUCA    (2023-11-20 17:27:50)
AAC: 2899 de 21-feb-18</t>
      </text>
    </comment>
    <comment authorId="0" ref="AF60">
      <text>
        <t xml:space="preserve">======
ID#AAABGVXgqDk
UNICAUCA    (2023-11-20 17:27:50)
AAC: Res. 8333 de 09-ago-19</t>
      </text>
    </comment>
    <comment authorId="0" ref="AE116">
      <text>
        <t xml:space="preserve">======
ID#AAABGVXgqEQ
LENOVO    (2023-11-20 17:27:50)
Res. AAC renovación por oficio</t>
      </text>
    </comment>
    <comment authorId="0" ref="AE13">
      <text>
        <t xml:space="preserve">======
ID#AAABGVXgqEE
LENOVO    (2023-11-20 17:27:50)
Res. AAC renovación por oficio</t>
      </text>
    </comment>
    <comment authorId="0" ref="AE10">
      <text>
        <t xml:space="preserve">======
ID#AAABGVXgqDg
4RJZJ93    (2023-11-20 17:27:50)
Renovación RC de oficio</t>
      </text>
    </comment>
    <comment authorId="0" ref="AF113">
      <text>
        <t xml:space="preserve">======
ID#AAABGVXgqHw
UNICAUCA    (2023-11-20 17:27:50)
AAC: Res. 7576 de 24-jul-19</t>
      </text>
    </comment>
    <comment authorId="0" ref="AF124">
      <text>
        <t xml:space="preserve">======
ID#AAABGVXgqAg
UNICAUCA    (2023-11-20 17:27:50)
AAC: Res. 11006 de 06-jul-2018</t>
      </text>
    </comment>
    <comment authorId="0" ref="AE113">
      <text>
        <t xml:space="preserve">======
ID#AAABGVXgqBI
UNICAUCA    (2023-11-20 17:27:50)
Res. 16108 de 18-dic-19</t>
      </text>
    </comment>
    <comment authorId="0" ref="AE9">
      <text>
        <t xml:space="preserve">======
ID#AAABGVXgqAk
4RJZJ93    (2023-11-20 17:27:50)
Renovación RC de oficio</t>
      </text>
    </comment>
    <comment authorId="0" ref="G69">
      <text>
        <t xml:space="preserve">======
ID#AAABGVXgqBM
CGC-AI    (2023-11-20 17:27:50)
SNIES anterior 12101</t>
      </text>
    </comment>
    <comment authorId="0" ref="AE20">
      <text>
        <t xml:space="preserve">======
ID#AAABGVXgqC0
UNICAUCA    (2023-11-20 17:27:50)
Res. 8937 de 31-may-18</t>
      </text>
    </comment>
    <comment authorId="0" ref="G70">
      <text>
        <t xml:space="preserve">======
ID#AAABGVXgqBA
CGC-AI    (2023-11-20 17:27:50)
Anterior SNIES 13418</t>
      </text>
    </comment>
    <comment authorId="0" ref="AE70">
      <text>
        <t xml:space="preserve">======
ID#AAABGVXgqAc
4RJZJ93    (2023-11-20 17:27:50)
AAC: renovación de oficio</t>
      </text>
    </comment>
    <comment authorId="0" ref="D69">
      <text>
        <t xml:space="preserve">======
ID#AAABGVXgqBE
UNICAUCA    (2023-11-20 17:27:50)
Antes Licenciatura en Educación Básica con Énfasis en Educación Física, Recreación y Deportes</t>
      </text>
    </comment>
    <comment authorId="0" ref="AE30">
      <text>
        <t xml:space="preserve">======
ID#AAABGVXgqAo
UNICAUCA    (2023-11-20 17:27:50)
RRC de oficio</t>
      </text>
    </comment>
    <comment authorId="0" ref="G71">
      <text>
        <t xml:space="preserve">======
ID#AAABGVXgqBQ
CGC-AI    (2023-11-20 17:27:50)
Snies anterior 3965</t>
      </text>
    </comment>
    <comment authorId="0" ref="AM100">
      <text>
        <t xml:space="preserve">======
ID#AAABGVXgqC4
UNICAUCA    (2023-11-20 17:27:50)
Se venció el RC en el año 2020 y se dio registro calificado nuevo</t>
      </text>
    </comment>
    <comment authorId="0" ref="AE26">
      <text>
        <t xml:space="preserve">======
ID#AAABGVXgqBU
LENOVO    (2023-11-20 17:27:50)
Res. AAC renovación por oficio</t>
      </text>
    </comment>
    <comment authorId="0" ref="AF51">
      <text>
        <t xml:space="preserve">======
ID#AAABGVXgqC8
unicauca    (2023-11-20 17:27:50)
Fecha Res. De Acreditación según Res RC 11-09-2012</t>
      </text>
    </comment>
    <comment authorId="0" ref="AD113">
      <text>
        <t xml:space="preserve">======
ID#AAABGVXgqCI
UNICAUCA    (2023-11-20 17:27:50)
Res. 16108 de 18-dic-19</t>
      </text>
    </comment>
    <comment authorId="0" ref="AD69">
      <text>
        <t xml:space="preserve">======
ID#AAABGVXgqBk
4RJZJ93    (2023-11-20 17:27:50)
RAAC: renovación de oficio</t>
      </text>
    </comment>
    <comment authorId="0" ref="AD124">
      <text>
        <t xml:space="preserve">======
ID#AAABGVXgqCM
UNICAUCA    (2023-11-20 17:27:50)
Res. 2719 de 18-mar-19</t>
      </text>
    </comment>
    <comment authorId="0" ref="G56">
      <text>
        <t xml:space="preserve">======
ID#AAABGVXgqBc
CGC-AI    (2023-11-20 17:27:50)
SNIES anterior: 15444</t>
      </text>
    </comment>
  </commentList>
  <extLst>
    <ext uri="GoogleSheetsCustomDataVersion2">
      <go:sheetsCustomData xmlns:go="http://customooxmlschemas.google.com/" r:id="rId1" roundtripDataSignature="AMtx7mhC6j2GnArrcfjYWgt/jUmyYYgqrg=="/>
    </ext>
  </extL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D26">
      <text>
        <t xml:space="preserve">======
ID#AAABGVXgqFg
CGC-AI    (2023-11-20 17:27:50)
Anterior SNIES 13418</t>
      </text>
    </comment>
    <comment authorId="0" ref="C26">
      <text>
        <t xml:space="preserve">======
ID#AAABGVXgqGI
UNICAUCA    (2023-11-20 17:27:50)
Antes Licenciatura en Educación Básica con Énfasis en Educación Artística</t>
      </text>
    </comment>
    <comment authorId="0" ref="I23">
      <text>
        <t xml:space="preserve">======
ID#AAABGVXgqAw
LENOVO    (2023-11-20 17:27:50)
Dic 2021</t>
      </text>
    </comment>
  </commentList>
  <extLst>
    <ext uri="GoogleSheetsCustomDataVersion2">
      <go:sheetsCustomData xmlns:go="http://customooxmlschemas.google.com/" r:id="rId1" roundtripDataSignature="AMtx7mjrbxPwwWYNpAp8Bats/FiD90LmXg=="/>
    </ext>
  </extLst>
</comments>
</file>

<file path=xl/comments3.xml><?xml version="1.0" encoding="utf-8"?>
<comments xmlns:r="http://schemas.openxmlformats.org/officeDocument/2006/relationships" xmlns="http://schemas.openxmlformats.org/spreadsheetml/2006/main" xmlns:xr="http://schemas.microsoft.com/office/spreadsheetml/2014/revision">
  <authors>
    <author/>
  </authors>
  <commentList>
    <comment authorId="0" ref="D40">
      <text>
        <t xml:space="preserve">======
ID#AAABGVXgqA8
CGC-AI    (2023-11-20 17:27:50)
Anterior SNIES 13153</t>
      </text>
    </comment>
    <comment authorId="0" ref="G20">
      <text>
        <t xml:space="preserve">======
ID#AAABGVXgqA0
UNICAUCA    (2023-11-20 17:27:50)
AAC: 17610 de 01-sep-17</t>
      </text>
    </comment>
    <comment authorId="0" ref="C37">
      <text>
        <t xml:space="preserve">======
ID#AAABGVXgqHo
CGC-AI    (2023-11-20 17:27:50)
Antes Licenciatura en Español Y Literatura</t>
      </text>
    </comment>
    <comment authorId="0" ref="C16">
      <text>
        <t xml:space="preserve">======
ID#AAABGVXgqHg
UNICAUCA    (2023-11-20 17:27:50)
Antes Licenciatura en Lenguas Modernas Inglés - Francés</t>
      </text>
    </comment>
    <comment authorId="0" ref="G21">
      <text>
        <t xml:space="preserve">======
ID#AAABGVXgqFQ
UNICAUCA    (2023-11-20 17:27:50)
AAC: 16737 de 24-ago-17</t>
      </text>
    </comment>
    <comment authorId="0" ref="C40">
      <text>
        <t xml:space="preserve">======
ID#AAABGVXgqFU
CGC-AI    (2023-11-20 17:27:50)
Anterior denominación: Licenciatura en Educación Básica con énfasis en Lengua Castellana e Inglés</t>
      </text>
    </comment>
    <comment authorId="0" ref="C38">
      <text>
        <t xml:space="preserve">======
ID#AAABGVXgqD4
UNICAUCA    (2023-11-20 17:27:50)
Antes Licenciatura en Educación Básica con Énfasis en Ciencias Naturales y Educación Ambiental</t>
      </text>
    </comment>
    <comment authorId="0" ref="D37">
      <text>
        <t xml:space="preserve">======
ID#AAABGVXgqCU
CGC-AI    (2023-11-20 17:27:50)
SNIES anterior: 15444</t>
      </text>
    </comment>
    <comment authorId="0" ref="D38">
      <text>
        <t xml:space="preserve">======
ID#AAABGVXgqCg
CGC-AI    (2023-11-20 17:27:50)
Snies anterior 3965</t>
      </text>
    </comment>
    <comment authorId="0" ref="F34">
      <text>
        <t xml:space="preserve">======
ID#AAABGVXgqE4
UNICAUCA    (2023-11-20 17:27:50)
Res. 8937 de 31-may-18</t>
      </text>
    </comment>
    <comment authorId="0" ref="D16">
      <text>
        <t xml:space="preserve">======
ID#AAABGVXgqCs
CGC-AI    (2023-11-20 17:27:50)
SNIES anterior 12102</t>
      </text>
    </comment>
    <comment authorId="0" ref="F20">
      <text>
        <t xml:space="preserve">======
ID#AAABGVXgqDo
CGC-AI    (2023-11-20 17:27:50)
Res. 7895 de 11-may-18</t>
      </text>
    </comment>
    <comment authorId="0" ref="F21">
      <text>
        <t xml:space="preserve">======
ID#AAABGVXgqDc
CGC-AI    (2023-11-20 17:27:50)
Res. 8938 de 31-may-18</t>
      </text>
    </comment>
    <comment authorId="0" ref="G34">
      <text>
        <t xml:space="preserve">======
ID#AAABGVXgqB4
UNICAUCA    (2023-11-20 17:27:50)
AAC: 2899 de 21-feb-18</t>
      </text>
    </comment>
  </commentList>
  <extLst>
    <ext uri="GoogleSheetsCustomDataVersion2">
      <go:sheetsCustomData xmlns:go="http://customooxmlschemas.google.com/" r:id="rId1" roundtripDataSignature="AMtx7mi2/calOeX3GCWdatM6LV8e8y9qYA=="/>
    </ext>
  </extLst>
</comments>
</file>

<file path=xl/comments4.xml><?xml version="1.0" encoding="utf-8"?>
<comments xmlns:r="http://schemas.openxmlformats.org/officeDocument/2006/relationships" xmlns="http://schemas.openxmlformats.org/spreadsheetml/2006/main" xmlns:xr="http://schemas.microsoft.com/office/spreadsheetml/2014/revision">
  <authors>
    <author/>
  </authors>
  <commentList>
    <comment authorId="0" ref="E34">
      <text>
        <t xml:space="preserve">======
ID#AAABGVXgqHA
UNICAUCA    (2023-11-20 17:27:50)
Anterior 102181</t>
      </text>
    </comment>
    <comment authorId="0" ref="E49">
      <text>
        <t xml:space="preserve">======
ID#AAABGVXgqFw
CGC-AI    (2023-11-20 17:27:50)
Anterior SNIES 13153</t>
      </text>
    </comment>
    <comment authorId="0" ref="F51">
      <text>
        <t xml:space="preserve">======
ID#AAABGVXgqHY
UNICAUCA    (2023-11-20 17:27:50)
Proyectadio para 2019</t>
      </text>
    </comment>
    <comment authorId="0" ref="C37">
      <text>
        <t xml:space="preserve">======
ID#AAABGVXgqF8
CGC-AI    (2023-11-20 17:27:50)
Antes Lic. en Español Y Literatura</t>
      </text>
    </comment>
    <comment authorId="0" ref="E46">
      <text>
        <t xml:space="preserve">======
ID#AAABGVXgqEY
CGC-AI    (2023-11-20 17:27:50)
Snies anterior 3965</t>
      </text>
    </comment>
    <comment authorId="0" ref="E37">
      <text>
        <t xml:space="preserve">======
ID#AAABGVXgqE0
CGC-AI    (2023-11-20 17:27:50)
SNIES anterior: 15444</t>
      </text>
    </comment>
    <comment authorId="0" ref="E33">
      <text>
        <t xml:space="preserve">======
ID#AAABGVXgqCw
CGC-AI    (2023-11-20 17:27:50)
SNIES anterior 12102</t>
      </text>
    </comment>
    <comment authorId="0" ref="F38">
      <text>
        <t xml:space="preserve">======
ID#AAABGVXgqB0
UNICAUCA    (2023-11-20 17:27:50)
Proyectadio para 2019</t>
      </text>
    </comment>
    <comment authorId="0" ref="E48">
      <text>
        <t xml:space="preserve">======
ID#AAABGVXgqBY
CGC-AI    (2023-11-20 17:27:50)
SNIES anterior 12101</t>
      </text>
    </comment>
    <comment authorId="0" ref="E50">
      <text>
        <t xml:space="preserve">======
ID#AAABGVXgqAs
CGC-AI    (2023-11-20 17:27:50)
Anterior SNIES 13418</t>
      </text>
    </comment>
  </commentList>
  <extLst>
    <ext uri="GoogleSheetsCustomDataVersion2">
      <go:sheetsCustomData xmlns:go="http://customooxmlschemas.google.com/" r:id="rId1" roundtripDataSignature="AMtx7mhZvvtBUNI2U3BqUJqgZL4jkvdJWg=="/>
    </ext>
  </extLst>
</comments>
</file>

<file path=xl/comments5.xml><?xml version="1.0" encoding="utf-8"?>
<comments xmlns:r="http://schemas.openxmlformats.org/officeDocument/2006/relationships" xmlns="http://schemas.openxmlformats.org/spreadsheetml/2006/main" xmlns:xr="http://schemas.microsoft.com/office/spreadsheetml/2014/revision">
  <authors>
    <author/>
  </authors>
  <commentList>
    <comment authorId="0" ref="F55">
      <text>
        <t xml:space="preserve">======
ID#AAABGVXgqF4
CGC-AI    (2023-11-20 17:27:50)
Anterior SNIES 13418</t>
      </text>
    </comment>
    <comment authorId="0" ref="F42">
      <text>
        <t xml:space="preserve">======
ID#AAABGVXgqEc
CGC-AI    (2023-11-20 17:27:50)
SNIES anterior 12102</t>
      </text>
    </comment>
    <comment authorId="0" ref="F57">
      <text>
        <t xml:space="preserve">======
ID#AAABGVXgqCc
CGC-AI    (2023-11-20 17:27:50)
SNIES anterior 12101</t>
      </text>
    </comment>
    <comment authorId="0" ref="F43">
      <text>
        <t xml:space="preserve">======
ID#AAABGVXgqDE
CGC-AI    (2023-11-20 17:27:50)
SNIES anterior: 15444</t>
      </text>
    </comment>
    <comment authorId="0" ref="F54">
      <text>
        <t xml:space="preserve">======
ID#AAABGVXgqDI
CGC-AI    (2023-11-20 17:27:50)
Snies anterior 3965</t>
      </text>
    </comment>
    <comment authorId="0" ref="E55">
      <text>
        <t xml:space="preserve">======
ID#AAABGVXgqF0
UNICAUCA    (2023-11-20 17:27:50)
Antes Licenciatura en Educación Básica con Énfasis en Educación Artística</t>
      </text>
    </comment>
    <comment authorId="0" ref="F56">
      <text>
        <t xml:space="preserve">======
ID#AAABGVXgqEI
CGC-AI    (2023-11-20 17:27:50)
Anterior SNIES 13153</t>
      </text>
    </comment>
  </commentList>
  <extLst>
    <ext uri="GoogleSheetsCustomDataVersion2">
      <go:sheetsCustomData xmlns:go="http://customooxmlschemas.google.com/" r:id="rId1" roundtripDataSignature="AMtx7mhSFWrHiykHi05icXcFJYEnkUeQsQ=="/>
    </ext>
  </extLst>
</comments>
</file>

<file path=xl/comments6.xml><?xml version="1.0" encoding="utf-8"?>
<comments xmlns:r="http://schemas.openxmlformats.org/officeDocument/2006/relationships" xmlns="http://schemas.openxmlformats.org/spreadsheetml/2006/main" xmlns:xr="http://schemas.microsoft.com/office/spreadsheetml/2014/revision">
  <authors>
    <author/>
  </authors>
  <commentList>
    <comment authorId="0" ref="C68">
      <text>
        <t xml:space="preserve">======
ID#AAABGVXgqEo
CGC-AI    (2023-11-20 17:27:50)
Antes Lic. en Español Y Literatura</t>
      </text>
    </comment>
    <comment authorId="0" ref="D92">
      <text>
        <t xml:space="preserve">======
ID#AAABGVXgqFc
CGC-AI    (2023-11-20 17:27:50)
SNIES anterior 12101</t>
      </text>
    </comment>
    <comment authorId="0" ref="D93">
      <text>
        <t xml:space="preserve">======
ID#AAABGVXgqEs
CGC-AI    (2023-11-20 17:27:50)
SNIES Anterior 13153</t>
      </text>
    </comment>
    <comment authorId="0" ref="D68">
      <text>
        <t xml:space="preserve">======
ID#AAABGVXgqEA
CGC-AI    (2023-11-20 17:27:50)
SNIES anterior: 15444</t>
      </text>
    </comment>
    <comment authorId="0" ref="D65">
      <text>
        <t xml:space="preserve">======
ID#AAABGVXgqB8
CGC-AI    (2023-11-20 17:27:50)
SNIES anterior 12102</t>
      </text>
    </comment>
    <comment authorId="0" ref="D94">
      <text>
        <t xml:space="preserve">======
ID#AAABGVXgqBo
CGC-AI    (2023-11-20 17:27:50)
Anterior SNIES 13418</t>
      </text>
    </comment>
    <comment authorId="0" ref="D89">
      <text>
        <t xml:space="preserve">======
ID#AAABGVXgqCE
CGC-AI    (2023-11-20 17:27:50)
Snies anterior 3965</t>
      </text>
    </comment>
  </commentList>
  <extLst>
    <ext uri="GoogleSheetsCustomDataVersion2">
      <go:sheetsCustomData xmlns:go="http://customooxmlschemas.google.com/" r:id="rId1" roundtripDataSignature="AMtx7mhI5e6tDoDjPFj9mYs/2hNvvP/xhw=="/>
    </ext>
  </extLst>
</comments>
</file>

<file path=xl/comments7.xml><?xml version="1.0" encoding="utf-8"?>
<comments xmlns:r="http://schemas.openxmlformats.org/officeDocument/2006/relationships" xmlns="http://schemas.openxmlformats.org/spreadsheetml/2006/main" xmlns:xr="http://schemas.microsoft.com/office/spreadsheetml/2014/revision">
  <authors>
    <author/>
  </authors>
  <commentList>
    <comment authorId="0" ref="D74">
      <text>
        <t xml:space="preserve">======
ID#AAABGVXgqHE
CGC-AI    (2023-11-20 17:27:50)
SNIES anterior 12102</t>
      </text>
    </comment>
    <comment authorId="0" ref="D100">
      <text>
        <t xml:space="preserve">======
ID#AAABGVXgqGU
CGC-AI    (2023-11-20 17:27:50)
SNIES anterior 13153</t>
      </text>
    </comment>
    <comment authorId="0" ref="D98">
      <text>
        <t xml:space="preserve">======
ID#AAABGVXgqDw
CGC-AI    (2023-11-20 17:27:50)
Anterior SNIES 13418</t>
      </text>
    </comment>
    <comment authorId="0" ref="D72">
      <text>
        <t xml:space="preserve">======
ID#AAABGVXgqEg
CGC-AI    (2023-11-20 17:27:50)
SNIES anterior: 15444</t>
      </text>
    </comment>
    <comment authorId="0" ref="D99">
      <text>
        <t xml:space="preserve">======
ID#AAABGVXgqBw
CGC-AI    (2023-11-20 17:27:50)
Snies anterior 3965</t>
      </text>
    </comment>
    <comment authorId="0" ref="D101">
      <text>
        <t xml:space="preserve">======
ID#AAABGVXgqDM
CGC-AI    (2023-11-20 17:27:50)
SNIES anterior 12101</t>
      </text>
    </comment>
    <comment authorId="0" ref="C172">
      <text>
        <t xml:space="preserve">======
ID#AAABGVXgqBg
Usuario    (2023-11-20 17:27:50)
Mediante oficio 8.4.9/35 del 15 de agosto de 2017, notifican:
Se presenta informe de autoevaluación planes d mejoramiento 2013 - 2015
Informe de autoevaluación con fines de renovación de la acreditación, y se subió a la plataforma MEN entre los días 12 y 16 de junio.</t>
      </text>
    </comment>
  </commentList>
  <extLst>
    <ext uri="GoogleSheetsCustomDataVersion2">
      <go:sheetsCustomData xmlns:go="http://customooxmlschemas.google.com/" r:id="rId1" roundtripDataSignature="AMtx7mgktjllYOgLBTdAOvb4USpRp5poCw=="/>
    </ext>
  </extLst>
</comments>
</file>

<file path=xl/comments8.xml><?xml version="1.0" encoding="utf-8"?>
<comments xmlns:r="http://schemas.openxmlformats.org/officeDocument/2006/relationships" xmlns="http://schemas.openxmlformats.org/spreadsheetml/2006/main" xmlns:xr="http://schemas.microsoft.com/office/spreadsheetml/2014/revision">
  <authors>
    <author/>
  </authors>
  <commentList>
    <comment authorId="0" ref="J6">
      <text>
        <t xml:space="preserve">======
ID#AAABGVXgqHs
UNICAUCA    (2023-11-20 17:27:50)
Ing. Civil (SQ) no es programa nuevo, pero se venció el RC y se otorgó RC</t>
      </text>
    </comment>
  </commentList>
  <extLst>
    <ext uri="GoogleSheetsCustomDataVersion2">
      <go:sheetsCustomData xmlns:go="http://customooxmlschemas.google.com/" r:id="rId1" roundtripDataSignature="AMtx7miBHzdR54wP2nPmG+vxF2661th67Q=="/>
    </ext>
  </extLst>
</comments>
</file>

<file path=xl/sharedStrings.xml><?xml version="1.0" encoding="utf-8"?>
<sst xmlns="http://schemas.openxmlformats.org/spreadsheetml/2006/main" count="6081" uniqueCount="1371">
  <si>
    <t>Centro de Gestión de Calidad y Acreditación Institucional</t>
  </si>
  <si>
    <r>
      <rPr>
        <rFont val="Arial Narrow"/>
        <b/>
        <color theme="1"/>
        <sz val="10.0"/>
      </rPr>
      <t xml:space="preserve">Sistema Integrado de Gestión para la Acreditación </t>
    </r>
    <r>
      <rPr>
        <rFont val="Arial Narrow"/>
        <b/>
        <color rgb="FFC00000"/>
        <sz val="10.0"/>
      </rPr>
      <t>SiGA</t>
    </r>
  </si>
  <si>
    <t>Base de Datos Maestra del CGC-AI</t>
  </si>
  <si>
    <t>Listado
Programas
con RC</t>
  </si>
  <si>
    <t>Resumen
Programas
con RC</t>
  </si>
  <si>
    <t>Programas
Acreditables</t>
  </si>
  <si>
    <t>Programas
Acreditados</t>
  </si>
  <si>
    <t>Estado proceso
Renovación RC
por programa</t>
  </si>
  <si>
    <t>Resumen
proceso
 Renovación RC</t>
  </si>
  <si>
    <t>Estado proceso
AAC por
programa</t>
  </si>
  <si>
    <t>Resumen proceso
AAC</t>
  </si>
  <si>
    <t>RC: Registro Calificado</t>
  </si>
  <si>
    <t>AAC:Acreditación Alta Calidad</t>
  </si>
  <si>
    <t>Actualizada a 4 de junio de 2024</t>
  </si>
  <si>
    <t>Asignación de código SNIES para programas académicos</t>
  </si>
  <si>
    <t>Sistema Interno de Aseguramiento de la Calidad</t>
  </si>
  <si>
    <t>Información de Programas Académicos de la Universidad del Cauca</t>
  </si>
  <si>
    <t>N°</t>
  </si>
  <si>
    <t>Código
Proceso</t>
  </si>
  <si>
    <t>Facultad</t>
  </si>
  <si>
    <t>Programa</t>
  </si>
  <si>
    <t>Título otorgado</t>
  </si>
  <si>
    <t>Acuerdo de Creación
Consejo Superior</t>
  </si>
  <si>
    <t>SNIES</t>
  </si>
  <si>
    <t>No Renovación</t>
  </si>
  <si>
    <t>Número de Admitidos autorizados por el MEN</t>
  </si>
  <si>
    <t>Periodicidad del admisión</t>
  </si>
  <si>
    <t>Convenio</t>
  </si>
  <si>
    <t>IES en Convenio</t>
  </si>
  <si>
    <t>Administrador
de convenio</t>
  </si>
  <si>
    <t>Lugar de Desarrollo</t>
  </si>
  <si>
    <t>Jornada</t>
  </si>
  <si>
    <t>Regionalizado</t>
  </si>
  <si>
    <t>Nivel de formación
académico</t>
  </si>
  <si>
    <t>Nivel
académico</t>
  </si>
  <si>
    <t>Modalidad</t>
  </si>
  <si>
    <t>Metodología</t>
  </si>
  <si>
    <t>Créditos 
Investigación</t>
  </si>
  <si>
    <t>Créditos
Profundización</t>
  </si>
  <si>
    <t>Total Créditos 
Académicos</t>
  </si>
  <si>
    <t>Duración</t>
  </si>
  <si>
    <t>Reforma
Consejo Académico</t>
  </si>
  <si>
    <t>Reforma
Consejo Superior</t>
  </si>
  <si>
    <t>Reforma
MinEducación</t>
  </si>
  <si>
    <t>% TIC</t>
  </si>
  <si>
    <t>Con R.C.</t>
  </si>
  <si>
    <t>Resolución
R.C.</t>
  </si>
  <si>
    <t>Inicio R.C.</t>
  </si>
  <si>
    <t>Duración
(años)</t>
  </si>
  <si>
    <r>
      <rPr>
        <rFont val="Arial Narrow"/>
        <b/>
        <color theme="0"/>
        <sz val="16.0"/>
      </rPr>
      <t xml:space="preserve">SiGA </t>
    </r>
    <r>
      <rPr>
        <rFont val="Arial Narrow"/>
        <b/>
        <color rgb="FF002060"/>
        <sz val="16.0"/>
      </rPr>
      <t>RRC</t>
    </r>
    <r>
      <rPr>
        <rFont val="Arial Narrow"/>
        <b/>
        <color theme="0"/>
        <sz val="10.0"/>
      </rPr>
      <t xml:space="preserve">
(14 meses antes)</t>
    </r>
  </si>
  <si>
    <t>Plazo Radicación RRC
ante MinEducación 
(12 meses antes)</t>
  </si>
  <si>
    <t>Vencimiento
R.C.</t>
  </si>
  <si>
    <t>Extensión Decreto 1330 de 2019</t>
  </si>
  <si>
    <t>Vencimiento de R.C con Extensión decreto 1174 de 2023</t>
  </si>
  <si>
    <t>Histórico
Resoluciones R.C.</t>
  </si>
  <si>
    <t>Cantidad
Res/Ren R.C.</t>
  </si>
  <si>
    <t>Resolución R.C.
de Oficio</t>
  </si>
  <si>
    <t>Resolución R.C.
Negada</t>
  </si>
  <si>
    <t>Número
Egresados</t>
  </si>
  <si>
    <t>Acreditable</t>
  </si>
  <si>
    <t>Acreditado</t>
  </si>
  <si>
    <t>En Proceso de
Acreditación</t>
  </si>
  <si>
    <t>Resolución
Acreditación A.C.</t>
  </si>
  <si>
    <t>Inicio A.A.C.</t>
  </si>
  <si>
    <r>
      <rPr>
        <rFont val="Arial Narrow"/>
        <b/>
        <color theme="0"/>
        <sz val="12.0"/>
      </rPr>
      <t>Entrega al CGCAI</t>
    </r>
    <r>
      <rPr>
        <rFont val="Arial Narrow"/>
        <b/>
        <color theme="0"/>
        <sz val="10.0"/>
      </rPr>
      <t xml:space="preserve">
(14 meses antes)</t>
    </r>
  </si>
  <si>
    <t>Plazo Radicación AAC
ante MinEducación
(1 año antes)</t>
  </si>
  <si>
    <t>Vencimiento
A.A.C.</t>
  </si>
  <si>
    <t>Mitad Vigencia de Acreditación
(Plan de Mejora)</t>
  </si>
  <si>
    <t>Histórico
Resoluciones AAC</t>
  </si>
  <si>
    <t>Cantidad
Res. AAC</t>
  </si>
  <si>
    <t>Resolución AAC
Negada</t>
  </si>
  <si>
    <t>Lineamiento Acreditación</t>
  </si>
  <si>
    <t>Observaciones
Generales</t>
  </si>
  <si>
    <t>Coordinador
de Programa</t>
  </si>
  <si>
    <t>Facultad de Artes</t>
  </si>
  <si>
    <t>Artes Plásticas</t>
  </si>
  <si>
    <t>Maestro en Artes Plásticas</t>
  </si>
  <si>
    <t>Ac. 006 de 17-Feb-1996
(CS)
Reforma 04 de 03-Feb-2010</t>
  </si>
  <si>
    <t>30 (2021)</t>
  </si>
  <si>
    <t>Semestral</t>
  </si>
  <si>
    <t>Popayán</t>
  </si>
  <si>
    <t>Diurna</t>
  </si>
  <si>
    <t>No</t>
  </si>
  <si>
    <t>Profesional Universitario</t>
  </si>
  <si>
    <t>Pregrado</t>
  </si>
  <si>
    <t>Presencial</t>
  </si>
  <si>
    <t>N/A</t>
  </si>
  <si>
    <t>10 Semestres</t>
  </si>
  <si>
    <r>
      <rPr>
        <rFont val="Arial Narrow"/>
        <color theme="1"/>
        <sz val="10.0"/>
      </rPr>
      <t xml:space="preserve">Res. 4837 de 07-abr-2014 </t>
    </r>
    <r>
      <rPr>
        <rFont val="Arial Narrow"/>
        <b/>
        <color theme="1"/>
        <sz val="10.0"/>
      </rPr>
      <t>(7a)</t>
    </r>
    <r>
      <rPr>
        <rFont val="Arial Narrow"/>
        <color theme="1"/>
        <sz val="10.0"/>
      </rPr>
      <t xml:space="preserve">
Res. 2764 de 25-may-2007</t>
    </r>
  </si>
  <si>
    <t>Si</t>
  </si>
  <si>
    <t xml:space="preserve">Maestría en Música </t>
  </si>
  <si>
    <t xml:space="preserve">Magíster en Música </t>
  </si>
  <si>
    <t>Ac. S. 071 17/12/2014 MODIFICADO por Ac. S. 022 6/04/2015</t>
  </si>
  <si>
    <t>20 (2021)</t>
  </si>
  <si>
    <t>Anual</t>
  </si>
  <si>
    <t>Maestría</t>
  </si>
  <si>
    <t>Posgrado</t>
  </si>
  <si>
    <t>Profundización</t>
  </si>
  <si>
    <t>4 semestres</t>
  </si>
  <si>
    <t>No se cuenta con información</t>
  </si>
  <si>
    <r>
      <rPr>
        <rFont val="Arial Narrow"/>
        <color theme="1"/>
        <sz val="10.0"/>
      </rPr>
      <t xml:space="preserve">Res. 6930 de 14-may-2015 </t>
    </r>
    <r>
      <rPr>
        <rFont val="Arial Narrow"/>
        <b/>
        <color theme="1"/>
        <sz val="10.0"/>
      </rPr>
      <t>(7a)</t>
    </r>
  </si>
  <si>
    <t>Licenciatura en Música</t>
  </si>
  <si>
    <t>Licenciado en Música</t>
  </si>
  <si>
    <t>Res. 1504 de 30-Jun-1992 CS</t>
  </si>
  <si>
    <t>25 (2023)</t>
  </si>
  <si>
    <t>AC. 012 del 07-Jun-2017 (CA)</t>
  </si>
  <si>
    <t>Res. 25125 de 17-nov-2017 (MEN)</t>
  </si>
  <si>
    <r>
      <rPr>
        <rFont val="Arial Narrow"/>
        <color theme="1"/>
        <sz val="10.0"/>
      </rPr>
      <t xml:space="preserve">Res. 1999 de 13-feb-2018 </t>
    </r>
    <r>
      <rPr>
        <rFont val="Arial Narrow"/>
        <b/>
        <color theme="1"/>
        <sz val="10.0"/>
      </rPr>
      <t>(7a)</t>
    </r>
    <r>
      <rPr>
        <rFont val="Arial Narrow"/>
        <color theme="1"/>
        <sz val="10.0"/>
      </rPr>
      <t xml:space="preserve">
Res. 743 de 08-feb-2011 </t>
    </r>
    <r>
      <rPr>
        <rFont val="Arial Narrow"/>
        <b/>
        <color theme="1"/>
        <sz val="10.0"/>
      </rPr>
      <t>(7a)</t>
    </r>
    <r>
      <rPr>
        <rFont val="Arial Narrow"/>
        <color theme="1"/>
        <sz val="10.0"/>
      </rPr>
      <t xml:space="preserve">
Res. 2117 de 12-sep-2001</t>
    </r>
  </si>
  <si>
    <r>
      <rPr>
        <rFont val="Arial Narrow"/>
        <color theme="1"/>
        <sz val="10.0"/>
      </rPr>
      <t xml:space="preserve">Res. 27743 de 07-dic-2017 </t>
    </r>
    <r>
      <rPr>
        <rFont val="Arial Narrow"/>
        <b/>
        <color theme="1"/>
        <sz val="10.0"/>
      </rPr>
      <t>(4a)</t>
    </r>
  </si>
  <si>
    <t>Música Instrumental</t>
  </si>
  <si>
    <t xml:space="preserve">Música Instrumental </t>
  </si>
  <si>
    <t>Ac. 046 de 29-Ago-2000
(CS)
Modificado por el Acuerdo 008 de 2007
Derogado por el Ac. 038 de 11-Jun-2014</t>
  </si>
  <si>
    <t>30 (2023)</t>
  </si>
  <si>
    <t>Bimestral</t>
  </si>
  <si>
    <t>12 Semestres</t>
  </si>
  <si>
    <t xml:space="preserve">AC. 015 del 2014 </t>
  </si>
  <si>
    <r>
      <rPr>
        <rFont val="Arial Narrow"/>
        <color theme="1"/>
        <sz val="10.0"/>
      </rPr>
      <t xml:space="preserve">Res. 8264 de 18-may-2021 </t>
    </r>
    <r>
      <rPr>
        <rFont val="Arial Narrow"/>
        <b/>
        <color theme="1"/>
        <sz val="10.0"/>
      </rPr>
      <t>(7a)</t>
    </r>
    <r>
      <rPr>
        <rFont val="Arial Narrow"/>
        <color theme="1"/>
        <sz val="10.0"/>
      </rPr>
      <t xml:space="preserve">
Res. 18029 de 21-sep-2021 </t>
    </r>
    <r>
      <rPr>
        <rFont val="Arial Narrow"/>
        <b/>
        <color theme="1"/>
        <sz val="10.0"/>
      </rPr>
      <t>(Corr)</t>
    </r>
    <r>
      <rPr>
        <rFont val="Arial Narrow"/>
        <color theme="1"/>
        <sz val="10.0"/>
      </rPr>
      <t xml:space="preserve">
Res. 13551 de 21-ago-2014 </t>
    </r>
    <r>
      <rPr>
        <rFont val="Arial Narrow"/>
        <b/>
        <color theme="1"/>
        <sz val="10.0"/>
      </rPr>
      <t>(7a)</t>
    </r>
    <r>
      <rPr>
        <rFont val="Arial Narrow"/>
        <color theme="1"/>
        <sz val="10.0"/>
      </rPr>
      <t xml:space="preserve">
Res. 6506 de 26-oct-2007</t>
    </r>
  </si>
  <si>
    <t>Diseño Gráfico</t>
  </si>
  <si>
    <t>Diseñador Gráfico</t>
  </si>
  <si>
    <t>Ac. 016 de 18-Feb-1997 CS</t>
  </si>
  <si>
    <t>30 (2020)</t>
  </si>
  <si>
    <t>9 Semestres</t>
  </si>
  <si>
    <t>AC. 014 del 21-Sep-2016 (CA)</t>
  </si>
  <si>
    <t>Res. 04303 de 10-may-2017 MEN</t>
  </si>
  <si>
    <r>
      <rPr>
        <rFont val="Arial Narrow"/>
        <color theme="1"/>
        <sz val="10.0"/>
      </rPr>
      <t xml:space="preserve">Res. 12800 de 10-jul-2020 </t>
    </r>
    <r>
      <rPr>
        <rFont val="Arial Narrow"/>
        <b/>
        <color theme="1"/>
        <sz val="10.0"/>
      </rPr>
      <t>(7a)</t>
    </r>
    <r>
      <rPr>
        <rFont val="Arial Narrow"/>
        <color theme="1"/>
        <sz val="10.0"/>
      </rPr>
      <t xml:space="preserve">
Res. 4938 de 07-abr-2014 </t>
    </r>
    <r>
      <rPr>
        <rFont val="Arial Narrow"/>
        <b/>
        <color theme="1"/>
        <sz val="10.0"/>
      </rPr>
      <t>(7a)</t>
    </r>
    <r>
      <rPr>
        <rFont val="Arial Narrow"/>
        <color theme="1"/>
        <sz val="10.0"/>
      </rPr>
      <t xml:space="preserve">
Res. 4303 de 10-mar-2017 </t>
    </r>
    <r>
      <rPr>
        <rFont val="Arial Narrow"/>
        <b/>
        <color theme="1"/>
        <sz val="10.0"/>
      </rPr>
      <t>(Corr)</t>
    </r>
    <r>
      <rPr>
        <rFont val="Arial Narrow"/>
        <color theme="1"/>
        <sz val="10.0"/>
      </rPr>
      <t xml:space="preserve">
Res. 5420 de 12-sep-2007</t>
    </r>
  </si>
  <si>
    <t>1</t>
  </si>
  <si>
    <t>Dirección de Banda</t>
  </si>
  <si>
    <t>Maestro en Dirección de Banda</t>
  </si>
  <si>
    <t>Ac.045 de 29-Ago-2000
(Maestro en Música)
(CS)</t>
  </si>
  <si>
    <r>
      <rPr>
        <rFont val="Arial Narrow"/>
        <color theme="1"/>
        <sz val="10.0"/>
      </rPr>
      <t xml:space="preserve">Res. 8914 de 21-may-2021 </t>
    </r>
    <r>
      <rPr>
        <rFont val="Arial Narrow"/>
        <b/>
        <color theme="1"/>
        <sz val="10.0"/>
      </rPr>
      <t>(7a)</t>
    </r>
    <r>
      <rPr>
        <rFont val="Arial Narrow"/>
        <color theme="1"/>
        <sz val="10.0"/>
      </rPr>
      <t xml:space="preserve">
Res. 13547 de 21-ago-2014 </t>
    </r>
    <r>
      <rPr>
        <rFont val="Arial Narrow"/>
        <b/>
        <color theme="1"/>
        <sz val="10.0"/>
      </rPr>
      <t xml:space="preserve">(7a)
</t>
    </r>
    <r>
      <rPr>
        <rFont val="Arial Narrow"/>
        <color theme="1"/>
        <sz val="10.0"/>
      </rPr>
      <t>Res. 5811 de 02-oct-2007</t>
    </r>
  </si>
  <si>
    <t>Facultad de Ciencias Agrarias</t>
  </si>
  <si>
    <t>Ingeniería Agroindustrial</t>
  </si>
  <si>
    <t>Ingeniero Agroindustrial</t>
  </si>
  <si>
    <t>Ac. 040 de 02-Nov-1995
Consejo Superior</t>
  </si>
  <si>
    <t>40 (2020)</t>
  </si>
  <si>
    <t>Popayán
Patía (El Bordo) Santander de Quilichao</t>
  </si>
  <si>
    <t>Ampliación de cobertura</t>
  </si>
  <si>
    <r>
      <rPr>
        <rFont val="Arial Narrow"/>
        <color theme="1"/>
        <sz val="10.0"/>
      </rPr>
      <t>AC. 007 del 26-Mar-2012</t>
    </r>
    <r>
      <rPr>
        <rFont val="Arial Narrow"/>
        <b/>
        <color theme="1"/>
        <sz val="10.0"/>
      </rPr>
      <t xml:space="preserve"> (CA) </t>
    </r>
    <r>
      <rPr>
        <rFont val="Arial Narrow"/>
        <color theme="1"/>
        <sz val="10.0"/>
      </rPr>
      <t xml:space="preserve">
AC. 020 del 26-Jun-2013 </t>
    </r>
    <r>
      <rPr>
        <rFont val="Arial Narrow"/>
        <b/>
        <color theme="1"/>
        <sz val="10.0"/>
      </rPr>
      <t>(CA)</t>
    </r>
    <r>
      <rPr>
        <rFont val="Arial Narrow"/>
        <color theme="1"/>
        <sz val="10.0"/>
      </rPr>
      <t xml:space="preserve">
AC. 019 del 23-Sep-2015 </t>
    </r>
    <r>
      <rPr>
        <rFont val="Arial Narrow"/>
        <b/>
        <color theme="1"/>
        <sz val="10.0"/>
      </rPr>
      <t>(CA)</t>
    </r>
  </si>
  <si>
    <t xml:space="preserve">13200
</t>
  </si>
  <si>
    <r>
      <rPr>
        <rFont val="Arial Narrow"/>
        <color theme="1"/>
        <sz val="10.0"/>
      </rPr>
      <t xml:space="preserve">Res. 10608 de 14-jul-2015
Res. 5518 de 24-mar-2017 </t>
    </r>
    <r>
      <rPr>
        <rFont val="Arial Narrow"/>
        <b/>
        <color theme="1"/>
        <sz val="10.0"/>
      </rPr>
      <t>(Ren oficio)</t>
    </r>
    <r>
      <rPr>
        <rFont val="Arial Narrow"/>
        <color theme="1"/>
        <sz val="10.0"/>
      </rPr>
      <t xml:space="preserve">
Res. 12939 de 31-dic-2010
Res. 1017 de 21-abr-2004</t>
    </r>
  </si>
  <si>
    <r>
      <rPr>
        <rFont val="Arial Narrow"/>
        <color theme="1"/>
        <sz val="10.0"/>
      </rPr>
      <t xml:space="preserve">Res. 10608 de 14-jul-2015 </t>
    </r>
    <r>
      <rPr>
        <rFont val="Arial Narrow"/>
        <b/>
        <color theme="1"/>
        <sz val="10.0"/>
      </rPr>
      <t>(4a)</t>
    </r>
  </si>
  <si>
    <t>En la respuesta 2025-ER-0340850 de 18/08/2025 se indica que los municipios de Santander de Quilicihao y el Bordo no se encuentra registrados en el SNIES 3833</t>
  </si>
  <si>
    <r>
      <rPr>
        <rFont val="Arial Narrow"/>
        <color theme="1"/>
        <sz val="10.0"/>
      </rPr>
      <t xml:space="preserve">Facultad de Ciencias Agrarias / </t>
    </r>
    <r>
      <rPr>
        <rFont val="Arial Narrow"/>
        <color rgb="FFFF0000"/>
        <sz val="10.0"/>
      </rPr>
      <t>eliminar??? No enviamos correo NBC</t>
    </r>
  </si>
  <si>
    <t>Especialización en Sanidad en Producción Agraria Integrada</t>
  </si>
  <si>
    <t>Especialista en Sanidad en Producción Agraria Integrada</t>
  </si>
  <si>
    <t>Ac. S. 005 6-feb-2014</t>
  </si>
  <si>
    <t>24 (2021)</t>
  </si>
  <si>
    <t xml:space="preserve">Diurna </t>
  </si>
  <si>
    <t>Especialización</t>
  </si>
  <si>
    <t xml:space="preserve">2 semestres </t>
  </si>
  <si>
    <r>
      <rPr>
        <rFont val="Arial Narrow"/>
        <color theme="1"/>
        <sz val="10.0"/>
      </rPr>
      <t xml:space="preserve">Res. 5444 de 14-abr-2014 </t>
    </r>
    <r>
      <rPr>
        <rFont val="Arial Narrow"/>
        <b/>
        <color theme="1"/>
        <sz val="10.0"/>
      </rPr>
      <t>(7a)</t>
    </r>
  </si>
  <si>
    <t>Especialización en Gestión Integral del Recurso Hídrico</t>
  </si>
  <si>
    <t>Especialista en Gestión Integral del Recurso Hídrico</t>
  </si>
  <si>
    <t>Ac. S. 057 19/11/2014</t>
  </si>
  <si>
    <t>21 (2022)</t>
  </si>
  <si>
    <t>Mixta</t>
  </si>
  <si>
    <t>2 semestres</t>
  </si>
  <si>
    <r>
      <rPr>
        <rFont val="Arial Narrow"/>
        <color theme="1"/>
        <sz val="10.0"/>
      </rPr>
      <t xml:space="preserve">Res. 12925 de 21-ago-2015 </t>
    </r>
    <r>
      <rPr>
        <rFont val="Arial Narrow"/>
        <b/>
        <color theme="1"/>
        <sz val="10.0"/>
      </rPr>
      <t>(7a)</t>
    </r>
  </si>
  <si>
    <t xml:space="preserve">Maestría en Ciencias Agrarias </t>
  </si>
  <si>
    <t xml:space="preserve">Magíster en Ciencias Agrarias </t>
  </si>
  <si>
    <t>Ac. S. 017 18/03/2015</t>
  </si>
  <si>
    <t>15 (2022)</t>
  </si>
  <si>
    <t>Investigación</t>
  </si>
  <si>
    <t xml:space="preserve">4 semestres </t>
  </si>
  <si>
    <r>
      <rPr>
        <rFont val="Arial Narrow"/>
        <color theme="1"/>
        <sz val="10.0"/>
      </rPr>
      <t xml:space="preserve">Res. 9745 de 06-jul-2015 </t>
    </r>
    <r>
      <rPr>
        <rFont val="Arial Narrow"/>
        <b/>
        <color theme="1"/>
        <sz val="10.0"/>
      </rPr>
      <t>(7a)</t>
    </r>
  </si>
  <si>
    <t xml:space="preserve">Doctorado en Ciencias Agrarias y Agroindustriales </t>
  </si>
  <si>
    <t>Doctor en Ciencias Agrarias y Agroindustriales</t>
  </si>
  <si>
    <t>Ac. S. 020 23-abr-2013</t>
  </si>
  <si>
    <t>5 (2022)</t>
  </si>
  <si>
    <t>Doctorado</t>
  </si>
  <si>
    <t>8 semestres</t>
  </si>
  <si>
    <r>
      <rPr>
        <rFont val="Arial Narrow"/>
        <color theme="1"/>
        <sz val="10.0"/>
      </rPr>
      <t xml:space="preserve">Res. 5533 de 14-abr-2014 </t>
    </r>
    <r>
      <rPr>
        <rFont val="Arial Narrow"/>
        <b/>
        <color theme="1"/>
        <sz val="10.0"/>
      </rPr>
      <t>(7a)</t>
    </r>
    <r>
      <rPr>
        <rFont val="Arial Narrow"/>
        <color theme="1"/>
        <sz val="10.0"/>
      </rPr>
      <t xml:space="preserve">
Res. 8105 de 30-may-2014</t>
    </r>
    <r>
      <rPr>
        <rFont val="Arial Narrow"/>
        <b/>
        <color theme="1"/>
        <sz val="10.0"/>
      </rPr>
      <t xml:space="preserve"> (Correc)</t>
    </r>
  </si>
  <si>
    <t>Ingeniería Forestal</t>
  </si>
  <si>
    <t>Ingeniero Forestal</t>
  </si>
  <si>
    <t>Ac. 040 de 10-Sep-1999 CS</t>
  </si>
  <si>
    <t>40 (2018)</t>
  </si>
  <si>
    <r>
      <rPr>
        <rFont val="Arial Narrow"/>
        <color theme="1"/>
        <sz val="10.0"/>
      </rPr>
      <t>AC. 007 del 26-Mar-2012</t>
    </r>
    <r>
      <rPr>
        <rFont val="Arial Narrow"/>
        <b/>
        <color theme="1"/>
        <sz val="10.0"/>
      </rPr>
      <t xml:space="preserve"> (CA)</t>
    </r>
    <r>
      <rPr>
        <rFont val="Arial Narrow"/>
        <color theme="1"/>
        <sz val="10.0"/>
      </rPr>
      <t xml:space="preserve">
AC. 029 del 06-Ago-2013 </t>
    </r>
    <r>
      <rPr>
        <rFont val="Arial Narrow"/>
        <b/>
        <color theme="1"/>
        <sz val="10.0"/>
      </rPr>
      <t>(CA)</t>
    </r>
  </si>
  <si>
    <t>Res. 02948 del 22-02-2018</t>
  </si>
  <si>
    <r>
      <rPr>
        <rFont val="Arial Narrow"/>
        <color theme="1"/>
        <sz val="10.0"/>
      </rPr>
      <t>Res. 4952 de 16-jun-11  
Res. 1845 de 02-jul-2004</t>
    </r>
    <r>
      <rPr>
        <rFont val="Arial Narrow"/>
        <b/>
        <color theme="1"/>
        <sz val="10.0"/>
      </rPr>
      <t xml:space="preserve"> (7a)</t>
    </r>
  </si>
  <si>
    <t>si</t>
  </si>
  <si>
    <t>Los nombres de estos programas fueron modificados mediante Ac. No. 9 20/02/1996.</t>
  </si>
  <si>
    <t>Cristina Madiedo Pérez</t>
  </si>
  <si>
    <t xml:space="preserve">Facultad de Ciencias Contables, Económicas y Administrativas </t>
  </si>
  <si>
    <t xml:space="preserve">Contaduría Pública </t>
  </si>
  <si>
    <t>Contador Público</t>
  </si>
  <si>
    <t>Ac. 065 de 03-Jul-1967
Ac 114 de 1966</t>
  </si>
  <si>
    <t>46 (2018)
45 (2025)</t>
  </si>
  <si>
    <t>Nocturna</t>
  </si>
  <si>
    <r>
      <rPr>
        <rFont val="Arial Narrow"/>
        <color rgb="FFFF0000"/>
        <sz val="10.0"/>
      </rPr>
      <t xml:space="preserve">Res. 010 del 08-Feb-2012 </t>
    </r>
    <r>
      <rPr>
        <rFont val="Arial Narrow"/>
        <b/>
        <color rgb="FFFF0000"/>
        <sz val="10.0"/>
      </rPr>
      <t>(CA)</t>
    </r>
    <r>
      <rPr>
        <rFont val="Arial Narrow"/>
        <color rgb="FFFF0000"/>
        <sz val="10.0"/>
      </rPr>
      <t xml:space="preserve">
AC. 001 del 2015</t>
    </r>
  </si>
  <si>
    <r>
      <rPr>
        <rFont val="Arial Narrow"/>
        <color theme="1"/>
        <sz val="10.0"/>
      </rPr>
      <t>Res. 14447 de 04-sep-2014</t>
    </r>
    <r>
      <rPr>
        <rFont val="Arial Narrow"/>
        <b/>
        <color theme="1"/>
        <sz val="10.0"/>
      </rPr>
      <t xml:space="preserve"> (MEN)</t>
    </r>
    <r>
      <rPr>
        <rFont val="Arial Narrow"/>
        <color theme="1"/>
        <sz val="10.0"/>
      </rPr>
      <t xml:space="preserve">
Res. 16342 de 30-sep-2015 </t>
    </r>
    <r>
      <rPr>
        <rFont val="Arial Narrow"/>
        <b/>
        <color theme="1"/>
        <sz val="10.0"/>
      </rPr>
      <t>(MEN)</t>
    </r>
  </si>
  <si>
    <r>
      <rPr>
        <rFont val="Arial Narrow"/>
        <color theme="1"/>
        <sz val="10.0"/>
      </rPr>
      <t xml:space="preserve">Res. 8937 de 31-may-2018 </t>
    </r>
    <r>
      <rPr>
        <rFont val="Arial Narrow"/>
        <b/>
        <color theme="1"/>
        <sz val="10.0"/>
      </rPr>
      <t>(RenOficio)</t>
    </r>
    <r>
      <rPr>
        <rFont val="Arial Narrow"/>
        <color theme="1"/>
        <sz val="10.0"/>
      </rPr>
      <t xml:space="preserve">
Res. 9871 de 20-may-2016 (7a)
Res. 5680 de 25-ago-2009
Res. 16342 de 30-sep-2015 </t>
    </r>
    <r>
      <rPr>
        <rFont val="Arial Narrow"/>
        <b/>
        <color theme="1"/>
        <sz val="10.0"/>
      </rPr>
      <t>(Modif)</t>
    </r>
    <r>
      <rPr>
        <rFont val="Arial Narrow"/>
        <color theme="1"/>
        <sz val="10.0"/>
      </rPr>
      <t xml:space="preserve">
Res. 8557 de 8-jul-2013 </t>
    </r>
    <r>
      <rPr>
        <rFont val="Arial Narrow"/>
        <b/>
        <color theme="1"/>
        <sz val="10.0"/>
      </rPr>
      <t>(Amp.Cob)</t>
    </r>
    <r>
      <rPr>
        <rFont val="Arial Narrow"/>
        <color theme="1"/>
        <sz val="10.0"/>
      </rPr>
      <t xml:space="preserve">
Res. 1589 de 28-feb-2011</t>
    </r>
    <r>
      <rPr>
        <rFont val="Arial Narrow"/>
        <b/>
        <color theme="1"/>
        <sz val="10.0"/>
      </rPr>
      <t xml:space="preserve"> (7a)</t>
    </r>
    <r>
      <rPr>
        <rFont val="Arial Narrow"/>
        <color theme="1"/>
        <sz val="10.0"/>
      </rPr>
      <t xml:space="preserve">
Res. 9772 de 23-dic-2008 </t>
    </r>
    <r>
      <rPr>
        <rFont val="Arial Narrow"/>
        <b/>
        <color theme="1"/>
        <sz val="10.0"/>
      </rPr>
      <t xml:space="preserve">(7a)
</t>
    </r>
    <r>
      <rPr>
        <rFont val="Arial Narrow"/>
        <color theme="1"/>
        <sz val="10.0"/>
      </rPr>
      <t>Res. 23503 de 28-nov-2025 (7a)</t>
    </r>
  </si>
  <si>
    <r>
      <rPr>
        <rFont val="Arial Narrow"/>
        <color theme="1"/>
        <sz val="10.0"/>
      </rPr>
      <t xml:space="preserve">Res. 5608 de 25-ago-2009 </t>
    </r>
    <r>
      <rPr>
        <rFont val="Arial Narrow"/>
        <b/>
        <color theme="1"/>
        <sz val="10.0"/>
      </rPr>
      <t>(4a)</t>
    </r>
    <r>
      <rPr>
        <rFont val="Arial Narrow"/>
        <color theme="1"/>
        <sz val="10.0"/>
      </rPr>
      <t xml:space="preserve">
Res.464 de 20-feb-2004</t>
    </r>
    <r>
      <rPr>
        <rFont val="Arial Narrow"/>
        <b/>
        <color theme="1"/>
        <sz val="10.0"/>
      </rPr>
      <t xml:space="preserve"> (3a)</t>
    </r>
  </si>
  <si>
    <t>Especialización en Gerencia de Impuestos</t>
  </si>
  <si>
    <t>Especialista en Gerencia de Impuestos</t>
  </si>
  <si>
    <t>Ac. S. 008 28/01/1994</t>
  </si>
  <si>
    <t>25 (2019)</t>
  </si>
  <si>
    <t>2 Semestres</t>
  </si>
  <si>
    <r>
      <rPr>
        <rFont val="Arial Narrow"/>
        <color theme="1"/>
        <sz val="10.0"/>
      </rPr>
      <t xml:space="preserve">Res. 2571 de 14-mar-2013 </t>
    </r>
    <r>
      <rPr>
        <rFont val="Arial Narrow"/>
        <b/>
        <color theme="1"/>
        <sz val="10.0"/>
      </rPr>
      <t>(7a)</t>
    </r>
    <r>
      <rPr>
        <rFont val="Arial Narrow"/>
        <color theme="1"/>
        <sz val="10.0"/>
      </rPr>
      <t xml:space="preserve">
Res. 2993 de 22-may-2008</t>
    </r>
  </si>
  <si>
    <t>Especialización en Revisoría Fiscal y Auditoría Internacional</t>
  </si>
  <si>
    <t>Especialista en Revisoría Fiscal y Auditoría Internacional</t>
  </si>
  <si>
    <t>Ac. S. 043 11/09/2001</t>
  </si>
  <si>
    <t>30 (2019)</t>
  </si>
  <si>
    <r>
      <rPr>
        <rFont val="Arial Narrow"/>
        <color theme="1"/>
        <sz val="10.0"/>
      </rPr>
      <t xml:space="preserve">Res. 4980 de 02-may-2013 </t>
    </r>
    <r>
      <rPr>
        <rFont val="Arial Narrow"/>
        <b/>
        <color theme="1"/>
        <sz val="10.0"/>
      </rPr>
      <t>(7a)</t>
    </r>
    <r>
      <rPr>
        <rFont val="Arial Narrow"/>
        <color theme="1"/>
        <sz val="10.0"/>
      </rPr>
      <t xml:space="preserve">
Res. 17173 de 27-nov-2013 </t>
    </r>
    <r>
      <rPr>
        <rFont val="Arial Narrow"/>
        <b/>
        <color theme="1"/>
        <sz val="10.0"/>
      </rPr>
      <t>(Corr 4980)</t>
    </r>
    <r>
      <rPr>
        <rFont val="Arial Narrow"/>
        <color theme="1"/>
        <sz val="10.0"/>
      </rPr>
      <t xml:space="preserve">
Res. 3193 de 30-may-2008 </t>
    </r>
    <r>
      <rPr>
        <rFont val="Arial Narrow"/>
        <b/>
        <color theme="1"/>
        <sz val="10.0"/>
      </rPr>
      <t>(5a)</t>
    </r>
  </si>
  <si>
    <t>Especialización en Gerencia de Proyectos</t>
  </si>
  <si>
    <t>Especialista en Gerencia de Proyectos</t>
  </si>
  <si>
    <t>Ac. S. 033 8/08/1995</t>
  </si>
  <si>
    <t>Universidad de Nariño</t>
  </si>
  <si>
    <t>Pasto - Nariño</t>
  </si>
  <si>
    <r>
      <rPr>
        <rFont val="Arial Narrow"/>
        <color theme="1"/>
        <sz val="10.0"/>
      </rPr>
      <t xml:space="preserve">Res. 16392 de 13-dic-2012 </t>
    </r>
    <r>
      <rPr>
        <rFont val="Arial Narrow"/>
        <b/>
        <color theme="1"/>
        <sz val="10.0"/>
      </rPr>
      <t>(7a)</t>
    </r>
  </si>
  <si>
    <t>Especialización en Mercadeo Corporativo</t>
  </si>
  <si>
    <t>Especialista en Mercadeo Corporativo</t>
  </si>
  <si>
    <t>Res. 029 26/06/2001</t>
  </si>
  <si>
    <r>
      <rPr>
        <rFont val="Arial Narrow"/>
        <color theme="1"/>
        <sz val="10.0"/>
      </rPr>
      <t xml:space="preserve">Res. 8951 de 15-jul-2013 </t>
    </r>
    <r>
      <rPr>
        <rFont val="Arial Narrow"/>
        <b/>
        <color theme="1"/>
        <sz val="10.0"/>
      </rPr>
      <t>(7a)</t>
    </r>
    <r>
      <rPr>
        <rFont val="Arial Narrow"/>
        <color theme="1"/>
        <sz val="10.0"/>
      </rPr>
      <t xml:space="preserve">
Res. 7219 de 17-nov-2006</t>
    </r>
  </si>
  <si>
    <t>Ac. S. 033 08/08/1995</t>
  </si>
  <si>
    <t>35 (2020)</t>
  </si>
  <si>
    <t>Trimestral</t>
  </si>
  <si>
    <r>
      <rPr>
        <rFont val="Arial Narrow"/>
        <color theme="1"/>
        <sz val="10.0"/>
      </rPr>
      <t xml:space="preserve">Res. 5358 de 10-may-2013 </t>
    </r>
    <r>
      <rPr>
        <rFont val="Arial Narrow"/>
        <b/>
        <color theme="1"/>
        <sz val="10.0"/>
      </rPr>
      <t>(7a)</t>
    </r>
    <r>
      <rPr>
        <rFont val="Arial Narrow"/>
        <color theme="1"/>
        <sz val="10.0"/>
      </rPr>
      <t xml:space="preserve">
Res. 3192 de 30-may-2008</t>
    </r>
  </si>
  <si>
    <t>Administración de Empresas</t>
  </si>
  <si>
    <t>Administrador de Empresas</t>
  </si>
  <si>
    <t>Res. 112 20-Dic-1989 CS</t>
  </si>
  <si>
    <t>45 (2020)</t>
  </si>
  <si>
    <t>AC. 002 del 12-Feb-2014 (CA)</t>
  </si>
  <si>
    <t>Res. 14130 de 02-sep-2014 (MEN)</t>
  </si>
  <si>
    <r>
      <rPr>
        <rFont val="Arial Narrow"/>
        <color theme="1"/>
        <sz val="10.0"/>
      </rPr>
      <t xml:space="preserve">Res. 575 de 22-ene-2018 </t>
    </r>
    <r>
      <rPr>
        <rFont val="Arial Narrow"/>
        <b/>
        <color theme="1"/>
        <sz val="10.0"/>
      </rPr>
      <t>(7a)</t>
    </r>
    <r>
      <rPr>
        <rFont val="Arial Narrow"/>
        <color theme="1"/>
        <sz val="10.0"/>
      </rPr>
      <t xml:space="preserve">
Res. 14130 de 2-sep-2014</t>
    </r>
    <r>
      <rPr>
        <rFont val="Arial Narrow"/>
        <b/>
        <color theme="1"/>
        <sz val="10.0"/>
      </rPr>
      <t xml:space="preserve"> (Corr)</t>
    </r>
    <r>
      <rPr>
        <rFont val="Arial Narrow"/>
        <color theme="1"/>
        <sz val="10.0"/>
      </rPr>
      <t xml:space="preserve">
Res 2031 de 24-mar-2010</t>
    </r>
    <r>
      <rPr>
        <rFont val="Arial Narrow"/>
        <b/>
        <color theme="1"/>
        <sz val="10.0"/>
      </rPr>
      <t xml:space="preserve"> (7a)</t>
    </r>
    <r>
      <rPr>
        <rFont val="Arial Narrow"/>
        <color theme="1"/>
        <sz val="10.0"/>
      </rPr>
      <t xml:space="preserve">
Res 13153 de 16-oct-2012
Res. 17739 de 22-oct-2014
Res. 3152 de 16-jun-2006</t>
    </r>
  </si>
  <si>
    <r>
      <rPr>
        <rFont val="Arial Narrow"/>
        <color theme="1"/>
        <sz val="10.0"/>
      </rPr>
      <t xml:space="preserve">Res. 20141 de 11-dic-2015 </t>
    </r>
    <r>
      <rPr>
        <rFont val="Arial Narrow"/>
        <b/>
        <color theme="1"/>
        <sz val="10.0"/>
      </rPr>
      <t>(4a)</t>
    </r>
    <r>
      <rPr>
        <rFont val="Arial Narrow"/>
        <color theme="1"/>
        <sz val="10.0"/>
      </rPr>
      <t xml:space="preserve">
Res.2031 de 24-mar-2010</t>
    </r>
    <r>
      <rPr>
        <rFont val="Arial Narrow"/>
        <b/>
        <color theme="1"/>
        <sz val="10.0"/>
      </rPr>
      <t xml:space="preserve"> (4a)</t>
    </r>
  </si>
  <si>
    <t>Maestría en Gestión de Organizaciones y Proyectos</t>
  </si>
  <si>
    <t xml:space="preserve">Magíster en Gestión de Organizaciones y Proyectos </t>
  </si>
  <si>
    <t>Ac. S. 016 5/03/2014</t>
  </si>
  <si>
    <t>25 (2021)</t>
  </si>
  <si>
    <r>
      <rPr>
        <rFont val="Arial Narrow"/>
        <color theme="1"/>
        <sz val="10.0"/>
      </rPr>
      <t xml:space="preserve">Res. 222 de 04-ene-2021 </t>
    </r>
    <r>
      <rPr>
        <rFont val="Arial Narrow"/>
        <b/>
        <color theme="1"/>
        <sz val="10.0"/>
      </rPr>
      <t>(modificada por la Res. 2583)</t>
    </r>
    <r>
      <rPr>
        <rFont val="Arial Narrow"/>
        <color theme="1"/>
        <sz val="10.0"/>
      </rPr>
      <t xml:space="preserve">
Res. 11044 de 14-jul-2014 </t>
    </r>
    <r>
      <rPr>
        <rFont val="Arial Narrow"/>
        <b/>
        <color theme="1"/>
        <sz val="10.0"/>
      </rPr>
      <t>(7a)</t>
    </r>
  </si>
  <si>
    <t>Maestría en Economía Regional y Políticas Públicas</t>
  </si>
  <si>
    <t>Magíster en Economía Regional y Políticas Públicas</t>
  </si>
  <si>
    <t>Ac. 050 de 23-Sep-2021</t>
  </si>
  <si>
    <t>4 Semestres</t>
  </si>
  <si>
    <t>Maestría en Gestión del Conocimiento y la Innovación</t>
  </si>
  <si>
    <t>Magíster en Gestión del Conocimiento y la Innovación</t>
  </si>
  <si>
    <t>A. S. 049 de 23-Sep-2021</t>
  </si>
  <si>
    <t>Economía</t>
  </si>
  <si>
    <t>Economista</t>
  </si>
  <si>
    <t>Ac.003 de 20-Ene-1998 CS</t>
  </si>
  <si>
    <t>45 (2023)</t>
  </si>
  <si>
    <t>AC. 007 del 2014</t>
  </si>
  <si>
    <t>Res. 3525 de 17-jul-2018 (7a)
Res. 3141 de 04-abr-2013
Res. 2159 de 17-may-2006</t>
  </si>
  <si>
    <r>
      <rPr>
        <rFont val="Arial Narrow"/>
        <color theme="1"/>
        <sz val="10.0"/>
      </rPr>
      <t xml:space="preserve">Res. 11561 de 17-jul-2018 </t>
    </r>
    <r>
      <rPr>
        <rFont val="Arial Narrow"/>
        <b/>
        <color theme="1"/>
        <sz val="10.0"/>
      </rPr>
      <t>(4a)</t>
    </r>
  </si>
  <si>
    <t>Maestría en Estudios Interdisciplinarios del Desarrollo</t>
  </si>
  <si>
    <t>Magíster en Estudios Interdisciplinarios del Desarrollo</t>
  </si>
  <si>
    <t>Ac. S. 009 17/02/2009</t>
  </si>
  <si>
    <t xml:space="preserve">46 (2017) </t>
  </si>
  <si>
    <t>Res. 10089 de 11-dic-2009                                                                                                         Res. 24382 de 30 de diciembre de 2016</t>
  </si>
  <si>
    <r>
      <rPr>
        <rFont val="Arial Narrow"/>
        <color theme="1"/>
        <sz val="10.0"/>
      </rPr>
      <t xml:space="preserve">Res. 7060 de 29-09-2009 </t>
    </r>
    <r>
      <rPr>
        <rFont val="Arial Narrow"/>
        <b/>
        <color theme="1"/>
        <sz val="10.0"/>
      </rPr>
      <t>(Negada)</t>
    </r>
  </si>
  <si>
    <t>Turismo</t>
  </si>
  <si>
    <t>Profesional en Turismo</t>
  </si>
  <si>
    <t>Ac. 041 de 10-Sep-1999</t>
  </si>
  <si>
    <t>45 (2018)</t>
  </si>
  <si>
    <r>
      <rPr>
        <rFont val="Arial Narrow"/>
        <color theme="1"/>
        <sz val="10.0"/>
      </rPr>
      <t xml:space="preserve">Res. 10587 de 22-nov-2011 </t>
    </r>
    <r>
      <rPr>
        <rFont val="Arial Narrow"/>
        <b/>
        <color theme="1"/>
        <sz val="10.0"/>
      </rPr>
      <t>(7a)</t>
    </r>
    <r>
      <rPr>
        <rFont val="Arial Narrow"/>
        <color theme="1"/>
        <sz val="10.0"/>
      </rPr>
      <t xml:space="preserve">
Res. 5396 de 22-nov-2005</t>
    </r>
  </si>
  <si>
    <t>Facultad de Ciencias de la Salud</t>
  </si>
  <si>
    <t>Maestría en Desarrollo Humano y Salud</t>
  </si>
  <si>
    <t>Magíster en Desarrollo Humano y Salud</t>
  </si>
  <si>
    <r>
      <rPr>
        <rFont val="Arial Narrow"/>
        <color theme="1"/>
        <sz val="10.0"/>
      </rPr>
      <t xml:space="preserve">Ac. 084 de 27/11/2019 </t>
    </r>
    <r>
      <rPr>
        <rFont val="Arial Narrow"/>
        <b/>
        <color theme="1"/>
        <sz val="10.0"/>
      </rPr>
      <t>(CS)</t>
    </r>
  </si>
  <si>
    <t>Por cohorte</t>
  </si>
  <si>
    <t>Fonoaudiología</t>
  </si>
  <si>
    <t>Fonoaudiólogo (a)</t>
  </si>
  <si>
    <t>Res. 051 de 09-Sep-1997</t>
  </si>
  <si>
    <t>40 (2022)</t>
  </si>
  <si>
    <t>Res. 16966 de 27-dic-2019 (MEN)</t>
  </si>
  <si>
    <r>
      <rPr>
        <rFont val="Arial Narrow"/>
        <color theme="1"/>
        <sz val="10.0"/>
      </rPr>
      <t xml:space="preserve">Res. 12304 de 08-jul-2021 </t>
    </r>
    <r>
      <rPr>
        <rFont val="Arial Narrow"/>
        <b/>
        <color theme="1"/>
        <sz val="10.0"/>
      </rPr>
      <t>(Negación)</t>
    </r>
    <r>
      <rPr>
        <rFont val="Arial Narrow"/>
        <color theme="1"/>
        <sz val="10.0"/>
      </rPr>
      <t xml:space="preserve">
Res. 3454 de 14-mar-2014 </t>
    </r>
    <r>
      <rPr>
        <rFont val="Arial Narrow"/>
        <b/>
        <color theme="1"/>
        <sz val="10.0"/>
      </rPr>
      <t>(7a)</t>
    </r>
    <r>
      <rPr>
        <rFont val="Arial Narrow"/>
        <color theme="1"/>
        <sz val="10.0"/>
      </rPr>
      <t xml:space="preserve">
Res. 905 de 28-feb-2007</t>
    </r>
  </si>
  <si>
    <t>Especialización en Anestesiología</t>
  </si>
  <si>
    <t>Especialista en Anestesiología</t>
  </si>
  <si>
    <t>3 (2022)</t>
  </si>
  <si>
    <t>3 Años</t>
  </si>
  <si>
    <r>
      <rPr>
        <rFont val="Arial Narrow"/>
        <color theme="1"/>
        <sz val="10.0"/>
      </rPr>
      <t xml:space="preserve">Res. 78 de 03-ene-2014 </t>
    </r>
    <r>
      <rPr>
        <rFont val="Arial Narrow"/>
        <b/>
        <color theme="1"/>
        <sz val="10.0"/>
      </rPr>
      <t>(7a)</t>
    </r>
    <r>
      <rPr>
        <rFont val="Arial Narrow"/>
        <color theme="1"/>
        <sz val="10.0"/>
      </rPr>
      <t xml:space="preserve">
Res. 3436 de 28-may-2009</t>
    </r>
    <r>
      <rPr>
        <rFont val="Arial Narrow"/>
        <b/>
        <color theme="1"/>
        <sz val="10.0"/>
      </rPr>
      <t xml:space="preserve"> (5a)</t>
    </r>
  </si>
  <si>
    <t>Especialización en Pediatría</t>
  </si>
  <si>
    <t>Especialista en Pediatría</t>
  </si>
  <si>
    <t>4 (2022)</t>
  </si>
  <si>
    <r>
      <rPr>
        <rFont val="Arial Narrow"/>
        <color theme="1"/>
        <sz val="10.0"/>
      </rPr>
      <t xml:space="preserve">Res. 172 de 03-ene-2014 </t>
    </r>
    <r>
      <rPr>
        <rFont val="Arial Narrow"/>
        <b/>
        <color theme="1"/>
        <sz val="10.0"/>
      </rPr>
      <t>(7a)</t>
    </r>
    <r>
      <rPr>
        <rFont val="Arial Narrow"/>
        <color theme="1"/>
        <sz val="10.0"/>
      </rPr>
      <t xml:space="preserve">
Res. 2811 de 14-may-2009 </t>
    </r>
    <r>
      <rPr>
        <rFont val="Arial Narrow"/>
        <b/>
        <color theme="1"/>
        <sz val="10.0"/>
      </rPr>
      <t xml:space="preserve"> (5a)</t>
    </r>
  </si>
  <si>
    <t>Especialización en Ginecología y Obstetricia</t>
  </si>
  <si>
    <t>Especialista en Ginecología y Obstetricia</t>
  </si>
  <si>
    <t>3 (2023)</t>
  </si>
  <si>
    <r>
      <rPr>
        <rFont val="Arial Narrow"/>
        <color theme="1"/>
        <sz val="10.0"/>
      </rPr>
      <t xml:space="preserve">Res. 4137 de 24-mar-2022 </t>
    </r>
    <r>
      <rPr>
        <rFont val="Arial Narrow"/>
        <b/>
        <color theme="1"/>
        <sz val="10.0"/>
      </rPr>
      <t>(Negación Rep.)</t>
    </r>
    <r>
      <rPr>
        <rFont val="Arial Narrow"/>
        <color theme="1"/>
        <sz val="10.0"/>
      </rPr>
      <t xml:space="preserve">
Res. 25080 de 29-dic-2021 </t>
    </r>
    <r>
      <rPr>
        <rFont val="Arial Narrow"/>
        <b/>
        <color theme="1"/>
        <sz val="10.0"/>
      </rPr>
      <t xml:space="preserve">(Negación)
</t>
    </r>
    <r>
      <rPr>
        <rFont val="Arial Narrow"/>
        <color theme="1"/>
        <sz val="10.0"/>
      </rPr>
      <t xml:space="preserve">Res. 477 de 16-ene-2014 </t>
    </r>
    <r>
      <rPr>
        <rFont val="Arial Narrow"/>
        <b/>
        <color theme="1"/>
        <sz val="10.0"/>
      </rPr>
      <t>(7a)</t>
    </r>
    <r>
      <rPr>
        <rFont val="Arial Narrow"/>
        <color theme="1"/>
        <sz val="10.0"/>
      </rPr>
      <t xml:space="preserve">
Res. 1592 de 24-mar-2009  </t>
    </r>
    <r>
      <rPr>
        <rFont val="Arial Narrow"/>
        <b/>
        <color theme="1"/>
        <sz val="10.0"/>
      </rPr>
      <t>(5a)</t>
    </r>
  </si>
  <si>
    <t xml:space="preserve"> </t>
  </si>
  <si>
    <t>Especialización en Cirugía General</t>
  </si>
  <si>
    <t>Especialista en Cirugía General</t>
  </si>
  <si>
    <t>4 (2023)</t>
  </si>
  <si>
    <t>4 Años</t>
  </si>
  <si>
    <r>
      <rPr>
        <rFont val="Arial Narrow"/>
        <color theme="1"/>
        <sz val="10.0"/>
      </rPr>
      <t xml:space="preserve">Res. 5943 de 19-abr-2022 </t>
    </r>
    <r>
      <rPr>
        <rFont val="Arial Narrow"/>
        <b/>
        <color theme="1"/>
        <sz val="10.0"/>
      </rPr>
      <t xml:space="preserve">(Negación)
</t>
    </r>
    <r>
      <rPr>
        <rFont val="Arial Narrow"/>
        <color theme="1"/>
        <sz val="10.0"/>
      </rPr>
      <t xml:space="preserve">Res. 174 de 03-ene-2014 </t>
    </r>
    <r>
      <rPr>
        <rFont val="Arial Narrow"/>
        <b/>
        <color theme="1"/>
        <sz val="10.0"/>
      </rPr>
      <t>(7a)</t>
    </r>
    <r>
      <rPr>
        <rFont val="Arial Narrow"/>
        <color theme="1"/>
        <sz val="10.0"/>
      </rPr>
      <t xml:space="preserve">
Res. 2810 de 14-may-2009 </t>
    </r>
    <r>
      <rPr>
        <rFont val="Arial Narrow"/>
        <b/>
        <color theme="1"/>
        <sz val="10.0"/>
      </rPr>
      <t xml:space="preserve"> (5a)</t>
    </r>
  </si>
  <si>
    <t>Enfermería</t>
  </si>
  <si>
    <t>Enfermera(o)</t>
  </si>
  <si>
    <t>Ac. 05 de 23-Jul-1970 CA</t>
  </si>
  <si>
    <t>35 (2023)</t>
  </si>
  <si>
    <r>
      <rPr>
        <rFont val="Arial Narrow"/>
        <color rgb="FFFF0000"/>
        <sz val="10.0"/>
      </rPr>
      <t xml:space="preserve">AC. 024 del 26-Jun-2013 </t>
    </r>
    <r>
      <rPr>
        <rFont val="Arial Narrow"/>
        <b/>
        <color rgb="FFFF0000"/>
        <sz val="10.0"/>
      </rPr>
      <t xml:space="preserve">(CA) </t>
    </r>
    <r>
      <rPr>
        <rFont val="Arial Narrow"/>
        <color rgb="FFFF0000"/>
        <sz val="10.0"/>
      </rPr>
      <t xml:space="preserve">
AC. 004 del 18-Mar-2014 </t>
    </r>
    <r>
      <rPr>
        <rFont val="Arial Narrow"/>
        <b/>
        <color rgb="FFFF0000"/>
        <sz val="10.0"/>
      </rPr>
      <t>(CA)</t>
    </r>
    <r>
      <rPr>
        <rFont val="Arial Narrow"/>
        <color rgb="FFFF0000"/>
        <sz val="10.0"/>
      </rPr>
      <t xml:space="preserve">
AC. 013 del 07-Jun-2017 </t>
    </r>
    <r>
      <rPr>
        <rFont val="Arial Narrow"/>
        <b/>
        <color rgb="FFFF0000"/>
        <sz val="10.0"/>
      </rPr>
      <t xml:space="preserve"> (CA)</t>
    </r>
  </si>
  <si>
    <r>
      <rPr>
        <rFont val="Arial Narrow"/>
        <color theme="1"/>
        <sz val="10.0"/>
      </rPr>
      <t xml:space="preserve">Res. 10878 de 15-jun-2022 </t>
    </r>
    <r>
      <rPr>
        <rFont val="Arial Narrow"/>
        <b/>
        <color theme="1"/>
        <sz val="10.0"/>
      </rPr>
      <t>(Negación)</t>
    </r>
    <r>
      <rPr>
        <rFont val="Arial Narrow"/>
        <color theme="1"/>
        <sz val="10.0"/>
      </rPr>
      <t xml:space="preserve">
Res. 2409 de 10-feb-2016 </t>
    </r>
    <r>
      <rPr>
        <rFont val="Arial Narrow"/>
        <b/>
        <color theme="1"/>
        <sz val="10.0"/>
      </rPr>
      <t>(7a)</t>
    </r>
    <r>
      <rPr>
        <rFont val="Arial Narrow"/>
        <color theme="1"/>
        <sz val="10.0"/>
      </rPr>
      <t xml:space="preserve">
Res. 29544 de 29-dic-2017</t>
    </r>
    <r>
      <rPr>
        <rFont val="Arial Narrow"/>
        <b/>
        <color theme="1"/>
        <sz val="10.0"/>
      </rPr>
      <t xml:space="preserve"> (Modif)</t>
    </r>
    <r>
      <rPr>
        <rFont val="Arial Narrow"/>
        <color theme="1"/>
        <sz val="10.0"/>
      </rPr>
      <t xml:space="preserve">
Res. 13927 de 29-ago-2014</t>
    </r>
    <r>
      <rPr>
        <rFont val="Arial Narrow"/>
        <b/>
        <color theme="1"/>
        <sz val="10.0"/>
      </rPr>
      <t xml:space="preserve"> (Modif)</t>
    </r>
    <r>
      <rPr>
        <rFont val="Arial Narrow"/>
        <color theme="1"/>
        <sz val="10.0"/>
      </rPr>
      <t xml:space="preserve">
Res. 10573 de 23-dic-2009 </t>
    </r>
    <r>
      <rPr>
        <rFont val="Arial Narrow"/>
        <b/>
        <color theme="1"/>
        <sz val="10.0"/>
      </rPr>
      <t>(7a)</t>
    </r>
  </si>
  <si>
    <r>
      <rPr>
        <rFont val="Arial Narrow"/>
        <color theme="1"/>
        <sz val="10.0"/>
      </rPr>
      <t>Res. 3572 de 16-jun-2008</t>
    </r>
    <r>
      <rPr>
        <rFont val="Arial Narrow"/>
        <b/>
        <color theme="1"/>
        <sz val="10.0"/>
      </rPr>
      <t xml:space="preserve"> (4a)</t>
    </r>
    <r>
      <rPr>
        <rFont val="Arial Narrow"/>
        <color theme="1"/>
        <sz val="10.0"/>
      </rPr>
      <t xml:space="preserve">
Res. 3422 29-dic-2003</t>
    </r>
    <r>
      <rPr>
        <rFont val="Arial Narrow"/>
        <b/>
        <color theme="1"/>
        <sz val="10.0"/>
      </rPr>
      <t xml:space="preserve"> (3a)</t>
    </r>
  </si>
  <si>
    <t xml:space="preserve">Especialización en Intervención del Lenguaje Infantil </t>
  </si>
  <si>
    <t xml:space="preserve">Especialista en Intervención del Lenguaje Infantil </t>
  </si>
  <si>
    <t>Res. 069 9/12/2015</t>
  </si>
  <si>
    <r>
      <rPr>
        <rFont val="Arial Narrow"/>
        <color theme="1"/>
        <sz val="10.0"/>
      </rPr>
      <t xml:space="preserve">Res. 20884 del 03-nov-2016 </t>
    </r>
    <r>
      <rPr>
        <rFont val="Arial Narrow"/>
        <b/>
        <color theme="1"/>
        <sz val="10.0"/>
      </rPr>
      <t>(7a)</t>
    </r>
  </si>
  <si>
    <t>Especialización en Medicina Interna</t>
  </si>
  <si>
    <t>Especialista en Medicina Interna</t>
  </si>
  <si>
    <t>3 años</t>
  </si>
  <si>
    <t>AC. 015 del 2014 
RES. 076 del 20-Oct-2016 (CA)</t>
  </si>
  <si>
    <t>SI</t>
  </si>
  <si>
    <t>Res. 010815 de 13-jun-2022 (Negación)                                                                 Res. 1591 de 24-mar-2009  (5a)</t>
  </si>
  <si>
    <t>SÍ</t>
  </si>
  <si>
    <t>Especialización en Medicina Familiar</t>
  </si>
  <si>
    <t>Especialista en Medicina Familiar</t>
  </si>
  <si>
    <t>Res. 025 12/05/1998</t>
  </si>
  <si>
    <t>8 (2023)</t>
  </si>
  <si>
    <t>RES. 003 del 15-Ene-2014 (CA)</t>
  </si>
  <si>
    <t>Res. 10575 de 23-dic-2009</t>
  </si>
  <si>
    <r>
      <rPr>
        <rFont val="Arial Narrow"/>
        <color theme="1"/>
        <sz val="10.0"/>
      </rPr>
      <t xml:space="preserve">Res. 010816 de 13-junio-2022 </t>
    </r>
    <r>
      <rPr>
        <rFont val="Arial Narrow"/>
        <b/>
        <color theme="1"/>
        <sz val="10.0"/>
      </rPr>
      <t>(Negada</t>
    </r>
    <r>
      <rPr>
        <rFont val="Arial Narrow"/>
        <color theme="1"/>
        <sz val="10.0"/>
      </rPr>
      <t>)                 Res. 6939 de 14-may-2015 (</t>
    </r>
    <r>
      <rPr>
        <rFont val="Arial Narrow"/>
        <b/>
        <color theme="1"/>
        <sz val="10.0"/>
      </rPr>
      <t>Negada</t>
    </r>
    <r>
      <rPr>
        <rFont val="Arial Narrow"/>
        <color theme="1"/>
        <sz val="10.0"/>
      </rPr>
      <t xml:space="preserve">)                     </t>
    </r>
  </si>
  <si>
    <t>Fisioterapia</t>
  </si>
  <si>
    <t>Fisioterapeuta</t>
  </si>
  <si>
    <t>Ac. 050 de 09-Sep-1997 CS</t>
  </si>
  <si>
    <t>40 (2023)</t>
  </si>
  <si>
    <r>
      <rPr>
        <rFont val="Arial Narrow"/>
        <color rgb="FFFF0000"/>
        <sz val="10.0"/>
      </rPr>
      <t xml:space="preserve">AC. 002 del 11-Feb-2015 </t>
    </r>
    <r>
      <rPr>
        <rFont val="Arial Narrow"/>
        <b/>
        <color rgb="FFFF0000"/>
        <sz val="10.0"/>
      </rPr>
      <t>(CA)</t>
    </r>
  </si>
  <si>
    <r>
      <rPr>
        <rFont val="Arial Narrow"/>
        <color theme="1"/>
        <sz val="10.0"/>
      </rPr>
      <t xml:space="preserve">Res. 20491 de 27-oct-2020 </t>
    </r>
    <r>
      <rPr>
        <rFont val="Arial Narrow"/>
        <b/>
        <color theme="1"/>
        <sz val="10.0"/>
      </rPr>
      <t>(7a)</t>
    </r>
    <r>
      <rPr>
        <rFont val="Arial Narrow"/>
        <color theme="1"/>
        <sz val="10.0"/>
      </rPr>
      <t xml:space="preserve">
Res. 16727 de 05-abr-2013 </t>
    </r>
    <r>
      <rPr>
        <rFont val="Arial Narrow"/>
        <b/>
        <color theme="1"/>
        <sz val="10.0"/>
      </rPr>
      <t>(7a)</t>
    </r>
    <r>
      <rPr>
        <rFont val="Arial Narrow"/>
        <color theme="1"/>
        <sz val="10.0"/>
      </rPr>
      <t xml:space="preserve">
Res. 904 de 28-feb-2007</t>
    </r>
    <r>
      <rPr>
        <rFont val="Arial Narrow"/>
        <b/>
        <color theme="1"/>
        <sz val="10.0"/>
      </rPr>
      <t xml:space="preserve"> (7a)</t>
    </r>
  </si>
  <si>
    <r>
      <rPr>
        <rFont val="Arial Narrow"/>
        <color theme="1"/>
        <sz val="10.0"/>
      </rPr>
      <t xml:space="preserve">Res. 6371 de 12-abr-2018 </t>
    </r>
    <r>
      <rPr>
        <rFont val="Arial Narrow"/>
        <b/>
        <color theme="1"/>
        <sz val="10.0"/>
      </rPr>
      <t>(4a)</t>
    </r>
    <r>
      <rPr>
        <rFont val="Arial Narrow"/>
        <color theme="1"/>
        <sz val="10.0"/>
      </rPr>
      <t xml:space="preserve">
Res. 3226 de 05-abr-2013 </t>
    </r>
    <r>
      <rPr>
        <rFont val="Arial Narrow"/>
        <b/>
        <color theme="1"/>
        <sz val="10.0"/>
      </rPr>
      <t>(4a)</t>
    </r>
  </si>
  <si>
    <t>*Esta especialización fue aprobada por el C.S. octubre 2015, aún no ha salido la norma dado que desde ese entonces los profesores que lo sustentaron no han aclarado unas dudas sobre el pensum y además el texto que presentaron para el programa procesal, tiene partes que hablan sobre derecho contractual privado. Sec Gral.</t>
  </si>
  <si>
    <t>Especialización en Seguridad y Salud en el Trabajo</t>
  </si>
  <si>
    <t>Especialista en Seguridad y Salud en el Trabajo</t>
  </si>
  <si>
    <r>
      <rPr>
        <rFont val="Arial Narrow"/>
        <color theme="1"/>
        <sz val="10.0"/>
      </rPr>
      <t xml:space="preserve">Ac. 018 de 18/03/2015 </t>
    </r>
    <r>
      <rPr>
        <rFont val="Arial Narrow"/>
        <b/>
        <color theme="1"/>
        <sz val="10.0"/>
      </rPr>
      <t>(CS)</t>
    </r>
  </si>
  <si>
    <t>35 (2015)</t>
  </si>
  <si>
    <t xml:space="preserve">Mixta </t>
  </si>
  <si>
    <r>
      <rPr>
        <rFont val="Arial Narrow"/>
        <color theme="1"/>
        <sz val="10.0"/>
      </rPr>
      <t xml:space="preserve">Res. </t>
    </r>
    <r>
      <rPr>
        <rFont val="Arial Narrow"/>
        <b/>
        <color theme="1"/>
        <sz val="10.0"/>
      </rPr>
      <t xml:space="preserve">2330 </t>
    </r>
    <r>
      <rPr>
        <rFont val="Arial Narrow"/>
        <color theme="1"/>
        <sz val="10.0"/>
      </rPr>
      <t>del 17 de febrero de 2017</t>
    </r>
  </si>
  <si>
    <t>Enfermería (S.Q)</t>
  </si>
  <si>
    <t>Enfermera (o)</t>
  </si>
  <si>
    <t>Acuerdo Superior No. 009 del 6 de marzo de 2024 (CS)</t>
  </si>
  <si>
    <t>35 (2025)</t>
  </si>
  <si>
    <t xml:space="preserve">Santander de Quilichao </t>
  </si>
  <si>
    <t>10 semestres</t>
  </si>
  <si>
    <t>Res. 023523 de 28-nov 2025</t>
  </si>
  <si>
    <t>Qué es????</t>
  </si>
  <si>
    <t>????</t>
  </si>
  <si>
    <t>Facultad de Ciencias Humanas y Sociales</t>
  </si>
  <si>
    <t>Licenciatura en Lenguas Modernas con énfasis en Inglés y Francés (Santander de Quilichao)</t>
  </si>
  <si>
    <t>Licenciado(a) en Lenguas Modernas con énfasis en Inglés y Francés</t>
  </si>
  <si>
    <t>Res. 3527 de 16-Dic-1985</t>
  </si>
  <si>
    <t>Santander de Quilichao</t>
  </si>
  <si>
    <r>
      <rPr>
        <rFont val="Arial Narrow"/>
        <color theme="1"/>
        <sz val="10.0"/>
      </rPr>
      <t xml:space="preserve">Res. 17189 de 27-dic-2012 </t>
    </r>
    <r>
      <rPr>
        <rFont val="Arial Narrow"/>
        <b/>
        <color theme="1"/>
        <sz val="10.0"/>
      </rPr>
      <t>(7a)</t>
    </r>
  </si>
  <si>
    <t>Filosofía</t>
  </si>
  <si>
    <t>Filósofo</t>
  </si>
  <si>
    <t>Res. 041 de 15-Ago-2000</t>
  </si>
  <si>
    <t xml:space="preserve">45 (2020) </t>
  </si>
  <si>
    <t>8 Semestres</t>
  </si>
  <si>
    <t>AC. 023 del 30-Nov-2011 (CA)</t>
  </si>
  <si>
    <r>
      <rPr>
        <rFont val="Arial Narrow"/>
        <color theme="1"/>
        <sz val="10.0"/>
      </rPr>
      <t xml:space="preserve">Res. 11314 de 26-ago-2013 </t>
    </r>
    <r>
      <rPr>
        <rFont val="Arial Narrow"/>
        <b/>
        <color theme="1"/>
        <sz val="10.0"/>
      </rPr>
      <t>(7a)</t>
    </r>
    <r>
      <rPr>
        <rFont val="Arial Narrow"/>
        <color theme="1"/>
        <sz val="10.0"/>
      </rPr>
      <t xml:space="preserve">
Res. 124 de 18-ene-2007</t>
    </r>
    <r>
      <rPr>
        <rFont val="Arial Narrow"/>
        <b/>
        <color theme="1"/>
        <sz val="10.0"/>
      </rPr>
      <t xml:space="preserve"> (7a)</t>
    </r>
  </si>
  <si>
    <t>Geografía del Desarrollo Regional y Ambiental</t>
  </si>
  <si>
    <t>Geógrafo</t>
  </si>
  <si>
    <t>Res. 037 de 17-Sep-1996</t>
  </si>
  <si>
    <t>AC. 030 del 06-Ago-2013 (CA)</t>
  </si>
  <si>
    <r>
      <rPr>
        <rFont val="Arial Narrow"/>
        <color theme="1"/>
        <sz val="10.0"/>
      </rPr>
      <t xml:space="preserve">Res. 12951 de 23-sep-2013 </t>
    </r>
    <r>
      <rPr>
        <rFont val="Arial Narrow"/>
        <b/>
        <color theme="1"/>
        <sz val="10.0"/>
      </rPr>
      <t>(7a)</t>
    </r>
    <r>
      <rPr>
        <rFont val="Arial Narrow"/>
        <color theme="1"/>
        <sz val="10.0"/>
      </rPr>
      <t xml:space="preserve">
Res. 2354 de 10-may-2007</t>
    </r>
    <r>
      <rPr>
        <rFont val="Arial Narrow"/>
        <b/>
        <color theme="1"/>
        <sz val="10.0"/>
      </rPr>
      <t xml:space="preserve"> (7a)</t>
    </r>
  </si>
  <si>
    <t>Doctorado en Antropología</t>
  </si>
  <si>
    <t>Doctor en Antropología</t>
  </si>
  <si>
    <t>Ac. S. 009 24/02/2004 Modificado por Acuerdo 055/2011</t>
  </si>
  <si>
    <t>10 (2020)</t>
  </si>
  <si>
    <t>Cuatrimestral</t>
  </si>
  <si>
    <r>
      <rPr>
        <rFont val="Arial Narrow"/>
        <color theme="1"/>
        <sz val="10.0"/>
      </rPr>
      <t xml:space="preserve">Res. 4839 de 30-abr-2013 </t>
    </r>
    <r>
      <rPr>
        <rFont val="Arial Narrow"/>
        <b/>
        <color theme="1"/>
        <sz val="10.0"/>
      </rPr>
      <t>(7a)</t>
    </r>
    <r>
      <rPr>
        <rFont val="Arial Narrow"/>
        <color theme="1"/>
        <sz val="10.0"/>
      </rPr>
      <t xml:space="preserve">
Res. 5291 de 16-nov-2005 </t>
    </r>
    <r>
      <rPr>
        <rFont val="Arial Narrow"/>
        <b/>
        <color theme="1"/>
        <sz val="10.0"/>
      </rPr>
      <t>(7a)</t>
    </r>
  </si>
  <si>
    <t>Maestría en Antropología</t>
  </si>
  <si>
    <t>Magíster en Antropología</t>
  </si>
  <si>
    <t>Ac. S. 032 27/05/2009</t>
  </si>
  <si>
    <t>7 (2022)</t>
  </si>
  <si>
    <r>
      <rPr>
        <rFont val="Arial Narrow"/>
        <color theme="1"/>
        <sz val="10.0"/>
      </rPr>
      <t xml:space="preserve">Res. 18669 de 17-nov-2015 </t>
    </r>
    <r>
      <rPr>
        <rFont val="Arial Narrow"/>
        <b/>
        <color theme="1"/>
        <sz val="10.0"/>
      </rPr>
      <t>(7a)</t>
    </r>
    <r>
      <rPr>
        <rFont val="Arial Narrow"/>
        <color theme="1"/>
        <sz val="10.0"/>
      </rPr>
      <t xml:space="preserve">
Res. 6472 de 16-sep-2009</t>
    </r>
  </si>
  <si>
    <t xml:space="preserve">Maestría en Ciencias Humanas </t>
  </si>
  <si>
    <t xml:space="preserve">Magíster en Ciencias Humanas </t>
  </si>
  <si>
    <t>Ac. S. 045 13/08/2014</t>
  </si>
  <si>
    <t>25 (2022)</t>
  </si>
  <si>
    <r>
      <rPr>
        <rFont val="Arial Narrow"/>
        <color theme="1"/>
        <sz val="10.0"/>
      </rPr>
      <t xml:space="preserve">Res. 3275 de 13-mar-2015 </t>
    </r>
    <r>
      <rPr>
        <rFont val="Arial Narrow"/>
        <b/>
        <color theme="1"/>
        <sz val="10.0"/>
      </rPr>
      <t>(7a)</t>
    </r>
  </si>
  <si>
    <t>Doctorado en Ciencias Humanas</t>
  </si>
  <si>
    <t>Doctor en Ciencias Humanas</t>
  </si>
  <si>
    <t>Ac. S. 035 01/06/2015</t>
  </si>
  <si>
    <t>12 (2023)</t>
  </si>
  <si>
    <r>
      <rPr>
        <rFont val="Arial Narrow"/>
        <color theme="1"/>
        <sz val="10.0"/>
      </rPr>
      <t xml:space="preserve">Res. 10719 de 20-may-2016 </t>
    </r>
    <r>
      <rPr>
        <rFont val="Arial Narrow"/>
        <b/>
        <color theme="1"/>
        <sz val="10.0"/>
      </rPr>
      <t>(7a)</t>
    </r>
  </si>
  <si>
    <t>Licenciatura en Lenguas Modernas con Énfasis en Inglés y Francés</t>
  </si>
  <si>
    <t>Licenciado(a) en Lenguas Modernas con Énfasis en Ingles y Francés</t>
  </si>
  <si>
    <t>45 (2017)</t>
  </si>
  <si>
    <t>AC. 011 del 24-May-2017 (CA)</t>
  </si>
  <si>
    <t>AC. 013 del 02-May-2017 (CS)</t>
  </si>
  <si>
    <t>Res. 25122 de 17-nov-2017 (MEN)</t>
  </si>
  <si>
    <r>
      <rPr>
        <rFont val="Arial Narrow"/>
        <color theme="1"/>
        <sz val="10.0"/>
      </rPr>
      <t xml:space="preserve">Res. 29142 de 26-dic-2017 </t>
    </r>
    <r>
      <rPr>
        <rFont val="Arial Narrow"/>
        <b/>
        <color theme="1"/>
        <sz val="10.0"/>
      </rPr>
      <t>(7a)</t>
    </r>
    <r>
      <rPr>
        <rFont val="Arial Narrow"/>
        <color theme="1"/>
        <sz val="10.0"/>
      </rPr>
      <t xml:space="preserve">
Res. 10209 de 22-nov-2010
Res. 2251 17-ago-2000</t>
    </r>
  </si>
  <si>
    <r>
      <rPr>
        <rFont val="Arial Narrow"/>
        <color theme="1"/>
        <sz val="10.0"/>
      </rPr>
      <t xml:space="preserve">Res. 27245 de 04-dic-2017 </t>
    </r>
    <r>
      <rPr>
        <rFont val="Arial Narrow"/>
        <b/>
        <color theme="1"/>
        <sz val="10.0"/>
      </rPr>
      <t>(4a)</t>
    </r>
    <r>
      <rPr>
        <rFont val="Arial Narrow"/>
        <color theme="1"/>
        <sz val="10.0"/>
      </rPr>
      <t xml:space="preserve">
Res. 12458 de 29-dic-2011 </t>
    </r>
    <r>
      <rPr>
        <rFont val="Arial Narrow"/>
        <b/>
        <color theme="1"/>
        <sz val="10.0"/>
      </rPr>
      <t>(4a)</t>
    </r>
    <r>
      <rPr>
        <rFont val="Arial Narrow"/>
        <color theme="1"/>
        <sz val="10.0"/>
      </rPr>
      <t xml:space="preserve">
Res. 2251 de17-ago-2000 </t>
    </r>
    <r>
      <rPr>
        <rFont val="Arial Narrow"/>
        <b/>
        <color theme="1"/>
        <sz val="10.0"/>
      </rPr>
      <t>(7a)</t>
    </r>
  </si>
  <si>
    <t>Res.11754 de 9-jun-2017</t>
  </si>
  <si>
    <t>Historia</t>
  </si>
  <si>
    <t>Historiador</t>
  </si>
  <si>
    <t>Res. 010 de 20-Mar-2001</t>
  </si>
  <si>
    <t>45 (2021)</t>
  </si>
  <si>
    <t>AC.005 del 2015</t>
  </si>
  <si>
    <r>
      <rPr>
        <rFont val="Arial Narrow"/>
        <color theme="1"/>
        <sz val="10.0"/>
      </rPr>
      <t xml:space="preserve">Res. 10290 de 4-jun-2021 </t>
    </r>
    <r>
      <rPr>
        <rFont val="Arial Narrow"/>
        <b/>
        <color theme="1"/>
        <sz val="10.0"/>
      </rPr>
      <t>(7a)</t>
    </r>
    <r>
      <rPr>
        <rFont val="Arial Narrow"/>
        <color theme="1"/>
        <sz val="10.0"/>
      </rPr>
      <t xml:space="preserve">
Res. 374 de 14-ene-2014 </t>
    </r>
    <r>
      <rPr>
        <rFont val="Arial Narrow"/>
        <b/>
        <color theme="1"/>
        <sz val="10.0"/>
      </rPr>
      <t>(7a)</t>
    </r>
    <r>
      <rPr>
        <rFont val="Arial Narrow"/>
        <color theme="1"/>
        <sz val="10.0"/>
      </rPr>
      <t xml:space="preserve">
Res. 5812 de 02-oct-2007</t>
    </r>
    <r>
      <rPr>
        <rFont val="Arial Narrow"/>
        <b/>
        <color theme="1"/>
        <sz val="10.0"/>
      </rPr>
      <t xml:space="preserve"> (7a)</t>
    </r>
  </si>
  <si>
    <t xml:space="preserve">Maestría en Artes Integradas con el Ambiente </t>
  </si>
  <si>
    <t xml:space="preserve">Magíster en Artes Integradas con el Ambiente </t>
  </si>
  <si>
    <t>Res. C.S. 032 28/05/2014</t>
  </si>
  <si>
    <t>21 (2023)</t>
  </si>
  <si>
    <r>
      <rPr>
        <rFont val="Arial Narrow"/>
        <color theme="1"/>
        <sz val="10.0"/>
      </rPr>
      <t xml:space="preserve">Res. 6190 de 06-may-2015 </t>
    </r>
    <r>
      <rPr>
        <rFont val="Arial Narrow"/>
        <b/>
        <color theme="1"/>
        <sz val="10.0"/>
      </rPr>
      <t>(7a)</t>
    </r>
  </si>
  <si>
    <t>Licenciatura en Literatura y Lengua Castellana</t>
  </si>
  <si>
    <t>Licenciado(a) en Literatura y Lengua Castellana</t>
  </si>
  <si>
    <r>
      <rPr>
        <rFont val="Arial Narrow"/>
        <color theme="1"/>
        <sz val="10.0"/>
      </rPr>
      <t>Ac. 022 de 24-Mar-1994</t>
    </r>
    <r>
      <rPr>
        <rFont val="Arial Narrow"/>
        <b/>
        <color theme="1"/>
        <sz val="10.0"/>
      </rPr>
      <t xml:space="preserve"> (CS)</t>
    </r>
  </si>
  <si>
    <t>30 (2018)</t>
  </si>
  <si>
    <t>AC. 016 del 22-Jun-2017 (CA)</t>
  </si>
  <si>
    <t>AC. 014 del 02-May-2017 (CS)</t>
  </si>
  <si>
    <t>Res. 28123 del 13-dic-2017</t>
  </si>
  <si>
    <r>
      <rPr>
        <rFont val="Arial Narrow"/>
        <color theme="1"/>
        <sz val="10.0"/>
      </rPr>
      <t>Res 10449 de 26-nov-2010</t>
    </r>
    <r>
      <rPr>
        <rFont val="Arial Narrow"/>
        <b/>
        <color theme="1"/>
        <sz val="10.0"/>
      </rPr>
      <t xml:space="preserve"> (7a)</t>
    </r>
    <r>
      <rPr>
        <rFont val="Arial Narrow"/>
        <color theme="1"/>
        <sz val="10.0"/>
      </rPr>
      <t xml:space="preserve">
Res 28123 de 13-dic-2017</t>
    </r>
    <r>
      <rPr>
        <rFont val="Arial Narrow"/>
        <b/>
        <color theme="1"/>
        <sz val="10.0"/>
      </rPr>
      <t xml:space="preserve"> (Modif.)</t>
    </r>
    <r>
      <rPr>
        <rFont val="Arial Narrow"/>
        <color theme="1"/>
        <sz val="10.0"/>
      </rPr>
      <t xml:space="preserve">
Res. 2116 de 12-sep-2001</t>
    </r>
    <r>
      <rPr>
        <rFont val="Arial Narrow"/>
        <b/>
        <color theme="1"/>
        <sz val="10.0"/>
      </rPr>
      <t xml:space="preserve"> (Ac. Previa)</t>
    </r>
  </si>
  <si>
    <r>
      <rPr>
        <rFont val="Arial Narrow"/>
        <color theme="1"/>
        <sz val="10.0"/>
      </rPr>
      <t xml:space="preserve">Res. 11243 de 02 de junio 2017 </t>
    </r>
    <r>
      <rPr>
        <rFont val="Arial Narrow"/>
        <b/>
        <color theme="1"/>
        <sz val="10.0"/>
      </rPr>
      <t>(4a)</t>
    </r>
  </si>
  <si>
    <t>Licenciatura en Etnoeducación y Ciencias Sociales</t>
  </si>
  <si>
    <t>Licenciado (a) en Etnoeducación y Ciencias Sociales</t>
  </si>
  <si>
    <t>Ac 017 de 10-marzo-1994 (CS)</t>
  </si>
  <si>
    <t>40 (en cada municipio)(2025)</t>
  </si>
  <si>
    <t>Popayán, Santander de Quilichao y Guapi</t>
  </si>
  <si>
    <r>
      <rPr>
        <rFont val="Arial"/>
        <color rgb="FF0000FF"/>
        <u/>
      </rPr>
      <t xml:space="preserve">24484
</t>
    </r>
    <r>
      <rPr>
        <rFont val="Arial"/>
        <color rgb="FF1155CC"/>
        <u/>
      </rPr>
      <t>9085</t>
    </r>
  </si>
  <si>
    <t>Res 24484 de 17-dic-2025 (7a)
Res. 9085 modifica resolución 24484 en nombre</t>
  </si>
  <si>
    <t xml:space="preserve">Antropología </t>
  </si>
  <si>
    <t>Antropólogo (a)</t>
  </si>
  <si>
    <t>Res. 1351 de 07-Jun-1988</t>
  </si>
  <si>
    <r>
      <rPr>
        <rFont val="Arial Narrow"/>
        <color theme="1"/>
        <sz val="10.0"/>
      </rPr>
      <t xml:space="preserve">Res. 24750 de 29-dic-2022 </t>
    </r>
    <r>
      <rPr>
        <rFont val="Arial Narrow"/>
        <b/>
        <color theme="1"/>
        <sz val="10.0"/>
      </rPr>
      <t>(7a)</t>
    </r>
    <r>
      <rPr>
        <rFont val="Arial Narrow"/>
        <color theme="1"/>
        <sz val="10.0"/>
      </rPr>
      <t xml:space="preserve">
Res. 9839 de 18-may-2016 </t>
    </r>
    <r>
      <rPr>
        <rFont val="Arial Narrow"/>
        <b/>
        <color theme="1"/>
        <sz val="10.0"/>
      </rPr>
      <t>(7a)</t>
    </r>
    <r>
      <rPr>
        <rFont val="Arial Narrow"/>
        <color theme="1"/>
        <sz val="10.0"/>
      </rPr>
      <t xml:space="preserve">
Res. 9879 de 31-jul-2013 </t>
    </r>
    <r>
      <rPr>
        <rFont val="Arial Narrow"/>
        <b/>
        <color theme="1"/>
        <sz val="10.0"/>
      </rPr>
      <t>(7a)</t>
    </r>
    <r>
      <rPr>
        <rFont val="Arial Narrow"/>
        <color theme="1"/>
        <sz val="10.0"/>
      </rPr>
      <t xml:space="preserve">
Res.7557 de 31-ago-2010</t>
    </r>
    <r>
      <rPr>
        <rFont val="Arial Narrow"/>
        <b/>
        <color theme="1"/>
        <sz val="10.0"/>
      </rPr>
      <t xml:space="preserve"> (7a)</t>
    </r>
    <r>
      <rPr>
        <rFont val="Arial Narrow"/>
        <color theme="1"/>
        <sz val="10.0"/>
      </rPr>
      <t xml:space="preserve">
Res.1582 de 20-mar-2009 </t>
    </r>
    <r>
      <rPr>
        <rFont val="Arial Narrow"/>
        <b/>
        <color theme="1"/>
        <sz val="10.0"/>
      </rPr>
      <t>(6a)</t>
    </r>
    <r>
      <rPr>
        <rFont val="Arial Narrow"/>
        <color theme="1"/>
        <sz val="10.0"/>
      </rPr>
      <t xml:space="preserve">
Res.9589 de 16-dic-2008 </t>
    </r>
    <r>
      <rPr>
        <rFont val="Arial Narrow"/>
        <b/>
        <color theme="1"/>
        <sz val="10.0"/>
      </rPr>
      <t>(7a)</t>
    </r>
    <r>
      <rPr>
        <rFont val="Arial Narrow"/>
        <color theme="1"/>
        <sz val="10.0"/>
      </rPr>
      <t xml:space="preserve">
Res.3163 de 11-dic-2003 </t>
    </r>
    <r>
      <rPr>
        <rFont val="Arial Narrow"/>
        <b/>
        <color theme="1"/>
        <sz val="10.0"/>
      </rPr>
      <t>(3a)</t>
    </r>
  </si>
  <si>
    <r>
      <rPr>
        <rFont val="Arial Narrow"/>
        <color theme="1"/>
        <sz val="10.0"/>
      </rPr>
      <t xml:space="preserve">Res. 19159 de 30-sep-2016 </t>
    </r>
    <r>
      <rPr>
        <rFont val="Arial Narrow"/>
        <b/>
        <color theme="1"/>
        <sz val="10.0"/>
      </rPr>
      <t>(6a)</t>
    </r>
    <r>
      <rPr>
        <rFont val="Arial Narrow"/>
        <color theme="1"/>
        <sz val="10.0"/>
      </rPr>
      <t xml:space="preserve">
Res. 1582 de 20-mar-2009 </t>
    </r>
    <r>
      <rPr>
        <rFont val="Arial Narrow"/>
        <b/>
        <color theme="1"/>
        <sz val="10.0"/>
      </rPr>
      <t>(6a)</t>
    </r>
    <r>
      <rPr>
        <rFont val="Arial Narrow"/>
        <color theme="1"/>
        <sz val="10.0"/>
      </rPr>
      <t xml:space="preserve">
Res. 3163 de 11-dic-2003 </t>
    </r>
    <r>
      <rPr>
        <rFont val="Arial Narrow"/>
        <b/>
        <color theme="1"/>
        <sz val="10.0"/>
      </rPr>
      <t>(3a)</t>
    </r>
  </si>
  <si>
    <t>Facultad de Ciencias Naturales, Exactas y de la Educación</t>
  </si>
  <si>
    <t>Especialización en Educación Comunitaria</t>
  </si>
  <si>
    <t>Especialista en Educación Comunitaria</t>
  </si>
  <si>
    <t>Ac. 044 de 10-sep-1999</t>
  </si>
  <si>
    <t>25 (2026)</t>
  </si>
  <si>
    <t>Cada 2 años</t>
  </si>
  <si>
    <t>Especialización en Educación Comunitaria R_009133.pdf</t>
  </si>
  <si>
    <t>7(a)</t>
  </si>
  <si>
    <t>Res. 9133 de 01-abril-2026</t>
  </si>
  <si>
    <t>Ingeniería Física</t>
  </si>
  <si>
    <t>Ingeniero (a) Físico (a)</t>
  </si>
  <si>
    <t>Res. 024 de 20-Jun-1995</t>
  </si>
  <si>
    <t>50 (2025)</t>
  </si>
  <si>
    <r>
      <rPr>
        <rFont val="Arial Narrow"/>
        <color theme="1"/>
        <sz val="10.0"/>
      </rPr>
      <t>AC. 013 del 2014
AC. 010 del 13-May-2015</t>
    </r>
    <r>
      <rPr>
        <rFont val="Arial Narrow"/>
        <b/>
        <color theme="1"/>
        <sz val="10.0"/>
      </rPr>
      <t xml:space="preserve"> (CA)</t>
    </r>
  </si>
  <si>
    <t>Res. 005365 del 24-05-2019</t>
  </si>
  <si>
    <r>
      <rPr>
        <rFont val="Arial Narrow"/>
        <color theme="1"/>
        <sz val="10.0"/>
      </rPr>
      <t xml:space="preserve">Res. 10288 de 27-jun-2018 </t>
    </r>
    <r>
      <rPr>
        <rFont val="Arial Narrow"/>
        <b/>
        <color theme="1"/>
        <sz val="10.0"/>
      </rPr>
      <t>(7a)</t>
    </r>
    <r>
      <rPr>
        <rFont val="Arial Narrow"/>
        <color theme="1"/>
        <sz val="10.0"/>
      </rPr>
      <t xml:space="preserve">
Res. 6518 de 09-ago-2011  
 Res. 19844 de 18-oct-2016</t>
    </r>
    <r>
      <rPr>
        <rFont val="Arial Narrow"/>
        <b/>
        <color theme="1"/>
        <sz val="10.0"/>
      </rPr>
      <t xml:space="preserve"> (Mod)</t>
    </r>
    <r>
      <rPr>
        <rFont val="Arial Narrow"/>
        <color theme="1"/>
        <sz val="10.0"/>
      </rPr>
      <t xml:space="preserve">
Res. 2140 de 26-jul-2004
Res. 23384 de 28-nov-2025</t>
    </r>
  </si>
  <si>
    <t>Maestría en Educación Popular</t>
  </si>
  <si>
    <t>Magíster en Educación Popular</t>
  </si>
  <si>
    <t>Ac. S. 012 19/02/2014</t>
  </si>
  <si>
    <r>
      <rPr>
        <rFont val="Arial Narrow"/>
        <color theme="1"/>
        <sz val="10.0"/>
      </rPr>
      <t xml:space="preserve">Res. 11043 de 14-jul-2014 </t>
    </r>
    <r>
      <rPr>
        <rFont val="Arial Narrow"/>
        <b/>
        <color theme="1"/>
        <sz val="10.0"/>
      </rPr>
      <t>(7a)</t>
    </r>
  </si>
  <si>
    <t>Maestría en Educación Popular (Santander de Quilichao)</t>
  </si>
  <si>
    <r>
      <rPr>
        <rFont val="Arial Narrow"/>
        <color theme="1"/>
        <sz val="10.0"/>
      </rPr>
      <t xml:space="preserve">Res. 162 de 04-ene-2021 </t>
    </r>
    <r>
      <rPr>
        <rFont val="Arial Narrow"/>
        <b/>
        <color theme="1"/>
        <sz val="10.0"/>
      </rPr>
      <t>(Modificada por Res. 2559)</t>
    </r>
    <r>
      <rPr>
        <rFont val="Arial Narrow"/>
        <color theme="1"/>
        <sz val="10.0"/>
      </rPr>
      <t xml:space="preserve">
Res. 11276 de 16-jul-2014 </t>
    </r>
    <r>
      <rPr>
        <rFont val="Arial Narrow"/>
        <b/>
        <color theme="1"/>
        <sz val="10.0"/>
      </rPr>
      <t>(7a)</t>
    </r>
  </si>
  <si>
    <t>Maestría en Educación (MI)</t>
  </si>
  <si>
    <t>Magíster en Educación</t>
  </si>
  <si>
    <t>Res. 048 2/08/2005</t>
  </si>
  <si>
    <r>
      <rPr>
        <rFont val="Arial Narrow"/>
        <color theme="1"/>
        <sz val="10.0"/>
      </rPr>
      <t xml:space="preserve">RES. VRA-387 del 30-Jun-2011 </t>
    </r>
    <r>
      <rPr>
        <rFont val="Arial Narrow"/>
        <b/>
        <color theme="1"/>
        <sz val="10.0"/>
      </rPr>
      <t>(VA)</t>
    </r>
    <r>
      <rPr>
        <rFont val="Arial Narrow"/>
        <color theme="1"/>
        <sz val="10.0"/>
      </rPr>
      <t xml:space="preserve">
RES. 076 del 27-Jun-2012</t>
    </r>
    <r>
      <rPr>
        <rFont val="Arial Narrow"/>
        <b/>
        <color theme="1"/>
        <sz val="10.0"/>
      </rPr>
      <t xml:space="preserve"> (CA)</t>
    </r>
  </si>
  <si>
    <r>
      <rPr>
        <rFont val="Arial Narrow"/>
        <color theme="1"/>
        <sz val="10.0"/>
      </rPr>
      <t xml:space="preserve">Res. 20288 de 28-nov-2014 </t>
    </r>
    <r>
      <rPr>
        <rFont val="Arial Narrow"/>
        <b/>
        <color theme="1"/>
        <sz val="10.0"/>
      </rPr>
      <t>(7a)</t>
    </r>
    <r>
      <rPr>
        <rFont val="Arial Narrow"/>
        <color theme="1"/>
        <sz val="10.0"/>
      </rPr>
      <t xml:space="preserve">
Res. 3980 de 27-jun-2008</t>
    </r>
  </si>
  <si>
    <t>Biología</t>
  </si>
  <si>
    <t>Biólogo</t>
  </si>
  <si>
    <r>
      <rPr>
        <rFont val="Arial Narrow"/>
        <color theme="1"/>
        <sz val="10.0"/>
      </rPr>
      <t xml:space="preserve">Res. 073 de 18-Oct-1994 </t>
    </r>
    <r>
      <rPr>
        <rFont val="Arial Narrow"/>
        <b/>
        <color theme="1"/>
        <sz val="10.0"/>
      </rPr>
      <t>(CS)</t>
    </r>
  </si>
  <si>
    <t>40 (2021)</t>
  </si>
  <si>
    <t>AC 004 del 20-feb-2018</t>
  </si>
  <si>
    <t>Res. 013914 15-ago-2018</t>
  </si>
  <si>
    <r>
      <rPr>
        <rFont val="Arial Narrow"/>
        <color theme="1"/>
        <sz val="10.0"/>
      </rPr>
      <t xml:space="preserve">Res. 8006 de 17-may-2018 </t>
    </r>
    <r>
      <rPr>
        <rFont val="Arial Narrow"/>
        <b/>
        <color theme="1"/>
        <sz val="10.0"/>
      </rPr>
      <t>(Ren.Ofic)</t>
    </r>
    <r>
      <rPr>
        <rFont val="Arial Narrow"/>
        <color theme="1"/>
        <sz val="10.0"/>
      </rPr>
      <t xml:space="preserve">
Res 10981 de 11-sep-12 </t>
    </r>
    <r>
      <rPr>
        <rFont val="Arial Narrow"/>
        <b/>
        <color theme="1"/>
        <sz val="10.0"/>
      </rPr>
      <t>(7a)</t>
    </r>
    <r>
      <rPr>
        <rFont val="Arial Narrow"/>
        <color theme="1"/>
        <sz val="10.0"/>
      </rPr>
      <t xml:space="preserve">
Res. 778 de 09-mar-2005</t>
    </r>
  </si>
  <si>
    <r>
      <rPr>
        <rFont val="Arial Narrow"/>
        <color theme="1"/>
        <sz val="10.0"/>
      </rPr>
      <t xml:space="preserve">Res. 6830 de 12-may-2014 </t>
    </r>
    <r>
      <rPr>
        <rFont val="Arial Narrow"/>
        <b/>
        <color theme="1"/>
        <sz val="10.0"/>
      </rPr>
      <t>(6a)</t>
    </r>
  </si>
  <si>
    <t>Maestría en Ingeniería Física</t>
  </si>
  <si>
    <t>Magister en Ingeniería Física</t>
  </si>
  <si>
    <t>Res. 083 8/11/2005</t>
  </si>
  <si>
    <t>16 (2014)</t>
  </si>
  <si>
    <t>AC. 020 del 2014</t>
  </si>
  <si>
    <r>
      <rPr>
        <rFont val="Arial Narrow"/>
        <color theme="1"/>
        <sz val="10.0"/>
      </rPr>
      <t xml:space="preserve">Res. 8113 de 30-may-2014 </t>
    </r>
    <r>
      <rPr>
        <rFont val="Arial Narrow"/>
        <b/>
        <color theme="1"/>
        <sz val="10.0"/>
      </rPr>
      <t>(7a)</t>
    </r>
    <r>
      <rPr>
        <rFont val="Arial Narrow"/>
        <color theme="1"/>
        <sz val="10.0"/>
      </rPr>
      <t xml:space="preserve">
Res. 1116 de 29-feb-2008</t>
    </r>
  </si>
  <si>
    <t>Maestría en Biología</t>
  </si>
  <si>
    <t xml:space="preserve">Magíster en Biología </t>
  </si>
  <si>
    <t>Ac. S. 072 17/12/2014</t>
  </si>
  <si>
    <r>
      <rPr>
        <rFont val="Arial Narrow"/>
        <color theme="1"/>
        <sz val="10.0"/>
      </rPr>
      <t xml:space="preserve">Res. 8328 de 9-jun-2015 </t>
    </r>
    <r>
      <rPr>
        <rFont val="Arial Narrow"/>
        <b/>
        <color theme="1"/>
        <sz val="10.0"/>
      </rPr>
      <t>(7a)</t>
    </r>
  </si>
  <si>
    <t>Maestría en Educación, Estudios del Cuerpo y la Motricidad</t>
  </si>
  <si>
    <t>Magíster en Educación, Estudios del Cuerpo y la Motricidad</t>
  </si>
  <si>
    <t>Ac. S. 061 3/12/2014</t>
  </si>
  <si>
    <r>
      <rPr>
        <rFont val="Arial Narrow"/>
        <color theme="1"/>
        <sz val="10.0"/>
      </rPr>
      <t xml:space="preserve">Res. 3274 del 13-mar-2015 </t>
    </r>
    <r>
      <rPr>
        <rFont val="Arial Narrow"/>
        <b/>
        <color theme="1"/>
        <sz val="10.0"/>
      </rPr>
      <t>(7a)</t>
    </r>
  </si>
  <si>
    <t>Maestría en Educación Superior</t>
  </si>
  <si>
    <t>Magíster en Educación Superior con énfasis en Docencia Universitaria o Dirección Universitaria</t>
  </si>
  <si>
    <r>
      <rPr>
        <rFont val="Arial Narrow"/>
        <color theme="1"/>
        <sz val="10.0"/>
      </rPr>
      <t xml:space="preserve">Ac. 026 del 09-jun-21 </t>
    </r>
    <r>
      <rPr>
        <rFont val="Arial Narrow"/>
        <b/>
        <color theme="1"/>
        <sz val="10.0"/>
      </rPr>
      <t>(CS)</t>
    </r>
  </si>
  <si>
    <t>35 (2021)</t>
  </si>
  <si>
    <t>Presencial-Virtual</t>
  </si>
  <si>
    <t>Licenciatura en Educación Física, Recreación y Deportes</t>
  </si>
  <si>
    <t>Licenciado(a) en Educación Física, Recreación y Deportes</t>
  </si>
  <si>
    <t>Res. 013 de 23-Feb-1999 y
Res. 029 de 24-Jul-1995 y
Res. MODIF. 023 14-Abr-2009</t>
  </si>
  <si>
    <t>AC. 062 del 29-Nov-2016 (CS)</t>
  </si>
  <si>
    <t>Res. 22114 de 24-oct-2017 (MEN)</t>
  </si>
  <si>
    <r>
      <rPr>
        <rFont val="Arial Narrow"/>
        <color theme="1"/>
        <sz val="10.0"/>
      </rPr>
      <t xml:space="preserve">Res. 22114 de 24-oct-2017 </t>
    </r>
    <r>
      <rPr>
        <rFont val="Arial Narrow"/>
        <b/>
        <color theme="1"/>
        <sz val="10.0"/>
      </rPr>
      <t>(7a)</t>
    </r>
    <r>
      <rPr>
        <rFont val="Arial Narrow"/>
        <color theme="1"/>
        <sz val="10.0"/>
      </rPr>
      <t xml:space="preserve">
Res. 4965 de 16-jun-2011 </t>
    </r>
    <r>
      <rPr>
        <rFont val="Arial Narrow"/>
        <b/>
        <color theme="1"/>
        <sz val="10.0"/>
      </rPr>
      <t>(Mod)</t>
    </r>
    <r>
      <rPr>
        <rFont val="Arial Narrow"/>
        <color theme="1"/>
        <sz val="10.0"/>
      </rPr>
      <t xml:space="preserve">
Res. 7757 de 6-sep-2010
Res. 1761 de 28-jun-2000 </t>
    </r>
    <r>
      <rPr>
        <rFont val="Arial Narrow"/>
        <b/>
        <color theme="1"/>
        <sz val="10.0"/>
      </rPr>
      <t>(AC)</t>
    </r>
  </si>
  <si>
    <r>
      <rPr>
        <rFont val="Arial Narrow"/>
        <color theme="1"/>
        <sz val="10.0"/>
      </rPr>
      <t xml:space="preserve">Res. 27242 de 04-dic-2017 </t>
    </r>
    <r>
      <rPr>
        <rFont val="Arial Narrow"/>
        <b/>
        <color theme="1"/>
        <sz val="10.0"/>
      </rPr>
      <t>(4a)</t>
    </r>
  </si>
  <si>
    <t>Res.11440 de 08-06-17</t>
  </si>
  <si>
    <t>Recurso de Reposición a Res.11440 de 08-06-17</t>
  </si>
  <si>
    <t>Licenciatura en Educación Artística</t>
  </si>
  <si>
    <t>Licenciado(a) en Educación Artística</t>
  </si>
  <si>
    <r>
      <rPr>
        <rFont val="Arial Narrow"/>
        <color theme="1"/>
        <sz val="10.0"/>
      </rPr>
      <t>Ac. 029 de 24-Jul-1995
Res. 063 de1996</t>
    </r>
    <r>
      <rPr>
        <rFont val="Arial Narrow"/>
        <b/>
        <color theme="1"/>
        <sz val="10.0"/>
      </rPr>
      <t xml:space="preserve"> (CS)</t>
    </r>
  </si>
  <si>
    <t>RES. 109 del 09-Dic-2015 (CA)</t>
  </si>
  <si>
    <t>Res.15277 de 26-jul-2016 (MEN)</t>
  </si>
  <si>
    <r>
      <rPr>
        <rFont val="Arial Narrow"/>
        <color theme="1"/>
        <sz val="10.0"/>
      </rPr>
      <t xml:space="preserve">Res. 29143 de 26-dic-2017 </t>
    </r>
    <r>
      <rPr>
        <rFont val="Arial Narrow"/>
        <b/>
        <color theme="1"/>
        <sz val="10.0"/>
      </rPr>
      <t>(7a)</t>
    </r>
    <r>
      <rPr>
        <rFont val="Arial Narrow"/>
        <color theme="1"/>
        <sz val="10.0"/>
      </rPr>
      <t xml:space="preserve">
Res. 10448 de 26-nov-2010
Res. 3304 de 7-dic-2000</t>
    </r>
  </si>
  <si>
    <t>Res.11784 de 09-06-17</t>
  </si>
  <si>
    <t>Recurso de Reposición a Res.11784 de 09-06-17</t>
  </si>
  <si>
    <t>Licenciatura en Ciencias Naturales y Educación Ambiental</t>
  </si>
  <si>
    <t>Licenciado(a) en Ciencias Naturales y Educación Ambiental</t>
  </si>
  <si>
    <r>
      <rPr>
        <rFont val="Arial Narrow"/>
        <color theme="1"/>
        <sz val="10.0"/>
      </rPr>
      <t>Ac. 029 de 24-Jul-1995</t>
    </r>
    <r>
      <rPr>
        <rFont val="Arial Narrow"/>
        <b/>
        <color theme="1"/>
        <sz val="10.0"/>
      </rPr>
      <t xml:space="preserve"> (CS)</t>
    </r>
  </si>
  <si>
    <t>AC. 009 del 10-May-2017 (CA)</t>
  </si>
  <si>
    <t xml:space="preserve">   AC. 012 del 02-May-2017 (CS)</t>
  </si>
  <si>
    <t>Res. 25119 de 17-nov-2017 MEN</t>
  </si>
  <si>
    <r>
      <rPr>
        <rFont val="Arial Narrow"/>
        <color theme="1"/>
        <sz val="10.0"/>
      </rPr>
      <t xml:space="preserve">Res. 6928 de 24-abr-2018 </t>
    </r>
    <r>
      <rPr>
        <rFont val="Arial Narrow"/>
        <b/>
        <color theme="1"/>
        <sz val="10.0"/>
      </rPr>
      <t>(7a)</t>
    </r>
    <r>
      <rPr>
        <rFont val="Arial Narrow"/>
        <color theme="1"/>
        <sz val="10.0"/>
      </rPr>
      <t xml:space="preserve">
Res.1261 de 21-feb-2011</t>
    </r>
    <r>
      <rPr>
        <rFont val="Arial Narrow"/>
        <b/>
        <color theme="1"/>
        <sz val="10.0"/>
      </rPr>
      <t xml:space="preserve"> (7a)</t>
    </r>
    <r>
      <rPr>
        <rFont val="Arial Narrow"/>
        <color theme="1"/>
        <sz val="10.0"/>
      </rPr>
      <t xml:space="preserve">
Res. 25119 de 17-nov-2017 </t>
    </r>
    <r>
      <rPr>
        <rFont val="Arial Narrow"/>
        <b/>
        <color theme="1"/>
        <sz val="10.0"/>
      </rPr>
      <t xml:space="preserve">(Mod)
</t>
    </r>
    <r>
      <rPr>
        <rFont val="Arial Narrow"/>
        <color theme="1"/>
        <sz val="10.0"/>
      </rPr>
      <t xml:space="preserve">Res. 2251 de 17-ago-2000 </t>
    </r>
    <r>
      <rPr>
        <rFont val="Arial Narrow"/>
        <b/>
        <color theme="1"/>
        <sz val="10.0"/>
      </rPr>
      <t>(Ac.Previa)</t>
    </r>
  </si>
  <si>
    <r>
      <rPr>
        <rFont val="Arial Narrow"/>
        <b val="0"/>
        <color theme="1"/>
        <sz val="10.0"/>
      </rPr>
      <t>Res. 10704 de 25-may-2017</t>
    </r>
    <r>
      <rPr>
        <rFont val="Arial Narrow"/>
        <b/>
        <color theme="1"/>
        <sz val="10.0"/>
      </rPr>
      <t xml:space="preserve"> (4a)</t>
    </r>
  </si>
  <si>
    <t>Licenciatura en Educación Básica Primaria</t>
  </si>
  <si>
    <t>Licenciado(a) en Educación Básica Primaria</t>
  </si>
  <si>
    <t>Res. 029 de 24-Jul-1995</t>
  </si>
  <si>
    <r>
      <rPr>
        <rFont val="Arial Narrow"/>
        <color rgb="FFFF0000"/>
        <sz val="10.0"/>
      </rPr>
      <t xml:space="preserve">AC. 014 o 024 del 2014
AC. 008 del 05-Abr-2017 </t>
    </r>
    <r>
      <rPr>
        <rFont val="Arial Narrow"/>
        <b/>
        <color rgb="FFFF0000"/>
        <sz val="10.0"/>
      </rPr>
      <t>(CA)</t>
    </r>
  </si>
  <si>
    <r>
      <rPr>
        <rFont val="Arial Narrow"/>
        <color theme="1"/>
        <sz val="10.0"/>
      </rPr>
      <t xml:space="preserve">AC. 011 del 02-May-2017 </t>
    </r>
    <r>
      <rPr>
        <rFont val="Arial Narrow"/>
        <b/>
        <color theme="1"/>
        <sz val="10.0"/>
      </rPr>
      <t>(CS)</t>
    </r>
    <r>
      <rPr>
        <rFont val="Arial Narrow"/>
        <color theme="1"/>
        <sz val="10.0"/>
      </rPr>
      <t xml:space="preserve">
AC. 048 del 07-Nov-2017 </t>
    </r>
    <r>
      <rPr>
        <rFont val="Arial Narrow"/>
        <b/>
        <color theme="1"/>
        <sz val="10.0"/>
      </rPr>
      <t>(CS)</t>
    </r>
  </si>
  <si>
    <t>Res. 03266 de 26-feb-2018 (MEN)</t>
  </si>
  <si>
    <r>
      <rPr>
        <rFont val="Arial Narrow"/>
        <color theme="1"/>
        <sz val="10.0"/>
      </rPr>
      <t xml:space="preserve">Res. 3266 de 26-feb-2018 </t>
    </r>
    <r>
      <rPr>
        <rFont val="Arial Narrow"/>
        <b/>
        <color theme="1"/>
        <sz val="10.0"/>
      </rPr>
      <t>(7a)</t>
    </r>
    <r>
      <rPr>
        <rFont val="Arial Narrow"/>
        <color theme="1"/>
        <sz val="10.0"/>
      </rPr>
      <t xml:space="preserve">
Res 745 de 8-feb-2011 </t>
    </r>
    <r>
      <rPr>
        <rFont val="Arial Narrow"/>
        <b/>
        <color theme="1"/>
        <sz val="10.0"/>
      </rPr>
      <t>(7a) (Mod)</t>
    </r>
    <r>
      <rPr>
        <rFont val="Arial Narrow"/>
        <color theme="1"/>
        <sz val="10.0"/>
      </rPr>
      <t xml:space="preserve">
Res. 2251 de 17-ago-2000</t>
    </r>
  </si>
  <si>
    <r>
      <rPr>
        <rFont val="Arial Narrow"/>
        <b val="0"/>
        <color theme="1"/>
        <sz val="10.0"/>
      </rPr>
      <t>Res. 11249 de 2-jun-2017</t>
    </r>
    <r>
      <rPr>
        <rFont val="Arial Narrow"/>
        <b/>
        <color theme="1"/>
        <sz val="10.0"/>
      </rPr>
      <t xml:space="preserve"> (4a)</t>
    </r>
  </si>
  <si>
    <t xml:space="preserve">Maestría en Deporte y Actividad Física </t>
  </si>
  <si>
    <t xml:space="preserve">Magíster en Deporte y Actividad Física </t>
  </si>
  <si>
    <t>Ac. S.066 9/12/2015</t>
  </si>
  <si>
    <r>
      <rPr>
        <rFont val="Arial Narrow"/>
        <color theme="1"/>
        <sz val="10.0"/>
      </rPr>
      <t xml:space="preserve">Res. 8419 de 28-abr-2016 </t>
    </r>
    <r>
      <rPr>
        <rFont val="Arial Narrow"/>
        <b/>
        <color theme="1"/>
        <sz val="10.0"/>
      </rPr>
      <t>(7a)</t>
    </r>
  </si>
  <si>
    <t>Doctorado en Ciencias Matemáticas</t>
  </si>
  <si>
    <t>Doctor en Ciencias Matemáticas</t>
  </si>
  <si>
    <t>Res. 26 12/04/2016 y Ac. S. 079 16/12/2015</t>
  </si>
  <si>
    <t>5 (2023)</t>
  </si>
  <si>
    <t xml:space="preserve">8 semestres </t>
  </si>
  <si>
    <r>
      <rPr>
        <rFont val="Arial Narrow"/>
        <color theme="1"/>
        <sz val="10.0"/>
      </rPr>
      <t xml:space="preserve">Res. 16586 de 12-ago-2016 </t>
    </r>
    <r>
      <rPr>
        <rFont val="Arial Narrow"/>
        <b/>
        <color theme="1"/>
        <sz val="10.0"/>
      </rPr>
      <t>(7a)</t>
    </r>
  </si>
  <si>
    <t>Matemáticas</t>
  </si>
  <si>
    <t>Matemático</t>
  </si>
  <si>
    <t>Res. 015 de 09-Abr-1996</t>
  </si>
  <si>
    <t>RES. 100 del 02-Ago-2012 (CA)</t>
  </si>
  <si>
    <r>
      <rPr>
        <rFont val="Arial Narrow"/>
        <color theme="1"/>
        <sz val="10.0"/>
      </rPr>
      <t xml:space="preserve">Res. 8938 de 31-may-2018 </t>
    </r>
    <r>
      <rPr>
        <rFont val="Arial Narrow"/>
        <b/>
        <color theme="1"/>
        <sz val="10.0"/>
      </rPr>
      <t>(RenOfic)</t>
    </r>
    <r>
      <rPr>
        <rFont val="Arial Narrow"/>
        <color theme="1"/>
        <sz val="10.0"/>
      </rPr>
      <t xml:space="preserve">
Res. 7440 de 14-jun-2013</t>
    </r>
    <r>
      <rPr>
        <rFont val="Arial Narrow"/>
        <b/>
        <color theme="1"/>
        <sz val="10.0"/>
      </rPr>
      <t xml:space="preserve"> (7a)</t>
    </r>
    <r>
      <rPr>
        <rFont val="Arial Narrow"/>
        <color theme="1"/>
        <sz val="10.0"/>
      </rPr>
      <t xml:space="preserve">
Res. 5210 de 05-sep-2006</t>
    </r>
  </si>
  <si>
    <r>
      <rPr>
        <rFont val="Arial Narrow"/>
        <color theme="1"/>
        <sz val="10.0"/>
      </rPr>
      <t xml:space="preserve">Res. 3195  de 4-abr-2013 </t>
    </r>
    <r>
      <rPr>
        <rFont val="Arial Narrow"/>
        <b/>
        <color theme="1"/>
        <sz val="10.0"/>
      </rPr>
      <t>(Negada)</t>
    </r>
  </si>
  <si>
    <r>
      <rPr>
        <rFont val="Arial Narrow"/>
        <color theme="1"/>
        <sz val="10.0"/>
      </rPr>
      <t xml:space="preserve">Res. 16737 de 24-ago-2017 </t>
    </r>
    <r>
      <rPr>
        <rFont val="Arial Narrow"/>
        <b/>
        <color theme="1"/>
        <sz val="10.0"/>
      </rPr>
      <t>(4a)</t>
    </r>
  </si>
  <si>
    <t>Química</t>
  </si>
  <si>
    <t>Químico</t>
  </si>
  <si>
    <r>
      <rPr>
        <rFont val="Arial Narrow"/>
        <color theme="1"/>
        <sz val="10.0"/>
      </rPr>
      <t>Ac. 152 de 28-Oct-1992</t>
    </r>
    <r>
      <rPr>
        <rFont val="Arial Narrow"/>
        <b/>
        <color theme="1"/>
        <sz val="10.0"/>
      </rPr>
      <t xml:space="preserve"> (CS)</t>
    </r>
  </si>
  <si>
    <t>Res. 013915 del 15-ago-2018</t>
  </si>
  <si>
    <r>
      <rPr>
        <rFont val="Arial Narrow"/>
        <color theme="1"/>
        <sz val="10.0"/>
      </rPr>
      <t xml:space="preserve">Res.7895 de 11-may-18 </t>
    </r>
    <r>
      <rPr>
        <rFont val="Arial Narrow"/>
        <b/>
        <color theme="1"/>
        <sz val="10.0"/>
      </rPr>
      <t>(Ren.Ofic)</t>
    </r>
    <r>
      <rPr>
        <rFont val="Arial Narrow"/>
        <color theme="1"/>
        <sz val="10.0"/>
      </rPr>
      <t xml:space="preserve">
Res. 7441 de 05-jul-12</t>
    </r>
    <r>
      <rPr>
        <rFont val="Arial Narrow"/>
        <b/>
        <color theme="1"/>
        <sz val="10.0"/>
      </rPr>
      <t xml:space="preserve"> (7a)</t>
    </r>
    <r>
      <rPr>
        <rFont val="Arial Narrow"/>
        <color theme="1"/>
        <sz val="10.0"/>
      </rPr>
      <t xml:space="preserve">
Res. 3835 de 05-sep-2005</t>
    </r>
  </si>
  <si>
    <r>
      <rPr>
        <rFont val="Arial Narrow"/>
        <color theme="1"/>
        <sz val="10.0"/>
      </rPr>
      <t xml:space="preserve">Res. 17610 de 01-sep-2017 </t>
    </r>
    <r>
      <rPr>
        <rFont val="Arial Narrow"/>
        <b/>
        <color theme="1"/>
        <sz val="10.0"/>
      </rPr>
      <t>(4a)</t>
    </r>
  </si>
  <si>
    <t xml:space="preserve">Especialización en Educación y Discapacidad </t>
  </si>
  <si>
    <t xml:space="preserve">Especialista en Educación y Discapacidad </t>
  </si>
  <si>
    <t>Ac S. 067 9/12/2015</t>
  </si>
  <si>
    <r>
      <rPr>
        <rFont val="Arial Narrow"/>
        <color theme="1"/>
        <sz val="10.0"/>
      </rPr>
      <t xml:space="preserve">Res. 8418 de 28-abr-2016 </t>
    </r>
    <r>
      <rPr>
        <rFont val="Arial Narrow"/>
        <b/>
        <color theme="1"/>
        <sz val="10.0"/>
      </rPr>
      <t>(7a)</t>
    </r>
  </si>
  <si>
    <t>Maestría en Ciencias Matemáticas</t>
  </si>
  <si>
    <t>Magíster en Ciencias Matemáticas</t>
  </si>
  <si>
    <t>Res. 081 18/11/2009</t>
  </si>
  <si>
    <t>5 (2016)</t>
  </si>
  <si>
    <t>Res. 5119 de 24-jun-2010                                                                                                 Res. 21940 de 22 de Nov 2016</t>
  </si>
  <si>
    <t>Doctorado en Ciencias de la Educación</t>
  </si>
  <si>
    <t>Doctor en Ciencias de la Educación</t>
  </si>
  <si>
    <r>
      <rPr>
        <rFont val="Arial Narrow"/>
        <color theme="1"/>
        <sz val="10.0"/>
      </rPr>
      <t xml:space="preserve">Res.2333 de 03-jul-1998 </t>
    </r>
    <r>
      <rPr>
        <rFont val="Arial Narrow"/>
        <b/>
        <color theme="1"/>
        <sz val="10.0"/>
      </rPr>
      <t>(MEN)</t>
    </r>
  </si>
  <si>
    <t>15 (2018)</t>
  </si>
  <si>
    <r>
      <rPr>
        <rFont val="Arial Narrow"/>
        <color theme="1"/>
        <sz val="10.0"/>
      </rPr>
      <t>Res. 1566 de 01-feb-2011</t>
    </r>
    <r>
      <rPr>
        <rFont val="Arial Narrow"/>
        <b/>
        <color theme="1"/>
        <sz val="10.0"/>
      </rPr>
      <t xml:space="preserve"> (7a)</t>
    </r>
    <r>
      <rPr>
        <rFont val="Arial Narrow"/>
        <color theme="1"/>
        <sz val="10.0"/>
      </rPr>
      <t xml:space="preserve">
Res. 1591 de 12-jun-2000 </t>
    </r>
    <r>
      <rPr>
        <rFont val="Arial Narrow"/>
        <b/>
        <color theme="1"/>
        <sz val="10.0"/>
      </rPr>
      <t>(7a)</t>
    </r>
  </si>
  <si>
    <t>Doctorado en Etnobiología y Estudios Bioculturales</t>
  </si>
  <si>
    <t>Doctor(a) en Etnobiología y Estudios Bioculturales</t>
  </si>
  <si>
    <t>8(2023)</t>
  </si>
  <si>
    <t>Sí</t>
  </si>
  <si>
    <r>
      <rPr>
        <rFont val="Arial Narrow"/>
        <color theme="1"/>
        <sz val="10.0"/>
      </rPr>
      <t>Res.10696 del 1 de junio de 2016 (</t>
    </r>
    <r>
      <rPr>
        <rFont val="Arial Narrow"/>
        <b/>
        <color theme="1"/>
        <sz val="10.0"/>
      </rPr>
      <t>7a)</t>
    </r>
  </si>
  <si>
    <t>Doctorado en Ciencias Química</t>
  </si>
  <si>
    <t>Doctor en Ciencias-Química</t>
  </si>
  <si>
    <t>Ac. S. 077 16/12/2015</t>
  </si>
  <si>
    <t>3 (2013)</t>
  </si>
  <si>
    <r>
      <rPr>
        <rFont val="Arial Narrow"/>
        <color theme="1"/>
        <sz val="10.0"/>
      </rPr>
      <t xml:space="preserve">Res. 10727 de 01-jun-2016 </t>
    </r>
    <r>
      <rPr>
        <rFont val="Arial Narrow"/>
        <b/>
        <color theme="1"/>
        <sz val="10.0"/>
      </rPr>
      <t>(7a)</t>
    </r>
  </si>
  <si>
    <t>34057.</t>
  </si>
  <si>
    <t>Maestría en Recursos Hidrobiológicos Continentales</t>
  </si>
  <si>
    <t>Magíster en Recursos Hidrobiológicos Continentales</t>
  </si>
  <si>
    <t>Res. C.S. 084 27/05/1991</t>
  </si>
  <si>
    <t>15 (2021)</t>
  </si>
  <si>
    <t>AC. 017 del 24-Sep-2014 (CA)</t>
  </si>
  <si>
    <r>
      <rPr>
        <rFont val="Arial Narrow"/>
        <color theme="1"/>
        <sz val="10.0"/>
      </rPr>
      <t xml:space="preserve">Res. 19499 de 14-nov-2014 </t>
    </r>
    <r>
      <rPr>
        <rFont val="Arial Narrow"/>
        <b/>
        <color theme="1"/>
        <sz val="10.0"/>
      </rPr>
      <t>(7a)</t>
    </r>
    <r>
      <rPr>
        <rFont val="Arial Narrow"/>
        <color theme="1"/>
        <sz val="10.0"/>
      </rPr>
      <t xml:space="preserve">
Res. 4755 de 15-abri-2015 </t>
    </r>
    <r>
      <rPr>
        <rFont val="Arial Narrow"/>
        <b/>
        <color theme="1"/>
        <sz val="10.0"/>
      </rPr>
      <t>(Modif.)</t>
    </r>
    <r>
      <rPr>
        <rFont val="Arial Narrow"/>
        <color theme="1"/>
        <sz val="10.0"/>
      </rPr>
      <t xml:space="preserve">
Res. 4118 de 04-jul-2008 </t>
    </r>
    <r>
      <rPr>
        <rFont val="Arial Narrow"/>
        <b/>
        <color theme="1"/>
        <sz val="10.0"/>
      </rPr>
      <t>(7a)</t>
    </r>
  </si>
  <si>
    <t>Maestría en Ciencias Química</t>
  </si>
  <si>
    <t>Magíster en Ciencias Química</t>
  </si>
  <si>
    <t>Res. 080 18/11/2009</t>
  </si>
  <si>
    <t>11 (2017)</t>
  </si>
  <si>
    <t>Res. 10202 de 22-nov-2010</t>
  </si>
  <si>
    <t>Doctorado en Ciencias Ambientales</t>
  </si>
  <si>
    <t>Doctor en Ciencias Ambientales</t>
  </si>
  <si>
    <t>Res. 085 23/11/2007</t>
  </si>
  <si>
    <t>6 (2023)</t>
  </si>
  <si>
    <r>
      <rPr>
        <rFont val="Arial Narrow"/>
        <color theme="1"/>
        <sz val="10.0"/>
      </rPr>
      <t xml:space="preserve">Res. 13806 de 03-sep-2015 </t>
    </r>
    <r>
      <rPr>
        <rFont val="Arial Narrow"/>
        <b/>
        <color theme="1"/>
        <sz val="10.0"/>
      </rPr>
      <t>(7a)</t>
    </r>
    <r>
      <rPr>
        <rFont val="Arial Narrow"/>
        <color theme="1"/>
        <sz val="10.0"/>
      </rPr>
      <t xml:space="preserve">
Res. 5641 de 29-ago-2008                                                                                      Res. 001125 de 14Feb2024 </t>
    </r>
    <r>
      <rPr>
        <rFont val="Arial Narrow"/>
        <b/>
        <color theme="1"/>
        <sz val="10.0"/>
      </rPr>
      <t>(7a)</t>
    </r>
  </si>
  <si>
    <t>Licenciatura en Matemáticas</t>
  </si>
  <si>
    <t>Licenciado en Matemáticas</t>
  </si>
  <si>
    <t>Res. 88 de 8-Nov-1993
y Res. 3953 de 6-May-1977</t>
  </si>
  <si>
    <t>30 (2017)</t>
  </si>
  <si>
    <t>AC. 021 del 06-Nov-2014 (CA)</t>
  </si>
  <si>
    <r>
      <rPr>
        <rFont val="Arial Narrow"/>
        <color theme="1"/>
        <sz val="10.0"/>
      </rPr>
      <t>Res 744 de 08-feb-11
Res. 2118 de 12-sep-2001</t>
    </r>
    <r>
      <rPr>
        <rFont val="Arial Narrow"/>
        <b/>
        <color theme="1"/>
        <sz val="10.0"/>
      </rPr>
      <t xml:space="preserve"> (Ac. Previa)</t>
    </r>
  </si>
  <si>
    <t>Res. 10722 del 25 de Mayo de 2017 (6a)</t>
  </si>
  <si>
    <t>Res. 8382 de 22-sep-2010</t>
  </si>
  <si>
    <t>Maestría en Bioingeniería</t>
  </si>
  <si>
    <t>Magíster en Bioingeniería</t>
  </si>
  <si>
    <t>Res. 29 12/04/2016 y Ac. S. 076 16/12/2015</t>
  </si>
  <si>
    <t>28 (2016)</t>
  </si>
  <si>
    <t>Facultad de Derecho, Ciencias Políticas y Sociales</t>
  </si>
  <si>
    <t xml:space="preserve">Derecho </t>
  </si>
  <si>
    <t>Abogado</t>
  </si>
  <si>
    <t>Res. 3372 de 23-Dic-1992
ICFES</t>
  </si>
  <si>
    <t>110 (2019)</t>
  </si>
  <si>
    <t>Diurna
Nocturna</t>
  </si>
  <si>
    <t>AC. 017 del 22-Jun-2017 (CA)</t>
  </si>
  <si>
    <r>
      <rPr>
        <rFont val="Arial Narrow"/>
        <color theme="1"/>
        <sz val="10.0"/>
      </rPr>
      <t xml:space="preserve">Res. 11150 11/09/2012 </t>
    </r>
    <r>
      <rPr>
        <rFont val="Arial Narrow"/>
        <b/>
        <color theme="1"/>
        <sz val="10.0"/>
      </rPr>
      <t>(7a)</t>
    </r>
    <r>
      <rPr>
        <rFont val="Arial Narrow"/>
        <color theme="1"/>
        <sz val="10.0"/>
      </rPr>
      <t xml:space="preserve">
Res. 10682 22/11/2011 </t>
    </r>
    <r>
      <rPr>
        <rFont val="Arial Narrow"/>
        <b/>
        <color theme="1"/>
        <sz val="10.0"/>
      </rPr>
      <t>(7a)</t>
    </r>
    <r>
      <rPr>
        <rFont val="Arial Narrow"/>
        <color theme="1"/>
        <sz val="10.0"/>
      </rPr>
      <t xml:space="preserve">
Res. 95 14/01/2005 </t>
    </r>
    <r>
      <rPr>
        <rFont val="Arial Narrow"/>
        <b/>
        <color theme="1"/>
        <sz val="10.0"/>
      </rPr>
      <t>(7a)</t>
    </r>
  </si>
  <si>
    <r>
      <rPr>
        <rFont val="Arial Narrow"/>
        <color theme="1"/>
        <sz val="10.0"/>
      </rPr>
      <t xml:space="preserve">Res.9900 de 22-ago-2012 </t>
    </r>
    <r>
      <rPr>
        <rFont val="Arial Narrow"/>
        <b/>
        <color theme="1"/>
        <sz val="10.0"/>
      </rPr>
      <t>(4a)</t>
    </r>
  </si>
  <si>
    <t>Comunicación Social</t>
  </si>
  <si>
    <t>Comunicador Social</t>
  </si>
  <si>
    <t>Res. 016 de 09-Mar-1999</t>
  </si>
  <si>
    <t>46 (2026)</t>
  </si>
  <si>
    <t>AC 046 del 12-12-2018</t>
  </si>
  <si>
    <r>
      <rPr>
        <rFont val="Arial Narrow"/>
        <b/>
        <color theme="1"/>
        <sz val="10.0"/>
      </rPr>
      <t xml:space="preserve">   </t>
    </r>
    <r>
      <rPr>
        <rFont val="Arial Narrow"/>
        <color theme="1"/>
        <sz val="10.0"/>
      </rPr>
      <t xml:space="preserve">Res. 3677 de 31-ago-2005 </t>
    </r>
    <r>
      <rPr>
        <rFont val="Arial Narrow"/>
        <b/>
        <color theme="1"/>
        <sz val="10.0"/>
      </rPr>
      <t xml:space="preserve">(7a)
Res. 11091 de 11-sep-2012 (7a)   
</t>
    </r>
    <r>
      <rPr>
        <rFont val="Arial Narrow"/>
        <color theme="1"/>
        <sz val="10.0"/>
      </rPr>
      <t>Res. 7110 de 10 marzo 2026</t>
    </r>
  </si>
  <si>
    <r>
      <rPr>
        <rFont val="Arial Narrow"/>
        <color theme="1"/>
        <sz val="10.0"/>
      </rPr>
      <t xml:space="preserve">Res. 17190 de 27-dic-2012 </t>
    </r>
    <r>
      <rPr>
        <rFont val="Arial Narrow"/>
        <b/>
        <color theme="1"/>
        <sz val="10.0"/>
      </rPr>
      <t>(7a)</t>
    </r>
  </si>
  <si>
    <r>
      <rPr>
        <rFont val="Arial Narrow"/>
        <color theme="1"/>
        <sz val="10.0"/>
      </rPr>
      <t xml:space="preserve">Res.9900 de 22-ago-2012 </t>
    </r>
    <r>
      <rPr>
        <rFont val="Arial Narrow"/>
        <b/>
        <color theme="1"/>
        <sz val="10.0"/>
      </rPr>
      <t>(4a)</t>
    </r>
  </si>
  <si>
    <t>Ciencia Política</t>
  </si>
  <si>
    <t>Politólogo (a)</t>
  </si>
  <si>
    <t>Res. 02 de 16-Ene-1996</t>
  </si>
  <si>
    <t>AC. 022 del 10-Dic-2014 (CA)</t>
  </si>
  <si>
    <r>
      <rPr>
        <rFont val="Arial Narrow"/>
        <color theme="1"/>
        <sz val="10.0"/>
      </rPr>
      <t xml:space="preserve">Res. 3185 de 12-mar-2015 </t>
    </r>
    <r>
      <rPr>
        <rFont val="Arial Narrow"/>
        <b/>
        <color theme="1"/>
        <sz val="10.0"/>
      </rPr>
      <t>(7a)</t>
    </r>
    <r>
      <rPr>
        <rFont val="Arial Narrow"/>
        <color theme="1"/>
        <sz val="10.0"/>
      </rPr>
      <t xml:space="preserve">
Res. 7225 de 24-oct-2008</t>
    </r>
  </si>
  <si>
    <t xml:space="preserve">Especialización en Derecho de Familia </t>
  </si>
  <si>
    <t xml:space="preserve">Especialista en Derecho de Familia </t>
  </si>
  <si>
    <t>Ac. S. 035 28/05/2014</t>
  </si>
  <si>
    <r>
      <rPr>
        <rFont val="Arial Narrow"/>
        <color theme="1"/>
        <sz val="10.0"/>
      </rPr>
      <t xml:space="preserve">Res. 17192 de 17-oct-2014 </t>
    </r>
    <r>
      <rPr>
        <rFont val="Arial Narrow"/>
        <b/>
        <color theme="1"/>
        <sz val="10.0"/>
      </rPr>
      <t>(7a)</t>
    </r>
  </si>
  <si>
    <t>Especialización en Gobierno y Políticas Públicas</t>
  </si>
  <si>
    <t>Especialista en Gobierno y Políticas Públicas</t>
  </si>
  <si>
    <t>Ac. S. 037 25/06/2013</t>
  </si>
  <si>
    <r>
      <rPr>
        <rFont val="Arial Narrow"/>
        <color theme="1"/>
        <sz val="10.0"/>
      </rPr>
      <t xml:space="preserve">Res. 12952 de 23-sep-2013 </t>
    </r>
    <r>
      <rPr>
        <rFont val="Arial Narrow"/>
        <b/>
        <color theme="1"/>
        <sz val="10.0"/>
      </rPr>
      <t>(7a)</t>
    </r>
    <r>
      <rPr>
        <rFont val="Arial Narrow"/>
        <color theme="1"/>
        <sz val="10.0"/>
      </rPr>
      <t xml:space="preserve">
Res. 17780 de 27-nov-2013 </t>
    </r>
    <r>
      <rPr>
        <rFont val="Arial Narrow"/>
        <b/>
        <color theme="1"/>
        <sz val="10.0"/>
      </rPr>
      <t>(Correc)</t>
    </r>
  </si>
  <si>
    <t xml:space="preserve">Especialización Derecho Procesal </t>
  </si>
  <si>
    <t>Especialista en Derecho Procesal</t>
  </si>
  <si>
    <t>Ac. S 057 del 27/10/2025</t>
  </si>
  <si>
    <t>30 (2025)</t>
  </si>
  <si>
    <t>Res. 23526 de 28-nov-2025</t>
  </si>
  <si>
    <t>Facultad de Ingeniería Civil</t>
  </si>
  <si>
    <t>Especialización en Ingeniería de Vías Terrestres</t>
  </si>
  <si>
    <t>Especialista en Ingeniería de Vías Terrestres</t>
  </si>
  <si>
    <t>Res. 9 28/01/1994</t>
  </si>
  <si>
    <t>21 (2026)</t>
  </si>
  <si>
    <t>AC. 003 del 24-Feb-2015 (CA)</t>
  </si>
  <si>
    <t xml:space="preserve"> AC. 054 del 27-Oct-2015 (CS)</t>
  </si>
  <si>
    <t>Res. 18362 de 10-nov-2015 (MEN)</t>
  </si>
  <si>
    <r>
      <rPr>
        <rFont val="Arial Narrow"/>
        <color theme="1"/>
        <sz val="10.0"/>
      </rPr>
      <t>Res. 5982 de 20-may-2013 (7a)</t>
    </r>
    <r>
      <rPr>
        <rFont val="Arial Narrow"/>
        <b/>
        <color theme="1"/>
        <sz val="10.0"/>
      </rPr>
      <t xml:space="preserve">
</t>
    </r>
    <r>
      <rPr>
        <rFont val="Arial Narrow"/>
        <color theme="1"/>
        <sz val="10.0"/>
      </rPr>
      <t>Res. 18362 de 10-nov-2014 (5a) (Modif)</t>
    </r>
    <r>
      <rPr>
        <rFont val="Arial Narrow"/>
        <b/>
        <color theme="1"/>
        <sz val="10.0"/>
      </rPr>
      <t xml:space="preserve">
</t>
    </r>
    <r>
      <rPr>
        <rFont val="Arial Narrow"/>
        <color theme="1"/>
        <sz val="10.0"/>
      </rPr>
      <t>Res. 9060 de 28-ago-2019 (7a) (ren y Mod)</t>
    </r>
    <r>
      <rPr>
        <rFont val="Arial Narrow"/>
        <b/>
        <color theme="1"/>
        <sz val="10.0"/>
      </rPr>
      <t xml:space="preserve">
</t>
    </r>
    <r>
      <rPr>
        <rFont val="Arial Narrow"/>
        <color theme="1"/>
        <sz val="10.0"/>
      </rPr>
      <t>Res. 9097 de 01-abril-2026 (7a) (Renovación)</t>
    </r>
  </si>
  <si>
    <t>Maestría en Ingeniería Hidráulica e Hidrológica</t>
  </si>
  <si>
    <t>Magíster en Ingeniería Hidráulica e Hidrológica</t>
  </si>
  <si>
    <t>Ac. 012 de 02-Abr-2019 CS</t>
  </si>
  <si>
    <t>15 (2019)</t>
  </si>
  <si>
    <t>Prof.- Inv.</t>
  </si>
  <si>
    <t>Maestría en Ingeniería Ambiental</t>
  </si>
  <si>
    <t>Magíster en Ingeniería Ambiental</t>
  </si>
  <si>
    <t>Ac. 023 de 22-May-2019</t>
  </si>
  <si>
    <t>14 (2019)</t>
  </si>
  <si>
    <t>Ingeniería Ambiental</t>
  </si>
  <si>
    <t>Ingeniero Ambiental</t>
  </si>
  <si>
    <t>Res. 011 de 23-Feb-1999</t>
  </si>
  <si>
    <t>50 (2020)</t>
  </si>
  <si>
    <r>
      <rPr>
        <rFont val="Arial Narrow"/>
        <color theme="1"/>
        <sz val="10.0"/>
      </rPr>
      <t xml:space="preserve">Res. 12918 de 23-sep-2013 </t>
    </r>
    <r>
      <rPr>
        <rFont val="Arial Narrow"/>
        <b/>
        <color theme="1"/>
        <sz val="10.0"/>
      </rPr>
      <t>(7a)</t>
    </r>
    <r>
      <rPr>
        <rFont val="Arial Narrow"/>
        <color theme="1"/>
        <sz val="10.0"/>
      </rPr>
      <t xml:space="preserve">
Res. 2952 de 30-may-2007</t>
    </r>
    <r>
      <rPr>
        <rFont val="Arial Narrow"/>
        <b/>
        <color theme="1"/>
        <sz val="10.0"/>
      </rPr>
      <t xml:space="preserve"> (7a)</t>
    </r>
  </si>
  <si>
    <t>Ingeniería en Inteligencia Artificial y Ciencia de Datos</t>
  </si>
  <si>
    <t>Ingenier(a) en Inteligencia Artificial y Ciencia de Datos</t>
  </si>
  <si>
    <t>Ac. 031 de 15 - oct - 2025</t>
  </si>
  <si>
    <t>200 (2026)</t>
  </si>
  <si>
    <t>Virtual</t>
  </si>
  <si>
    <t>4 años</t>
  </si>
  <si>
    <t>Ingeniería en Inteligencia Artificial y Ciencia de Datos R_009385.pdf</t>
  </si>
  <si>
    <t>7años</t>
  </si>
  <si>
    <t>Especialización en Estructuras</t>
  </si>
  <si>
    <t>Especialista en Estructuras</t>
  </si>
  <si>
    <t>Res. 021 25/02/1997</t>
  </si>
  <si>
    <t>25 (2020)</t>
  </si>
  <si>
    <t>AC. 026 del 26-Jun-2013 (CA)</t>
  </si>
  <si>
    <r>
      <rPr>
        <rFont val="Arial Narrow"/>
        <color theme="1"/>
        <sz val="10.0"/>
      </rPr>
      <t xml:space="preserve">Res. 12929 de 23-sep-2013 </t>
    </r>
    <r>
      <rPr>
        <rFont val="Arial Narrow"/>
        <b/>
        <color theme="1"/>
        <sz val="10.0"/>
      </rPr>
      <t>(7a)</t>
    </r>
    <r>
      <rPr>
        <rFont val="Arial Narrow"/>
        <color theme="1"/>
        <sz val="10.0"/>
      </rPr>
      <t xml:space="preserve">
Res. 9378 de 12-dic-2008</t>
    </r>
  </si>
  <si>
    <t>Ingeniería Civil</t>
  </si>
  <si>
    <t>Ingeniero Civil</t>
  </si>
  <si>
    <t>Res. 3376 de 30-Nov-1988</t>
  </si>
  <si>
    <r>
      <rPr>
        <rFont val="Arial Narrow"/>
        <color theme="1"/>
        <sz val="10.0"/>
      </rPr>
      <t xml:space="preserve">Res. 4838 de 30-abr-2013 </t>
    </r>
    <r>
      <rPr>
        <rFont val="Arial Narrow"/>
        <b/>
        <color theme="1"/>
        <sz val="10.0"/>
      </rPr>
      <t>(7a)</t>
    </r>
  </si>
  <si>
    <t xml:space="preserve">Maestría en Ingeniería de la Construcción </t>
  </si>
  <si>
    <t xml:space="preserve">Magíster en Ingeniería de la Construcción </t>
  </si>
  <si>
    <t>Ac. S. 05 4/02/2015</t>
  </si>
  <si>
    <r>
      <rPr>
        <rFont val="Arial Narrow"/>
        <color theme="1"/>
        <sz val="10.0"/>
      </rPr>
      <t xml:space="preserve">Res. 6925 de 14-may-2015 </t>
    </r>
    <r>
      <rPr>
        <rFont val="Arial Narrow"/>
        <b/>
        <color theme="1"/>
        <sz val="10.0"/>
      </rPr>
      <t>(7a)</t>
    </r>
  </si>
  <si>
    <t>Maestría en Ingeniería de Pavimentos</t>
  </si>
  <si>
    <t xml:space="preserve">Magíster en Ingeniería de Pavimentos </t>
  </si>
  <si>
    <t>Ac. S. 009 19/02/2015</t>
  </si>
  <si>
    <r>
      <rPr>
        <rFont val="Arial Narrow"/>
        <color theme="1"/>
        <sz val="10.0"/>
      </rPr>
      <t xml:space="preserve">Res. 7837 de 01-jun-2015 </t>
    </r>
    <r>
      <rPr>
        <rFont val="Arial Narrow"/>
        <b/>
        <color theme="1"/>
        <sz val="10.0"/>
      </rPr>
      <t>(7a)</t>
    </r>
  </si>
  <si>
    <t>Ferney Quiñonez</t>
  </si>
  <si>
    <t>Geotecnología</t>
  </si>
  <si>
    <t>Geotecnólogo</t>
  </si>
  <si>
    <t>Ac. 224 de 02-Oct-1975 (CS)</t>
  </si>
  <si>
    <t>Tecnología</t>
  </si>
  <si>
    <t>6 Semestres</t>
  </si>
  <si>
    <t>RES. 191 del 11-Dic-2013 (CA)</t>
  </si>
  <si>
    <r>
      <rPr>
        <rFont val="Arial Narrow"/>
        <color rgb="FFFF0000"/>
        <sz val="10.0"/>
      </rPr>
      <t>Res. 17733 de 6-dic-2013</t>
    </r>
    <r>
      <rPr>
        <rFont val="Arial Narrow"/>
        <b/>
        <color rgb="FFFF0000"/>
        <sz val="10.0"/>
      </rPr>
      <t xml:space="preserve"> (MEN)</t>
    </r>
  </si>
  <si>
    <r>
      <rPr>
        <rFont val="Arial Narrow"/>
        <color theme="1"/>
        <sz val="10.0"/>
      </rPr>
      <t xml:space="preserve">Res. 3263 de 14-mar-2014 </t>
    </r>
    <r>
      <rPr>
        <rFont val="Arial Narrow"/>
        <b/>
        <color theme="1"/>
        <sz val="10.0"/>
      </rPr>
      <t>(7a)</t>
    </r>
    <r>
      <rPr>
        <rFont val="Arial Narrow"/>
        <color theme="1"/>
        <sz val="10.0"/>
      </rPr>
      <t xml:space="preserve">
Res. 6505 de 26-oct-2007</t>
    </r>
  </si>
  <si>
    <t>Maestría en Ingeniería de Vías Terrestres</t>
  </si>
  <si>
    <t>Magíster en Ingeniería de Vías Terrestres</t>
  </si>
  <si>
    <t>Ac. S. 007 19/02/2015</t>
  </si>
  <si>
    <t>110867 (p)</t>
  </si>
  <si>
    <t xml:space="preserve">104525 (i)
</t>
  </si>
  <si>
    <t>23673 (i)</t>
  </si>
  <si>
    <r>
      <rPr>
        <rFont val="Arial Narrow"/>
        <color theme="1"/>
        <sz val="10.0"/>
      </rPr>
      <t xml:space="preserve">Res. 6929 de 14-may-2015 </t>
    </r>
    <r>
      <rPr>
        <rFont val="Arial Narrow"/>
        <b/>
        <color theme="1"/>
        <sz val="10.0"/>
      </rPr>
      <t>(7a)</t>
    </r>
    <r>
      <rPr>
        <rFont val="Arial Narrow"/>
        <color theme="1"/>
        <sz val="10.0"/>
      </rPr>
      <t xml:space="preserve">
Res. 10075 13/07/2015 </t>
    </r>
    <r>
      <rPr>
        <rFont val="Arial Narrow"/>
        <b/>
        <color theme="1"/>
        <sz val="10.0"/>
      </rPr>
      <t>(Mod)</t>
    </r>
  </si>
  <si>
    <t>Jorge Aníbal Coral Guerrón</t>
  </si>
  <si>
    <t>Maestría en Geomática</t>
  </si>
  <si>
    <t>Magíster en Geomática</t>
  </si>
  <si>
    <t>Res. 065 9/12/2015</t>
  </si>
  <si>
    <r>
      <rPr>
        <rFont val="Arial Narrow"/>
        <color theme="1"/>
        <sz val="10.0"/>
      </rPr>
      <t xml:space="preserve">Res. 5574 de 29-mar-2016 </t>
    </r>
    <r>
      <rPr>
        <rFont val="Arial Narrow"/>
        <b/>
        <color theme="1"/>
        <sz val="10.0"/>
      </rPr>
      <t>(7a)</t>
    </r>
  </si>
  <si>
    <t>Especialización en Ingeniería de Recursos Hídricos</t>
  </si>
  <si>
    <t>Especialista en Ingeniería de Recursos Hídricos</t>
  </si>
  <si>
    <t>Res. 053 30/09/2015</t>
  </si>
  <si>
    <t>22 (2023)</t>
  </si>
  <si>
    <r>
      <rPr>
        <rFont val="Arial Narrow"/>
        <color theme="1"/>
        <sz val="10.0"/>
      </rPr>
      <t xml:space="preserve">Res. 6253 de 6-abr-2016 </t>
    </r>
    <r>
      <rPr>
        <rFont val="Arial Narrow"/>
        <b/>
        <color theme="1"/>
        <sz val="10.0"/>
      </rPr>
      <t>(7a)</t>
    </r>
  </si>
  <si>
    <t>80 (2023)</t>
  </si>
  <si>
    <r>
      <rPr>
        <rFont val="Arial Narrow"/>
        <color theme="1"/>
        <sz val="10.0"/>
      </rPr>
      <t xml:space="preserve">AC. 008 del 15-Ago-2014 </t>
    </r>
    <r>
      <rPr>
        <rFont val="Arial Narrow"/>
        <b/>
        <color theme="1"/>
        <sz val="10.0"/>
      </rPr>
      <t>(CA)</t>
    </r>
    <r>
      <rPr>
        <rFont val="Arial Narrow"/>
        <color theme="1"/>
        <sz val="10.0"/>
      </rPr>
      <t xml:space="preserve">
AC. 011 del 2016</t>
    </r>
  </si>
  <si>
    <r>
      <rPr>
        <rFont val="Arial Narrow"/>
        <color theme="1"/>
        <sz val="10.0"/>
      </rPr>
      <t xml:space="preserve">Res. 3276 de 02-mar-2021 </t>
    </r>
    <r>
      <rPr>
        <rFont val="Arial Narrow"/>
        <b/>
        <color theme="1"/>
        <sz val="10.0"/>
      </rPr>
      <t>(7a)</t>
    </r>
    <r>
      <rPr>
        <rFont val="Arial Narrow"/>
        <color theme="1"/>
        <sz val="10.0"/>
      </rPr>
      <t xml:space="preserve">
Res. 21032 de 11-dic-2014 </t>
    </r>
    <r>
      <rPr>
        <rFont val="Arial Narrow"/>
        <b/>
        <color theme="1"/>
        <sz val="10.0"/>
      </rPr>
      <t>(7a)</t>
    </r>
    <r>
      <rPr>
        <rFont val="Arial Narrow"/>
        <color theme="1"/>
        <sz val="10.0"/>
      </rPr>
      <t xml:space="preserve">
Res. 4999 de 28-jul-2009 </t>
    </r>
    <r>
      <rPr>
        <rFont val="Arial Narrow"/>
        <b/>
        <color theme="1"/>
        <sz val="10.0"/>
      </rPr>
      <t>(7a)</t>
    </r>
  </si>
  <si>
    <r>
      <rPr>
        <rFont val="Arial Narrow"/>
        <color rgb="FF002060"/>
        <sz val="10.0"/>
      </rPr>
      <t xml:space="preserve">Res. 3571 de 16-jun-2008 </t>
    </r>
    <r>
      <rPr>
        <rFont val="Arial Narrow"/>
        <b/>
        <color rgb="FF002060"/>
        <sz val="10.0"/>
      </rPr>
      <t>(4a)</t>
    </r>
    <r>
      <rPr>
        <rFont val="Arial Narrow"/>
        <color rgb="FF002060"/>
        <sz val="10.0"/>
      </rPr>
      <t xml:space="preserve">
Res. 1815 de 4-ago-2003 </t>
    </r>
    <r>
      <rPr>
        <rFont val="Arial Narrow"/>
        <b/>
        <color rgb="FF002060"/>
        <sz val="10.0"/>
      </rPr>
      <t>(3a)</t>
    </r>
  </si>
  <si>
    <t>Arquitectura</t>
  </si>
  <si>
    <t>Arquitecto</t>
  </si>
  <si>
    <t>Ac. 048 de 28-Sep-2016
Consejo Superior</t>
  </si>
  <si>
    <t>40 (2017)</t>
  </si>
  <si>
    <t>Res. 01145 de 31 de enero 2017</t>
  </si>
  <si>
    <t>Facultad de Ingeniería Electrónica y Telecomunicaciones</t>
  </si>
  <si>
    <t>Especialización en Redes y Servicios Telemáticos</t>
  </si>
  <si>
    <t>Especialista en Redes y Servicios Telemáticos</t>
  </si>
  <si>
    <r>
      <rPr>
        <rFont val="Arial Narrow"/>
        <color theme="1"/>
        <sz val="10.0"/>
      </rPr>
      <t xml:space="preserve">Ac. 006 de 21/01/1997 </t>
    </r>
    <r>
      <rPr>
        <rFont val="Arial Narrow"/>
        <b/>
        <color theme="1"/>
        <sz val="10.0"/>
      </rPr>
      <t>(CS)</t>
    </r>
  </si>
  <si>
    <t>8,47/016</t>
  </si>
  <si>
    <t>20 (2018)</t>
  </si>
  <si>
    <t>Cali - Valle</t>
  </si>
  <si>
    <r>
      <rPr>
        <rFont val="Arial Narrow"/>
        <color theme="1"/>
        <sz val="10.0"/>
      </rPr>
      <t xml:space="preserve">Res. 6311 de 08-jun-2012 </t>
    </r>
    <r>
      <rPr>
        <rFont val="Arial Narrow"/>
        <b/>
        <color theme="1"/>
        <sz val="10.0"/>
      </rPr>
      <t>(7a)</t>
    </r>
  </si>
  <si>
    <t>Res. 06 21/01/1997</t>
  </si>
  <si>
    <t>25 (2018)</t>
  </si>
  <si>
    <r>
      <rPr>
        <rFont val="Arial Narrow"/>
        <color theme="1"/>
        <sz val="10.0"/>
      </rPr>
      <t xml:space="preserve">Res. 16743 de 20-dic-2012 </t>
    </r>
    <r>
      <rPr>
        <rFont val="Arial Narrow"/>
        <b/>
        <color theme="1"/>
        <sz val="10.0"/>
      </rPr>
      <t>(7a)</t>
    </r>
    <r>
      <rPr>
        <rFont val="Arial Narrow"/>
        <color theme="1"/>
        <sz val="10.0"/>
      </rPr>
      <t xml:space="preserve">
Res. 3195 de 30-may-2008</t>
    </r>
  </si>
  <si>
    <t>Ingeniería Electrónica y Telecomunicaciones</t>
  </si>
  <si>
    <t>Ingeniero en Electrónica y Telecomunicaciones</t>
  </si>
  <si>
    <t>Ac. 040 de 17-Dic-1960
Mineducación</t>
  </si>
  <si>
    <t>60 (2019)</t>
  </si>
  <si>
    <t>AC. 012 del 2015</t>
  </si>
  <si>
    <t>AC. 021 del 24-Abr-2019 (CS)</t>
  </si>
  <si>
    <r>
      <rPr>
        <rFont val="Arial Narrow"/>
        <color theme="1"/>
        <sz val="10.0"/>
      </rPr>
      <t xml:space="preserve">Res. 11006 de 11-sep-12 </t>
    </r>
    <r>
      <rPr>
        <rFont val="Arial Narrow"/>
        <b/>
        <color theme="1"/>
        <sz val="10.0"/>
      </rPr>
      <t xml:space="preserve">(7a)                          </t>
    </r>
    <r>
      <rPr>
        <rFont val="Arial Narrow"/>
        <color theme="1"/>
        <sz val="10.0"/>
      </rPr>
      <t>Res. 10879 de 10-dic-2010</t>
    </r>
    <r>
      <rPr>
        <rFont val="Arial Narrow"/>
        <b/>
        <color theme="1"/>
        <sz val="10.0"/>
      </rPr>
      <t xml:space="preserve"> (7a)</t>
    </r>
    <r>
      <rPr>
        <rFont val="Arial Narrow"/>
        <color theme="1"/>
        <sz val="10.0"/>
      </rPr>
      <t xml:space="preserve">
Res. 2394 de 30-abr-2009 </t>
    </r>
    <r>
      <rPr>
        <rFont val="Arial Narrow"/>
        <b/>
        <color theme="1"/>
        <sz val="10.0"/>
      </rPr>
      <t>(7a)</t>
    </r>
  </si>
  <si>
    <r>
      <rPr>
        <rFont val="Arial Narrow"/>
        <color theme="1"/>
        <sz val="10.0"/>
      </rPr>
      <t xml:space="preserve">Res. 9899 de 22-ago-2012      Res. 2114 de 09-sep-2003 </t>
    </r>
    <r>
      <rPr>
        <rFont val="Arial Narrow"/>
        <b/>
        <color theme="1"/>
        <sz val="10.0"/>
      </rPr>
      <t>(6a)</t>
    </r>
  </si>
  <si>
    <t>Maestría en Ingeniería Telemática</t>
  </si>
  <si>
    <t>Magíster en Ingeniería Telemática</t>
  </si>
  <si>
    <t>AC. 047 del 7-Jul-2009 (CS)</t>
  </si>
  <si>
    <t>5 (2019)</t>
  </si>
  <si>
    <t>AC. 047 del 07-jul-2009</t>
  </si>
  <si>
    <r>
      <rPr>
        <rFont val="Arial Narrow"/>
        <color theme="1"/>
        <sz val="10.0"/>
      </rPr>
      <t xml:space="preserve">Res. 1127 de 29-feb-2008 </t>
    </r>
    <r>
      <rPr>
        <rFont val="Arial Narrow"/>
        <b/>
        <color theme="1"/>
        <sz val="10.0"/>
      </rPr>
      <t>(MEN)</t>
    </r>
    <r>
      <rPr>
        <rFont val="Arial Narrow"/>
        <color theme="1"/>
        <sz val="10.0"/>
      </rPr>
      <t xml:space="preserve">
Res. 8426 de 28-oct-2009</t>
    </r>
    <r>
      <rPr>
        <rFont val="Arial Narrow"/>
        <b/>
        <color theme="1"/>
        <sz val="10.0"/>
      </rPr>
      <t xml:space="preserve"> (MEN) (Modif 1127</t>
    </r>
    <r>
      <rPr>
        <rFont val="Arial Narrow"/>
        <color theme="1"/>
        <sz val="10.0"/>
      </rPr>
      <t>)</t>
    </r>
  </si>
  <si>
    <r>
      <rPr>
        <rFont val="Arial Narrow"/>
        <color theme="1"/>
        <sz val="10.0"/>
      </rPr>
      <t xml:space="preserve">Res. 4737 de 15-abr-2015 </t>
    </r>
    <r>
      <rPr>
        <rFont val="Arial Narrow"/>
        <b/>
        <color theme="1"/>
        <sz val="10.0"/>
      </rPr>
      <t>(7a)</t>
    </r>
    <r>
      <rPr>
        <rFont val="Arial Narrow"/>
        <color theme="1"/>
        <sz val="10.0"/>
      </rPr>
      <t xml:space="preserve">
Res. 8426 de 28-oct-2009
Res. 1127 de 29-feb-2008</t>
    </r>
  </si>
  <si>
    <t>Doctorado en Ciencias de la Computación</t>
  </si>
  <si>
    <t>Doctor en Ciencias de la Computación</t>
  </si>
  <si>
    <r>
      <rPr>
        <rFont val="Arial Narrow"/>
        <color theme="1"/>
        <sz val="10.0"/>
      </rPr>
      <t xml:space="preserve">Ac. 071 de 01-nov-2019 </t>
    </r>
    <r>
      <rPr>
        <rFont val="Arial Narrow"/>
        <b/>
        <color theme="1"/>
        <sz val="10.0"/>
      </rPr>
      <t>(CS)</t>
    </r>
  </si>
  <si>
    <t>Tecnología en Telemática</t>
  </si>
  <si>
    <t>Tecnólogo en Telemática</t>
  </si>
  <si>
    <t>Ac. 047 de 11-Sep-2001
Consejo Superior</t>
  </si>
  <si>
    <t>36 (2020)</t>
  </si>
  <si>
    <t>AC. 023 del 26-Jun-2013 (CA)</t>
  </si>
  <si>
    <t>Res. 9736 de 16-jun-2023 (MEN)
Res. 17733 de 6-dic-2013 (MEN)</t>
  </si>
  <si>
    <r>
      <rPr>
        <rFont val="Arial Narrow"/>
        <color theme="1"/>
        <sz val="10.0"/>
      </rPr>
      <t xml:space="preserve">Res. 3264 de 14-mar-2014 </t>
    </r>
    <r>
      <rPr>
        <rFont val="Arial Narrow"/>
        <b/>
        <color theme="1"/>
        <sz val="10.0"/>
      </rPr>
      <t>(7a)</t>
    </r>
    <r>
      <rPr>
        <rFont val="Arial Narrow"/>
        <color theme="1"/>
        <sz val="10.0"/>
      </rPr>
      <t xml:space="preserve">
Res. 17733 de 6-dic-2013</t>
    </r>
    <r>
      <rPr>
        <rFont val="Arial Narrow"/>
        <b/>
        <color theme="1"/>
        <sz val="10.0"/>
      </rPr>
      <t xml:space="preserve"> (Modif)</t>
    </r>
    <r>
      <rPr>
        <rFont val="Arial Narrow"/>
        <color theme="1"/>
        <sz val="10.0"/>
      </rPr>
      <t xml:space="preserve">
Res. 6818 de 09-nov-2007</t>
    </r>
    <r>
      <rPr>
        <rFont val="Arial Narrow"/>
        <b/>
        <color theme="1"/>
        <sz val="10.0"/>
      </rPr>
      <t xml:space="preserve"> (7a)</t>
    </r>
  </si>
  <si>
    <t>Ingeniería de Sistemas</t>
  </si>
  <si>
    <t>Ingeniero de Sistemas</t>
  </si>
  <si>
    <t>Res. 030 de 19-May-1998</t>
  </si>
  <si>
    <t>60 (2020)</t>
  </si>
  <si>
    <r>
      <rPr>
        <rFont val="Arial Narrow"/>
        <color theme="1"/>
        <sz val="10.0"/>
      </rPr>
      <t xml:space="preserve">Res. 4378 de 19-abr-2013 </t>
    </r>
    <r>
      <rPr>
        <rFont val="Arial Narrow"/>
        <b/>
        <color theme="1"/>
        <sz val="10.0"/>
      </rPr>
      <t>(7a)</t>
    </r>
    <r>
      <rPr>
        <rFont val="Arial Narrow"/>
        <color theme="1"/>
        <sz val="10.0"/>
      </rPr>
      <t xml:space="preserve">
Res. 3270 de 25-abr-2011 </t>
    </r>
    <r>
      <rPr>
        <rFont val="Arial Narrow"/>
        <b/>
        <color theme="1"/>
        <sz val="10.0"/>
      </rPr>
      <t>(7a)</t>
    </r>
    <r>
      <rPr>
        <rFont val="Arial Narrow"/>
        <color theme="1"/>
        <sz val="10.0"/>
      </rPr>
      <t xml:space="preserve">
Res. 2313 de 05-ago-2004</t>
    </r>
    <r>
      <rPr>
        <rFont val="Arial Narrow"/>
        <b/>
        <color theme="1"/>
        <sz val="10.0"/>
      </rPr>
      <t xml:space="preserve"> (7a)</t>
    </r>
  </si>
  <si>
    <r>
      <rPr>
        <rFont val="Arial Narrow"/>
        <b val="0"/>
        <color theme="1"/>
        <sz val="10.0"/>
      </rPr>
      <t>Res. 1322 de 12-feb-2013</t>
    </r>
    <r>
      <rPr>
        <rFont val="Arial Narrow"/>
        <b/>
        <color theme="1"/>
        <sz val="10.0"/>
      </rPr>
      <t xml:space="preserve"> (6a)</t>
    </r>
  </si>
  <si>
    <t>Maestría en Electrónica y Telecomunicaciones</t>
  </si>
  <si>
    <t>Magíster en Electrónica y Telecomunicaciones</t>
  </si>
  <si>
    <t>10 (2021)</t>
  </si>
  <si>
    <t>AC. 011 del 2015</t>
  </si>
  <si>
    <r>
      <rPr>
        <rFont val="Arial Narrow"/>
        <color theme="1"/>
        <sz val="10.0"/>
      </rPr>
      <t xml:space="preserve">Res. 22846 de 30-dic-2014 </t>
    </r>
    <r>
      <rPr>
        <rFont val="Arial Narrow"/>
        <b/>
        <color theme="1"/>
        <sz val="10.0"/>
      </rPr>
      <t>(7a)</t>
    </r>
    <r>
      <rPr>
        <rFont val="Arial Narrow"/>
        <color theme="1"/>
        <sz val="10.0"/>
      </rPr>
      <t xml:space="preserve">
Res. 6490 de 26-sep-2008</t>
    </r>
  </si>
  <si>
    <t>Doctorado en Ingeniería Telemática</t>
  </si>
  <si>
    <t>Doctor en Ingeniería Telemática</t>
  </si>
  <si>
    <t>Res. 084 23/11/2007</t>
  </si>
  <si>
    <t>2 (2021)</t>
  </si>
  <si>
    <r>
      <rPr>
        <rFont val="Arial Narrow"/>
        <color theme="1"/>
        <sz val="10.0"/>
      </rPr>
      <t xml:space="preserve">Res. 6905 de 14-may-2015 </t>
    </r>
    <r>
      <rPr>
        <rFont val="Arial Narrow"/>
        <b/>
        <color theme="1"/>
        <sz val="10.0"/>
      </rPr>
      <t>(7a)</t>
    </r>
    <r>
      <rPr>
        <rFont val="Arial Narrow"/>
        <color theme="1"/>
        <sz val="10.0"/>
      </rPr>
      <t xml:space="preserve">
Res.5370 de 25-ago-2008</t>
    </r>
  </si>
  <si>
    <t>Maestría en Telecomunicaciones</t>
  </si>
  <si>
    <t>Magíster en Telecomunicaciones</t>
  </si>
  <si>
    <t>Ac. S. 013 23/02/2015</t>
  </si>
  <si>
    <t>14 (2021)</t>
  </si>
  <si>
    <r>
      <rPr>
        <rFont val="Arial Narrow"/>
        <color theme="1"/>
        <sz val="10.0"/>
      </rPr>
      <t xml:space="preserve">Res. 8766 de 18-jun-2015 </t>
    </r>
    <r>
      <rPr>
        <rFont val="Arial Narrow"/>
        <b/>
        <color theme="1"/>
        <sz val="10.0"/>
      </rPr>
      <t>(7a)</t>
    </r>
  </si>
  <si>
    <t>Especialización en TIC para la Innovación Educativa</t>
  </si>
  <si>
    <r>
      <rPr>
        <rFont val="Arial Narrow"/>
        <color theme="1"/>
        <sz val="10.0"/>
      </rPr>
      <t xml:space="preserve">Ac. 043 de 20/08/2015 </t>
    </r>
    <r>
      <rPr>
        <rFont val="Arial Narrow"/>
        <b/>
        <color theme="1"/>
        <sz val="10.0"/>
      </rPr>
      <t>(CS)</t>
    </r>
  </si>
  <si>
    <r>
      <rPr>
        <rFont val="Arial Narrow"/>
        <color theme="1"/>
        <sz val="10.0"/>
      </rPr>
      <t xml:space="preserve">Res. 20205 de 11-dic-2015 </t>
    </r>
    <r>
      <rPr>
        <rFont val="Arial Narrow"/>
        <b/>
        <color theme="1"/>
        <sz val="10.0"/>
      </rPr>
      <t>(7a)</t>
    </r>
  </si>
  <si>
    <t>Maestría en Automática</t>
  </si>
  <si>
    <t>Magíster en Automática</t>
  </si>
  <si>
    <t>Res. 066 02/10/2007</t>
  </si>
  <si>
    <t>12 (2021)</t>
  </si>
  <si>
    <t>AC. 001 del 26-ene-2022</t>
  </si>
  <si>
    <r>
      <rPr>
        <rFont val="Arial Narrow"/>
        <color theme="1"/>
        <sz val="10.0"/>
      </rPr>
      <t xml:space="preserve">Res. 20292 de 28-nov-2014 </t>
    </r>
    <r>
      <rPr>
        <rFont val="Arial Narrow"/>
        <b/>
        <color theme="1"/>
        <sz val="10.0"/>
      </rPr>
      <t>(7a)</t>
    </r>
    <r>
      <rPr>
        <rFont val="Arial Narrow"/>
        <color theme="1"/>
        <sz val="10.0"/>
      </rPr>
      <t xml:space="preserve">
Res. 7861 de 26-oct-2009 </t>
    </r>
    <r>
      <rPr>
        <rFont val="Arial Narrow"/>
        <b/>
        <color theme="1"/>
        <sz val="10.0"/>
      </rPr>
      <t>(Modif)</t>
    </r>
    <r>
      <rPr>
        <rFont val="Arial Narrow"/>
        <color theme="1"/>
        <sz val="10.0"/>
      </rPr>
      <t xml:space="preserve">
Res.4562 de 18-jul-2008</t>
    </r>
  </si>
  <si>
    <t>Res, 020074 de 32 de octubre de 2023</t>
  </si>
  <si>
    <t>Doctorado en Ciencias de la Electrónica</t>
  </si>
  <si>
    <t>Doctor en Ciencias de la Electrónica</t>
  </si>
  <si>
    <t>Ac. S. 025 8/04/2008</t>
  </si>
  <si>
    <t>10 (2022)</t>
  </si>
  <si>
    <r>
      <rPr>
        <rFont val="Arial Narrow"/>
        <color theme="1"/>
        <sz val="10.0"/>
      </rPr>
      <t xml:space="preserve">Res. 10402 de 14-jul-2015 </t>
    </r>
    <r>
      <rPr>
        <rFont val="Arial Narrow"/>
        <b/>
        <color theme="1"/>
        <sz val="10.0"/>
      </rPr>
      <t>(7a)</t>
    </r>
    <r>
      <rPr>
        <rFont val="Arial Narrow"/>
        <color theme="1"/>
        <sz val="10.0"/>
      </rPr>
      <t xml:space="preserve">
Res. 7224 de 24-oct-2008</t>
    </r>
  </si>
  <si>
    <t>Res. 020075 de 31 Oct 2023 (6a)</t>
  </si>
  <si>
    <t>Maestría en Computación</t>
  </si>
  <si>
    <t>Magíster en Computación</t>
  </si>
  <si>
    <t>Res. 067 2/10/2007</t>
  </si>
  <si>
    <t>22 (2021)</t>
  </si>
  <si>
    <r>
      <rPr>
        <rFont val="Arial Narrow"/>
        <color theme="1"/>
        <sz val="10.0"/>
      </rPr>
      <t xml:space="preserve">Res. 8112 de 30-may-2014 </t>
    </r>
    <r>
      <rPr>
        <rFont val="Arial Narrow"/>
        <b/>
        <color theme="1"/>
        <sz val="10.0"/>
      </rPr>
      <t xml:space="preserve">(7a)
</t>
    </r>
    <r>
      <rPr>
        <rFont val="Arial Narrow"/>
        <color theme="1"/>
        <sz val="10.0"/>
      </rPr>
      <t>Res. 7860 de 26-oct-2009</t>
    </r>
    <r>
      <rPr>
        <rFont val="Arial Narrow"/>
        <b/>
        <color theme="1"/>
        <sz val="10.0"/>
      </rPr>
      <t xml:space="preserve"> (Modif)</t>
    </r>
    <r>
      <rPr>
        <rFont val="Arial Narrow"/>
        <color theme="1"/>
        <sz val="10.0"/>
      </rPr>
      <t xml:space="preserve">
Res. 1125 de 29-feb-2008</t>
    </r>
  </si>
  <si>
    <t>Res. 020747 02 de Nov de 2023 (6a)</t>
  </si>
  <si>
    <t>Ingeniería en Automática Industrial</t>
  </si>
  <si>
    <t>Ingeniero en Automática Industrial</t>
  </si>
  <si>
    <t>Res. 031 de 19-May-1998</t>
  </si>
  <si>
    <r>
      <rPr>
        <rFont val="Arial Narrow"/>
        <color theme="1"/>
        <sz val="10.0"/>
      </rPr>
      <t>AC. 022 del 26-Sep-2012</t>
    </r>
    <r>
      <rPr>
        <rFont val="Arial Narrow"/>
        <b/>
        <color theme="1"/>
        <sz val="10.0"/>
      </rPr>
      <t xml:space="preserve"> (CA)</t>
    </r>
    <r>
      <rPr>
        <rFont val="Arial Narrow"/>
        <color theme="1"/>
        <sz val="10.0"/>
      </rPr>
      <t xml:space="preserve">
AC. 010 del 2017</t>
    </r>
  </si>
  <si>
    <r>
      <rPr>
        <rFont val="Arial Narrow"/>
        <color theme="1"/>
        <sz val="10.0"/>
      </rPr>
      <t>Res. 11168 de 11-sep-2012                                    Res. 13920 8/10/2013</t>
    </r>
    <r>
      <rPr>
        <rFont val="Arial Narrow"/>
        <b/>
        <color theme="1"/>
        <sz val="10.0"/>
      </rPr>
      <t xml:space="preserve"> (Mod)</t>
    </r>
    <r>
      <rPr>
        <rFont val="Arial Narrow"/>
        <color theme="1"/>
        <sz val="10.0"/>
      </rPr>
      <t xml:space="preserve">
Res. 11168 11-sep-2012</t>
    </r>
    <r>
      <rPr>
        <rFont val="Arial Narrow"/>
        <b/>
        <color theme="1"/>
        <sz val="10.0"/>
      </rPr>
      <t xml:space="preserve"> (7a)</t>
    </r>
    <r>
      <rPr>
        <rFont val="Arial Narrow"/>
        <color theme="1"/>
        <sz val="10.0"/>
      </rPr>
      <t xml:space="preserve">
Res. 4492 de 10-oct-2005 </t>
    </r>
    <r>
      <rPr>
        <rFont val="Arial Narrow"/>
        <b/>
        <color theme="1"/>
        <sz val="10.0"/>
      </rPr>
      <t>(7a)</t>
    </r>
    <r>
      <rPr>
        <rFont val="Arial Narrow"/>
        <color theme="1"/>
        <sz val="10.0"/>
      </rPr>
      <t xml:space="preserve">
Res. 1586 de 6-may-2005 </t>
    </r>
  </si>
  <si>
    <t>Se espera resolución por oficio</t>
  </si>
  <si>
    <r>
      <rPr>
        <rFont val="Arial Narrow"/>
        <color theme="1"/>
        <sz val="10.0"/>
      </rPr>
      <t xml:space="preserve">Res. 1334 de 3-feb-2014 </t>
    </r>
    <r>
      <rPr>
        <rFont val="Arial Narrow"/>
        <b/>
        <color theme="1"/>
        <sz val="10.0"/>
      </rPr>
      <t>(4a)</t>
    </r>
  </si>
  <si>
    <t>Número</t>
  </si>
  <si>
    <t>Vencimiento R.C.</t>
  </si>
  <si>
    <t>Alerta R.C.</t>
  </si>
  <si>
    <t>Días R.C</t>
  </si>
  <si>
    <t>Vencimiento SIAC RRC</t>
  </si>
  <si>
    <t>Alerta SIAC RRC</t>
  </si>
  <si>
    <t>Días SIAC RRC</t>
  </si>
  <si>
    <t>Observaciones</t>
  </si>
  <si>
    <t>Revisado 22 enero 2026 ok</t>
  </si>
  <si>
    <t>Revisado 22 enero 2026 Ok</t>
  </si>
  <si>
    <t>Alerta roja por lugar de desarrollo 22 enero 2026</t>
  </si>
  <si>
    <t>Alerta roja, cargar información del programa 22 enero 2026</t>
  </si>
  <si>
    <t>Modificación RC, Ok</t>
  </si>
  <si>
    <t>22 enero 2026 ok</t>
  </si>
  <si>
    <t>Vencimiento Acreditación</t>
  </si>
  <si>
    <t>Alerta Acreditación</t>
  </si>
  <si>
    <t>Días Acreditación</t>
  </si>
  <si>
    <t>Vencimiento SIAC AAC</t>
  </si>
  <si>
    <t>Alerta SIAC AAC</t>
  </si>
  <si>
    <t>Días SIAC AAC</t>
  </si>
  <si>
    <t>Espera resolución  - 09/03/2026</t>
  </si>
  <si>
    <t>Espera visita - 09/03/2026</t>
  </si>
  <si>
    <t>Están elaborando informe de autoevaluación - 09/03/2026</t>
  </si>
  <si>
    <t>Nivel</t>
  </si>
  <si>
    <t>Documentos</t>
  </si>
  <si>
    <t>Tecn.</t>
  </si>
  <si>
    <t>Esp.</t>
  </si>
  <si>
    <t>Esp. Méd.Quir.</t>
  </si>
  <si>
    <t>Maestrías</t>
  </si>
  <si>
    <t>Doct.</t>
  </si>
  <si>
    <t>Total</t>
  </si>
  <si>
    <t>Licenciatura en Música (225)</t>
  </si>
  <si>
    <t>Diseño Gráfico  (4963)</t>
  </si>
  <si>
    <t>Dirección de Banda  (11067)</t>
  </si>
  <si>
    <t>Artes Plásticas (224)</t>
  </si>
  <si>
    <t>Música Instrumental  (54801)</t>
  </si>
  <si>
    <t>Maestría en Música ( 104526)</t>
  </si>
  <si>
    <t>Ingenieria Agroindustrial (3833)</t>
  </si>
  <si>
    <t>Ingeniería Forestal (8482)</t>
  </si>
  <si>
    <t>Ingeniería Agropecuaria (7171)</t>
  </si>
  <si>
    <t>Especialización en Sanidad en Producción Agraria Integrada - Popayán ( 103292)</t>
  </si>
  <si>
    <t>Especializaciones</t>
  </si>
  <si>
    <t>Especialización en Gestión Integral del Recurso Hídrico (104846)</t>
  </si>
  <si>
    <t>Maestría en Ciencias Agrarias  (104677)</t>
  </si>
  <si>
    <t>Doctorado en Ciencias Agrarias y Agroindustriales  ( 103231)</t>
  </si>
  <si>
    <t>Doctorados</t>
  </si>
  <si>
    <t>Facultad de Ciencias Contables, Económicas y Administrativas</t>
  </si>
  <si>
    <t>Contaduría Pública (235)</t>
  </si>
  <si>
    <t>Contaduría, Esp Derecho Procesal, Enfermería S.Q. Ing. Física 2025.pdf
Rta/ Contaduría, Esp. Derecho Procesal, Enfermería S.Q. Ing. Física.pdf</t>
  </si>
  <si>
    <t>Economía (8441)</t>
  </si>
  <si>
    <t>Administración de Empresas (234)</t>
  </si>
  <si>
    <t>Turismo (18679)</t>
  </si>
  <si>
    <t>Especialización en Gerencia de Impuestos ( 2970)</t>
  </si>
  <si>
    <t>Especialización en Gerencia de Proyectos - Popayán (3613)</t>
  </si>
  <si>
    <t>Especialización en Revisoría Fiscal y Auditoría Internacional (15924)</t>
  </si>
  <si>
    <t>Especialización en Mercadeo Corporativo (15358)</t>
  </si>
  <si>
    <t>Especialización en Gerencia de Proyectos CONV. U. de Pasto (102109)</t>
  </si>
  <si>
    <t>Maestría en Estudios Interdisciplinarios del Desarrollo Popayán ( 55045)</t>
  </si>
  <si>
    <t>Maestría en Gestión de Organizaciones y Proyectos (103477)</t>
  </si>
  <si>
    <t>Maestría en Economía Regional y Políticas Públicas (110924)</t>
  </si>
  <si>
    <t>Maestría en Gestión del Conocimiento y la Innovación (111151)</t>
  </si>
  <si>
    <t>Licenciatura en Educación Artística (106651)</t>
  </si>
  <si>
    <t>Licenciatura en Educación Básica Primaria (106794)</t>
  </si>
  <si>
    <t>Lic. en Ciencias Naturales y Educación Ambiental ( 106574)</t>
  </si>
  <si>
    <t>Lic. en Educación Física, Recreación y Deportes (106545)</t>
  </si>
  <si>
    <t>Licenciatura en Matemáticas (229)</t>
  </si>
  <si>
    <t>Biología  (3048)</t>
  </si>
  <si>
    <t>Ingeniería Física (3636)</t>
  </si>
  <si>
    <t>Matemáticas (4010)</t>
  </si>
  <si>
    <t>Química (2130)</t>
  </si>
  <si>
    <t>Especialización en Educación y Discapacidad (105532)</t>
  </si>
  <si>
    <t>Maestría en Recursos Hidrobiológicos Continentales (256)</t>
  </si>
  <si>
    <t>Maestría en Educación (MI) (104784)
Popayán</t>
  </si>
  <si>
    <t>Maestría en Ingeniería Física (53504)</t>
  </si>
  <si>
    <t>Maestría en Ciencias Química (90909)</t>
  </si>
  <si>
    <t>Maestría en Ciencias Matemáticas (90576)</t>
  </si>
  <si>
    <t>Maestría en Educación Popular (103476)</t>
  </si>
  <si>
    <t>Maestría en Educación Popular - Santander de Quilichao ( 103504)</t>
  </si>
  <si>
    <t>Maestría en Educación, Estudios del Cuerpo y la Motricidad (104303)</t>
  </si>
  <si>
    <t>Maestría en Biología (104621)</t>
  </si>
  <si>
    <t>Maestría en Deporte y Actividad Física  (105533)</t>
  </si>
  <si>
    <t>Maestría en Educación Superior (110826)</t>
  </si>
  <si>
    <t>Maestría en Bioingeniería (106198)</t>
  </si>
  <si>
    <t>Doctorado en Ciencias Ambientales (53943)</t>
  </si>
  <si>
    <t>Doctorado en Etnobiología y Estudios Bioculturales (105656)</t>
  </si>
  <si>
    <t>Doctorado en Ciencias Química (105661)</t>
  </si>
  <si>
    <t>Doctorado en Ciencias Matemáticas (105772)</t>
  </si>
  <si>
    <t>Doctorado en Ciencias de la Educación (7172)</t>
  </si>
  <si>
    <t>Antropología (232)</t>
  </si>
  <si>
    <t>Licenciatura en Literatura y Lengua Castellana (106604)</t>
  </si>
  <si>
    <t>Licenciatura en Lenguas Modernas con Énfasis en Inglés y Francés (106575)</t>
  </si>
  <si>
    <t>Filosofía (11967)</t>
  </si>
  <si>
    <t>Geografía del Desarrollo Regional y Ambiental  (4493)</t>
  </si>
  <si>
    <t>Historia (13062)</t>
  </si>
  <si>
    <t>Licenciatura en Lenguas Modernas, Inglés - Francés - Santander de Quilichao (108963)</t>
  </si>
  <si>
    <t>Licenciatura en Etnoeducación y Ciencias Sociales (Popayán, S. Quilichao y Guapi)</t>
  </si>
  <si>
    <t>Licenciatura en Etnoeducación y Ciencias Sociales 024484 (Popayán, Santander Q. y Guapi).pdf
Licenciatura en Etnoeducación y Ciencias Sociales R 009085 corrige R 24484.pdf</t>
  </si>
  <si>
    <t>Maestría en Antropología (54866)</t>
  </si>
  <si>
    <t>Maestría en Ciencias Humanas ( 104296)</t>
  </si>
  <si>
    <t>Maestría en Artes Integradas con el Ambiente  (104456)</t>
  </si>
  <si>
    <t>Doctorado en Antropología (51767)</t>
  </si>
  <si>
    <t>Doctorado en Ciencias Humanas (105733)</t>
  </si>
  <si>
    <t>Enfermería (230)</t>
  </si>
  <si>
    <t>Fisioterapia (5269)</t>
  </si>
  <si>
    <t>Fonoaudiología (5268)</t>
  </si>
  <si>
    <t>Enfermería S.Q (118436)</t>
  </si>
  <si>
    <t>Contaduría, Esp Derecho Procesal, Enfermería S.Q. Ing. Física 2025.pdf
 Solicitud asiganción código SNIES Enfermería S.Q. Firmado.pdf
Radicado solicitud SNIES Enfermería S.Q.
Rta/ Contaduría, Esp. Derecho Procesal, Enfermería S.Q. Ing. Física.pdf</t>
  </si>
  <si>
    <t>Especialización en Intervención del Lenguaje Infantil (105964)</t>
  </si>
  <si>
    <t>Especialización en Seguridad y Salud en el Trabajo (106126)</t>
  </si>
  <si>
    <t>Especialización en Ginecología y Obstetricia (242)</t>
  </si>
  <si>
    <t>Esp. Médico Quirúrgicas</t>
  </si>
  <si>
    <t>Especialización en Anestesiología (240)</t>
  </si>
  <si>
    <t>Especialización en Cirugía General (241)</t>
  </si>
  <si>
    <t>Especialización en Pediatría (244)</t>
  </si>
  <si>
    <t>Respuesta oficio Radicado No. 2025 EE-379455 2025-12-25- Esp. Pediatría.pdf</t>
  </si>
  <si>
    <t>Especialización en Medicina Interna (243)</t>
  </si>
  <si>
    <t>Especialización en Medicina Familiar (11546)</t>
  </si>
  <si>
    <t>Maestría en Desarrollo Humano y Salud (110739)</t>
  </si>
  <si>
    <t xml:space="preserve">Facultad de Derecho, Ciencias Políticas y Sociales </t>
  </si>
  <si>
    <t>Derecho (Diruno y Nocturno) (233)</t>
  </si>
  <si>
    <t>Comunicación Social (8170)</t>
  </si>
  <si>
    <t>Comunicación Social 7110- 2026.pdf</t>
  </si>
  <si>
    <t>Ciencia Política (4080)</t>
  </si>
  <si>
    <t>Derecho - Santander de Quilichao (102182)</t>
  </si>
  <si>
    <t>Especialización en Gobierno y Políticas Públicas (102803)</t>
  </si>
  <si>
    <t>Especialización en Derecho de Familia  (103788)</t>
  </si>
  <si>
    <t>Esepecialización en Derecho Procesal (106623)</t>
  </si>
  <si>
    <t>Facultad de Ingenieria Civil</t>
  </si>
  <si>
    <t>Geotecnología (222)</t>
  </si>
  <si>
    <t>Tecnologías</t>
  </si>
  <si>
    <t>Ingeniería Civil (236)</t>
  </si>
  <si>
    <t>Ingeniería Ambiental  (8704)</t>
  </si>
  <si>
    <t>Ingeniería Civil - Santander de Quilichao (102471)</t>
  </si>
  <si>
    <t>Arquitectura (106111)</t>
  </si>
  <si>
    <t>Especialización en Ingeniería de Recursos Hídricos (105480)</t>
  </si>
  <si>
    <t>Especialización en Ingeniería de Vías Terrestres (104525)</t>
  </si>
  <si>
    <t>Especialización en Ingeniería de Vías Terrestres 9097.pdf</t>
  </si>
  <si>
    <t>Especialización en Estructuras (4730)</t>
  </si>
  <si>
    <t>Maestría en Ingeniería de Vías Terrestres (110867 (p))</t>
  </si>
  <si>
    <t>Maestría en Ingeniería de la Construcción (104528)</t>
  </si>
  <si>
    <t>Maestría en Ingeniería de Pavimentos (104611)</t>
  </si>
  <si>
    <t>Maestría en Ingeniería de Vías Terrestres (104525 (i))</t>
  </si>
  <si>
    <t>Maestría en (Profundización e Investigación en)  Geomática ( 105455)</t>
  </si>
  <si>
    <t>Maestría en Ingeniería Hidráulica e Hidrológica (108684)</t>
  </si>
  <si>
    <t>Documento descargable IES Rad Maestría en Ing. Hidráulica e Hidrológica.pdf</t>
  </si>
  <si>
    <t>Maestría en Ingeniería Ambiental (109143)</t>
  </si>
  <si>
    <t>Documento descargable IES Rad Maestría en Ingeniería Ambiental.pdf</t>
  </si>
  <si>
    <t>Facultad de Ingeniería Electrónica y  Telecomunicaciones</t>
  </si>
  <si>
    <t>Tecnología en Telemática - Popayán  (223)</t>
  </si>
  <si>
    <t>Ingeniería Electrónica y Telecomunicaciones (238)</t>
  </si>
  <si>
    <t>Ingeniería de Sistemas (7520)</t>
  </si>
  <si>
    <t>Ingeniería en Automática Industrial (7519)</t>
  </si>
  <si>
    <t>Especialización en Redes y Servicios Telemáticos (4615)</t>
  </si>
  <si>
    <t>Especialización en Redes y Servicios CONV. Universidad Autónoma del Valle(101755)</t>
  </si>
  <si>
    <t>Especialización en TIC para la Innovación Educativa (105149)</t>
  </si>
  <si>
    <t>Maestría en Ingeniería Telemática (90930)</t>
  </si>
  <si>
    <t>Maestría en Electrónica y Telecomunicaciones (252)</t>
  </si>
  <si>
    <t>Maestría en Computación (53505)</t>
  </si>
  <si>
    <t>Maestría en Automática (55175)</t>
  </si>
  <si>
    <t>Maestría en Telecomunicaciones (104646)</t>
  </si>
  <si>
    <t>Doctorado en Ingeniería Telemática (53918)</t>
  </si>
  <si>
    <t>Doctorado en Ciencias de la Electrónica (54103)</t>
  </si>
  <si>
    <t>Doctorado en Ciencias de la Computación (109668)</t>
  </si>
  <si>
    <r>
      <rPr>
        <rFont val="Arial Narrow"/>
        <b/>
        <color theme="1"/>
        <sz val="10.0"/>
      </rPr>
      <t xml:space="preserve">Sistema Interno de Gestión para la Acreditación </t>
    </r>
    <r>
      <rPr>
        <rFont val="Arial Narrow"/>
        <b/>
        <color rgb="FFC00000"/>
        <sz val="10.0"/>
      </rPr>
      <t>SiGA</t>
    </r>
  </si>
  <si>
    <t>Síntesis Programas Académicos con Registro Calificado</t>
  </si>
  <si>
    <t>Facultades</t>
  </si>
  <si>
    <t>Profesional</t>
  </si>
  <si>
    <t>Total
Pregrado</t>
  </si>
  <si>
    <t>Total
Posgrado</t>
  </si>
  <si>
    <t xml:space="preserve">Facultad de Ciencias Naturales, Exactas y de la Educación </t>
  </si>
  <si>
    <t xml:space="preserve">Facultad de Ingeniería Civil </t>
  </si>
  <si>
    <t xml:space="preserve">Facultad de Ingeniería Electrónica y Telecomunicaciones </t>
  </si>
  <si>
    <t>Total programas con RC</t>
  </si>
  <si>
    <t>Acreditados</t>
  </si>
  <si>
    <t>Acreditables</t>
  </si>
  <si>
    <t>Cumplimiento</t>
  </si>
  <si>
    <t>Acreditados con corte a 2019</t>
  </si>
  <si>
    <r>
      <rPr>
        <rFont val="Arial Narrow"/>
        <b/>
        <color theme="1"/>
        <sz val="10.0"/>
      </rPr>
      <t>Sistema Interno de Gestión para la Acreditación</t>
    </r>
    <r>
      <rPr>
        <rFont val="Arial Narrow"/>
        <b/>
        <color rgb="FFC00000"/>
        <sz val="10.0"/>
      </rPr>
      <t xml:space="preserve"> SiGA</t>
    </r>
  </si>
  <si>
    <t>Acreditados con corte a 2022</t>
  </si>
  <si>
    <t>Programas Académicos Acreditados</t>
  </si>
  <si>
    <t>Acreditados con corte a 2023</t>
  </si>
  <si>
    <t>Acreditados con corte a 2024</t>
  </si>
  <si>
    <t>Acreditados con corte a 2026</t>
  </si>
  <si>
    <t>% cumpliminto de la meta a 31/12/2024</t>
  </si>
  <si>
    <t>No.</t>
  </si>
  <si>
    <t>Programa Acreditado</t>
  </si>
  <si>
    <t>Inicio A.C.</t>
  </si>
  <si>
    <r>
      <rPr>
        <rFont val="Arial Narrow"/>
        <b/>
        <color rgb="FFFFFFFF"/>
        <sz val="12.0"/>
      </rPr>
      <t xml:space="preserve">SIAC AAC </t>
    </r>
    <r>
      <rPr>
        <rFont val="Arial Narrow"/>
        <b/>
        <color rgb="FFFFFFFF"/>
        <sz val="10.0"/>
      </rPr>
      <t>(14 meses antes)</t>
    </r>
  </si>
  <si>
    <t>Vencimiento
Acreditación A.C.</t>
  </si>
  <si>
    <t xml:space="preserve">Ingeniería Agropecuaria </t>
  </si>
  <si>
    <t>Facultad de Ingeniería Civíl</t>
  </si>
  <si>
    <t>Medicina</t>
  </si>
  <si>
    <t>Total programas Acreditados</t>
  </si>
  <si>
    <t>Total:</t>
  </si>
  <si>
    <t>Licenciatura en Lenguas Modernas con énfasis en Inglés y Francés</t>
  </si>
  <si>
    <t xml:space="preserve">Licenciatura en Matemáticas </t>
  </si>
  <si>
    <t>VISITA DE PARES ACADÉMICOS - EVALUACIÓN EXTERNA</t>
  </si>
  <si>
    <t>UNIVERSIDAD DEL CAUCA</t>
  </si>
  <si>
    <t xml:space="preserve">Fecha inicio </t>
  </si>
  <si>
    <t>Fecha final</t>
  </si>
  <si>
    <t>Asunto</t>
  </si>
  <si>
    <t>Evaluación externa para acreditación de alta calidad</t>
  </si>
  <si>
    <t>Licenciatura en Educación Básica con énfasis en Lengua Castellana e Inglés</t>
  </si>
  <si>
    <t>Licenciatura en Educación Básica con énfasis en Ciencias Naturales y Educación Ambiental</t>
  </si>
  <si>
    <t>Licenciatura en Lenguas Modernas Inglés-Francés</t>
  </si>
  <si>
    <t>Licenciatura en Educación Básica con énfasis en Educación Artística</t>
  </si>
  <si>
    <t>Doctorado en Educación</t>
  </si>
  <si>
    <t>Evaluación externa para obtener registro calificado</t>
  </si>
  <si>
    <t>Contaduría Pública</t>
  </si>
  <si>
    <t>Evaluación externa para renovación de acreditación de alta calidad</t>
  </si>
  <si>
    <t>Evaluación externa para acreditación internacional</t>
  </si>
  <si>
    <t>Universidad del Cauca</t>
  </si>
  <si>
    <t>Evaluación externa para acreditación institucional</t>
  </si>
  <si>
    <t>Evaluación externa para renovar registro calificado</t>
  </si>
  <si>
    <t>Ingeniería Agropecuaria</t>
  </si>
  <si>
    <t>Evaluación externa para condiciones iniciales</t>
  </si>
  <si>
    <t>Ingeniería Agroindustrial (Santander de Quilichao)</t>
  </si>
  <si>
    <t>Licenciatura en Etnoeducación</t>
  </si>
  <si>
    <t>Evaluación externa prueba piloto zonas rurales</t>
  </si>
  <si>
    <t>Dirección De Banda</t>
  </si>
  <si>
    <t>Antropología</t>
  </si>
  <si>
    <t>Ingeniería Automática Industrial</t>
  </si>
  <si>
    <t>Híbrida</t>
  </si>
  <si>
    <t>Doctorado en Ciencias Agrarias y Agroindustriales</t>
  </si>
  <si>
    <t xml:space="preserve">Ingeniería Agroindustrial </t>
  </si>
  <si>
    <t>Centro de Gestión de la Calidad y la Acreditación Institucional</t>
  </si>
  <si>
    <t>Listado de programas con periodo de transición del Nuevo Decreto</t>
  </si>
  <si>
    <t>No renovarán registro calificado</t>
  </si>
  <si>
    <t>Renovarán registro calificado pero no han entregado documentación</t>
  </si>
  <si>
    <t>Radicados en el Nuevo SACES</t>
  </si>
  <si>
    <t>En proceso de acreditación / renovación acreditación</t>
  </si>
  <si>
    <t>Con respuesta</t>
  </si>
  <si>
    <t>Visita de pares</t>
  </si>
  <si>
    <t>LOS QUE VENCEN DESDE 01 DE ENERO AL 31 DE DICIEMBRE DE 2023</t>
  </si>
  <si>
    <t>SiGA RRC
(14 meses antes)</t>
  </si>
  <si>
    <t>Extensión (meses)</t>
  </si>
  <si>
    <t>Vencimiento
R.C. con decreto 1174 de 2023</t>
  </si>
  <si>
    <t>Maestría en Ética y Filosofía Política</t>
  </si>
  <si>
    <t>LOS QUE VENCEN DESDE 01 DE ENERO AL 31 DE DICIEMBRE DE 2024</t>
  </si>
  <si>
    <t>vencimiento
R.C. con decreto 1174 de 2023</t>
  </si>
  <si>
    <t>Maestría en Historia</t>
  </si>
  <si>
    <t xml:space="preserve">Química </t>
  </si>
  <si>
    <t xml:space="preserve">Matemáticas </t>
  </si>
  <si>
    <t>Licenciatura en Educación Infantil</t>
  </si>
  <si>
    <t>Especialización en Derecho Procesal</t>
  </si>
  <si>
    <t>LOS QUE VENCEN DESDE 01 DE ENERO AL 30 DE JUNIO DE 2025</t>
  </si>
  <si>
    <t>Tecnología en Gestión de Proyectos Agroecológicos</t>
  </si>
  <si>
    <t>Ingeniería en Agroecología</t>
  </si>
  <si>
    <t xml:space="preserve">Turismo </t>
  </si>
  <si>
    <t xml:space="preserve">Especialización en Educación Comunitaria </t>
  </si>
  <si>
    <t>Fechas reporte del Plan de Mejoramiento Ajustado al CNA</t>
  </si>
  <si>
    <t>Entrega Plan Mejora Ajustado
(6 meses)</t>
  </si>
  <si>
    <t>Informe a mitad de Acreditación</t>
  </si>
  <si>
    <t>Plan de mejora</t>
  </si>
  <si>
    <t>Acta 13</t>
  </si>
  <si>
    <t>PDM vía correo electrónico 11 agosto 2023</t>
  </si>
  <si>
    <t>Plan de Mejoramiento Medicina 2022</t>
  </si>
  <si>
    <t>Plan de mejoramiento Lic Ed. Rec y Dep</t>
  </si>
  <si>
    <t>8.9-1.40/170</t>
  </si>
  <si>
    <t xml:space="preserve">Plan de Mejoramiento Lic Ed Artística </t>
  </si>
  <si>
    <t>8.6.1.140/155</t>
  </si>
  <si>
    <t>8.6.1.140/156</t>
  </si>
  <si>
    <t>8.6.1.140/109</t>
  </si>
  <si>
    <t>8.6.1.140/154</t>
  </si>
  <si>
    <t>8.7.3.40/104</t>
  </si>
  <si>
    <t>8.2.20-2.1/001</t>
  </si>
  <si>
    <t>Meta 25%</t>
  </si>
  <si>
    <t>Meta 40%</t>
  </si>
  <si>
    <t>Meta 60%</t>
  </si>
  <si>
    <r>
      <rPr>
        <rFont val="Arial Narrow"/>
        <b/>
        <color theme="1"/>
        <sz val="10.0"/>
      </rPr>
      <t xml:space="preserve">Sistema Interno de Gestión para la Acreditación </t>
    </r>
    <r>
      <rPr>
        <rFont val="Arial Narrow"/>
        <b/>
        <color rgb="FFC00000"/>
        <sz val="10.0"/>
      </rPr>
      <t>SiGA</t>
    </r>
  </si>
  <si>
    <t>Programas Académicos Acreditables con proyección de meta</t>
  </si>
  <si>
    <t>Programa Académico</t>
  </si>
  <si>
    <t xml:space="preserve">Licenciatura en Música </t>
  </si>
  <si>
    <t xml:space="preserve">Diseño Gráfico </t>
  </si>
  <si>
    <t xml:space="preserve">Dirección de Banda </t>
  </si>
  <si>
    <t>sí</t>
  </si>
  <si>
    <t>*</t>
  </si>
  <si>
    <t xml:space="preserve">Ingeniería Forestal </t>
  </si>
  <si>
    <t xml:space="preserve">Administración de Empresas </t>
  </si>
  <si>
    <t xml:space="preserve">Economía </t>
  </si>
  <si>
    <t>Maestría en Estudios Interdisciplinarios del Desarrollo Popayán</t>
  </si>
  <si>
    <t xml:space="preserve">Especialización en Anatomía Patológica </t>
  </si>
  <si>
    <t xml:space="preserve">Geografía del Desarrollo Regional y Ambiental </t>
  </si>
  <si>
    <t xml:space="preserve">Filosofía </t>
  </si>
  <si>
    <t>Licenciatura en Lenguas Modernas con Énfasis en Inglés y Francés (Santander de Quilichao)</t>
  </si>
  <si>
    <t xml:space="preserve">Ingeniería Física </t>
  </si>
  <si>
    <t>Lienciatura en Ciencias Naturales y Educación Ambiental</t>
  </si>
  <si>
    <t xml:space="preserve">Comunicación Social </t>
  </si>
  <si>
    <t>Derecho</t>
  </si>
  <si>
    <t>Derecho (Santander de Quilichao)</t>
  </si>
  <si>
    <r>
      <rPr>
        <rFont val="Arial Narrow"/>
        <b/>
        <color theme="1"/>
        <sz val="10.0"/>
      </rPr>
      <t>Sistema Interno de Gestión para la Acreditación</t>
    </r>
    <r>
      <rPr>
        <rFont val="Arial Narrow"/>
        <b/>
        <color rgb="FFC00000"/>
        <sz val="10.0"/>
      </rPr>
      <t xml:space="preserve"> SiGA</t>
    </r>
  </si>
  <si>
    <t>Reporte Programas Elegibles</t>
  </si>
  <si>
    <t>Total programas elegibles</t>
  </si>
  <si>
    <t>Nivel Académico</t>
  </si>
  <si>
    <t>Estado</t>
  </si>
  <si>
    <t>En proceso de AAC</t>
  </si>
  <si>
    <t>Renovaciones</t>
  </si>
  <si>
    <t>Nuevos</t>
  </si>
  <si>
    <t>En proceso renovación</t>
  </si>
  <si>
    <t>Acreditado a 2026</t>
  </si>
  <si>
    <t xml:space="preserve">Maestría en Biología </t>
  </si>
  <si>
    <t xml:space="preserve">Maestría en Ingeniería de Pavimentos </t>
  </si>
  <si>
    <r>
      <rPr>
        <rFont val="Arial Narrow"/>
        <b/>
        <color theme="1"/>
        <sz val="10.0"/>
      </rPr>
      <t xml:space="preserve">Sistema Integrado de Gestión para la Acreditación </t>
    </r>
    <r>
      <rPr>
        <rFont val="Arial Narrow"/>
        <b/>
        <color rgb="FFC00000"/>
        <sz val="10.0"/>
      </rPr>
      <t>SiGA</t>
    </r>
  </si>
  <si>
    <t>Matriz de Ruta Acreditación Alta Calidad</t>
  </si>
  <si>
    <t>Resolución
A.A.C.</t>
  </si>
  <si>
    <r>
      <rPr>
        <rFont val="Arial Narrow"/>
        <b/>
        <color theme="0"/>
        <sz val="16.0"/>
      </rPr>
      <t xml:space="preserve">SiGA </t>
    </r>
    <r>
      <rPr>
        <rFont val="Arial Narrow"/>
        <b/>
        <color rgb="FFC00000"/>
        <sz val="16.0"/>
      </rPr>
      <t>AAC</t>
    </r>
    <r>
      <rPr>
        <rFont val="Arial Narrow"/>
        <b/>
        <color theme="0"/>
        <sz val="10.0"/>
      </rPr>
      <t xml:space="preserve">
(14 meses antes)</t>
    </r>
  </si>
  <si>
    <r>
      <rPr>
        <rFont val="Arial Narrow"/>
        <b/>
        <color theme="0"/>
        <sz val="10.0"/>
      </rPr>
      <t>Plazo Radicación AAC
ante MinEducación</t>
    </r>
    <r>
      <rPr>
        <rFont val="Arial Narrow"/>
        <b/>
        <color rgb="FFFFFFE7"/>
        <sz val="10.0"/>
      </rPr>
      <t xml:space="preserve">
</t>
    </r>
    <r>
      <rPr>
        <rFont val="Arial Narrow"/>
        <b/>
        <color rgb="FFFFFF00"/>
        <sz val="10.0"/>
      </rPr>
      <t>(1 año antes)</t>
    </r>
  </si>
  <si>
    <t>1. CI</t>
  </si>
  <si>
    <t>2. Ins-CNA</t>
  </si>
  <si>
    <t>3. Crono</t>
  </si>
  <si>
    <t>4. PEP</t>
  </si>
  <si>
    <t>5. ModAE</t>
  </si>
  <si>
    <t>6. Pond</t>
  </si>
  <si>
    <t>7. AppIns</t>
  </si>
  <si>
    <t>8. Calif</t>
  </si>
  <si>
    <t>9. Análisis</t>
  </si>
  <si>
    <t>10. Social</t>
  </si>
  <si>
    <t>11. Informe</t>
  </si>
  <si>
    <t>12. PM</t>
  </si>
  <si>
    <t>13. SiGA</t>
  </si>
  <si>
    <t>14. CNA</t>
  </si>
  <si>
    <t>15. Visita</t>
  </si>
  <si>
    <t>16. InfPares</t>
  </si>
  <si>
    <t>17. EspRes</t>
  </si>
  <si>
    <t>18. MEN</t>
  </si>
  <si>
    <t>19. RecRep</t>
  </si>
  <si>
    <t>Etapa</t>
  </si>
  <si>
    <t>x</t>
  </si>
  <si>
    <t>Tecnología Agroindustrial</t>
  </si>
  <si>
    <t>Maestría en Ciencias Agroindustriales</t>
  </si>
  <si>
    <t>Especialización en Agroindustria</t>
  </si>
  <si>
    <t xml:space="preserve">Maestría en Gestión de Organizaciones y Proyectos </t>
  </si>
  <si>
    <t xml:space="preserve">Maestría en Contabilidad y Finanzas </t>
  </si>
  <si>
    <t>Maestría en Cooperación Internacional</t>
  </si>
  <si>
    <t>Especialización en Sistemas Integrados de la Calidad</t>
  </si>
  <si>
    <t>Tecnología en Gestión del Territorio y Organizaciones</t>
  </si>
  <si>
    <t>Gestión Territorial y Economía Social y Solidaris</t>
  </si>
  <si>
    <t xml:space="preserve">Especialización en Medicina Familiar </t>
  </si>
  <si>
    <t xml:space="preserve">Especialización en Neurorehabilitación </t>
  </si>
  <si>
    <t>Licenciatura en Lenguas Modernas, Inglés y Francés</t>
  </si>
  <si>
    <t>Licenciatura en Lingüística y Semiótica</t>
  </si>
  <si>
    <t>Maestría en Estudios Interculturales</t>
  </si>
  <si>
    <t>Maestría en Revitalización y Enseñanza de Lenguas Indígenas</t>
  </si>
  <si>
    <t>Maestría en Estudios de Riesgos de Desastres y Ordenamiento Territorial</t>
  </si>
  <si>
    <t>Especialización en Estudios de Riesgos de Desastres</t>
  </si>
  <si>
    <t>Lic. en Educación Física, Recreación y Deportes</t>
  </si>
  <si>
    <t xml:space="preserve">Especialización en Entrenamiento Deportivo </t>
  </si>
  <si>
    <t xml:space="preserve">Especialización en Actividad Física para la Salud </t>
  </si>
  <si>
    <t>Maestría en Educación</t>
  </si>
  <si>
    <t>Maestría en Educación (MP)</t>
  </si>
  <si>
    <t>Tecnología en Gestión Ambiental</t>
  </si>
  <si>
    <t>Especialización en Derecho Administrativo</t>
  </si>
  <si>
    <t>Maestría en Derecho Administrativo</t>
  </si>
  <si>
    <t>Especialización en Derecho Procesal Penal</t>
  </si>
  <si>
    <t xml:space="preserve">Especialización en Derecho Contractual Privado </t>
  </si>
  <si>
    <t>Maestría en Filosofía del Derecho</t>
  </si>
  <si>
    <t xml:space="preserve">Maestría en Derechos Humanos y Políticas Públicas para la Convivencia </t>
  </si>
  <si>
    <t xml:space="preserve">Especialización en Periodismo </t>
  </si>
  <si>
    <t>Maestría en Gobierno y Políticas Públicas</t>
  </si>
  <si>
    <t>Maestría en Comunicación y Procesos Organizativos</t>
  </si>
  <si>
    <t xml:space="preserve">Maestría en Gestión y Desarrollo Social </t>
  </si>
  <si>
    <t>Especialización en Ingeniería de la Construcción</t>
  </si>
  <si>
    <t xml:space="preserve">Maestría en Ingeniería de Tránsito </t>
  </si>
  <si>
    <t>Especialización en Telemática</t>
  </si>
  <si>
    <t>En Proceso</t>
  </si>
  <si>
    <r>
      <rPr>
        <rFont val="Arial Narrow"/>
        <b/>
        <color theme="1"/>
        <sz val="10.0"/>
      </rPr>
      <t xml:space="preserve">Sistema Integrado de Gestión para la Acreditación </t>
    </r>
    <r>
      <rPr>
        <rFont val="Arial Narrow"/>
        <b/>
        <color rgb="FFC00000"/>
        <sz val="10.0"/>
      </rPr>
      <t>SiGA</t>
    </r>
  </si>
  <si>
    <t>Programas</t>
  </si>
  <si>
    <t>9</t>
  </si>
  <si>
    <t>Síntesis Matriz de Ruta AAC</t>
  </si>
  <si>
    <t>AAC Vigente</t>
  </si>
  <si>
    <t xml:space="preserve">Facultad de Ciencias Agrarias </t>
  </si>
  <si>
    <t xml:space="preserve">Facultad de Ciencias de la Salud </t>
  </si>
  <si>
    <t>Número Programas Académicos en proceso de AAC</t>
  </si>
  <si>
    <t>Total Programas En Proceso</t>
  </si>
  <si>
    <t>NUEVOS</t>
  </si>
  <si>
    <r>
      <rPr>
        <rFont val="Arial Narrow"/>
        <b/>
        <color theme="1"/>
        <sz val="10.0"/>
      </rPr>
      <t>Sistema Interno de Gestión para la Acreditación</t>
    </r>
    <r>
      <rPr>
        <rFont val="Arial Narrow"/>
        <b/>
        <color rgb="FFC00000"/>
        <sz val="10.0"/>
      </rPr>
      <t xml:space="preserve"> SiGA</t>
    </r>
  </si>
  <si>
    <t>RENOVACIONES</t>
  </si>
  <si>
    <t>Reporte Programas Académicos en proceso de acreditación</t>
  </si>
  <si>
    <t xml:space="preserve">PROGRAMAS EN PROCESO DE ACREDITACIÓN </t>
  </si>
  <si>
    <t>TIPO</t>
  </si>
  <si>
    <t>Nivel Academico</t>
  </si>
  <si>
    <t>Fecha de actualización</t>
  </si>
  <si>
    <t xml:space="preserve"> ESTADO</t>
  </si>
  <si>
    <t>Derecho Popayán</t>
  </si>
  <si>
    <t>Primera Vez</t>
  </si>
  <si>
    <t>9. Informe</t>
  </si>
  <si>
    <t>5. Aplicación de instrumentos</t>
  </si>
  <si>
    <t>FILOSOF</t>
  </si>
  <si>
    <t>Derecho Santander de Quilichao</t>
  </si>
  <si>
    <t>3. Modelo de Autoevaluación</t>
  </si>
  <si>
    <t>12. Radicación CNA</t>
  </si>
  <si>
    <t>MEPP</t>
  </si>
  <si>
    <t>MEPSQ</t>
  </si>
  <si>
    <t>4. Ponderación</t>
  </si>
  <si>
    <t>CS</t>
  </si>
  <si>
    <t>LLMSQ</t>
  </si>
  <si>
    <t>GDRA</t>
  </si>
  <si>
    <t>CP</t>
  </si>
  <si>
    <t xml:space="preserve">18. Acreditación </t>
  </si>
  <si>
    <t>NA</t>
  </si>
  <si>
    <t>DCAA</t>
  </si>
  <si>
    <t>TURIS</t>
  </si>
  <si>
    <t>IAMB</t>
  </si>
  <si>
    <t>GEOT</t>
  </si>
  <si>
    <t>MIVT</t>
  </si>
  <si>
    <t>MIP</t>
  </si>
  <si>
    <t>1. Elaboración de cronograma</t>
  </si>
  <si>
    <t>EMF</t>
  </si>
  <si>
    <t>EGO</t>
  </si>
  <si>
    <t>ECG</t>
  </si>
  <si>
    <t>EMI</t>
  </si>
  <si>
    <t>PROGRAMAS ACREDITADOS CUBIERTOS A 2026</t>
  </si>
  <si>
    <r>
      <rPr>
        <rFont val="Arial Narrow"/>
        <b/>
        <color theme="0"/>
        <sz val="12.0"/>
      </rPr>
      <t>SiGA RRC</t>
    </r>
    <r>
      <rPr>
        <rFont val="Arial Narrow"/>
        <b/>
        <color theme="0"/>
        <sz val="10.0"/>
      </rPr>
      <t xml:space="preserve">
(14 meses antes)</t>
    </r>
  </si>
  <si>
    <t>Sistema Interno de Gestión para la Acreditación</t>
  </si>
  <si>
    <t>REGISTRO DE PROCESOS DE AUTOEVALUACIÓN DE PROGRAMA</t>
  </si>
  <si>
    <t xml:space="preserve">  Id   </t>
  </si>
  <si>
    <t>Autoevaluación
AÑO 2019</t>
  </si>
  <si>
    <t>Proceso</t>
  </si>
  <si>
    <t>Modelo</t>
  </si>
  <si>
    <t>Fecha
Radicado</t>
  </si>
  <si>
    <t>Formato</t>
  </si>
  <si>
    <t>Archivo</t>
  </si>
  <si>
    <t>Anexos</t>
  </si>
  <si>
    <r>
      <rPr>
        <rFont val="Arial Narrow"/>
        <b/>
        <color theme="0"/>
        <sz val="16.0"/>
      </rPr>
      <t>S</t>
    </r>
    <r>
      <rPr>
        <rFont val="Arial Narrow"/>
        <b/>
        <color rgb="FFC00000"/>
        <sz val="16.0"/>
      </rPr>
      <t>i</t>
    </r>
    <r>
      <rPr>
        <rFont val="Arial Narrow"/>
        <b/>
        <color theme="0"/>
        <sz val="16.0"/>
      </rPr>
      <t>GA</t>
    </r>
  </si>
  <si>
    <t>Autoevaluación
AÑO 2018</t>
  </si>
  <si>
    <r>
      <rPr>
        <rFont val="Arial Narrow"/>
        <b/>
        <color theme="0"/>
        <sz val="16.0"/>
      </rPr>
      <t>S</t>
    </r>
    <r>
      <rPr>
        <rFont val="Arial Narrow"/>
        <b/>
        <color rgb="FFC00000"/>
        <sz val="16.0"/>
      </rPr>
      <t>i</t>
    </r>
    <r>
      <rPr>
        <rFont val="Arial Narrow"/>
        <b/>
        <color theme="0"/>
        <sz val="16.0"/>
      </rPr>
      <t>GA</t>
    </r>
  </si>
  <si>
    <t>Autoevaluación
AÑO 2017</t>
  </si>
  <si>
    <r>
      <rPr>
        <rFont val="Arial Narrow"/>
        <b/>
        <color theme="0"/>
        <sz val="16.0"/>
      </rPr>
      <t>S</t>
    </r>
    <r>
      <rPr>
        <rFont val="Arial Narrow"/>
        <b/>
        <color rgb="FFC00000"/>
        <sz val="16.0"/>
      </rPr>
      <t>i</t>
    </r>
    <r>
      <rPr>
        <rFont val="Arial Narrow"/>
        <b/>
        <color theme="0"/>
        <sz val="16.0"/>
      </rPr>
      <t>GA</t>
    </r>
  </si>
  <si>
    <t>Autoevaluación
AÑO 2016</t>
  </si>
  <si>
    <r>
      <rPr>
        <rFont val="Arial Narrow"/>
        <b/>
        <color theme="0"/>
        <sz val="16.0"/>
      </rPr>
      <t>S</t>
    </r>
    <r>
      <rPr>
        <rFont val="Arial Narrow"/>
        <b/>
        <color rgb="FFC00000"/>
        <sz val="16.0"/>
      </rPr>
      <t>i</t>
    </r>
    <r>
      <rPr>
        <rFont val="Arial Narrow"/>
        <b/>
        <color theme="0"/>
        <sz val="16.0"/>
      </rPr>
      <t>GA</t>
    </r>
  </si>
  <si>
    <t>Autoevaluación
AÑO 2015</t>
  </si>
  <si>
    <r>
      <rPr>
        <rFont val="Arial Narrow"/>
        <b/>
        <color theme="0"/>
        <sz val="16.0"/>
      </rPr>
      <t>S</t>
    </r>
    <r>
      <rPr>
        <rFont val="Arial Narrow"/>
        <b/>
        <color rgb="FFC00000"/>
        <sz val="16.0"/>
      </rPr>
      <t>i</t>
    </r>
    <r>
      <rPr>
        <rFont val="Arial Narrow"/>
        <b/>
        <color theme="0"/>
        <sz val="16.0"/>
      </rPr>
      <t>GA</t>
    </r>
  </si>
  <si>
    <t>Autoevaluación
AÑO 2014</t>
  </si>
  <si>
    <r>
      <rPr>
        <rFont val="Arial Narrow"/>
        <b/>
        <color theme="0"/>
        <sz val="16.0"/>
      </rPr>
      <t>S</t>
    </r>
    <r>
      <rPr>
        <rFont val="Arial Narrow"/>
        <b/>
        <color rgb="FFC00000"/>
        <sz val="16.0"/>
      </rPr>
      <t>i</t>
    </r>
    <r>
      <rPr>
        <rFont val="Arial Narrow"/>
        <b/>
        <color theme="0"/>
        <sz val="16.0"/>
      </rPr>
      <t>GA</t>
    </r>
  </si>
  <si>
    <t>Autoevaluación
AÑO 2013</t>
  </si>
  <si>
    <r>
      <rPr>
        <rFont val="Arial Narrow"/>
        <b/>
        <color theme="0"/>
        <sz val="16.0"/>
      </rPr>
      <t>S</t>
    </r>
    <r>
      <rPr>
        <rFont val="Arial Narrow"/>
        <b/>
        <color rgb="FFC00000"/>
        <sz val="16.0"/>
      </rPr>
      <t>i</t>
    </r>
    <r>
      <rPr>
        <rFont val="Arial Narrow"/>
        <b/>
        <color theme="0"/>
        <sz val="16.0"/>
      </rPr>
      <t>GA</t>
    </r>
  </si>
  <si>
    <t>Autoevaluación
AÑO 2012</t>
  </si>
  <si>
    <r>
      <rPr>
        <rFont val="Arial Narrow"/>
        <b/>
        <color theme="0"/>
        <sz val="16.0"/>
      </rPr>
      <t>S</t>
    </r>
    <r>
      <rPr>
        <rFont val="Arial Narrow"/>
        <b/>
        <color rgb="FFC00000"/>
        <sz val="16.0"/>
      </rPr>
      <t>i</t>
    </r>
    <r>
      <rPr>
        <rFont val="Arial Narrow"/>
        <b/>
        <color theme="0"/>
        <sz val="16.0"/>
      </rPr>
      <t>GA</t>
    </r>
  </si>
  <si>
    <t>Autoevaluación
AÑO 2011</t>
  </si>
  <si>
    <r>
      <rPr>
        <rFont val="Arial Narrow"/>
        <b/>
        <color theme="0"/>
        <sz val="16.0"/>
      </rPr>
      <t>S</t>
    </r>
    <r>
      <rPr>
        <rFont val="Arial Narrow"/>
        <b/>
        <color rgb="FFC00000"/>
        <sz val="16.0"/>
      </rPr>
      <t>i</t>
    </r>
    <r>
      <rPr>
        <rFont val="Arial Narrow"/>
        <b/>
        <color theme="0"/>
        <sz val="16.0"/>
      </rPr>
      <t>GA</t>
    </r>
  </si>
  <si>
    <t>AAC</t>
  </si>
  <si>
    <t>CNA</t>
  </si>
  <si>
    <t>Digital</t>
  </si>
  <si>
    <t>CGC-AI</t>
  </si>
  <si>
    <t>Licenciatura en Música Santander de Quilichao</t>
  </si>
  <si>
    <t>Licenciatura en Música Popayán</t>
  </si>
  <si>
    <t>RC</t>
  </si>
  <si>
    <t>Digital-Impreso</t>
  </si>
  <si>
    <t>OTRO</t>
  </si>
  <si>
    <t>CGCAI</t>
  </si>
  <si>
    <t>Ingeniería Agroindustrial Santander de Quilichao</t>
  </si>
  <si>
    <t>Ingeniería Agroindustrial Popayán</t>
  </si>
  <si>
    <t>RC-AAC</t>
  </si>
  <si>
    <t>Contaduría Pública Santander de Quilichao</t>
  </si>
  <si>
    <t>Contaduría Pública Popayán</t>
  </si>
  <si>
    <t>Especialización en Contabilidad Pública</t>
  </si>
  <si>
    <t>Especialización en Gerencia de Proyectos Pasto</t>
  </si>
  <si>
    <t>Especialización en Gerencia de Proyectos Popayán</t>
  </si>
  <si>
    <t>Especialización en Revisoría Fiscal y Auditoría Internacional Popayán</t>
  </si>
  <si>
    <t>Especialización en Revisoría Fiscal y Auditoría Internacional Santander de Quilichao</t>
  </si>
  <si>
    <t>Especialización en Sistemas Integrados de la Calidad Santander de Quilichao</t>
  </si>
  <si>
    <t>Especialización en Sistemas Integrados de la Calidad Popayán</t>
  </si>
  <si>
    <t>Maestría en Estudios Interdisciplinarios del Desarrollo Pasto</t>
  </si>
  <si>
    <t>Especialización en Administración Hospitalaria</t>
  </si>
  <si>
    <t>Especialización en Auditoría Garantía de la Calidad</t>
  </si>
  <si>
    <t>Otro</t>
  </si>
  <si>
    <t>Central</t>
  </si>
  <si>
    <t xml:space="preserve">Licenciatura en Literatura y Lengua Casteñana  </t>
  </si>
  <si>
    <t>Licenciatura en Lenguas Modernas, Inglés y Francés Santander de Quilichao</t>
  </si>
  <si>
    <t>Licenciatura en Lingüística y Semiótica Popayan</t>
  </si>
  <si>
    <t>Licenciatura en Lingüística y Semiótica Santander de Quilichao</t>
  </si>
  <si>
    <t>Maestría en Antropología Popayan</t>
  </si>
  <si>
    <t>Maestría en Antropología Santander de Quilichao</t>
  </si>
  <si>
    <t>Parcialmente el CNA</t>
  </si>
  <si>
    <t>Otro modelo</t>
  </si>
  <si>
    <t>Licenciatura en Educación Infantil Popayán</t>
  </si>
  <si>
    <t>Licenciatura en Educación Infantil Santander de Quilichao</t>
  </si>
  <si>
    <t>Maestría en Educación Guadalajara de Buga</t>
  </si>
  <si>
    <t>Maestría en Educación Florencia</t>
  </si>
  <si>
    <t>Maestría en Educación Guapi</t>
  </si>
  <si>
    <t>Maestría en Educación Santander de Quilichao</t>
  </si>
  <si>
    <t>Maestría en Educación Pasto</t>
  </si>
  <si>
    <t>Maestría en Educación Tumaco</t>
  </si>
  <si>
    <t>Maestría en Educación Valle del Guamuez (La Hormiga)</t>
  </si>
  <si>
    <t>Maestría en Educación Mocoa</t>
  </si>
  <si>
    <t>Maestría en Educación Buenaventura</t>
  </si>
  <si>
    <t>Maestría en Educación (MI) Popayán</t>
  </si>
  <si>
    <t>Maestría en Educación (MP) Popayán</t>
  </si>
  <si>
    <t>Maestría en Educación Popular Popayán</t>
  </si>
  <si>
    <t>Maestría en Educación Popular Santander de Quilichao</t>
  </si>
  <si>
    <t>Maestría en Derecho Administrativo Popayán</t>
  </si>
  <si>
    <t>Maestría en Derecho Administrativo Nariño</t>
  </si>
  <si>
    <t>Impreso</t>
  </si>
  <si>
    <t>Ingeniería Civil Santander de Quilichao</t>
  </si>
  <si>
    <t>Ingeniería Civil Popayán</t>
  </si>
  <si>
    <t>Especialización en Redes y Servicios Telemáticos Cali</t>
  </si>
  <si>
    <t>Especialización en Redes y Servicios Telemáticos Popayán</t>
  </si>
  <si>
    <t>Ingeniería de Sistemas Popayán</t>
  </si>
  <si>
    <t>Ingeniería de Sistemas Santander de Quilichao</t>
  </si>
  <si>
    <r>
      <rPr>
        <rFont val="Arial Narrow"/>
        <b/>
        <color theme="1"/>
        <sz val="10.0"/>
      </rPr>
      <t xml:space="preserve">Sistema Interno de Gestión para la Acreditación </t>
    </r>
    <r>
      <rPr>
        <rFont val="Arial Narrow"/>
        <b/>
        <color rgb="FFC00000"/>
        <sz val="10.0"/>
      </rPr>
      <t>SiGA</t>
    </r>
  </si>
  <si>
    <t>Regionalización</t>
  </si>
  <si>
    <t>Centros de Tutorías
Regionalización</t>
  </si>
  <si>
    <t>Jornada
Regionalización</t>
  </si>
  <si>
    <t>Patía (El Bordo) - Santander de Quilichao</t>
  </si>
  <si>
    <t>Santander de Quilichao, Tambo, Miranda, Piendamó, Bordo, Silvia, Bolívar</t>
  </si>
  <si>
    <t>A Distancia</t>
  </si>
  <si>
    <t>Por extensión</t>
  </si>
  <si>
    <t>Miranda</t>
  </si>
  <si>
    <t>Gestión Territorial y Economía Social y Solidaria</t>
  </si>
  <si>
    <t>Licenciatura en Lenguas Modernas, Inglés - Francés</t>
  </si>
  <si>
    <t>Guapi - Silvia - Pitayó (Cauca)</t>
  </si>
  <si>
    <t>Buenaventura - Valle</t>
  </si>
  <si>
    <t>Buga - Valle</t>
  </si>
  <si>
    <t>Florencia - Caquetá</t>
  </si>
  <si>
    <t>Guapi - Cauca</t>
  </si>
  <si>
    <t>Mocoa - Putumayo</t>
  </si>
  <si>
    <t>Tumaco - Nariño</t>
  </si>
  <si>
    <t>Valle del Guamuez - La Hormiga - Putumayo</t>
  </si>
  <si>
    <t>Crecimiento del número de programas de pregrado y posgrado</t>
  </si>
  <si>
    <t>PROGRAMAS NUEVOS</t>
  </si>
  <si>
    <t>NÚMERO PROGRAMAS</t>
  </si>
  <si>
    <t>Listado de programas de pregrado y posgrado nuevos por año</t>
  </si>
  <si>
    <t>Popayán
Santander de Quilichao</t>
  </si>
  <si>
    <r>
      <rPr>
        <rFont val="Arial Narrow"/>
        <b/>
        <color theme="1"/>
        <sz val="10.0"/>
      </rPr>
      <t xml:space="preserve">Sistema Interno de Gestión para la Acreditación </t>
    </r>
    <r>
      <rPr>
        <rFont val="Arial Narrow"/>
        <b/>
        <color rgb="FFC00000"/>
        <sz val="10.0"/>
      </rPr>
      <t>SiGA</t>
    </r>
  </si>
  <si>
    <t>Procesos Registro Calificado</t>
  </si>
  <si>
    <t>En Espera de Revisión de Mineducación</t>
  </si>
  <si>
    <t>Observación</t>
  </si>
  <si>
    <t>Responsable</t>
  </si>
  <si>
    <t>Maestría En Diseño E Innovación Social</t>
  </si>
  <si>
    <t>Está en Comité Curricular Central</t>
  </si>
  <si>
    <t>Laura Sandoval</t>
  </si>
  <si>
    <t>Maestría En Curaduría e Historia del Arte</t>
  </si>
  <si>
    <t>José Heiner Calero,  Carlos Quintero</t>
  </si>
  <si>
    <t>Facultad Ciencias Contables, Económicas y Administrativas</t>
  </si>
  <si>
    <t>Maestría en Cooperación Internacional-Popayán</t>
  </si>
  <si>
    <t>Proceso de radicación en SACES</t>
  </si>
  <si>
    <t>Héctor Alejandro Sánchez</t>
  </si>
  <si>
    <t>Posdoctorado en Ciencias Humanas y Sociales</t>
  </si>
  <si>
    <t>Augusto Velasquez Forero</t>
  </si>
  <si>
    <t>Maestría en Planeación y Gestión del  Desarrollo Territorios en Paz</t>
  </si>
  <si>
    <t>Se devolvió a Vice Académica, No tiene aval de ninguna Facultad</t>
  </si>
  <si>
    <t>Aura Teresa Palacios</t>
  </si>
  <si>
    <t>Facultad Ciencias de la Salud</t>
  </si>
  <si>
    <t>Enfermería - Santander De Quilichao</t>
  </si>
  <si>
    <t>Pendiente respuesta Mineducación</t>
  </si>
  <si>
    <t>Centro de Regionalización</t>
  </si>
  <si>
    <t>Maestría en Ciencias Biomédicas</t>
  </si>
  <si>
    <t>Reinel Vásquez</t>
  </si>
  <si>
    <t>Facultad Ciencias Naturales, Exactas y de la Educación</t>
  </si>
  <si>
    <t xml:space="preserve">Doctorado en Educación </t>
  </si>
  <si>
    <t>Deibar René Huratdo</t>
  </si>
  <si>
    <t>Facultad Derecho, Ciencias Políticas y Sociales</t>
  </si>
  <si>
    <t>Maestría En Derecho Diferenciados En Legislación Para Comunidades Etnicas</t>
  </si>
  <si>
    <t>Aristides Obando Cabezas</t>
  </si>
  <si>
    <t>Doctorado En Derecho</t>
  </si>
  <si>
    <t>Llegó a Consejo Superior. Hicieron observaciones, pero no continuó con el trámite</t>
  </si>
  <si>
    <t>Maestría En Derecho Económico</t>
  </si>
  <si>
    <t>Entregó la primera versión. Acta 093 del 23 de mayo de 2016. A la fecha no han conitnuado con el trámite</t>
  </si>
  <si>
    <t>Alvaro Luis Palta, Julio César Piamba</t>
  </si>
  <si>
    <t>Especialización En Derecho Tributario</t>
  </si>
  <si>
    <t>No entregaron propuesta</t>
  </si>
  <si>
    <t>Listas desplegables</t>
  </si>
  <si>
    <t>Salas</t>
  </si>
  <si>
    <t>Sala de Admon de Empresas y Derecho</t>
  </si>
  <si>
    <t>Sala de Artes y Humanidades</t>
  </si>
  <si>
    <t>Sala de Ciencias Sociales, Periodismo e Información</t>
  </si>
  <si>
    <t>Sala de Ciencias Naturales, Matemáticas y Estadística</t>
  </si>
  <si>
    <t>Sala de Tecnologías de la Información y la Comunicación</t>
  </si>
  <si>
    <t>Sala de Ingeniería, Industria y Construcción</t>
  </si>
  <si>
    <t>Sala de Agricultura, Silvicultura, Pesca y Veterinaria</t>
  </si>
  <si>
    <t>Sala de Salud y Bienestar</t>
  </si>
  <si>
    <t>Sala de Trámites Institucionales</t>
  </si>
  <si>
    <t>Si/No</t>
  </si>
  <si>
    <t>Autoevaluacion</t>
  </si>
  <si>
    <t>1ra renovación</t>
  </si>
  <si>
    <t>2. PEP</t>
  </si>
  <si>
    <t>2da renovación</t>
  </si>
  <si>
    <t>3ra renovación</t>
  </si>
  <si>
    <t>4ta renovación</t>
  </si>
  <si>
    <t>6. Calificación</t>
  </si>
  <si>
    <t>7. Análisis</t>
  </si>
  <si>
    <t>8. Socialización del proceso</t>
  </si>
  <si>
    <t>10. Plan de Mejoramiento</t>
  </si>
  <si>
    <t>11.Entrega de documento</t>
  </si>
  <si>
    <t>13. Visita de Pres</t>
  </si>
  <si>
    <t>14. Informe de Pares</t>
  </si>
  <si>
    <t>15. Espera de Resolución</t>
  </si>
  <si>
    <t>16. En el MEN</t>
  </si>
  <si>
    <t>17. Recepción de respuesta</t>
  </si>
  <si>
    <t>Sin información de avance</t>
  </si>
</sst>
</file>

<file path=xl/styles.xml><?xml version="1.0" encoding="utf-8"?>
<styleSheet xmlns="http://schemas.openxmlformats.org/spreadsheetml/2006/main" xmlns:x14ac="http://schemas.microsoft.com/office/spreadsheetml/2009/9/ac" xmlns:mc="http://schemas.openxmlformats.org/markup-compatibility/2006">
  <numFmts count="7">
    <numFmt numFmtId="164" formatCode="D/M/YYYY"/>
    <numFmt numFmtId="165" formatCode="[$-C0A]d\-mmm\-yy"/>
    <numFmt numFmtId="166" formatCode="0;[Red]0"/>
    <numFmt numFmtId="167" formatCode="d/m/yyyy"/>
    <numFmt numFmtId="168" formatCode="[$-F400]h:mm:ss\ AM/PM"/>
    <numFmt numFmtId="169" formatCode="dd/mm/yyyy"/>
    <numFmt numFmtId="170" formatCode="0.0"/>
  </numFmts>
  <fonts count="130">
    <font>
      <sz val="10.0"/>
      <color rgb="FF000000"/>
      <name val="Arial"/>
      <scheme val="minor"/>
    </font>
    <font>
      <b/>
      <sz val="10.0"/>
      <color theme="1"/>
      <name val="Arial Narrow"/>
    </font>
    <font/>
    <font>
      <sz val="10.0"/>
      <color theme="1"/>
      <name val="Arial"/>
    </font>
    <font>
      <b/>
      <u/>
      <sz val="10.0"/>
      <color rgb="FFC00000"/>
      <name val="Arial Narrow"/>
    </font>
    <font>
      <sz val="10.0"/>
      <color theme="0"/>
      <name val="Arial Black"/>
    </font>
    <font>
      <b/>
      <sz val="9.0"/>
      <color theme="0"/>
      <name val="Arial"/>
    </font>
    <font>
      <sz val="8.0"/>
      <color theme="1"/>
      <name val="Arial"/>
    </font>
    <font>
      <b/>
      <sz val="8.0"/>
      <color rgb="FF002060"/>
      <name val="Arial"/>
    </font>
    <font>
      <sz val="10.0"/>
      <color theme="1"/>
      <name val="Arial Narrow"/>
    </font>
    <font>
      <sz val="10.0"/>
      <color rgb="FF000000"/>
      <name val="Arial"/>
    </font>
    <font>
      <b/>
      <sz val="10.0"/>
      <color theme="1"/>
      <name val="Arial"/>
    </font>
    <font>
      <b/>
      <u/>
      <sz val="10.0"/>
      <color rgb="FFC00000"/>
      <name val="Arial Narrow"/>
    </font>
    <font>
      <b/>
      <sz val="10.0"/>
      <color theme="0"/>
      <name val="Arial Narrow"/>
    </font>
    <font>
      <b/>
      <sz val="10.0"/>
      <color rgb="FFDAEEF3"/>
      <name val="Arial Narrow"/>
    </font>
    <font>
      <b/>
      <sz val="10.0"/>
      <color rgb="FFFFFFE7"/>
      <name val="Arial Narrow"/>
    </font>
    <font>
      <u/>
      <sz val="9.0"/>
      <color theme="10"/>
      <name val="Arial"/>
    </font>
    <font>
      <b/>
      <sz val="10.0"/>
      <color rgb="FFC00000"/>
      <name val="Arial Narrow"/>
    </font>
    <font>
      <sz val="9.0"/>
      <color theme="1"/>
      <name val="Arial Narrow"/>
    </font>
    <font>
      <u/>
      <sz val="10.0"/>
      <color theme="10"/>
      <name val="Arial Narrow"/>
    </font>
    <font>
      <b/>
      <sz val="9.0"/>
      <color rgb="FFFFFFFF"/>
      <name val="Arial Narrow"/>
    </font>
    <font>
      <u/>
      <sz val="10.0"/>
      <color theme="10"/>
      <name val="Arial"/>
    </font>
    <font>
      <u/>
      <sz val="10.0"/>
      <color theme="10"/>
      <name val="Arial"/>
    </font>
    <font>
      <u/>
      <sz val="10.0"/>
      <color theme="10"/>
      <name val="Arial"/>
    </font>
    <font>
      <sz val="10.0"/>
      <color theme="10"/>
      <name val="Arial Narrow"/>
    </font>
    <font>
      <sz val="9.0"/>
      <color theme="10"/>
      <name val="Arial"/>
    </font>
    <font>
      <u/>
      <sz val="10.0"/>
      <color theme="10"/>
      <name val="Arial"/>
    </font>
    <font>
      <u/>
      <sz val="10.0"/>
      <color theme="10"/>
      <name val="Arial"/>
    </font>
    <font>
      <sz val="12.0"/>
      <color theme="1"/>
      <name val="Arial Narrow"/>
    </font>
    <font>
      <sz val="10.0"/>
      <color rgb="FFFF0000"/>
      <name val="Arial Narrow"/>
    </font>
    <font>
      <u/>
      <sz val="9.0"/>
      <color rgb="FF0000FF"/>
      <name val="Arial"/>
    </font>
    <font>
      <u/>
      <sz val="9.0"/>
      <color theme="10"/>
      <name val="Arial"/>
    </font>
    <font>
      <i/>
      <sz val="10.0"/>
      <color theme="1"/>
      <name val="Arial Narrow"/>
    </font>
    <font>
      <i/>
      <sz val="9.0"/>
      <color theme="1"/>
      <name val="Arial Narrow"/>
    </font>
    <font>
      <u/>
      <sz val="9.0"/>
      <color theme="10"/>
      <name val="Arial"/>
    </font>
    <font>
      <b/>
      <sz val="10.0"/>
      <color rgb="FFFF0000"/>
      <name val="Arial Narrow"/>
    </font>
    <font>
      <color theme="1"/>
      <name val="Arial"/>
    </font>
    <font>
      <u/>
      <sz val="10.0"/>
      <color rgb="FF0000FF"/>
      <name val="Arial"/>
    </font>
    <font>
      <color theme="1"/>
      <name val="Arial Narrow"/>
    </font>
    <font>
      <u/>
      <color rgb="FF0000FF"/>
      <name val="Arial"/>
    </font>
    <font>
      <b/>
      <color rgb="FFC00000"/>
      <name val="Arial Narrow"/>
    </font>
    <font>
      <u/>
      <sz val="10.0"/>
      <color theme="1"/>
      <name val="Arial"/>
    </font>
    <font>
      <u/>
      <sz val="10.0"/>
      <color rgb="FF0000FF"/>
      <name val="Arial"/>
    </font>
    <font>
      <b/>
      <sz val="9.0"/>
      <color rgb="FFFF0000"/>
      <name val="Arial Narrow"/>
    </font>
    <font>
      <sz val="10.0"/>
      <color rgb="FF000000"/>
      <name val="Arial Narrow"/>
    </font>
    <font>
      <sz val="10.0"/>
      <color rgb="FF0000FF"/>
      <name val="Arial Narrow"/>
    </font>
    <font>
      <b/>
      <u/>
      <sz val="10.0"/>
      <color rgb="FFC00000"/>
      <name val="Arial Narrow"/>
    </font>
    <font>
      <u/>
      <sz val="10.0"/>
      <color theme="10"/>
      <name val="Arial"/>
    </font>
    <font>
      <b/>
      <sz val="10.0"/>
      <color rgb="FFFFFFFF"/>
      <name val="Arial Narrow"/>
    </font>
    <font>
      <u/>
      <sz val="9.0"/>
      <color rgb="FF0000FF"/>
      <name val="Arial"/>
    </font>
    <font>
      <b/>
      <sz val="10.0"/>
      <color rgb="FF980000"/>
      <name val="Arial Narrow"/>
    </font>
    <font>
      <b/>
      <sz val="9.0"/>
      <color rgb="FFC00000"/>
      <name val="Arial Narrow"/>
    </font>
    <font>
      <u/>
      <sz val="9.0"/>
      <color rgb="FF0000FF"/>
      <name val="Arial"/>
    </font>
    <font>
      <u/>
      <sz val="9.0"/>
      <color rgb="FF0000FF"/>
      <name val="Arial"/>
    </font>
    <font>
      <u/>
      <sz val="8.0"/>
      <color theme="10"/>
      <name val="Arial"/>
    </font>
    <font>
      <sz val="10.0"/>
      <color rgb="FF002060"/>
      <name val="Arial Narrow"/>
    </font>
    <font>
      <b/>
      <sz val="9.0"/>
      <color theme="1"/>
      <name val="Arial Narrow"/>
    </font>
    <font>
      <u/>
      <sz val="9.0"/>
      <color theme="10"/>
      <name val="Arial"/>
    </font>
    <font>
      <u/>
      <sz val="10.0"/>
      <color theme="10"/>
      <name val="Arial Narrow"/>
    </font>
    <font>
      <u/>
      <sz val="10.0"/>
      <color theme="10"/>
      <name val="Arial"/>
    </font>
    <font>
      <u/>
      <sz val="9.0"/>
      <color theme="10"/>
      <name val="Arial"/>
    </font>
    <font>
      <u/>
      <sz val="10.0"/>
      <color theme="10"/>
      <name val="Arial"/>
    </font>
    <font>
      <u/>
      <sz val="9.0"/>
      <color theme="10"/>
      <name val="Arial"/>
    </font>
    <font>
      <b/>
      <sz val="12.0"/>
      <color theme="0"/>
      <name val="Arial"/>
    </font>
    <font>
      <b/>
      <sz val="12.0"/>
      <color rgb="FFFFFFFF"/>
      <name val="Arial"/>
    </font>
    <font>
      <color theme="1"/>
      <name val="Arial"/>
      <scheme val="minor"/>
    </font>
    <font>
      <b/>
      <sz val="10.0"/>
      <color rgb="FF000000"/>
      <name val="Arial Narrow"/>
    </font>
    <font>
      <b/>
      <sz val="10.0"/>
      <color rgb="FF002060"/>
      <name val="Arial Narrow"/>
    </font>
    <font>
      <b/>
      <sz val="10.0"/>
      <color rgb="FF244061"/>
      <name val="Arial Narrow"/>
    </font>
    <font>
      <b/>
      <u/>
      <sz val="10.0"/>
      <color rgb="FF000000"/>
      <name val="Arial Narrow"/>
    </font>
    <font>
      <b/>
      <u/>
      <sz val="10.0"/>
      <color rgb="FF000000"/>
      <name val="Arial Narrow"/>
    </font>
    <font>
      <b/>
      <u/>
      <sz val="10.0"/>
      <color rgb="FF000000"/>
      <name val="Arial Narrow"/>
    </font>
    <font>
      <b/>
      <u/>
      <sz val="10.0"/>
      <color rgb="FF000000"/>
      <name val="Arial Narrow"/>
    </font>
    <font>
      <b/>
      <u/>
      <sz val="10.0"/>
      <color rgb="FF000000"/>
      <name val="Arial Narrow"/>
    </font>
    <font>
      <b/>
      <sz val="14.0"/>
      <color theme="0"/>
      <name val="Arial Narrow"/>
    </font>
    <font>
      <b/>
      <u/>
      <sz val="10.0"/>
      <color rgb="FFC00000"/>
      <name val="Arial Narrow"/>
    </font>
    <font>
      <sz val="10.0"/>
      <color theme="0"/>
      <name val="Arial Narrow"/>
    </font>
    <font>
      <b/>
      <sz val="12.0"/>
      <color theme="0"/>
      <name val="Arial Narrow"/>
    </font>
    <font>
      <b/>
      <sz val="12.0"/>
      <color theme="1"/>
      <name val="Arial Narrow"/>
    </font>
    <font>
      <b/>
      <sz val="10.0"/>
      <color rgb="FFFFC000"/>
      <name val="Arial Narrow"/>
    </font>
    <font>
      <b/>
      <u/>
      <sz val="10.0"/>
      <color rgb="FFC00000"/>
      <name val="Arial Narrow"/>
    </font>
    <font>
      <b/>
      <u/>
      <sz val="10.0"/>
      <color rgb="FFC00000"/>
      <name val="Arial Narrow"/>
    </font>
    <font>
      <b/>
      <u/>
      <sz val="10.0"/>
      <color rgb="FFC00000"/>
      <name val="Arial Narrow"/>
    </font>
    <font>
      <u/>
      <sz val="10.0"/>
      <color theme="10"/>
      <name val="Arial Narrow"/>
    </font>
    <font>
      <u/>
      <sz val="10.0"/>
      <color theme="10"/>
      <name val="Arial Narrow"/>
    </font>
    <font>
      <b/>
      <u/>
      <sz val="10.0"/>
      <color rgb="FFC00000"/>
      <name val="Arial Narrow"/>
    </font>
    <font>
      <u/>
      <sz val="10.0"/>
      <color rgb="FF0000FF"/>
      <name val="Arial Narrow"/>
    </font>
    <font>
      <u/>
      <sz val="10.0"/>
      <color theme="10"/>
      <name val="Arial"/>
    </font>
    <font>
      <sz val="10.0"/>
      <color theme="0"/>
      <name val="Arial"/>
    </font>
    <font>
      <u/>
      <sz val="10.0"/>
      <color theme="10"/>
      <name val="Arial"/>
    </font>
    <font>
      <u/>
      <sz val="10.0"/>
      <color theme="10"/>
      <name val="Arial Narrow"/>
    </font>
    <font>
      <b/>
      <u/>
      <sz val="10.0"/>
      <color rgb="FFC00000"/>
      <name val="Arial Narrow"/>
    </font>
    <font>
      <u/>
      <sz val="10.0"/>
      <color theme="10"/>
      <name val="Arial Narrow"/>
    </font>
    <font>
      <sz val="11.0"/>
      <color theme="1"/>
      <name val="Calibri"/>
    </font>
    <font>
      <b/>
      <u/>
      <sz val="12.0"/>
      <color theme="0"/>
      <name val="Arial Narrow"/>
    </font>
    <font>
      <b/>
      <u/>
      <sz val="10.0"/>
      <color rgb="FFC00000"/>
      <name val="Arial Narrow"/>
    </font>
    <font>
      <u/>
      <sz val="10.0"/>
      <color rgb="FF0000FF"/>
      <name val="Arial Narrow"/>
    </font>
    <font>
      <b/>
      <u/>
      <sz val="10.0"/>
      <color rgb="FFC00000"/>
      <name val="Arial Narrow"/>
    </font>
    <font>
      <u/>
      <sz val="10.0"/>
      <color rgb="FF0000FF"/>
      <name val="Arial Narrow"/>
    </font>
    <font>
      <u/>
      <sz val="10.0"/>
      <color theme="10"/>
      <name val="Arial Narrow"/>
    </font>
    <font>
      <u/>
      <sz val="10.0"/>
      <color theme="10"/>
      <name val="Arial Narrow"/>
    </font>
    <font>
      <u/>
      <sz val="10.0"/>
      <color theme="10"/>
      <name val="Arial Narrow"/>
    </font>
    <font>
      <u/>
      <sz val="10.0"/>
      <color theme="10"/>
      <name val="Arial Narrow"/>
    </font>
    <font>
      <u/>
      <sz val="10.0"/>
      <color theme="10"/>
      <name val="Arial Narrow"/>
    </font>
    <font>
      <u/>
      <sz val="10.0"/>
      <color theme="10"/>
      <name val="Arial Narrow"/>
    </font>
    <font>
      <b/>
      <u/>
      <sz val="10.0"/>
      <color rgb="FFC00000"/>
      <name val="Arial Narrow"/>
    </font>
    <font>
      <b/>
      <u/>
      <sz val="10.0"/>
      <color rgb="FFC00000"/>
      <name val="Arial Narrow"/>
    </font>
    <font>
      <b/>
      <sz val="10.0"/>
      <color theme="0"/>
      <name val="Arial"/>
    </font>
    <font>
      <b/>
      <sz val="9.0"/>
      <color theme="0"/>
      <name val="Arial Narrow"/>
    </font>
    <font>
      <u/>
      <sz val="10.0"/>
      <color theme="1"/>
      <name val="Arial Narrow"/>
    </font>
    <font>
      <b/>
      <sz val="10.0"/>
      <color rgb="FFFFFF00"/>
      <name val="Arial Narrow"/>
    </font>
    <font>
      <b/>
      <sz val="12.0"/>
      <color theme="1"/>
      <name val="Arial"/>
    </font>
    <font>
      <u/>
      <sz val="10.0"/>
      <color theme="1"/>
      <name val="Arial Narrow"/>
    </font>
    <font>
      <b/>
      <u/>
      <sz val="10.0"/>
      <color rgb="FFC00000"/>
      <name val="Arial Narrow"/>
    </font>
    <font>
      <b/>
      <u/>
      <sz val="10.0"/>
      <color rgb="FFC00000"/>
      <name val="Arial Narrow"/>
    </font>
    <font>
      <u/>
      <sz val="10.0"/>
      <color theme="1"/>
      <name val="Arial Narrow"/>
    </font>
    <font>
      <b/>
      <u/>
      <sz val="10.0"/>
      <color rgb="FF0000FF"/>
      <name val="Arial Narrow"/>
    </font>
    <font>
      <sz val="9.0"/>
      <color theme="0"/>
      <name val="Arial Narrow"/>
    </font>
    <font>
      <b/>
      <u/>
      <sz val="10.0"/>
      <color rgb="FFC00000"/>
      <name val="Arial Narrow"/>
    </font>
    <font>
      <u/>
      <sz val="10.0"/>
      <color theme="10"/>
      <name val="Arial"/>
    </font>
    <font>
      <u/>
      <sz val="10.0"/>
      <color theme="10"/>
      <name val="Arial"/>
    </font>
    <font>
      <u/>
      <sz val="10.0"/>
      <color rgb="FF0000FF"/>
      <name val="Arial Narrow"/>
    </font>
    <font>
      <b/>
      <sz val="10.0"/>
      <color rgb="FF548DD4"/>
      <name val="Arial Narrow"/>
    </font>
    <font>
      <b/>
      <sz val="10.0"/>
      <color rgb="FF00B0F0"/>
      <name val="Arial Narrow"/>
    </font>
    <font>
      <b/>
      <sz val="10.0"/>
      <color rgb="FF00B050"/>
      <name val="Arial Narrow"/>
    </font>
    <font>
      <b/>
      <sz val="10.0"/>
      <color rgb="FFED78F0"/>
      <name val="Arial Narrow"/>
    </font>
    <font>
      <b/>
      <sz val="10.0"/>
      <color rgb="FFC4BD97"/>
      <name val="Arial Narrow"/>
    </font>
    <font>
      <b/>
      <sz val="16.0"/>
      <color theme="0"/>
      <name val="Arial Narrow"/>
    </font>
    <font>
      <b/>
      <sz val="10.0"/>
      <color rgb="FFFFFFEF"/>
      <name val="Arial Narrow"/>
    </font>
    <font>
      <u/>
      <sz val="10.0"/>
      <color rgb="FFC00000"/>
      <name val="Arial"/>
    </font>
  </fonts>
  <fills count="51">
    <fill>
      <patternFill patternType="none"/>
    </fill>
    <fill>
      <patternFill patternType="lightGray"/>
    </fill>
    <fill>
      <patternFill patternType="solid">
        <fgColor rgb="FFFEFEFE"/>
        <bgColor rgb="FFFEFEFE"/>
      </patternFill>
    </fill>
    <fill>
      <patternFill patternType="solid">
        <fgColor rgb="FF002060"/>
        <bgColor rgb="FF002060"/>
      </patternFill>
    </fill>
    <fill>
      <patternFill patternType="solid">
        <fgColor rgb="FFC00000"/>
        <bgColor rgb="FFC00000"/>
      </patternFill>
    </fill>
    <fill>
      <patternFill patternType="solid">
        <fgColor rgb="FFF2F2F2"/>
        <bgColor rgb="FFF2F2F2"/>
      </patternFill>
    </fill>
    <fill>
      <patternFill patternType="solid">
        <fgColor rgb="FFFFFF00"/>
        <bgColor rgb="FFFFFF00"/>
      </patternFill>
    </fill>
    <fill>
      <patternFill patternType="solid">
        <fgColor theme="0"/>
        <bgColor theme="0"/>
      </patternFill>
    </fill>
    <fill>
      <patternFill patternType="solid">
        <fgColor rgb="FFFFC000"/>
        <bgColor rgb="FFFFC000"/>
      </patternFill>
    </fill>
    <fill>
      <patternFill patternType="solid">
        <fgColor rgb="FFCC00CC"/>
        <bgColor rgb="FFCC00CC"/>
      </patternFill>
    </fill>
    <fill>
      <patternFill patternType="solid">
        <fgColor rgb="FFEFF9FF"/>
        <bgColor rgb="FFEFF9FF"/>
      </patternFill>
    </fill>
    <fill>
      <patternFill patternType="solid">
        <fgColor rgb="FFFFFFE7"/>
        <bgColor rgb="FFFFFFE7"/>
      </patternFill>
    </fill>
    <fill>
      <patternFill patternType="solid">
        <fgColor rgb="FFFDFDFD"/>
        <bgColor rgb="FFFDFDFD"/>
      </patternFill>
    </fill>
    <fill>
      <patternFill patternType="solid">
        <fgColor rgb="FF00B050"/>
        <bgColor rgb="FF00B050"/>
      </patternFill>
    </fill>
    <fill>
      <patternFill patternType="solid">
        <fgColor rgb="FFFFFFFF"/>
        <bgColor rgb="FFFFFFFF"/>
      </patternFill>
    </fill>
    <fill>
      <patternFill patternType="solid">
        <fgColor rgb="FFF50F0F"/>
        <bgColor rgb="FFF50F0F"/>
      </patternFill>
    </fill>
    <fill>
      <patternFill patternType="solid">
        <fgColor rgb="FF00B0F0"/>
        <bgColor rgb="FF00B0F0"/>
      </patternFill>
    </fill>
    <fill>
      <patternFill patternType="solid">
        <fgColor rgb="FFFDE9D9"/>
        <bgColor rgb="FFFDE9D9"/>
      </patternFill>
    </fill>
    <fill>
      <patternFill patternType="solid">
        <fgColor rgb="FFFFE101"/>
        <bgColor rgb="FFFFE101"/>
      </patternFill>
    </fill>
    <fill>
      <patternFill patternType="solid">
        <fgColor rgb="FFD99594"/>
        <bgColor rgb="FFD99594"/>
      </patternFill>
    </fill>
    <fill>
      <patternFill patternType="solid">
        <fgColor rgb="FFF8EFD4"/>
        <bgColor rgb="FFF8EFD4"/>
      </patternFill>
    </fill>
    <fill>
      <patternFill patternType="solid">
        <fgColor rgb="FF00FF00"/>
        <bgColor rgb="FF00FF00"/>
      </patternFill>
    </fill>
    <fill>
      <patternFill patternType="solid">
        <fgColor rgb="FF366092"/>
        <bgColor rgb="FF366092"/>
      </patternFill>
    </fill>
    <fill>
      <patternFill patternType="solid">
        <fgColor rgb="FFD9EAD3"/>
        <bgColor rgb="FFD9EAD3"/>
      </patternFill>
    </fill>
    <fill>
      <patternFill patternType="solid">
        <fgColor rgb="FFF2B67A"/>
        <bgColor rgb="FFF2B67A"/>
      </patternFill>
    </fill>
    <fill>
      <patternFill patternType="solid">
        <fgColor rgb="FF9CEECD"/>
        <bgColor rgb="FF9CEECD"/>
      </patternFill>
    </fill>
    <fill>
      <patternFill patternType="solid">
        <fgColor theme="1"/>
        <bgColor theme="1"/>
      </patternFill>
    </fill>
    <fill>
      <patternFill patternType="solid">
        <fgColor rgb="FFE5DFEC"/>
        <bgColor rgb="FFE5DFEC"/>
      </patternFill>
    </fill>
    <fill>
      <patternFill patternType="solid">
        <fgColor rgb="FFF9F6BF"/>
        <bgColor rgb="FFF9F6BF"/>
      </patternFill>
    </fill>
    <fill>
      <patternFill patternType="solid">
        <fgColor rgb="FFC2D69B"/>
        <bgColor rgb="FFC2D69B"/>
      </patternFill>
    </fill>
    <fill>
      <patternFill patternType="solid">
        <fgColor rgb="FFDBE5F1"/>
        <bgColor rgb="FFDBE5F1"/>
      </patternFill>
    </fill>
    <fill>
      <patternFill patternType="solid">
        <fgColor rgb="FF7F7F7F"/>
        <bgColor rgb="FF7F7F7F"/>
      </patternFill>
    </fill>
    <fill>
      <patternFill patternType="solid">
        <fgColor rgb="FF0070C0"/>
        <bgColor rgb="FF0070C0"/>
      </patternFill>
    </fill>
    <fill>
      <patternFill patternType="solid">
        <fgColor rgb="FFCC9900"/>
        <bgColor rgb="FFCC9900"/>
      </patternFill>
    </fill>
    <fill>
      <patternFill patternType="solid">
        <fgColor rgb="FFD8D8D8"/>
        <bgColor rgb="FFD8D8D8"/>
      </patternFill>
    </fill>
    <fill>
      <patternFill patternType="solid">
        <fgColor rgb="FF92D050"/>
        <bgColor rgb="FF92D050"/>
      </patternFill>
    </fill>
    <fill>
      <patternFill patternType="solid">
        <fgColor rgb="FFE36C09"/>
        <bgColor rgb="FFE36C09"/>
      </patternFill>
    </fill>
    <fill>
      <patternFill patternType="solid">
        <fgColor rgb="FFFF0000"/>
        <bgColor rgb="FFFF0000"/>
      </patternFill>
    </fill>
    <fill>
      <patternFill patternType="solid">
        <fgColor theme="7"/>
        <bgColor theme="7"/>
      </patternFill>
    </fill>
    <fill>
      <patternFill patternType="solid">
        <fgColor rgb="FF7030A0"/>
        <bgColor rgb="FF7030A0"/>
      </patternFill>
    </fill>
    <fill>
      <patternFill patternType="solid">
        <fgColor theme="4"/>
        <bgColor theme="4"/>
      </patternFill>
    </fill>
    <fill>
      <patternFill patternType="solid">
        <fgColor rgb="FFD6E3BC"/>
        <bgColor rgb="FFD6E3BC"/>
      </patternFill>
    </fill>
    <fill>
      <patternFill patternType="solid">
        <fgColor rgb="FFB6DDE8"/>
        <bgColor rgb="FFB6DDE8"/>
      </patternFill>
    </fill>
    <fill>
      <patternFill patternType="solid">
        <fgColor rgb="FFB2A1C7"/>
        <bgColor rgb="FFB2A1C7"/>
      </patternFill>
    </fill>
    <fill>
      <patternFill patternType="solid">
        <fgColor rgb="FF548DD4"/>
        <bgColor rgb="FF548DD4"/>
      </patternFill>
    </fill>
    <fill>
      <patternFill patternType="solid">
        <fgColor rgb="FFD298F6"/>
        <bgColor rgb="FFD298F6"/>
      </patternFill>
    </fill>
    <fill>
      <patternFill patternType="solid">
        <fgColor rgb="FFC9F490"/>
        <bgColor rgb="FFC9F490"/>
      </patternFill>
    </fill>
    <fill>
      <patternFill patternType="solid">
        <fgColor rgb="FF8AE4EE"/>
        <bgColor rgb="FF8AE4EE"/>
      </patternFill>
    </fill>
    <fill>
      <patternFill patternType="solid">
        <fgColor rgb="FFFBD4B4"/>
        <bgColor rgb="FFFBD4B4"/>
      </patternFill>
    </fill>
    <fill>
      <patternFill patternType="solid">
        <fgColor rgb="FFBFBFBF"/>
        <bgColor rgb="FFBFBFBF"/>
      </patternFill>
    </fill>
    <fill>
      <patternFill patternType="solid">
        <fgColor rgb="FFFFFFEF"/>
        <bgColor rgb="FFFFFFEF"/>
      </patternFill>
    </fill>
  </fills>
  <borders count="161">
    <border/>
    <border>
      <left style="thin">
        <color theme="0"/>
      </left>
    </border>
    <border>
      <right style="thin">
        <color theme="0"/>
      </right>
    </border>
    <border>
      <left/>
      <top/>
      <bottom/>
    </border>
    <border>
      <top/>
      <bottom/>
    </border>
    <border>
      <left/>
      <right/>
      <top/>
      <bottom/>
    </border>
    <border>
      <left/>
      <top/>
      <bottom style="thin">
        <color theme="0"/>
      </bottom>
    </border>
    <border>
      <top/>
      <bottom style="thin">
        <color theme="0"/>
      </bottom>
    </border>
    <border>
      <left style="medium">
        <color rgb="FFA5A5A5"/>
      </left>
      <right/>
      <top/>
    </border>
    <border>
      <left/>
      <right/>
      <top/>
    </border>
    <border>
      <left/>
      <right style="medium">
        <color rgb="FFA5A5A5"/>
      </right>
      <top/>
    </border>
    <border>
      <left style="medium">
        <color rgb="FFA5A5A5"/>
      </left>
      <right/>
    </border>
    <border>
      <left/>
      <right/>
    </border>
    <border>
      <left/>
      <right style="medium">
        <color rgb="FFA5A5A5"/>
      </right>
    </border>
    <border>
      <left style="medium">
        <color rgb="FFA5A5A5"/>
      </left>
      <top/>
      <bottom/>
    </border>
    <border>
      <right style="medium">
        <color rgb="FFA5A5A5"/>
      </right>
      <top/>
      <bottom/>
    </border>
    <border>
      <left style="medium">
        <color rgb="FFA5A5A5"/>
      </left>
      <right/>
      <top/>
      <bottom/>
    </border>
    <border>
      <left/>
      <right style="medium">
        <color rgb="FFA5A5A5"/>
      </right>
      <top/>
      <bottom/>
    </border>
    <border>
      <left style="medium">
        <color rgb="FFA5A5A5"/>
      </left>
      <right/>
      <top/>
      <bottom style="medium">
        <color rgb="FFA5A5A5"/>
      </bottom>
    </border>
    <border>
      <left/>
      <right/>
      <top/>
      <bottom style="medium">
        <color rgb="FFA5A5A5"/>
      </bottom>
    </border>
    <border>
      <left/>
      <right style="medium">
        <color rgb="FFA5A5A5"/>
      </right>
      <top/>
      <bottom style="medium">
        <color rgb="FFA5A5A5"/>
      </bottom>
    </border>
    <border>
      <left style="thin">
        <color rgb="FFBFBFBF"/>
      </left>
      <right style="thin">
        <color rgb="FFBFBFBF"/>
      </right>
      <top/>
      <bottom/>
    </border>
    <border>
      <left style="thin">
        <color rgb="FFBFBFBF"/>
      </left>
      <right/>
      <top/>
      <bottom/>
    </border>
    <border>
      <left style="thin">
        <color rgb="FFBFBFBF"/>
      </left>
      <right style="thin">
        <color rgb="FFBFBFBF"/>
      </right>
      <top style="thin">
        <color rgb="FFBFBFBF"/>
      </top>
      <bottom style="thin">
        <color rgb="FFBFBFBF"/>
      </bottom>
    </border>
    <border>
      <left/>
      <right style="thin">
        <color rgb="FFBFBFBF"/>
      </right>
      <top/>
      <bottom/>
    </border>
    <border>
      <left style="thin">
        <color rgb="FFA5A5A5"/>
      </left>
      <right style="thin">
        <color rgb="FFA5A5A5"/>
      </right>
      <top/>
      <bottom/>
    </border>
    <border>
      <left style="thin">
        <color rgb="FFBFBFBF"/>
      </left>
      <right style="thin">
        <color rgb="FFBFBFBF"/>
      </right>
      <top style="thin">
        <color rgb="FFBFBFBF"/>
      </top>
      <bottom/>
    </border>
    <border>
      <left style="medium">
        <color rgb="FF002060"/>
      </left>
      <right style="thin">
        <color rgb="FFBFBFBF"/>
      </right>
      <top style="thin">
        <color rgb="FFBFBFBF"/>
      </top>
      <bottom style="thin">
        <color rgb="FFBFBFBF"/>
      </bottom>
    </border>
    <border>
      <left style="thin">
        <color rgb="FFBFBFBF"/>
      </left>
      <top style="thin">
        <color rgb="FFBFBFBF"/>
      </top>
      <bottom style="thin">
        <color rgb="FFBFBFBF"/>
      </bottom>
    </border>
    <border>
      <left style="thin">
        <color rgb="FFBFBFBF"/>
      </left>
      <right/>
      <top style="thin">
        <color rgb="FFBFBFBF"/>
      </top>
      <bottom style="thin">
        <color rgb="FFBFBFBF"/>
      </bottom>
    </border>
    <border>
      <right style="thin">
        <color rgb="FFBFBFBF"/>
      </right>
      <top style="thin">
        <color rgb="FFBFBFBF"/>
      </top>
      <bottom style="thin">
        <color rgb="FFBFBFBF"/>
      </bottom>
    </border>
    <border>
      <left style="thin">
        <color rgb="FFA5A5A5"/>
      </left>
      <right style="thin">
        <color rgb="FFA5A5A5"/>
      </right>
      <top style="thin">
        <color rgb="FFA5A5A5"/>
      </top>
      <bottom style="thin">
        <color rgb="FFA5A5A5"/>
      </bottom>
    </border>
    <border>
      <left style="thin">
        <color rgb="FFBFBFBF"/>
      </left>
      <right style="medium">
        <color rgb="FF000000"/>
      </right>
      <top style="thin">
        <color rgb="FFBFBFBF"/>
      </top>
      <bottom style="thin">
        <color rgb="FFBFBFBF"/>
      </bottom>
    </border>
    <border>
      <left/>
      <right style="thin">
        <color rgb="FFBFBFBF"/>
      </right>
      <top style="thin">
        <color rgb="FFBFBFBF"/>
      </top>
      <bottom style="thin">
        <color rgb="FFBFBFBF"/>
      </bottom>
    </border>
    <border>
      <left style="medium">
        <color rgb="FF000000"/>
      </left>
      <right style="thin">
        <color rgb="FFBFBFBF"/>
      </right>
      <top style="thin">
        <color rgb="FFBFBFBF"/>
      </top>
      <bottom style="thin">
        <color rgb="FFBFBFBF"/>
      </bottom>
    </border>
    <border>
      <left style="thin">
        <color rgb="FFBFBFBF"/>
      </left>
      <right/>
      <top style="thin">
        <color rgb="FFBFBFBF"/>
      </top>
      <bottom/>
    </border>
    <border>
      <left style="thin">
        <color rgb="FFBFBFBF"/>
      </left>
      <right style="thin">
        <color rgb="FFBFBFBF"/>
      </right>
      <top style="thin">
        <color rgb="FFBFBFBF"/>
      </top>
    </border>
    <border>
      <left style="thin">
        <color rgb="FFBFBFBF"/>
      </left>
      <top style="thin">
        <color rgb="FFBFBFBF"/>
      </top>
    </border>
    <border>
      <right style="thin">
        <color rgb="FFBFBFBF"/>
      </right>
      <top style="thin">
        <color rgb="FFBFBFBF"/>
      </top>
    </border>
    <border>
      <left style="thin">
        <color rgb="FFBFBFBF"/>
      </left>
      <right/>
      <top style="thin">
        <color rgb="FFBFBFBF"/>
      </top>
    </border>
    <border>
      <left style="thin">
        <color rgb="FFA5A5A5"/>
      </left>
      <right style="thin">
        <color rgb="FFA5A5A5"/>
      </right>
      <top style="thin">
        <color rgb="FFA5A5A5"/>
      </top>
    </border>
    <border>
      <left style="thin">
        <color rgb="FFBFBFBF"/>
      </left>
      <right style="medium">
        <color rgb="FF000000"/>
      </right>
      <top style="thin">
        <color rgb="FFBFBFBF"/>
      </top>
    </border>
    <border>
      <left style="thin">
        <color rgb="FFB7B7B7"/>
      </left>
      <right style="thin">
        <color rgb="FFB7B7B7"/>
      </right>
      <top style="thin">
        <color rgb="FFB7B7B7"/>
      </top>
      <bottom style="thin">
        <color rgb="FFB7B7B7"/>
      </bottom>
    </border>
    <border>
      <left/>
      <right/>
      <bottom/>
    </border>
    <border>
      <left/>
      <right style="thin">
        <color rgb="FF000000"/>
      </right>
      <top/>
      <bottom style="thin">
        <color rgb="FF000000"/>
      </bottom>
    </border>
    <border>
      <left style="thin">
        <color rgb="FF000000"/>
      </left>
      <right style="thin">
        <color rgb="FF000000"/>
      </right>
      <top/>
      <bottom style="thin">
        <color rgb="FF000000"/>
      </bottom>
    </border>
    <border>
      <left style="thin">
        <color rgb="FF000000"/>
      </left>
      <right/>
      <top/>
      <bottom style="thin">
        <color rgb="FF000000"/>
      </bottom>
    </border>
    <border>
      <left/>
      <right/>
      <top/>
      <bottom style="thin">
        <color rgb="FF000000"/>
      </bottom>
    </border>
    <border>
      <left style="thin">
        <color rgb="FF000000"/>
      </left>
      <right style="thin">
        <color rgb="FF000000"/>
      </right>
      <top style="thin">
        <color rgb="FF000000"/>
      </top>
      <bottom style="thin">
        <color rgb="FF000000"/>
      </bottom>
    </border>
    <border>
      <left/>
      <right style="thin">
        <color rgb="FF000000"/>
      </right>
      <top style="thin">
        <color rgb="FF000000"/>
      </top>
      <bottom style="thin">
        <color rgb="FF000000"/>
      </bottom>
    </border>
    <border>
      <right style="thin">
        <color rgb="FF000000"/>
      </right>
      <top style="thin">
        <color rgb="FF000000"/>
      </top>
      <bottom style="thin">
        <color rgb="FF000000"/>
      </bottom>
    </border>
    <border>
      <left style="thin">
        <color rgb="FF000000"/>
      </left>
      <right/>
      <top style="thin">
        <color rgb="FF000000"/>
      </top>
      <bottom style="thin">
        <color rgb="FF000000"/>
      </bottom>
    </border>
    <border>
      <left style="thin">
        <color rgb="FF000000"/>
      </left>
      <right style="thin">
        <color rgb="FF000000"/>
      </right>
      <top style="thin">
        <color rgb="FF000000"/>
      </top>
      <bottom/>
    </border>
    <border>
      <right style="thin">
        <color theme="0"/>
      </right>
      <top style="thin">
        <color theme="0"/>
      </top>
      <bottom style="thin">
        <color theme="0"/>
      </bottom>
    </border>
    <border>
      <left style="thin">
        <color theme="0"/>
      </left>
      <right style="thin">
        <color theme="0"/>
      </right>
      <top style="thin">
        <color theme="0"/>
      </top>
      <bottom style="thin">
        <color theme="0"/>
      </bottom>
    </border>
    <border>
      <right style="thin">
        <color theme="0"/>
      </right>
      <top style="thin">
        <color theme="0"/>
      </top>
    </border>
    <border>
      <left/>
      <right style="thin">
        <color theme="0"/>
      </right>
      <top/>
    </border>
    <border>
      <right style="thin">
        <color theme="0"/>
      </right>
      <top/>
    </border>
    <border>
      <left style="thin">
        <color theme="0"/>
      </left>
      <right style="thin">
        <color theme="0"/>
      </right>
      <top/>
    </border>
    <border>
      <left style="thin">
        <color theme="0"/>
      </left>
      <right/>
      <top/>
    </border>
    <border>
      <left style="thin">
        <color rgb="FF000000"/>
      </left>
      <right style="thin">
        <color rgb="FF000000"/>
      </right>
      <top style="thin">
        <color rgb="FF000000"/>
      </top>
    </border>
    <border>
      <left style="thin">
        <color rgb="FF000000"/>
      </left>
      <right style="thin">
        <color rgb="FF000000"/>
      </right>
    </border>
    <border>
      <left style="thin">
        <color rgb="FF000000"/>
      </left>
      <right style="thin">
        <color rgb="FF000000"/>
      </right>
      <bottom style="thin">
        <color rgb="FF000000"/>
      </bottom>
    </border>
    <border>
      <bottom style="medium">
        <color rgb="FFA5A5A5"/>
      </bottom>
    </border>
    <border>
      <top style="medium">
        <color rgb="FFA5A5A5"/>
      </top>
    </border>
    <border>
      <left/>
      <right style="thin">
        <color rgb="FFA5A5A5"/>
      </right>
      <top/>
      <bottom style="thin">
        <color rgb="FFA5A5A5"/>
      </bottom>
    </border>
    <border>
      <right style="thin">
        <color rgb="FFA5A5A5"/>
      </right>
      <bottom style="thin">
        <color rgb="FFA5A5A5"/>
      </bottom>
    </border>
    <border>
      <bottom style="thin">
        <color rgb="FFA5A5A5"/>
      </bottom>
    </border>
    <border>
      <left style="thin">
        <color rgb="FFA5A5A5"/>
      </left>
      <top style="thin">
        <color theme="0"/>
      </top>
      <bottom style="thin">
        <color theme="0"/>
      </bottom>
    </border>
    <border>
      <top style="thin">
        <color theme="0"/>
      </top>
      <bottom style="thin">
        <color theme="0"/>
      </bottom>
    </border>
    <border>
      <top style="thin">
        <color theme="0"/>
      </top>
      <bottom style="thin">
        <color rgb="FFA5A5A5"/>
      </bottom>
    </border>
    <border>
      <left style="thin">
        <color rgb="FFA5A5A5"/>
      </left>
      <top style="thin">
        <color rgb="FFA5A5A5"/>
      </top>
      <bottom style="thin">
        <color rgb="FFA5A5A5"/>
      </bottom>
    </border>
    <border>
      <right style="thin">
        <color rgb="FFA5A5A5"/>
      </right>
      <top style="thin">
        <color rgb="FFA5A5A5"/>
      </top>
      <bottom style="thin">
        <color rgb="FFA5A5A5"/>
      </bottom>
    </border>
    <border>
      <top style="thin">
        <color rgb="FFA5A5A5"/>
      </top>
    </border>
    <border>
      <left style="thin">
        <color theme="0"/>
      </left>
      <right style="thin">
        <color theme="0"/>
      </right>
      <bottom style="thin">
        <color theme="0"/>
      </bottom>
    </border>
    <border>
      <left style="thin">
        <color theme="0"/>
      </left>
      <top style="thin">
        <color rgb="FFBFBFBF"/>
      </top>
    </border>
    <border>
      <left style="thin">
        <color theme="0"/>
      </left>
      <top style="thin">
        <color theme="0"/>
      </top>
      <bottom style="thin">
        <color theme="0"/>
      </bottom>
    </border>
    <border>
      <left style="thin">
        <color theme="0"/>
      </left>
      <right style="thin">
        <color theme="0"/>
      </right>
      <top style="thin">
        <color theme="0"/>
      </top>
    </border>
    <border>
      <left style="thin">
        <color theme="0"/>
      </left>
      <top style="thin">
        <color theme="0"/>
      </top>
    </border>
    <border>
      <left style="thin">
        <color rgb="FF000000"/>
      </left>
      <top style="thin">
        <color rgb="FF000000"/>
      </top>
      <bottom style="thin">
        <color rgb="FF000000"/>
      </bottom>
    </border>
    <border>
      <top style="thin">
        <color rgb="FF000000"/>
      </top>
      <bottom style="thin">
        <color rgb="FF000000"/>
      </bottom>
    </border>
    <border>
      <left style="thin">
        <color theme="0"/>
      </left>
      <top style="thin">
        <color rgb="FFBFBFBF"/>
      </top>
      <bottom style="thin">
        <color theme="0"/>
      </bottom>
    </border>
    <border>
      <top style="thin">
        <color rgb="FFBFBFBF"/>
      </top>
      <bottom style="thin">
        <color theme="0"/>
      </bottom>
    </border>
    <border>
      <right style="thin">
        <color theme="0"/>
      </right>
      <top style="thin">
        <color rgb="FFBFBFBF"/>
      </top>
      <bottom style="thin">
        <color theme="0"/>
      </bottom>
    </border>
    <border>
      <top style="thin">
        <color theme="0"/>
      </top>
    </border>
    <border>
      <left style="thin">
        <color rgb="FFBFBFBF"/>
      </left>
      <right style="thin">
        <color rgb="FFBFBFBF"/>
      </right>
      <bottom style="thin">
        <color rgb="FFBFBFBF"/>
      </bottom>
    </border>
    <border>
      <left style="thin">
        <color rgb="FF000000"/>
      </left>
      <top style="thin">
        <color theme="0"/>
      </top>
      <bottom style="thin">
        <color theme="0"/>
      </bottom>
    </border>
    <border>
      <right style="thin">
        <color rgb="FF000000"/>
      </right>
      <top style="thin">
        <color theme="0"/>
      </top>
      <bottom style="thin">
        <color theme="0"/>
      </bottom>
    </border>
    <border>
      <left style="thin">
        <color rgb="FF000000"/>
      </left>
      <right style="thin">
        <color theme="0"/>
      </right>
      <top style="thin">
        <color theme="0"/>
      </top>
      <bottom style="thin">
        <color theme="0"/>
      </bottom>
    </border>
    <border>
      <left style="thin">
        <color theme="0"/>
      </left>
      <right style="thin">
        <color theme="0"/>
      </right>
      <top style="thin">
        <color theme="0"/>
      </top>
      <bottom/>
    </border>
    <border>
      <left style="thin">
        <color theme="0"/>
      </left>
      <right style="thin">
        <color rgb="FF000000"/>
      </right>
      <top style="thin">
        <color theme="0"/>
      </top>
      <bottom/>
    </border>
    <border>
      <left style="thin">
        <color rgb="FFA5A5A5"/>
      </left>
      <right style="thin">
        <color rgb="FFA5A5A5"/>
      </right>
      <top style="thin">
        <color rgb="FFA5A5A5"/>
      </top>
      <bottom style="medium">
        <color rgb="FF000000"/>
      </bottom>
    </border>
    <border>
      <top style="medium">
        <color rgb="FF000000"/>
      </top>
    </border>
    <border>
      <left style="thin">
        <color rgb="FFA5A5A5"/>
      </left>
      <right style="thin">
        <color rgb="FFA5A5A5"/>
      </right>
      <top style="medium">
        <color rgb="FF000000"/>
      </top>
      <bottom style="thin">
        <color rgb="FFA5A5A5"/>
      </bottom>
    </border>
    <border>
      <left style="thin">
        <color rgb="FFA5A5A5"/>
      </left>
      <right style="thin">
        <color rgb="FFA5A5A5"/>
      </right>
      <bottom style="thin">
        <color rgb="FFA5A5A5"/>
      </bottom>
    </border>
    <border>
      <bottom style="medium">
        <color rgb="FF000000"/>
      </bottom>
    </border>
    <border>
      <left style="thin">
        <color rgb="FFA5A5A5"/>
      </left>
      <right style="thin">
        <color rgb="FFA5A5A5"/>
      </right>
    </border>
    <border>
      <left style="thin">
        <color rgb="FFA5A5A5"/>
      </left>
      <right style="thin">
        <color rgb="FFA5A5A5"/>
      </right>
      <bottom style="medium">
        <color rgb="FF000000"/>
      </bottom>
    </border>
    <border>
      <left style="thin">
        <color rgb="FF999999"/>
      </left>
      <right style="thin">
        <color rgb="FF999999"/>
      </right>
      <bottom style="thin">
        <color rgb="FF999999"/>
      </bottom>
    </border>
    <border>
      <left style="thin">
        <color rgb="FF999999"/>
      </left>
      <right style="thin">
        <color rgb="FF999999"/>
      </right>
      <top style="thin">
        <color rgb="FF999999"/>
      </top>
      <bottom style="thin">
        <color rgb="FF999999"/>
      </bottom>
    </border>
    <border>
      <top style="thin">
        <color rgb="FFA5A5A5"/>
      </top>
      <bottom style="thin">
        <color rgb="FFA5A5A5"/>
      </bottom>
    </border>
    <border>
      <left style="thin">
        <color rgb="FF999999"/>
      </left>
      <right style="thin">
        <color rgb="FF999999"/>
      </right>
      <top style="thin">
        <color rgb="FF999999"/>
      </top>
      <bottom style="thick">
        <color rgb="FF000000"/>
      </bottom>
    </border>
    <border>
      <top style="thin">
        <color rgb="FFA5A5A5"/>
      </top>
      <bottom style="thick">
        <color rgb="FF000000"/>
      </bottom>
    </border>
    <border>
      <left style="thin">
        <color rgb="FFBFBFBF"/>
      </left>
      <right style="thin">
        <color rgb="FFBFBFBF"/>
      </right>
    </border>
    <border>
      <left style="thin">
        <color rgb="FFA5A5A5"/>
      </left>
    </border>
    <border>
      <left/>
      <right style="thin">
        <color rgb="FFA5A5A5"/>
      </right>
      <top/>
      <bottom/>
    </border>
    <border>
      <left style="thin">
        <color rgb="FFBFBFBF"/>
      </left>
      <right style="thin">
        <color rgb="FFBFBFBF"/>
      </right>
      <top style="medium">
        <color rgb="FF000000"/>
      </top>
    </border>
    <border>
      <left style="thin">
        <color rgb="FFBFBFBF"/>
      </left>
      <right style="thin">
        <color rgb="FFBFBFBF"/>
      </right>
      <top style="medium">
        <color rgb="FF000000"/>
      </top>
      <bottom style="thin">
        <color rgb="FFBFBFBF"/>
      </bottom>
    </border>
    <border>
      <left/>
      <top style="thin">
        <color rgb="FFA5A5A5"/>
      </top>
      <bottom/>
    </border>
    <border>
      <top style="thin">
        <color rgb="FFA5A5A5"/>
      </top>
      <bottom/>
    </border>
    <border>
      <left style="thin">
        <color rgb="FFBFBFBF"/>
      </left>
    </border>
    <border>
      <left style="thin">
        <color rgb="FFD8D8D8"/>
      </left>
      <right style="thin">
        <color rgb="FFD8D8D8"/>
      </right>
      <top style="thin">
        <color rgb="FFD8D8D8"/>
      </top>
    </border>
    <border>
      <left style="thin">
        <color rgb="FFD8D8D8"/>
      </left>
      <right style="thin">
        <color rgb="FFD8D8D8"/>
      </right>
      <top style="thin">
        <color rgb="FFD8D8D8"/>
      </top>
      <bottom style="thin">
        <color rgb="FFD8D8D8"/>
      </bottom>
    </border>
    <border>
      <left style="thin">
        <color rgb="FFD8D8D8"/>
      </left>
    </border>
    <border>
      <left style="thin">
        <color rgb="FFD8D8D8"/>
      </left>
      <right style="thin">
        <color rgb="FFD8D8D8"/>
      </right>
    </border>
    <border>
      <left style="medium">
        <color rgb="FF000000"/>
      </left>
      <right style="thin">
        <color rgb="FFBFBFBF"/>
      </right>
      <top style="medium">
        <color rgb="FF000000"/>
      </top>
      <bottom/>
    </border>
    <border>
      <left style="thin">
        <color rgb="FFBFBFBF"/>
      </left>
      <right style="thin">
        <color rgb="FFBFBFBF"/>
      </right>
      <top style="medium">
        <color rgb="FF000000"/>
      </top>
      <bottom/>
    </border>
    <border>
      <left style="thin">
        <color rgb="FFBFBFBF"/>
      </left>
      <right style="medium">
        <color rgb="FF002060"/>
      </right>
      <top style="medium">
        <color rgb="FF000000"/>
      </top>
      <bottom/>
    </border>
    <border>
      <left style="thin">
        <color rgb="FFBFBFBF"/>
      </left>
      <right style="medium">
        <color rgb="FF000000"/>
      </right>
      <top style="medium">
        <color rgb="FF000000"/>
      </top>
      <bottom/>
    </border>
    <border>
      <right style="medium">
        <color rgb="FF000000"/>
      </right>
    </border>
    <border>
      <left style="thin">
        <color rgb="FFBFBFBF"/>
      </left>
      <right style="medium">
        <color rgb="FF000000"/>
      </right>
      <bottom style="thin">
        <color rgb="FFBFBFBF"/>
      </bottom>
    </border>
    <border>
      <left style="medium">
        <color rgb="FF000000"/>
      </left>
      <right style="thin">
        <color rgb="FFBFBFBF"/>
      </right>
      <top style="thin">
        <color rgb="FFBFBFBF"/>
      </top>
      <bottom style="medium">
        <color rgb="FF000000"/>
      </bottom>
    </border>
    <border>
      <left style="thin">
        <color rgb="FFBFBFBF"/>
      </left>
      <right style="thin">
        <color rgb="FFBFBFBF"/>
      </right>
      <top style="thin">
        <color rgb="FFBFBFBF"/>
      </top>
      <bottom style="medium">
        <color rgb="FF000000"/>
      </bottom>
    </border>
    <border>
      <left style="thin">
        <color rgb="FFBFBFBF"/>
      </left>
      <top style="thin">
        <color rgb="FFBFBFBF"/>
      </top>
      <bottom style="medium">
        <color rgb="FF000000"/>
      </bottom>
    </border>
    <border>
      <left style="thin">
        <color rgb="FFBFBFBF"/>
      </left>
      <right style="medium">
        <color rgb="FF000000"/>
      </right>
      <bottom style="medium">
        <color rgb="FF000000"/>
      </bottom>
    </border>
    <border>
      <left style="thin">
        <color rgb="FFA5A5A5"/>
      </left>
      <right style="thin">
        <color theme="0"/>
      </right>
      <top style="thin">
        <color theme="0"/>
      </top>
      <bottom style="thin">
        <color theme="0"/>
      </bottom>
    </border>
    <border>
      <left style="thin">
        <color rgb="FFBFBFBF"/>
      </left>
      <right style="thin">
        <color theme="0"/>
      </right>
      <top style="thin">
        <color theme="0"/>
      </top>
      <bottom style="thin">
        <color theme="0"/>
      </bottom>
    </border>
    <border>
      <left style="thin">
        <color theme="0"/>
      </left>
      <bottom style="thin">
        <color theme="0"/>
      </bottom>
    </border>
    <border>
      <left style="medium">
        <color rgb="FF000000"/>
      </left>
      <right style="thin">
        <color rgb="FF000000"/>
      </right>
      <top style="medium">
        <color rgb="FF000000"/>
      </top>
      <bottom style="medium">
        <color rgb="FF000000"/>
      </bottom>
    </border>
    <border>
      <left style="thin">
        <color rgb="FF000000"/>
      </left>
      <right style="thin">
        <color rgb="FF000000"/>
      </right>
      <top style="medium">
        <color rgb="FF000000"/>
      </top>
      <bottom style="medium">
        <color rgb="FF000000"/>
      </bottom>
    </border>
    <border>
      <left style="thin">
        <color rgb="FF000000"/>
      </left>
      <right style="medium">
        <color rgb="FF000000"/>
      </right>
      <top style="medium">
        <color rgb="FF000000"/>
      </top>
      <bottom style="medium">
        <color rgb="FF000000"/>
      </bottom>
    </border>
    <border>
      <left style="medium">
        <color rgb="FF000000"/>
      </left>
      <right style="thin">
        <color rgb="FF000000"/>
      </right>
      <top/>
      <bottom style="medium">
        <color rgb="FF000000"/>
      </bottom>
    </border>
    <border>
      <left style="thin">
        <color rgb="FF000000"/>
      </left>
      <right style="thin">
        <color rgb="FF000000"/>
      </right>
      <bottom style="medium">
        <color rgb="FF000000"/>
      </bottom>
    </border>
    <border>
      <left style="thin">
        <color rgb="FF000000"/>
      </left>
      <right style="medium">
        <color rgb="FF000000"/>
      </right>
      <bottom style="medium">
        <color rgb="FF000000"/>
      </bottom>
    </border>
    <border>
      <left style="thin">
        <color rgb="FF000000"/>
      </left>
      <top/>
      <bottom/>
    </border>
    <border>
      <right style="thin">
        <color rgb="FF000000"/>
      </right>
      <top/>
      <bottom/>
    </border>
    <border>
      <left style="thin">
        <color rgb="FF000000"/>
      </left>
      <right style="thin">
        <color rgb="FF000000"/>
      </right>
      <top/>
      <bottom/>
    </border>
    <border>
      <left style="thin">
        <color rgb="FF000000"/>
      </left>
      <top/>
      <bottom style="thin">
        <color rgb="FF000000"/>
      </bottom>
    </border>
    <border>
      <top/>
      <bottom style="thin">
        <color rgb="FF000000"/>
      </bottom>
    </border>
    <border>
      <left style="medium">
        <color rgb="FF002060"/>
      </left>
    </border>
    <border>
      <left style="medium">
        <color rgb="FF000000"/>
      </left>
      <right style="thin">
        <color rgb="FFF2F2F2"/>
      </right>
      <top style="medium">
        <color rgb="FF000000"/>
      </top>
      <bottom/>
    </border>
    <border>
      <left style="thin">
        <color rgb="FFF2F2F2"/>
      </left>
      <right style="thin">
        <color rgb="FFF2F2F2"/>
      </right>
      <top style="medium">
        <color rgb="FF000000"/>
      </top>
      <bottom/>
    </border>
    <border>
      <left style="thin">
        <color rgb="FFF2F2F2"/>
      </left>
      <right/>
      <top style="medium">
        <color rgb="FF000000"/>
      </top>
      <bottom style="thin">
        <color rgb="FFD8D8D8"/>
      </bottom>
    </border>
    <border>
      <left/>
      <right style="thin">
        <color rgb="FFF2F2F2"/>
      </right>
      <top style="medium">
        <color rgb="FF000000"/>
      </top>
      <bottom/>
    </border>
    <border>
      <left style="thin">
        <color rgb="FFF2F2F2"/>
      </left>
      <right style="medium">
        <color rgb="FF000000"/>
      </right>
      <top style="medium">
        <color rgb="FF000000"/>
      </top>
      <bottom/>
    </border>
    <border>
      <left style="medium">
        <color rgb="FF000000"/>
      </left>
      <right style="thin">
        <color rgb="FFD8D8D8"/>
      </right>
      <top style="thin">
        <color rgb="FFD8D8D8"/>
      </top>
      <bottom style="thin">
        <color rgb="FFD8D8D8"/>
      </bottom>
    </border>
    <border>
      <left style="thin">
        <color rgb="FFD8D8D8"/>
      </left>
      <right style="medium">
        <color rgb="FF000000"/>
      </right>
      <top style="thin">
        <color rgb="FFD8D8D8"/>
      </top>
      <bottom style="thin">
        <color rgb="FFD8D8D8"/>
      </bottom>
    </border>
    <border>
      <left style="thin">
        <color rgb="FFD8D8D8"/>
      </left>
      <right/>
      <top style="thin">
        <color rgb="FFD8D8D8"/>
      </top>
      <bottom style="thin">
        <color rgb="FFD8D8D8"/>
      </bottom>
    </border>
    <border>
      <left style="medium">
        <color rgb="FF000000"/>
      </left>
      <right style="thin">
        <color rgb="FFD8D8D8"/>
      </right>
      <top style="thin">
        <color rgb="FFD8D8D8"/>
      </top>
      <bottom style="medium">
        <color rgb="FF000000"/>
      </bottom>
    </border>
    <border>
      <left style="thin">
        <color rgb="FFD8D8D8"/>
      </left>
      <right style="thin">
        <color rgb="FFD8D8D8"/>
      </right>
      <top style="thin">
        <color rgb="FFD8D8D8"/>
      </top>
      <bottom style="medium">
        <color rgb="FF000000"/>
      </bottom>
    </border>
    <border>
      <left style="thin">
        <color rgb="FFD8D8D8"/>
      </left>
      <right/>
      <top style="thin">
        <color rgb="FFD8D8D8"/>
      </top>
      <bottom style="medium">
        <color rgb="FF000000"/>
      </bottom>
    </border>
    <border>
      <left style="thin">
        <color rgb="FFD8D8D8"/>
      </left>
      <right style="medium">
        <color rgb="FF000000"/>
      </right>
      <top style="thin">
        <color rgb="FFD8D8D8"/>
      </top>
      <bottom style="medium">
        <color rgb="FF000000"/>
      </bottom>
    </border>
    <border>
      <left style="thin">
        <color rgb="FFD8D8D8"/>
      </left>
      <right style="thin">
        <color rgb="FFD8D8D8"/>
      </right>
      <bottom style="thin">
        <color rgb="FFD8D8D8"/>
      </bottom>
    </border>
    <border>
      <left style="thin">
        <color rgb="FFD8D8D8"/>
      </left>
      <right style="thin">
        <color rgb="FFD8D8D8"/>
      </right>
      <top style="thin">
        <color rgb="FFD8D8D8"/>
      </top>
      <bottom/>
    </border>
    <border>
      <left style="medium">
        <color rgb="FFA5A5A5"/>
      </left>
      <right style="medium">
        <color rgb="FFA5A5A5"/>
      </right>
      <top style="medium">
        <color rgb="FFA5A5A5"/>
      </top>
      <bottom/>
    </border>
    <border>
      <left style="medium">
        <color rgb="FFA5A5A5"/>
      </left>
      <right style="medium">
        <color rgb="FFA5A5A5"/>
      </right>
      <top style="thin">
        <color rgb="FFA5A5A5"/>
      </top>
      <bottom style="thin">
        <color rgb="FFA5A5A5"/>
      </bottom>
    </border>
    <border>
      <left style="medium">
        <color rgb="FFA5A5A5"/>
      </left>
      <right style="medium">
        <color rgb="FFA5A5A5"/>
      </right>
      <top style="thin">
        <color rgb="FFA5A5A5"/>
      </top>
    </border>
    <border>
      <left style="medium">
        <color rgb="FFA5A5A5"/>
      </left>
      <right style="medium">
        <color rgb="FFA5A5A5"/>
      </right>
      <top style="thin">
        <color rgb="FFA5A5A5"/>
      </top>
      <bottom style="medium">
        <color rgb="FFA5A5A5"/>
      </bottom>
    </border>
    <border>
      <left style="medium">
        <color rgb="FF000000"/>
      </left>
      <right style="medium">
        <color rgb="FF000000"/>
      </right>
      <top style="medium">
        <color rgb="FF000000"/>
      </top>
      <bottom/>
    </border>
    <border>
      <left style="medium">
        <color rgb="FF000000"/>
      </left>
      <right style="medium">
        <color rgb="FF000000"/>
      </right>
    </border>
    <border>
      <left style="medium">
        <color rgb="FF000000"/>
      </left>
      <right style="medium">
        <color rgb="FF000000"/>
      </right>
      <bottom style="medium">
        <color rgb="FF000000"/>
      </bottom>
    </border>
  </borders>
  <cellStyleXfs count="1">
    <xf borderId="0" fillId="0" fontId="0" numFmtId="0" applyAlignment="1" applyFont="1"/>
  </cellStyleXfs>
  <cellXfs count="859">
    <xf borderId="0" fillId="0" fontId="0" numFmtId="0" xfId="0" applyAlignment="1" applyFont="1">
      <alignment readingOrder="0" shrinkToFit="0" vertical="bottom" wrapText="0"/>
    </xf>
    <xf borderId="1" fillId="0" fontId="1" numFmtId="0" xfId="0" applyAlignment="1" applyBorder="1" applyFont="1">
      <alignment horizontal="center" vertical="center"/>
    </xf>
    <xf borderId="2" fillId="0" fontId="2" numFmtId="0" xfId="0" applyBorder="1" applyFont="1"/>
    <xf borderId="3" fillId="2" fontId="1" numFmtId="0" xfId="0" applyAlignment="1" applyBorder="1" applyFill="1" applyFont="1">
      <alignment horizontal="center"/>
    </xf>
    <xf borderId="4" fillId="0" fontId="2" numFmtId="0" xfId="0" applyBorder="1" applyFont="1"/>
    <xf borderId="5" fillId="2" fontId="3" numFmtId="0" xfId="0" applyAlignment="1" applyBorder="1" applyFont="1">
      <alignment horizontal="center"/>
    </xf>
    <xf borderId="6" fillId="2" fontId="4" numFmtId="0" xfId="0" applyAlignment="1" applyBorder="1" applyFont="1">
      <alignment horizontal="center"/>
    </xf>
    <xf borderId="7" fillId="0" fontId="2" numFmtId="0" xfId="0" applyBorder="1" applyFont="1"/>
    <xf borderId="8" fillId="2" fontId="3" numFmtId="0" xfId="0" applyAlignment="1" applyBorder="1" applyFont="1">
      <alignment horizontal="center"/>
    </xf>
    <xf borderId="9" fillId="3" fontId="5" numFmtId="0" xfId="0" applyAlignment="1" applyBorder="1" applyFill="1" applyFont="1">
      <alignment horizontal="center" shrinkToFit="0" vertical="center" wrapText="1"/>
    </xf>
    <xf borderId="9" fillId="4" fontId="6" numFmtId="0" xfId="0" applyAlignment="1" applyBorder="1" applyFill="1" applyFont="1">
      <alignment horizontal="center" shrinkToFit="0" vertical="center" wrapText="1"/>
    </xf>
    <xf borderId="9" fillId="3" fontId="6" numFmtId="0" xfId="0" applyAlignment="1" applyBorder="1" applyFont="1">
      <alignment horizontal="center" shrinkToFit="0" vertical="center" wrapText="1"/>
    </xf>
    <xf borderId="10" fillId="2" fontId="3" numFmtId="0" xfId="0" applyAlignment="1" applyBorder="1" applyFont="1">
      <alignment horizontal="center"/>
    </xf>
    <xf borderId="11" fillId="0" fontId="2" numFmtId="0" xfId="0" applyBorder="1" applyFont="1"/>
    <xf borderId="12" fillId="0" fontId="2" numFmtId="0" xfId="0" applyBorder="1" applyFont="1"/>
    <xf borderId="13" fillId="0" fontId="2" numFmtId="0" xfId="0" applyBorder="1" applyFont="1"/>
    <xf borderId="14" fillId="2" fontId="3" numFmtId="0" xfId="0" applyAlignment="1" applyBorder="1" applyFont="1">
      <alignment horizontal="center"/>
    </xf>
    <xf borderId="15" fillId="0" fontId="2" numFmtId="0" xfId="0" applyBorder="1" applyFont="1"/>
    <xf borderId="16" fillId="2" fontId="3" numFmtId="0" xfId="0" applyAlignment="1" applyBorder="1" applyFont="1">
      <alignment horizontal="center"/>
    </xf>
    <xf borderId="5" fillId="2" fontId="7" numFmtId="0" xfId="0" applyAlignment="1" applyBorder="1" applyFont="1">
      <alignment horizontal="left"/>
    </xf>
    <xf borderId="5" fillId="2" fontId="7" numFmtId="0" xfId="0" applyAlignment="1" applyBorder="1" applyFont="1">
      <alignment horizontal="center"/>
    </xf>
    <xf borderId="17" fillId="2" fontId="3" numFmtId="0" xfId="0" applyAlignment="1" applyBorder="1" applyFont="1">
      <alignment horizontal="center"/>
    </xf>
    <xf borderId="18" fillId="2" fontId="3" numFmtId="0" xfId="0" applyAlignment="1" applyBorder="1" applyFont="1">
      <alignment horizontal="center"/>
    </xf>
    <xf borderId="19" fillId="2" fontId="7" numFmtId="0" xfId="0" applyAlignment="1" applyBorder="1" applyFont="1">
      <alignment horizontal="left"/>
    </xf>
    <xf borderId="19" fillId="2" fontId="3" numFmtId="0" xfId="0" applyAlignment="1" applyBorder="1" applyFont="1">
      <alignment horizontal="center"/>
    </xf>
    <xf borderId="20" fillId="2" fontId="3" numFmtId="0" xfId="0" applyAlignment="1" applyBorder="1" applyFont="1">
      <alignment horizontal="center"/>
    </xf>
    <xf borderId="5" fillId="5" fontId="3" numFmtId="0" xfId="0" applyBorder="1" applyFill="1" applyFont="1"/>
    <xf borderId="5" fillId="6" fontId="8" numFmtId="0" xfId="0" applyBorder="1" applyFill="1" applyFont="1"/>
    <xf borderId="5" fillId="6" fontId="3" numFmtId="0" xfId="0" applyBorder="1" applyFont="1"/>
    <xf borderId="0" fillId="0" fontId="9" numFmtId="0" xfId="0" applyAlignment="1" applyFont="1">
      <alignment horizontal="center" readingOrder="0" vertical="center"/>
    </xf>
    <xf borderId="0" fillId="0" fontId="3" numFmtId="0" xfId="0" applyAlignment="1" applyFont="1">
      <alignment horizontal="center" vertical="center"/>
    </xf>
    <xf borderId="0" fillId="0" fontId="1" numFmtId="0" xfId="0" applyAlignment="1" applyFont="1">
      <alignment shrinkToFit="0" vertical="center" wrapText="1"/>
    </xf>
    <xf borderId="0" fillId="0" fontId="1" numFmtId="0" xfId="0" applyAlignment="1" applyFont="1">
      <alignment horizontal="center" vertical="center"/>
    </xf>
    <xf borderId="5" fillId="7" fontId="10" numFmtId="0" xfId="0" applyBorder="1" applyFill="1" applyFont="1"/>
    <xf borderId="0" fillId="0" fontId="10" numFmtId="0" xfId="0" applyAlignment="1" applyFont="1">
      <alignment horizontal="center" vertical="center"/>
    </xf>
    <xf borderId="0" fillId="0" fontId="11" numFmtId="0" xfId="0" applyFont="1"/>
    <xf borderId="0" fillId="0" fontId="3" numFmtId="0" xfId="0" applyFont="1"/>
    <xf borderId="0" fillId="0" fontId="10" numFmtId="164" xfId="0" applyFont="1" applyNumberFormat="1"/>
    <xf borderId="0" fillId="0" fontId="1" numFmtId="0" xfId="0" applyAlignment="1" applyFont="1">
      <alignment vertical="center"/>
    </xf>
    <xf borderId="5" fillId="7" fontId="1" numFmtId="0" xfId="0" applyAlignment="1" applyBorder="1" applyFont="1">
      <alignment vertical="center"/>
    </xf>
    <xf borderId="0" fillId="0" fontId="12" numFmtId="0" xfId="0" applyAlignment="1" applyFont="1">
      <alignment horizontal="center" vertical="center"/>
    </xf>
    <xf borderId="0" fillId="0" fontId="1" numFmtId="165" xfId="0" applyAlignment="1" applyFont="1" applyNumberFormat="1">
      <alignment horizontal="center" vertical="center"/>
    </xf>
    <xf borderId="0" fillId="0" fontId="1" numFmtId="164" xfId="0" applyAlignment="1" applyFont="1" applyNumberFormat="1">
      <alignment vertical="center"/>
    </xf>
    <xf borderId="0" fillId="0" fontId="3" numFmtId="0" xfId="0" applyAlignment="1" applyFont="1">
      <alignment vertical="center"/>
    </xf>
    <xf borderId="5" fillId="7" fontId="3" numFmtId="0" xfId="0" applyAlignment="1" applyBorder="1" applyFont="1">
      <alignment horizontal="center" vertical="center"/>
    </xf>
    <xf borderId="0" fillId="0" fontId="11" numFmtId="0" xfId="0" applyAlignment="1" applyFont="1">
      <alignment vertical="center"/>
    </xf>
    <xf borderId="0" fillId="0" fontId="3" numFmtId="164" xfId="0" applyAlignment="1" applyFont="1" applyNumberFormat="1">
      <alignment vertical="center"/>
    </xf>
    <xf borderId="21" fillId="3" fontId="13" numFmtId="0" xfId="0" applyAlignment="1" applyBorder="1" applyFont="1">
      <alignment horizontal="center" shrinkToFit="0" vertical="center" wrapText="1"/>
    </xf>
    <xf borderId="22" fillId="3" fontId="13" numFmtId="0" xfId="0" applyAlignment="1" applyBorder="1" applyFont="1">
      <alignment horizontal="center" shrinkToFit="0" vertical="center" wrapText="1"/>
    </xf>
    <xf borderId="21" fillId="3" fontId="14" numFmtId="0" xfId="0" applyAlignment="1" applyBorder="1" applyFont="1">
      <alignment horizontal="center" shrinkToFit="0" vertical="center" wrapText="1"/>
    </xf>
    <xf borderId="22" fillId="3" fontId="15" numFmtId="0" xfId="0" applyAlignment="1" applyBorder="1" applyFont="1">
      <alignment horizontal="center" shrinkToFit="0" vertical="center" wrapText="1"/>
    </xf>
    <xf borderId="23" fillId="3" fontId="15" numFmtId="0" xfId="0" applyAlignment="1" applyBorder="1" applyFont="1">
      <alignment horizontal="center" shrinkToFit="0" vertical="center" wrapText="1"/>
    </xf>
    <xf borderId="24" fillId="3" fontId="13" numFmtId="0" xfId="0" applyAlignment="1" applyBorder="1" applyFont="1">
      <alignment horizontal="center" shrinkToFit="0" vertical="center" wrapText="1"/>
    </xf>
    <xf borderId="21" fillId="4" fontId="13" numFmtId="0" xfId="0" applyAlignment="1" applyBorder="1" applyFont="1">
      <alignment horizontal="center" shrinkToFit="0" vertical="center" wrapText="1"/>
    </xf>
    <xf borderId="21" fillId="4" fontId="13" numFmtId="15" xfId="0" applyAlignment="1" applyBorder="1" applyFont="1" applyNumberFormat="1">
      <alignment horizontal="center" shrinkToFit="0" vertical="center" wrapText="1"/>
    </xf>
    <xf borderId="21" fillId="4" fontId="13" numFmtId="1" xfId="0" applyAlignment="1" applyBorder="1" applyFont="1" applyNumberFormat="1">
      <alignment horizontal="center" shrinkToFit="0" vertical="center" wrapText="1"/>
    </xf>
    <xf borderId="21" fillId="8" fontId="13" numFmtId="166" xfId="0" applyAlignment="1" applyBorder="1" applyFill="1" applyFont="1" applyNumberFormat="1">
      <alignment horizontal="center" shrinkToFit="0" vertical="center" wrapText="1"/>
    </xf>
    <xf borderId="21" fillId="4" fontId="15" numFmtId="166" xfId="0" applyAlignment="1" applyBorder="1" applyFont="1" applyNumberFormat="1">
      <alignment horizontal="center" shrinkToFit="0" vertical="center" wrapText="1"/>
    </xf>
    <xf borderId="21" fillId="4" fontId="13" numFmtId="164" xfId="0" applyAlignment="1" applyBorder="1" applyFont="1" applyNumberFormat="1">
      <alignment horizontal="center" shrinkToFit="0" vertical="center" wrapText="1"/>
    </xf>
    <xf borderId="21" fillId="8" fontId="13" numFmtId="0" xfId="0" applyAlignment="1" applyBorder="1" applyFont="1">
      <alignment horizontal="center" shrinkToFit="0" vertical="center" wrapText="1"/>
    </xf>
    <xf borderId="21" fillId="4" fontId="15" numFmtId="0" xfId="0" applyAlignment="1" applyBorder="1" applyFont="1">
      <alignment horizontal="center" shrinkToFit="0" vertical="center" wrapText="1"/>
    </xf>
    <xf borderId="5" fillId="3" fontId="13" numFmtId="0" xfId="0" applyAlignment="1" applyBorder="1" applyFont="1">
      <alignment horizontal="center" shrinkToFit="0" vertical="center" wrapText="1"/>
    </xf>
    <xf borderId="25" fillId="3" fontId="13" numFmtId="0" xfId="0" applyAlignment="1" applyBorder="1" applyFont="1">
      <alignment horizontal="center" shrinkToFit="0" vertical="center" wrapText="1"/>
    </xf>
    <xf borderId="26" fillId="3" fontId="13" numFmtId="0" xfId="0" applyAlignment="1" applyBorder="1" applyFont="1">
      <alignment horizontal="center" shrinkToFit="0" vertical="center" wrapText="1"/>
    </xf>
    <xf borderId="27" fillId="9" fontId="13" numFmtId="0" xfId="0" applyAlignment="1" applyBorder="1" applyFill="1" applyFont="1">
      <alignment horizontal="center" shrinkToFit="0" vertical="center" wrapText="1"/>
    </xf>
    <xf borderId="23" fillId="0" fontId="9" numFmtId="0" xfId="0" applyAlignment="1" applyBorder="1" applyFont="1">
      <alignment horizontal="center" shrinkToFit="0" vertical="center" wrapText="1"/>
    </xf>
    <xf borderId="23" fillId="0" fontId="9" numFmtId="0" xfId="0" applyAlignment="1" applyBorder="1" applyFont="1">
      <alignment horizontal="left" shrinkToFit="0" vertical="center" wrapText="1"/>
    </xf>
    <xf borderId="28" fillId="0" fontId="9" numFmtId="0" xfId="0" applyAlignment="1" applyBorder="1" applyFont="1">
      <alignment horizontal="center" shrinkToFit="0" vertical="center" wrapText="1"/>
    </xf>
    <xf borderId="23" fillId="10" fontId="9" numFmtId="0" xfId="0" applyAlignment="1" applyBorder="1" applyFill="1" applyFont="1">
      <alignment horizontal="center" shrinkToFit="0" vertical="center" wrapText="1"/>
    </xf>
    <xf borderId="29" fillId="11" fontId="9" numFmtId="0" xfId="0" applyAlignment="1" applyBorder="1" applyFill="1" applyFont="1">
      <alignment horizontal="center" shrinkToFit="0" vertical="center" wrapText="1"/>
    </xf>
    <xf borderId="23" fillId="7" fontId="9" numFmtId="9" xfId="0" applyAlignment="1" applyBorder="1" applyFont="1" applyNumberFormat="1">
      <alignment horizontal="center" shrinkToFit="0" vertical="center" wrapText="1"/>
    </xf>
    <xf borderId="30" fillId="0" fontId="9" numFmtId="0" xfId="0" applyAlignment="1" applyBorder="1" applyFont="1">
      <alignment horizontal="center" vertical="center"/>
    </xf>
    <xf borderId="23" fillId="5" fontId="16" numFmtId="0" xfId="0" applyAlignment="1" applyBorder="1" applyFont="1">
      <alignment horizontal="center" shrinkToFit="0" vertical="center" wrapText="1"/>
    </xf>
    <xf borderId="23" fillId="5" fontId="17" numFmtId="1" xfId="0" applyAlignment="1" applyBorder="1" applyFont="1" applyNumberFormat="1">
      <alignment horizontal="center" shrinkToFit="0" vertical="center" wrapText="1"/>
    </xf>
    <xf borderId="23" fillId="5" fontId="17" numFmtId="15" xfId="0" applyAlignment="1" applyBorder="1" applyFont="1" applyNumberFormat="1">
      <alignment horizontal="center" shrinkToFit="0" vertical="center" wrapText="1"/>
    </xf>
    <xf borderId="23" fillId="11" fontId="17" numFmtId="15" xfId="0" applyAlignment="1" applyBorder="1" applyFont="1" applyNumberFormat="1">
      <alignment horizontal="center" shrinkToFit="0" vertical="center" wrapText="1"/>
    </xf>
    <xf borderId="23" fillId="12" fontId="9" numFmtId="0" xfId="0" applyAlignment="1" applyBorder="1" applyFill="1" applyFont="1">
      <alignment horizontal="center" shrinkToFit="0" vertical="center" wrapText="1"/>
    </xf>
    <xf borderId="23" fillId="5" fontId="18" numFmtId="0" xfId="0" applyAlignment="1" applyBorder="1" applyFont="1">
      <alignment horizontal="center" shrinkToFit="0" vertical="center" wrapText="1"/>
    </xf>
    <xf borderId="23" fillId="5" fontId="9" numFmtId="164" xfId="0" applyAlignment="1" applyBorder="1" applyFont="1" applyNumberFormat="1">
      <alignment horizontal="center" shrinkToFit="0" vertical="center" wrapText="1"/>
    </xf>
    <xf borderId="23" fillId="5" fontId="9" numFmtId="0" xfId="0" applyAlignment="1" applyBorder="1" applyFont="1">
      <alignment horizontal="center" shrinkToFit="0" vertical="center" wrapText="1"/>
    </xf>
    <xf borderId="23" fillId="11" fontId="17" numFmtId="167" xfId="0" applyAlignment="1" applyBorder="1" applyFont="1" applyNumberFormat="1">
      <alignment horizontal="center" shrinkToFit="0" vertical="center" wrapText="1"/>
    </xf>
    <xf borderId="23" fillId="5" fontId="9" numFmtId="167" xfId="0" applyAlignment="1" applyBorder="1" applyFont="1" applyNumberFormat="1">
      <alignment horizontal="center" shrinkToFit="0" vertical="center" wrapText="1"/>
    </xf>
    <xf borderId="31" fillId="0" fontId="9" numFmtId="49" xfId="0" applyAlignment="1" applyBorder="1" applyFont="1" applyNumberFormat="1">
      <alignment horizontal="center" shrinkToFit="0" vertical="center" wrapText="1"/>
    </xf>
    <xf borderId="32" fillId="0" fontId="9" numFmtId="0" xfId="0" applyAlignment="1" applyBorder="1" applyFont="1">
      <alignment horizontal="center" shrinkToFit="0" vertical="center" wrapText="1"/>
    </xf>
    <xf borderId="23" fillId="5" fontId="17" numFmtId="167" xfId="0" applyAlignment="1" applyBorder="1" applyFont="1" applyNumberFormat="1">
      <alignment horizontal="center" shrinkToFit="0" vertical="center" wrapText="1"/>
    </xf>
    <xf borderId="23" fillId="12" fontId="9" numFmtId="0" xfId="0" applyAlignment="1" applyBorder="1" applyFont="1">
      <alignment vertical="center"/>
    </xf>
    <xf borderId="23" fillId="12" fontId="9" numFmtId="0" xfId="0" applyAlignment="1" applyBorder="1" applyFont="1">
      <alignment horizontal="center" vertical="center"/>
    </xf>
    <xf borderId="31" fillId="0" fontId="9" numFmtId="0" xfId="0" applyAlignment="1" applyBorder="1" applyFont="1">
      <alignment horizontal="center" vertical="center"/>
    </xf>
    <xf borderId="23" fillId="0" fontId="9" numFmtId="0" xfId="0" applyAlignment="1" applyBorder="1" applyFont="1">
      <alignment horizontal="center" vertical="center"/>
    </xf>
    <xf borderId="29" fillId="11" fontId="19" numFmtId="0" xfId="0" applyAlignment="1" applyBorder="1" applyFont="1">
      <alignment horizontal="center" shrinkToFit="0" vertical="center" wrapText="1"/>
    </xf>
    <xf borderId="23" fillId="5" fontId="17" numFmtId="164" xfId="0" applyAlignment="1" applyBorder="1" applyFont="1" applyNumberFormat="1">
      <alignment horizontal="center" shrinkToFit="0" vertical="center" wrapText="1"/>
    </xf>
    <xf borderId="23" fillId="5" fontId="17" numFmtId="0" xfId="0" applyAlignment="1" applyBorder="1" applyFont="1">
      <alignment horizontal="center" shrinkToFit="0" vertical="center" wrapText="1"/>
    </xf>
    <xf borderId="23" fillId="12" fontId="1" numFmtId="0" xfId="0" applyAlignment="1" applyBorder="1" applyFont="1">
      <alignment horizontal="center" vertical="center"/>
    </xf>
    <xf borderId="23" fillId="0" fontId="3" numFmtId="0" xfId="0" applyBorder="1" applyFont="1"/>
    <xf borderId="23" fillId="12" fontId="9" numFmtId="49" xfId="0" applyAlignment="1" applyBorder="1" applyFont="1" applyNumberFormat="1">
      <alignment horizontal="center" shrinkToFit="0" vertical="center" wrapText="1"/>
    </xf>
    <xf borderId="31" fillId="7" fontId="1" numFmtId="0" xfId="0" applyAlignment="1" applyBorder="1" applyFont="1">
      <alignment horizontal="center" shrinkToFit="0" vertical="center" wrapText="1"/>
    </xf>
    <xf borderId="32" fillId="7" fontId="9" numFmtId="0" xfId="0" applyAlignment="1" applyBorder="1" applyFont="1">
      <alignment horizontal="center" vertical="center"/>
    </xf>
    <xf borderId="27" fillId="13" fontId="20" numFmtId="0" xfId="0" applyAlignment="1" applyBorder="1" applyFill="1" applyFont="1">
      <alignment horizontal="center" readingOrder="0" shrinkToFit="0" vertical="center" wrapText="1"/>
    </xf>
    <xf borderId="23" fillId="0" fontId="21" numFmtId="0" xfId="0" applyAlignment="1" applyBorder="1" applyFont="1">
      <alignment horizontal="left" shrinkToFit="0" vertical="center" wrapText="1"/>
    </xf>
    <xf borderId="29" fillId="11" fontId="22" numFmtId="0" xfId="0" applyAlignment="1" applyBorder="1" applyFont="1">
      <alignment horizontal="center" shrinkToFit="0" vertical="center" wrapText="1"/>
    </xf>
    <xf borderId="31" fillId="0" fontId="23" numFmtId="0" xfId="0" applyAlignment="1" applyBorder="1" applyFont="1">
      <alignment horizontal="center" shrinkToFit="0" vertical="center" wrapText="1"/>
    </xf>
    <xf borderId="23" fillId="0" fontId="9" numFmtId="0" xfId="0" applyAlignment="1" applyBorder="1" applyFont="1">
      <alignment horizontal="left" readingOrder="0" shrinkToFit="0" vertical="center" wrapText="1"/>
    </xf>
    <xf borderId="0" fillId="0" fontId="9" numFmtId="0" xfId="0" applyAlignment="1" applyFont="1">
      <alignment horizontal="center" shrinkToFit="0" vertical="center" wrapText="1"/>
    </xf>
    <xf borderId="23" fillId="11" fontId="9" numFmtId="0" xfId="0" applyAlignment="1" applyBorder="1" applyFont="1">
      <alignment horizontal="center" shrinkToFit="0" vertical="center" wrapText="1"/>
    </xf>
    <xf borderId="28" fillId="0" fontId="9" numFmtId="0" xfId="0" applyAlignment="1" applyBorder="1" applyFont="1">
      <alignment horizontal="left" shrinkToFit="0" vertical="center" wrapText="1"/>
    </xf>
    <xf borderId="31" fillId="12" fontId="9" numFmtId="0" xfId="0" applyAlignment="1" applyBorder="1" applyFont="1">
      <alignment vertical="center"/>
    </xf>
    <xf borderId="33" fillId="14" fontId="9" numFmtId="0" xfId="0" applyAlignment="1" applyBorder="1" applyFill="1" applyFont="1">
      <alignment horizontal="center" vertical="center"/>
    </xf>
    <xf borderId="29" fillId="11" fontId="24" numFmtId="0" xfId="0" applyAlignment="1" applyBorder="1" applyFont="1">
      <alignment horizontal="center" shrinkToFit="0" vertical="center" wrapText="1"/>
    </xf>
    <xf borderId="23" fillId="5" fontId="25" numFmtId="0" xfId="0" applyAlignment="1" applyBorder="1" applyFont="1">
      <alignment horizontal="center" shrinkToFit="0" vertical="center" wrapText="1"/>
    </xf>
    <xf borderId="23" fillId="0" fontId="9" numFmtId="49" xfId="0" applyAlignment="1" applyBorder="1" applyFont="1" applyNumberFormat="1">
      <alignment horizontal="center" shrinkToFit="0" vertical="center" wrapText="1"/>
    </xf>
    <xf borderId="23" fillId="11" fontId="9" numFmtId="167" xfId="0" applyAlignment="1" applyBorder="1" applyFont="1" applyNumberFormat="1">
      <alignment horizontal="center" shrinkToFit="0" vertical="center" wrapText="1"/>
    </xf>
    <xf borderId="23" fillId="5" fontId="9" numFmtId="0" xfId="0" applyAlignment="1" applyBorder="1" applyFont="1">
      <alignment horizontal="right" shrinkToFit="0" vertical="center" wrapText="1"/>
    </xf>
    <xf borderId="23" fillId="5" fontId="26" numFmtId="0" xfId="0" applyAlignment="1" applyBorder="1" applyFont="1">
      <alignment horizontal="center" shrinkToFit="0" vertical="center" wrapText="1"/>
    </xf>
    <xf borderId="23" fillId="5" fontId="27" numFmtId="1" xfId="0" applyAlignment="1" applyBorder="1" applyFont="1" applyNumberFormat="1">
      <alignment horizontal="center" shrinkToFit="0" vertical="center" wrapText="1"/>
    </xf>
    <xf borderId="23" fillId="0" fontId="28" numFmtId="0" xfId="0" applyAlignment="1" applyBorder="1" applyFont="1">
      <alignment horizontal="center" readingOrder="0" shrinkToFit="0" vertical="center" wrapText="1"/>
    </xf>
    <xf borderId="27" fillId="15" fontId="20" numFmtId="0" xfId="0" applyAlignment="1" applyBorder="1" applyFill="1" applyFont="1">
      <alignment horizontal="center" readingOrder="0" shrinkToFit="0" vertical="center" wrapText="1"/>
    </xf>
    <xf borderId="23" fillId="6" fontId="9" numFmtId="0" xfId="0" applyAlignment="1" applyBorder="1" applyFont="1">
      <alignment horizontal="center" shrinkToFit="0" vertical="center" wrapText="1"/>
    </xf>
    <xf borderId="23" fillId="11" fontId="29" numFmtId="0" xfId="0" applyAlignment="1" applyBorder="1" applyFont="1">
      <alignment horizontal="center" shrinkToFit="0" vertical="center" wrapText="1"/>
    </xf>
    <xf borderId="23" fillId="6" fontId="9" numFmtId="9" xfId="0" applyAlignment="1" applyBorder="1" applyFont="1" applyNumberFormat="1">
      <alignment horizontal="center" shrinkToFit="0" vertical="center" wrapText="1"/>
    </xf>
    <xf borderId="23" fillId="6" fontId="30" numFmtId="0" xfId="0" applyAlignment="1" applyBorder="1" applyFont="1">
      <alignment horizontal="center" vertical="center"/>
    </xf>
    <xf borderId="23" fillId="6" fontId="17" numFmtId="15" xfId="0" applyAlignment="1" applyBorder="1" applyFont="1" applyNumberFormat="1">
      <alignment horizontal="center" shrinkToFit="0" vertical="center" wrapText="1"/>
    </xf>
    <xf borderId="33" fillId="15" fontId="20" numFmtId="0" xfId="0" applyAlignment="1" applyBorder="1" applyFont="1">
      <alignment horizontal="center" readingOrder="0" shrinkToFit="0" vertical="center" wrapText="1"/>
    </xf>
    <xf borderId="5" fillId="5" fontId="31" numFmtId="0" xfId="0" applyAlignment="1" applyBorder="1" applyFont="1">
      <alignment horizontal="center" shrinkToFit="0" vertical="center" wrapText="1"/>
    </xf>
    <xf borderId="31" fillId="0" fontId="1" numFmtId="0" xfId="0" applyAlignment="1" applyBorder="1" applyFont="1">
      <alignment horizontal="center" shrinkToFit="0" vertical="center" wrapText="1"/>
    </xf>
    <xf borderId="23" fillId="5" fontId="9" numFmtId="0" xfId="0" applyAlignment="1" applyBorder="1" applyFont="1">
      <alignment horizontal="left" shrinkToFit="0" vertical="center" wrapText="1"/>
    </xf>
    <xf borderId="23" fillId="10" fontId="32" numFmtId="0" xfId="0" applyAlignment="1" applyBorder="1" applyFont="1">
      <alignment horizontal="center" shrinkToFit="0" vertical="center" wrapText="1"/>
    </xf>
    <xf borderId="23" fillId="0" fontId="32" numFmtId="0" xfId="0" applyAlignment="1" applyBorder="1" applyFont="1">
      <alignment horizontal="center" shrinkToFit="0" vertical="center" wrapText="1"/>
    </xf>
    <xf borderId="23" fillId="5" fontId="33" numFmtId="0" xfId="0" applyAlignment="1" applyBorder="1" applyFont="1">
      <alignment horizontal="center" shrinkToFit="0" vertical="center" wrapText="1"/>
    </xf>
    <xf borderId="23" fillId="5" fontId="32" numFmtId="164" xfId="0" applyAlignment="1" applyBorder="1" applyFont="1" applyNumberFormat="1">
      <alignment horizontal="center" shrinkToFit="0" vertical="center" wrapText="1"/>
    </xf>
    <xf borderId="23" fillId="5" fontId="32" numFmtId="0" xfId="0" applyAlignment="1" applyBorder="1" applyFont="1">
      <alignment horizontal="center" shrinkToFit="0" vertical="center" wrapText="1"/>
    </xf>
    <xf borderId="23" fillId="11" fontId="32" numFmtId="0" xfId="0" applyAlignment="1" applyBorder="1" applyFont="1">
      <alignment horizontal="center" shrinkToFit="0" vertical="center" wrapText="1"/>
    </xf>
    <xf borderId="23" fillId="12" fontId="32" numFmtId="0" xfId="0" applyAlignment="1" applyBorder="1" applyFont="1">
      <alignment vertical="center"/>
    </xf>
    <xf borderId="23" fillId="12" fontId="32" numFmtId="0" xfId="0" applyAlignment="1" applyBorder="1" applyFont="1">
      <alignment horizontal="center" vertical="center"/>
    </xf>
    <xf borderId="31" fillId="0" fontId="9" numFmtId="0" xfId="0" applyAlignment="1" applyBorder="1" applyFont="1">
      <alignment horizontal="left" shrinkToFit="0" vertical="center" wrapText="1"/>
    </xf>
    <xf borderId="32" fillId="0" fontId="32" numFmtId="0" xfId="0" applyAlignment="1" applyBorder="1" applyFont="1">
      <alignment horizontal="center" shrinkToFit="0" vertical="center" wrapText="1"/>
    </xf>
    <xf borderId="23" fillId="12" fontId="9" numFmtId="0" xfId="0" applyAlignment="1" applyBorder="1" applyFont="1">
      <alignment horizontal="left" shrinkToFit="0" vertical="center" wrapText="1"/>
    </xf>
    <xf borderId="23" fillId="12" fontId="1" numFmtId="0" xfId="0" applyAlignment="1" applyBorder="1" applyFont="1">
      <alignment horizontal="center" shrinkToFit="0" vertical="center" wrapText="1"/>
    </xf>
    <xf borderId="33" fillId="16" fontId="20" numFmtId="0" xfId="0" applyAlignment="1" applyBorder="1" applyFill="1" applyFont="1">
      <alignment horizontal="center" readingOrder="0" shrinkToFit="0" vertical="center" wrapText="1"/>
    </xf>
    <xf borderId="29" fillId="11" fontId="29" numFmtId="0" xfId="0" applyAlignment="1" applyBorder="1" applyFont="1">
      <alignment horizontal="center" shrinkToFit="0" vertical="center" wrapText="1"/>
    </xf>
    <xf borderId="23" fillId="5" fontId="34" numFmtId="1" xfId="0" applyAlignment="1" applyBorder="1" applyFont="1" applyNumberFormat="1">
      <alignment horizontal="center" shrinkToFit="0" vertical="center" wrapText="1"/>
    </xf>
    <xf borderId="23" fillId="12" fontId="9" numFmtId="0" xfId="0" applyAlignment="1" applyBorder="1" applyFont="1">
      <alignment shrinkToFit="0" vertical="center" wrapText="1"/>
    </xf>
    <xf borderId="31" fillId="7" fontId="9" numFmtId="0" xfId="0" applyAlignment="1" applyBorder="1" applyFont="1">
      <alignment horizontal="center" vertical="center"/>
    </xf>
    <xf borderId="23" fillId="14" fontId="9" numFmtId="0" xfId="0" applyAlignment="1" applyBorder="1" applyFont="1">
      <alignment horizontal="center" vertical="center"/>
    </xf>
    <xf borderId="23" fillId="17" fontId="17" numFmtId="15" xfId="0" applyAlignment="1" applyBorder="1" applyFill="1" applyFont="1" applyNumberFormat="1">
      <alignment horizontal="center" shrinkToFit="0" vertical="center" wrapText="1"/>
    </xf>
    <xf borderId="23" fillId="5" fontId="35" numFmtId="164" xfId="0" applyAlignment="1" applyBorder="1" applyFont="1" applyNumberFormat="1">
      <alignment horizontal="center" shrinkToFit="0" vertical="center" wrapText="1"/>
    </xf>
    <xf borderId="23" fillId="5" fontId="35" numFmtId="0" xfId="0" applyAlignment="1" applyBorder="1" applyFont="1">
      <alignment horizontal="center" shrinkToFit="0" vertical="center" wrapText="1"/>
    </xf>
    <xf borderId="31" fillId="12" fontId="9" numFmtId="0" xfId="0" applyAlignment="1" applyBorder="1" applyFont="1">
      <alignment horizontal="center" shrinkToFit="0" vertical="center" wrapText="1"/>
    </xf>
    <xf borderId="0" fillId="0" fontId="9" numFmtId="49" xfId="0" applyAlignment="1" applyFont="1" applyNumberFormat="1">
      <alignment horizontal="center" shrinkToFit="0" vertical="center" wrapText="1"/>
    </xf>
    <xf borderId="5" fillId="12" fontId="9" numFmtId="0" xfId="0" applyAlignment="1" applyBorder="1" applyFont="1">
      <alignment horizontal="center" shrinkToFit="0" vertical="center" wrapText="1"/>
    </xf>
    <xf borderId="31" fillId="0" fontId="9" numFmtId="0" xfId="0" applyAlignment="1" applyBorder="1" applyFont="1">
      <alignment horizontal="center" shrinkToFit="0" vertical="center" wrapText="1"/>
    </xf>
    <xf borderId="23" fillId="7" fontId="17" numFmtId="15" xfId="0" applyAlignment="1" applyBorder="1" applyFont="1" applyNumberFormat="1">
      <alignment horizontal="center" shrinkToFit="0" vertical="center" wrapText="1"/>
    </xf>
    <xf borderId="23" fillId="0" fontId="9" numFmtId="0" xfId="0" applyAlignment="1" applyBorder="1" applyFont="1">
      <alignment horizontal="center" readingOrder="0" shrinkToFit="0" vertical="center" wrapText="1"/>
    </xf>
    <xf borderId="0" fillId="0" fontId="36" numFmtId="0" xfId="0" applyAlignment="1" applyFont="1">
      <alignment readingOrder="0" shrinkToFit="0" wrapText="1"/>
    </xf>
    <xf borderId="0" fillId="0" fontId="36" numFmtId="0" xfId="0" applyAlignment="1" applyFont="1">
      <alignment shrinkToFit="0" wrapText="1"/>
    </xf>
    <xf borderId="23" fillId="0" fontId="9" numFmtId="9" xfId="0" applyAlignment="1" applyBorder="1" applyFont="1" applyNumberFormat="1">
      <alignment horizontal="center" readingOrder="0" shrinkToFit="0" vertical="center" wrapText="1"/>
    </xf>
    <xf borderId="30" fillId="0" fontId="9" numFmtId="0" xfId="0" applyAlignment="1" applyBorder="1" applyFont="1">
      <alignment horizontal="center" readingOrder="0" vertical="center"/>
    </xf>
    <xf borderId="23" fillId="5" fontId="37" numFmtId="0" xfId="0" applyAlignment="1" applyBorder="1" applyFont="1">
      <alignment horizontal="center" shrinkToFit="0" vertical="center" wrapText="1"/>
    </xf>
    <xf borderId="23" fillId="0" fontId="17" numFmtId="15" xfId="0" applyAlignment="1" applyBorder="1" applyFont="1" applyNumberFormat="1">
      <alignment horizontal="center" shrinkToFit="0" vertical="center" wrapText="1"/>
    </xf>
    <xf borderId="34" fillId="18" fontId="1" numFmtId="0" xfId="0" applyAlignment="1" applyBorder="1" applyFill="1" applyFont="1">
      <alignment horizontal="center" readingOrder="0" shrinkToFit="0" vertical="center" wrapText="1"/>
    </xf>
    <xf borderId="23" fillId="12" fontId="9" numFmtId="167" xfId="0" applyAlignment="1" applyBorder="1" applyFont="1" applyNumberFormat="1">
      <alignment horizontal="center" shrinkToFit="0" vertical="center" wrapText="1"/>
    </xf>
    <xf borderId="31" fillId="0" fontId="29" numFmtId="0" xfId="0" applyAlignment="1" applyBorder="1" applyFont="1">
      <alignment horizontal="center" vertical="center"/>
    </xf>
    <xf borderId="23" fillId="5" fontId="18" numFmtId="168" xfId="0" applyAlignment="1" applyBorder="1" applyFont="1" applyNumberFormat="1">
      <alignment horizontal="center" shrinkToFit="0" vertical="center" wrapText="1"/>
    </xf>
    <xf borderId="23" fillId="5" fontId="9" numFmtId="168" xfId="0" applyAlignment="1" applyBorder="1" applyFont="1" applyNumberFormat="1">
      <alignment horizontal="center" shrinkToFit="0" vertical="center" wrapText="1"/>
    </xf>
    <xf borderId="31" fillId="0" fontId="1" numFmtId="0" xfId="0" applyAlignment="1" applyBorder="1" applyFont="1">
      <alignment horizontal="center" vertical="center"/>
    </xf>
    <xf borderId="23" fillId="5" fontId="29" numFmtId="0" xfId="0" applyAlignment="1" applyBorder="1" applyFont="1">
      <alignment horizontal="left" shrinkToFit="0" vertical="center" wrapText="1"/>
    </xf>
    <xf borderId="23" fillId="19" fontId="17" numFmtId="15" xfId="0" applyAlignment="1" applyBorder="1" applyFill="1" applyFont="1" applyNumberFormat="1">
      <alignment horizontal="center" shrinkToFit="0" vertical="center" wrapText="1"/>
    </xf>
    <xf borderId="23" fillId="0" fontId="38" numFmtId="0" xfId="0" applyAlignment="1" applyBorder="1" applyFont="1">
      <alignment horizontal="center" shrinkToFit="0" vertical="center" wrapText="1"/>
    </xf>
    <xf borderId="23" fillId="0" fontId="38" numFmtId="0" xfId="0" applyAlignment="1" applyBorder="1" applyFont="1">
      <alignment shrinkToFit="0" vertical="center" wrapText="1"/>
    </xf>
    <xf borderId="28" fillId="0" fontId="38" numFmtId="0" xfId="0" applyAlignment="1" applyBorder="1" applyFont="1">
      <alignment horizontal="center" shrinkToFit="0" vertical="center" wrapText="1"/>
    </xf>
    <xf borderId="23" fillId="0" fontId="36" numFmtId="0" xfId="0" applyAlignment="1" applyBorder="1" applyFont="1">
      <alignment vertical="center"/>
    </xf>
    <xf borderId="23" fillId="10" fontId="36" numFmtId="0" xfId="0" applyAlignment="1" applyBorder="1" applyFont="1">
      <alignment vertical="center"/>
    </xf>
    <xf borderId="29" fillId="11" fontId="36" numFmtId="0" xfId="0" applyAlignment="1" applyBorder="1" applyFont="1">
      <alignment vertical="center"/>
    </xf>
    <xf borderId="23" fillId="14" fontId="36" numFmtId="9" xfId="0" applyAlignment="1" applyBorder="1" applyFont="1" applyNumberFormat="1">
      <alignment vertical="center"/>
    </xf>
    <xf borderId="30" fillId="0" fontId="38" numFmtId="0" xfId="0" applyAlignment="1" applyBorder="1" applyFont="1">
      <alignment horizontal="center" vertical="center"/>
    </xf>
    <xf borderId="23" fillId="5" fontId="39" numFmtId="0" xfId="0" applyAlignment="1" applyBorder="1" applyFont="1">
      <alignment horizontal="center" readingOrder="0" shrinkToFit="0" vertical="center" wrapText="1"/>
    </xf>
    <xf borderId="23" fillId="5" fontId="40" numFmtId="1" xfId="0" applyAlignment="1" applyBorder="1" applyFont="1" applyNumberFormat="1">
      <alignment horizontal="center" shrinkToFit="0" vertical="center" wrapText="1"/>
    </xf>
    <xf borderId="23" fillId="5" fontId="40" numFmtId="15" xfId="0" applyAlignment="1" applyBorder="1" applyFont="1" applyNumberFormat="1">
      <alignment horizontal="center" shrinkToFit="0" vertical="center" wrapText="1"/>
    </xf>
    <xf borderId="23" fillId="11" fontId="40" numFmtId="15" xfId="0" applyAlignment="1" applyBorder="1" applyFont="1" applyNumberFormat="1">
      <alignment horizontal="center" shrinkToFit="0" vertical="center" wrapText="1"/>
    </xf>
    <xf borderId="23" fillId="5" fontId="36" numFmtId="15" xfId="0" applyAlignment="1" applyBorder="1" applyFont="1" applyNumberFormat="1">
      <alignment vertical="center"/>
    </xf>
    <xf borderId="23" fillId="12" fontId="38" numFmtId="0" xfId="0" applyAlignment="1" applyBorder="1" applyFont="1">
      <alignment horizontal="center" readingOrder="0" shrinkToFit="0" vertical="center" wrapText="1"/>
    </xf>
    <xf borderId="23" fillId="12" fontId="38" numFmtId="0" xfId="0" applyAlignment="1" applyBorder="1" applyFont="1">
      <alignment horizontal="center" shrinkToFit="0" vertical="center" wrapText="1"/>
    </xf>
    <xf borderId="23" fillId="12" fontId="36" numFmtId="0" xfId="0" applyAlignment="1" applyBorder="1" applyFont="1">
      <alignment vertical="center"/>
    </xf>
    <xf borderId="0" fillId="12" fontId="36" numFmtId="0" xfId="0" applyAlignment="1" applyFont="1">
      <alignment vertical="center"/>
    </xf>
    <xf borderId="23" fillId="5" fontId="36" numFmtId="0" xfId="0" applyAlignment="1" applyBorder="1" applyFont="1">
      <alignment vertical="center"/>
    </xf>
    <xf borderId="23" fillId="5" fontId="36" numFmtId="164" xfId="0" applyAlignment="1" applyBorder="1" applyFont="1" applyNumberFormat="1">
      <alignment vertical="center"/>
    </xf>
    <xf borderId="23" fillId="11" fontId="36" numFmtId="167" xfId="0" applyAlignment="1" applyBorder="1" applyFont="1" applyNumberFormat="1">
      <alignment vertical="center"/>
    </xf>
    <xf borderId="23" fillId="5" fontId="36" numFmtId="167" xfId="0" applyAlignment="1" applyBorder="1" applyFont="1" applyNumberFormat="1">
      <alignment vertical="center"/>
    </xf>
    <xf borderId="31" fillId="0" fontId="36" numFmtId="0" xfId="0" applyAlignment="1" applyBorder="1" applyFont="1">
      <alignment vertical="center"/>
    </xf>
    <xf borderId="32" fillId="0" fontId="36" numFmtId="0" xfId="0" applyAlignment="1" applyBorder="1" applyFont="1">
      <alignment vertical="center"/>
    </xf>
    <xf borderId="0" fillId="0" fontId="36" numFmtId="0" xfId="0" applyAlignment="1" applyFont="1">
      <alignment vertical="center"/>
    </xf>
    <xf borderId="34" fillId="20" fontId="1" numFmtId="0" xfId="0" applyAlignment="1" applyBorder="1" applyFill="1" applyFont="1">
      <alignment horizontal="center" readingOrder="0" shrinkToFit="0" vertical="center" wrapText="1"/>
    </xf>
    <xf borderId="23" fillId="21" fontId="9" numFmtId="0" xfId="0" applyAlignment="1" applyBorder="1" applyFill="1" applyFont="1">
      <alignment horizontal="left" readingOrder="0" shrinkToFit="0" vertical="center" wrapText="1"/>
    </xf>
    <xf borderId="28" fillId="0" fontId="9" numFmtId="0" xfId="0" applyAlignment="1" applyBorder="1" applyFont="1">
      <alignment horizontal="center" readingOrder="0" shrinkToFit="0" vertical="center" wrapText="1"/>
    </xf>
    <xf borderId="23" fillId="10" fontId="9" numFmtId="0" xfId="0" applyAlignment="1" applyBorder="1" applyFont="1">
      <alignment horizontal="center" readingOrder="0" shrinkToFit="0" vertical="center" wrapText="1"/>
    </xf>
    <xf borderId="23" fillId="7" fontId="9" numFmtId="9" xfId="0" applyAlignment="1" applyBorder="1" applyFont="1" applyNumberFormat="1">
      <alignment horizontal="center" readingOrder="0" shrinkToFit="0" vertical="center" wrapText="1"/>
    </xf>
    <xf borderId="23" fillId="6" fontId="41" numFmtId="0" xfId="0" applyAlignment="1" applyBorder="1" applyFont="1">
      <alignment horizontal="center" readingOrder="0" shrinkToFit="0" vertical="center" wrapText="1"/>
    </xf>
    <xf borderId="23" fillId="5" fontId="17" numFmtId="1" xfId="0" applyAlignment="1" applyBorder="1" applyFont="1" applyNumberFormat="1">
      <alignment horizontal="center" readingOrder="0" shrinkToFit="0" vertical="center" wrapText="1"/>
    </xf>
    <xf borderId="23" fillId="5" fontId="17" numFmtId="15" xfId="0" applyAlignment="1" applyBorder="1" applyFont="1" applyNumberFormat="1">
      <alignment horizontal="center" readingOrder="0" shrinkToFit="0" vertical="center" wrapText="1"/>
    </xf>
    <xf borderId="23" fillId="12" fontId="9" numFmtId="0" xfId="0" applyAlignment="1" applyBorder="1" applyFont="1">
      <alignment horizontal="center" readingOrder="0" shrinkToFit="0" vertical="center" wrapText="1"/>
    </xf>
    <xf borderId="23" fillId="6" fontId="9" numFmtId="0" xfId="0" applyAlignment="1" applyBorder="1" applyFont="1">
      <alignment horizontal="center" readingOrder="0" shrinkToFit="0" vertical="center" wrapText="1"/>
    </xf>
    <xf borderId="0" fillId="12" fontId="9" numFmtId="0" xfId="0" applyAlignment="1" applyFont="1">
      <alignment horizontal="center" shrinkToFit="0" vertical="center" wrapText="1"/>
    </xf>
    <xf borderId="0" fillId="12" fontId="1" numFmtId="0" xfId="0" applyAlignment="1" applyFont="1">
      <alignment horizontal="center" vertical="center"/>
    </xf>
    <xf borderId="23" fillId="6" fontId="42" numFmtId="0" xfId="0" applyAlignment="1" applyBorder="1" applyFont="1">
      <alignment horizontal="center" shrinkToFit="0" vertical="center" wrapText="1"/>
    </xf>
    <xf borderId="31" fillId="0" fontId="3" numFmtId="0" xfId="0" applyAlignment="1" applyBorder="1" applyFont="1">
      <alignment horizontal="center" vertical="center"/>
    </xf>
    <xf borderId="31" fillId="0" fontId="9" numFmtId="167" xfId="0" applyAlignment="1" applyBorder="1" applyFont="1" applyNumberFormat="1">
      <alignment horizontal="center" vertical="center"/>
    </xf>
    <xf borderId="23" fillId="5" fontId="43" numFmtId="0" xfId="0" applyAlignment="1" applyBorder="1" applyFont="1">
      <alignment horizontal="center" shrinkToFit="0" vertical="center" wrapText="1"/>
    </xf>
    <xf borderId="33" fillId="5" fontId="17" numFmtId="1" xfId="0" applyAlignment="1" applyBorder="1" applyFont="1" applyNumberFormat="1">
      <alignment horizontal="center" shrinkToFit="0" vertical="center" wrapText="1"/>
    </xf>
    <xf borderId="31" fillId="0" fontId="44" numFmtId="0" xfId="0" applyAlignment="1" applyBorder="1" applyFont="1">
      <alignment horizontal="center" vertical="center"/>
    </xf>
    <xf borderId="31" fillId="0" fontId="45" numFmtId="0" xfId="0" applyAlignment="1" applyBorder="1" applyFont="1">
      <alignment horizontal="center" vertical="center"/>
    </xf>
    <xf borderId="31" fillId="7" fontId="1" numFmtId="0" xfId="0" applyAlignment="1" applyBorder="1" applyFont="1">
      <alignment horizontal="center" vertical="center"/>
    </xf>
    <xf borderId="23" fillId="5" fontId="46" numFmtId="1" xfId="0" applyAlignment="1" applyBorder="1" applyFont="1" applyNumberFormat="1">
      <alignment horizontal="center" shrinkToFit="0" vertical="center" wrapText="1"/>
    </xf>
    <xf borderId="23" fillId="0" fontId="47" numFmtId="0" xfId="0" applyAlignment="1" applyBorder="1" applyFont="1">
      <alignment horizontal="center" vertical="center"/>
    </xf>
    <xf borderId="23" fillId="0" fontId="9" numFmtId="0" xfId="0" applyAlignment="1" applyBorder="1" applyFont="1">
      <alignment shrinkToFit="0" vertical="center" wrapText="1"/>
    </xf>
    <xf borderId="34" fillId="22" fontId="48" numFmtId="0" xfId="0" applyAlignment="1" applyBorder="1" applyFill="1" applyFont="1">
      <alignment horizontal="center" readingOrder="0" shrinkToFit="0" vertical="center" wrapText="1"/>
    </xf>
    <xf borderId="23" fillId="5" fontId="49" numFmtId="0" xfId="0" applyAlignment="1" applyBorder="1" applyFont="1">
      <alignment horizontal="center" readingOrder="0" shrinkToFit="0" vertical="center" wrapText="1"/>
    </xf>
    <xf borderId="23" fillId="5" fontId="50" numFmtId="1" xfId="0" applyAlignment="1" applyBorder="1" applyFont="1" applyNumberFormat="1">
      <alignment horizontal="center" readingOrder="0" shrinkToFit="0" vertical="center" wrapText="1"/>
    </xf>
    <xf borderId="23" fillId="5" fontId="51" numFmtId="0" xfId="0" applyAlignment="1" applyBorder="1" applyFont="1">
      <alignment horizontal="center" shrinkToFit="0" vertical="center" wrapText="1"/>
    </xf>
    <xf borderId="31" fillId="14" fontId="9" numFmtId="0" xfId="0" applyAlignment="1" applyBorder="1" applyFont="1">
      <alignment horizontal="center" vertical="center"/>
    </xf>
    <xf borderId="23" fillId="5" fontId="52" numFmtId="0" xfId="0" applyAlignment="1" applyBorder="1" applyFont="1">
      <alignment horizontal="center" shrinkToFit="0" vertical="center" wrapText="1"/>
    </xf>
    <xf borderId="23" fillId="23" fontId="9" numFmtId="0" xfId="0" applyAlignment="1" applyBorder="1" applyFill="1" applyFont="1">
      <alignment horizontal="center" shrinkToFit="0" vertical="center" wrapText="1"/>
    </xf>
    <xf borderId="34" fillId="24" fontId="48" numFmtId="0" xfId="0" applyAlignment="1" applyBorder="1" applyFill="1" applyFont="1">
      <alignment horizontal="center" readingOrder="0" shrinkToFit="0" vertical="center" wrapText="1"/>
    </xf>
    <xf borderId="23" fillId="5" fontId="9" numFmtId="0" xfId="0" applyAlignment="1" applyBorder="1" applyFont="1">
      <alignment horizontal="left" vertical="center"/>
    </xf>
    <xf borderId="23" fillId="12" fontId="1" numFmtId="0" xfId="0" applyAlignment="1" applyBorder="1" applyFont="1">
      <alignment vertical="center"/>
    </xf>
    <xf borderId="23" fillId="5" fontId="53" numFmtId="0" xfId="0" applyAlignment="1" applyBorder="1" applyFont="1">
      <alignment horizontal="center" readingOrder="0" shrinkToFit="0" vertical="center" wrapText="1"/>
    </xf>
    <xf borderId="23" fillId="5" fontId="54" numFmtId="0" xfId="0" applyAlignment="1" applyBorder="1" applyFont="1">
      <alignment horizontal="center" shrinkToFit="0" vertical="center" wrapText="1"/>
    </xf>
    <xf borderId="23" fillId="0" fontId="9" numFmtId="0" xfId="0" applyAlignment="1" applyBorder="1" applyFont="1">
      <alignment vertical="center"/>
    </xf>
    <xf borderId="23" fillId="12" fontId="55" numFmtId="0" xfId="0" applyAlignment="1" applyBorder="1" applyFont="1">
      <alignment horizontal="center" shrinkToFit="0" vertical="center" wrapText="1"/>
    </xf>
    <xf borderId="23" fillId="5" fontId="56" numFmtId="0" xfId="0" applyAlignment="1" applyBorder="1" applyFont="1">
      <alignment horizontal="center" shrinkToFit="0" vertical="center" wrapText="1"/>
    </xf>
    <xf borderId="23" fillId="5" fontId="1" numFmtId="164" xfId="0" applyAlignment="1" applyBorder="1" applyFont="1" applyNumberFormat="1">
      <alignment horizontal="center" shrinkToFit="0" vertical="center" wrapText="1"/>
    </xf>
    <xf borderId="23" fillId="5" fontId="1" numFmtId="0" xfId="0" applyAlignment="1" applyBorder="1" applyFont="1">
      <alignment horizontal="center" shrinkToFit="0" vertical="center" wrapText="1"/>
    </xf>
    <xf borderId="34" fillId="25" fontId="1" numFmtId="0" xfId="0" applyAlignment="1" applyBorder="1" applyFill="1" applyFont="1">
      <alignment horizontal="center" readingOrder="0" shrinkToFit="0" vertical="center" wrapText="1"/>
    </xf>
    <xf borderId="23" fillId="12" fontId="45" numFmtId="0" xfId="0" applyAlignment="1" applyBorder="1" applyFont="1">
      <alignment vertical="center"/>
    </xf>
    <xf borderId="23" fillId="12" fontId="45" numFmtId="0" xfId="0" applyAlignment="1" applyBorder="1" applyFont="1">
      <alignment horizontal="center" vertical="center"/>
    </xf>
    <xf borderId="23" fillId="0" fontId="9" numFmtId="9" xfId="0" applyAlignment="1" applyBorder="1" applyFont="1" applyNumberFormat="1">
      <alignment horizontal="center" vertical="center"/>
    </xf>
    <xf borderId="23" fillId="5" fontId="57" numFmtId="0" xfId="0" applyAlignment="1" applyBorder="1" applyFont="1">
      <alignment horizontal="center" vertical="center"/>
    </xf>
    <xf borderId="35" fillId="11" fontId="58" numFmtId="0" xfId="0" applyAlignment="1" applyBorder="1" applyFont="1">
      <alignment horizontal="center" shrinkToFit="0" vertical="center" wrapText="1"/>
    </xf>
    <xf borderId="35" fillId="11" fontId="9" numFmtId="0" xfId="0" applyAlignment="1" applyBorder="1" applyFont="1">
      <alignment horizontal="center" shrinkToFit="0" vertical="center" wrapText="1"/>
    </xf>
    <xf borderId="29" fillId="11" fontId="9" numFmtId="0" xfId="0" applyAlignment="1" applyBorder="1" applyFont="1">
      <alignment horizontal="center" vertical="center"/>
    </xf>
    <xf borderId="30" fillId="0" fontId="9" numFmtId="0" xfId="0" applyAlignment="1" applyBorder="1" applyFont="1">
      <alignment horizontal="center" shrinkToFit="0" vertical="center" wrapText="1"/>
    </xf>
    <xf borderId="36" fillId="0" fontId="9" numFmtId="0" xfId="0" applyAlignment="1" applyBorder="1" applyFont="1">
      <alignment horizontal="center" shrinkToFit="0" vertical="center" wrapText="1"/>
    </xf>
    <xf borderId="36" fillId="0" fontId="9" numFmtId="0" xfId="0" applyAlignment="1" applyBorder="1" applyFont="1">
      <alignment horizontal="left" shrinkToFit="0" vertical="center" wrapText="1"/>
    </xf>
    <xf borderId="37" fillId="0" fontId="9" numFmtId="0" xfId="0" applyAlignment="1" applyBorder="1" applyFont="1">
      <alignment horizontal="center" shrinkToFit="0" vertical="center" wrapText="1"/>
    </xf>
    <xf borderId="38" fillId="0" fontId="9" numFmtId="0" xfId="0" applyAlignment="1" applyBorder="1" applyFont="1">
      <alignment horizontal="center" shrinkToFit="0" vertical="center" wrapText="1"/>
    </xf>
    <xf borderId="36" fillId="10" fontId="9" numFmtId="0" xfId="0" applyAlignment="1" applyBorder="1" applyFont="1">
      <alignment horizontal="center" shrinkToFit="0" vertical="center" wrapText="1"/>
    </xf>
    <xf borderId="39" fillId="11" fontId="9" numFmtId="0" xfId="0" applyAlignment="1" applyBorder="1" applyFont="1">
      <alignment horizontal="center" shrinkToFit="0" vertical="center" wrapText="1"/>
    </xf>
    <xf borderId="36" fillId="7" fontId="9" numFmtId="9" xfId="0" applyAlignment="1" applyBorder="1" applyFont="1" applyNumberFormat="1">
      <alignment horizontal="center" shrinkToFit="0" vertical="center" wrapText="1"/>
    </xf>
    <xf borderId="38" fillId="0" fontId="9" numFmtId="0" xfId="0" applyAlignment="1" applyBorder="1" applyFont="1">
      <alignment horizontal="center" vertical="center"/>
    </xf>
    <xf borderId="36" fillId="5" fontId="59" numFmtId="0" xfId="0" applyAlignment="1" applyBorder="1" applyFont="1">
      <alignment horizontal="center" shrinkToFit="0" vertical="center" wrapText="1"/>
    </xf>
    <xf borderId="36" fillId="5" fontId="17" numFmtId="1" xfId="0" applyAlignment="1" applyBorder="1" applyFont="1" applyNumberFormat="1">
      <alignment horizontal="center" shrinkToFit="0" vertical="center" wrapText="1"/>
    </xf>
    <xf borderId="36" fillId="5" fontId="17" numFmtId="15" xfId="0" applyAlignment="1" applyBorder="1" applyFont="1" applyNumberFormat="1">
      <alignment horizontal="center" shrinkToFit="0" vertical="center" wrapText="1"/>
    </xf>
    <xf borderId="36" fillId="11" fontId="17" numFmtId="15" xfId="0" applyAlignment="1" applyBorder="1" applyFont="1" applyNumberFormat="1">
      <alignment horizontal="center" shrinkToFit="0" vertical="center" wrapText="1"/>
    </xf>
    <xf borderId="36" fillId="12" fontId="9" numFmtId="0" xfId="0" applyAlignment="1" applyBorder="1" applyFont="1">
      <alignment horizontal="center" shrinkToFit="0" vertical="center" wrapText="1"/>
    </xf>
    <xf borderId="36" fillId="5" fontId="60" numFmtId="0" xfId="0" applyAlignment="1" applyBorder="1" applyFont="1">
      <alignment horizontal="center" shrinkToFit="0" vertical="center" wrapText="1"/>
    </xf>
    <xf borderId="36" fillId="5" fontId="17" numFmtId="164" xfId="0" applyAlignment="1" applyBorder="1" applyFont="1" applyNumberFormat="1">
      <alignment horizontal="center" shrinkToFit="0" vertical="center" wrapText="1"/>
    </xf>
    <xf borderId="36" fillId="5" fontId="17" numFmtId="0" xfId="0" applyAlignment="1" applyBorder="1" applyFont="1">
      <alignment horizontal="center" shrinkToFit="0" vertical="center" wrapText="1"/>
    </xf>
    <xf borderId="36" fillId="11" fontId="17" numFmtId="167" xfId="0" applyAlignment="1" applyBorder="1" applyFont="1" applyNumberFormat="1">
      <alignment horizontal="center" shrinkToFit="0" vertical="center" wrapText="1"/>
    </xf>
    <xf borderId="36" fillId="5" fontId="17" numFmtId="167" xfId="0" applyAlignment="1" applyBorder="1" applyFont="1" applyNumberFormat="1">
      <alignment horizontal="center" shrinkToFit="0" vertical="center" wrapText="1"/>
    </xf>
    <xf borderId="36" fillId="12" fontId="1" numFmtId="0" xfId="0" applyAlignment="1" applyBorder="1" applyFont="1">
      <alignment horizontal="center" shrinkToFit="0" vertical="center" wrapText="1"/>
    </xf>
    <xf borderId="40" fillId="0" fontId="1" numFmtId="0" xfId="0" applyAlignment="1" applyBorder="1" applyFont="1">
      <alignment horizontal="center" vertical="center"/>
    </xf>
    <xf borderId="41" fillId="0" fontId="9" numFmtId="0" xfId="0" applyAlignment="1" applyBorder="1" applyFont="1">
      <alignment horizontal="center" shrinkToFit="0" vertical="center" wrapText="1"/>
    </xf>
    <xf borderId="42" fillId="0" fontId="9" numFmtId="0" xfId="0" applyAlignment="1" applyBorder="1" applyFont="1">
      <alignment horizontal="center" shrinkToFit="0" vertical="center" wrapText="1"/>
    </xf>
    <xf borderId="42" fillId="0" fontId="9" numFmtId="0" xfId="0" applyAlignment="1" applyBorder="1" applyFont="1">
      <alignment horizontal="left" shrinkToFit="0" vertical="center" wrapText="1"/>
    </xf>
    <xf borderId="42" fillId="10" fontId="9" numFmtId="0" xfId="0" applyAlignment="1" applyBorder="1" applyFont="1">
      <alignment horizontal="center" shrinkToFit="0" vertical="center" wrapText="1"/>
    </xf>
    <xf borderId="42" fillId="11" fontId="9" numFmtId="0" xfId="0" applyAlignment="1" applyBorder="1" applyFont="1">
      <alignment horizontal="center" shrinkToFit="0" vertical="center" wrapText="1"/>
    </xf>
    <xf borderId="42" fillId="7" fontId="9" numFmtId="9" xfId="0" applyAlignment="1" applyBorder="1" applyFont="1" applyNumberFormat="1">
      <alignment horizontal="center" shrinkToFit="0" vertical="center" wrapText="1"/>
    </xf>
    <xf borderId="42" fillId="0" fontId="9" numFmtId="0" xfId="0" applyAlignment="1" applyBorder="1" applyFont="1">
      <alignment horizontal="center" vertical="center"/>
    </xf>
    <xf borderId="42" fillId="5" fontId="61" numFmtId="0" xfId="0" applyAlignment="1" applyBorder="1" applyFont="1">
      <alignment horizontal="center" shrinkToFit="0" vertical="center" wrapText="1"/>
    </xf>
    <xf borderId="42" fillId="5" fontId="17" numFmtId="1" xfId="0" applyAlignment="1" applyBorder="1" applyFont="1" applyNumberFormat="1">
      <alignment horizontal="center" shrinkToFit="0" vertical="center" wrapText="1"/>
    </xf>
    <xf borderId="42" fillId="5" fontId="17" numFmtId="15" xfId="0" applyAlignment="1" applyBorder="1" applyFont="1" applyNumberFormat="1">
      <alignment horizontal="center" shrinkToFit="0" vertical="center" wrapText="1"/>
    </xf>
    <xf borderId="42" fillId="11" fontId="17" numFmtId="15" xfId="0" applyAlignment="1" applyBorder="1" applyFont="1" applyNumberFormat="1">
      <alignment horizontal="center" shrinkToFit="0" vertical="center" wrapText="1"/>
    </xf>
    <xf borderId="42" fillId="12" fontId="9" numFmtId="0" xfId="0" applyAlignment="1" applyBorder="1" applyFont="1">
      <alignment horizontal="center" shrinkToFit="0" vertical="center" wrapText="1"/>
    </xf>
    <xf borderId="42" fillId="5" fontId="17" numFmtId="164" xfId="0" applyAlignment="1" applyBorder="1" applyFont="1" applyNumberFormat="1">
      <alignment horizontal="center" shrinkToFit="0" vertical="center" wrapText="1"/>
    </xf>
    <xf borderId="42" fillId="5" fontId="17" numFmtId="0" xfId="0" applyAlignment="1" applyBorder="1" applyFont="1">
      <alignment horizontal="center" shrinkToFit="0" vertical="center" wrapText="1"/>
    </xf>
    <xf borderId="42" fillId="11" fontId="17" numFmtId="167" xfId="0" applyAlignment="1" applyBorder="1" applyFont="1" applyNumberFormat="1">
      <alignment horizontal="center" shrinkToFit="0" vertical="center" wrapText="1"/>
    </xf>
    <xf borderId="42" fillId="5" fontId="17" numFmtId="167" xfId="0" applyAlignment="1" applyBorder="1" applyFont="1" applyNumberFormat="1">
      <alignment horizontal="center" shrinkToFit="0" vertical="center" wrapText="1"/>
    </xf>
    <xf borderId="42" fillId="12" fontId="1" numFmtId="0" xfId="0" applyAlignment="1" applyBorder="1" applyFont="1">
      <alignment horizontal="center" shrinkToFit="0" vertical="center" wrapText="1"/>
    </xf>
    <xf borderId="42" fillId="0" fontId="9" numFmtId="49" xfId="0" applyAlignment="1" applyBorder="1" applyFont="1" applyNumberFormat="1">
      <alignment horizontal="center" shrinkToFit="0" vertical="center" wrapText="1"/>
    </xf>
    <xf borderId="42" fillId="5" fontId="62" numFmtId="0" xfId="0" applyAlignment="1" applyBorder="1" applyFont="1">
      <alignment horizontal="center" shrinkToFit="0" vertical="center" wrapText="1"/>
    </xf>
    <xf borderId="42" fillId="12" fontId="9" numFmtId="0" xfId="0" applyAlignment="1" applyBorder="1" applyFont="1">
      <alignment horizontal="center" vertical="center"/>
    </xf>
    <xf borderId="42" fillId="0" fontId="32" numFmtId="0" xfId="0" applyAlignment="1" applyBorder="1" applyFont="1">
      <alignment horizontal="center" shrinkToFit="0" vertical="center" wrapText="1"/>
    </xf>
    <xf borderId="43" fillId="7" fontId="10" numFmtId="0" xfId="0" applyBorder="1" applyFont="1"/>
    <xf borderId="44" fillId="26" fontId="63" numFmtId="0" xfId="0" applyAlignment="1" applyBorder="1" applyFill="1" applyFont="1">
      <alignment horizontal="center" shrinkToFit="0" vertical="center" wrapText="1"/>
    </xf>
    <xf borderId="44" fillId="3" fontId="63" numFmtId="0" xfId="0" applyAlignment="1" applyBorder="1" applyFont="1">
      <alignment horizontal="center" shrinkToFit="0" vertical="center" wrapText="1"/>
    </xf>
    <xf borderId="45" fillId="3" fontId="63" numFmtId="15" xfId="0" applyAlignment="1" applyBorder="1" applyFont="1" applyNumberFormat="1">
      <alignment horizontal="center" shrinkToFit="0" vertical="center" wrapText="1"/>
    </xf>
    <xf borderId="46" fillId="3" fontId="63" numFmtId="0" xfId="0" applyAlignment="1" applyBorder="1" applyFont="1">
      <alignment horizontal="center" shrinkToFit="0" vertical="center" wrapText="1"/>
    </xf>
    <xf borderId="47" fillId="3" fontId="63" numFmtId="0" xfId="0" applyAlignment="1" applyBorder="1" applyFont="1">
      <alignment horizontal="center" shrinkToFit="0" vertical="center" wrapText="1"/>
    </xf>
    <xf borderId="48" fillId="3" fontId="64" numFmtId="0" xfId="0" applyAlignment="1" applyBorder="1" applyFont="1">
      <alignment horizontal="center" readingOrder="0" shrinkToFit="0" vertical="center" wrapText="1"/>
    </xf>
    <xf borderId="49" fillId="3" fontId="64" numFmtId="0" xfId="0" applyAlignment="1" applyBorder="1" applyFont="1">
      <alignment horizontal="center" readingOrder="0" shrinkToFit="0" vertical="center" wrapText="1"/>
    </xf>
    <xf borderId="48" fillId="3" fontId="63" numFmtId="0" xfId="0" applyAlignment="1" applyBorder="1" applyFont="1">
      <alignment horizontal="center" shrinkToFit="0" vertical="center" wrapText="1"/>
    </xf>
    <xf borderId="50" fillId="0" fontId="10" numFmtId="0" xfId="0" applyAlignment="1" applyBorder="1" applyFont="1">
      <alignment horizontal="center" vertical="center"/>
    </xf>
    <xf borderId="50" fillId="0" fontId="10" numFmtId="0" xfId="0" applyAlignment="1" applyBorder="1" applyFont="1">
      <alignment horizontal="left" vertical="center"/>
    </xf>
    <xf borderId="48" fillId="27" fontId="10" numFmtId="15" xfId="0" applyAlignment="1" applyBorder="1" applyFill="1" applyFont="1" applyNumberFormat="1">
      <alignment horizontal="center" vertical="center"/>
    </xf>
    <xf borderId="51" fillId="27" fontId="10" numFmtId="0" xfId="0" applyAlignment="1" applyBorder="1" applyFont="1">
      <alignment horizontal="center" vertical="center"/>
    </xf>
    <xf borderId="48" fillId="0" fontId="10" numFmtId="0" xfId="0" applyAlignment="1" applyBorder="1" applyFont="1">
      <alignment horizontal="center" vertical="center"/>
    </xf>
    <xf borderId="48" fillId="28" fontId="10" numFmtId="15" xfId="0" applyAlignment="1" applyBorder="1" applyFill="1" applyFont="1" applyNumberFormat="1">
      <alignment horizontal="center" vertical="center"/>
    </xf>
    <xf borderId="48" fillId="28" fontId="10" numFmtId="0" xfId="0" applyAlignment="1" applyBorder="1" applyFont="1">
      <alignment horizontal="center" vertical="center"/>
    </xf>
    <xf borderId="48" fillId="0" fontId="10" numFmtId="0" xfId="0" applyAlignment="1" applyBorder="1" applyFont="1">
      <alignment shrinkToFit="0" wrapText="1"/>
    </xf>
    <xf borderId="52" fillId="28" fontId="10" numFmtId="0" xfId="0" applyAlignment="1" applyBorder="1" applyFont="1">
      <alignment horizontal="center" vertical="center"/>
    </xf>
    <xf borderId="44" fillId="26" fontId="64" numFmtId="0" xfId="0" applyAlignment="1" applyBorder="1" applyFont="1">
      <alignment horizontal="center" readingOrder="0" shrinkToFit="0" vertical="center" wrapText="1"/>
    </xf>
    <xf borderId="45" fillId="3" fontId="64" numFmtId="0" xfId="0" applyAlignment="1" applyBorder="1" applyFont="1">
      <alignment horizontal="center" readingOrder="0" shrinkToFit="0" vertical="center" wrapText="1"/>
    </xf>
    <xf borderId="46" fillId="3" fontId="64" numFmtId="0" xfId="0" applyAlignment="1" applyBorder="1" applyFont="1">
      <alignment horizontal="center" readingOrder="0" shrinkToFit="0" vertical="center" wrapText="1"/>
    </xf>
    <xf borderId="47" fillId="3" fontId="64" numFmtId="0" xfId="0" applyAlignment="1" applyBorder="1" applyFont="1">
      <alignment horizontal="center" readingOrder="0" shrinkToFit="0" vertical="center" wrapText="1"/>
    </xf>
    <xf borderId="0" fillId="0" fontId="65" numFmtId="0" xfId="0" applyAlignment="1" applyFont="1">
      <alignment shrinkToFit="0" wrapText="1"/>
    </xf>
    <xf borderId="50" fillId="0" fontId="10" numFmtId="0" xfId="0" applyAlignment="1" applyBorder="1" applyFont="1">
      <alignment horizontal="center" readingOrder="0" vertical="center"/>
    </xf>
    <xf borderId="48" fillId="0" fontId="10" numFmtId="0" xfId="0" applyAlignment="1" applyBorder="1" applyFont="1">
      <alignment readingOrder="0" shrinkToFit="0" wrapText="1"/>
    </xf>
    <xf borderId="53" fillId="0" fontId="1" numFmtId="0" xfId="0" applyAlignment="1" applyBorder="1" applyFont="1">
      <alignment shrinkToFit="0" vertical="center" wrapText="1"/>
    </xf>
    <xf borderId="54" fillId="0" fontId="1" numFmtId="0" xfId="0" applyAlignment="1" applyBorder="1" applyFont="1">
      <alignment shrinkToFit="0" vertical="center" wrapText="1"/>
    </xf>
    <xf borderId="53" fillId="0" fontId="1" numFmtId="0" xfId="0" applyAlignment="1" applyBorder="1" applyFont="1">
      <alignment shrinkToFit="0" wrapText="1"/>
    </xf>
    <xf borderId="55" fillId="0" fontId="1" numFmtId="0" xfId="0" applyAlignment="1" applyBorder="1" applyFont="1">
      <alignment shrinkToFit="0" wrapText="1"/>
    </xf>
    <xf borderId="56" fillId="3" fontId="13" numFmtId="0" xfId="0" applyAlignment="1" applyBorder="1" applyFont="1">
      <alignment horizontal="center" shrinkToFit="0" vertical="center" wrapText="1"/>
    </xf>
    <xf borderId="57" fillId="3" fontId="48" numFmtId="0" xfId="0" applyAlignment="1" applyBorder="1" applyFont="1">
      <alignment horizontal="center" readingOrder="0" shrinkToFit="0" vertical="center" wrapText="1"/>
    </xf>
    <xf borderId="58" fillId="4" fontId="13" numFmtId="0" xfId="0" applyAlignment="1" applyBorder="1" applyFont="1">
      <alignment horizontal="center" shrinkToFit="0" vertical="center" wrapText="1"/>
    </xf>
    <xf borderId="58" fillId="4" fontId="48" numFmtId="0" xfId="0" applyAlignment="1" applyBorder="1" applyFont="1">
      <alignment horizontal="center" readingOrder="0" shrinkToFit="0" vertical="center" wrapText="1"/>
    </xf>
    <xf borderId="59" fillId="4" fontId="13" numFmtId="0" xfId="0" applyAlignment="1" applyBorder="1" applyFont="1">
      <alignment horizontal="center" shrinkToFit="0" vertical="center" wrapText="1"/>
    </xf>
    <xf borderId="48" fillId="4" fontId="13" numFmtId="0" xfId="0" applyAlignment="1" applyBorder="1" applyFont="1">
      <alignment horizontal="center" shrinkToFit="0" vertical="center" wrapText="1"/>
    </xf>
    <xf borderId="60" fillId="17" fontId="66" numFmtId="0" xfId="0" applyAlignment="1" applyBorder="1" applyFont="1">
      <alignment horizontal="center" shrinkToFit="0" vertical="center" wrapText="1"/>
    </xf>
    <xf borderId="48" fillId="17" fontId="66" numFmtId="0" xfId="0" applyAlignment="1" applyBorder="1" applyFont="1">
      <alignment horizontal="center" shrinkToFit="0" vertical="center" wrapText="1"/>
    </xf>
    <xf borderId="48" fillId="17" fontId="66" numFmtId="0" xfId="0" applyAlignment="1" applyBorder="1" applyFont="1">
      <alignment horizontal="center" readingOrder="0" shrinkToFit="0" vertical="center" wrapText="1"/>
    </xf>
    <xf borderId="60" fillId="17" fontId="67" numFmtId="0" xfId="0" applyAlignment="1" applyBorder="1" applyFont="1">
      <alignment horizontal="center" shrinkToFit="0" vertical="center" wrapText="1"/>
    </xf>
    <xf borderId="60" fillId="17" fontId="68" numFmtId="0" xfId="0" applyAlignment="1" applyBorder="1" applyFont="1">
      <alignment horizontal="center" shrinkToFit="0" vertical="center" wrapText="1"/>
    </xf>
    <xf borderId="61" fillId="0" fontId="2" numFmtId="0" xfId="0" applyBorder="1" applyFont="1"/>
    <xf borderId="62" fillId="0" fontId="2" numFmtId="0" xfId="0" applyBorder="1" applyFont="1"/>
    <xf borderId="60" fillId="29" fontId="66" numFmtId="0" xfId="0" applyAlignment="1" applyBorder="1" applyFill="1" applyFont="1">
      <alignment horizontal="center" shrinkToFit="0" vertical="center" wrapText="1"/>
    </xf>
    <xf borderId="48" fillId="29" fontId="66" numFmtId="0" xfId="0" applyAlignment="1" applyBorder="1" applyFont="1">
      <alignment horizontal="center" shrinkToFit="0" vertical="center" wrapText="1"/>
    </xf>
    <xf borderId="48" fillId="29" fontId="66" numFmtId="0" xfId="0" applyAlignment="1" applyBorder="1" applyFont="1">
      <alignment horizontal="center" readingOrder="0" shrinkToFit="0" vertical="center" wrapText="1"/>
    </xf>
    <xf borderId="60" fillId="10" fontId="66" numFmtId="0" xfId="0" applyAlignment="1" applyBorder="1" applyFont="1">
      <alignment horizontal="center" shrinkToFit="0" vertical="center" wrapText="1"/>
    </xf>
    <xf borderId="48" fillId="10" fontId="66" numFmtId="0" xfId="0" applyAlignment="1" applyBorder="1" applyFont="1">
      <alignment horizontal="center" shrinkToFit="0" vertical="center" wrapText="1"/>
    </xf>
    <xf borderId="48" fillId="10" fontId="66" numFmtId="0" xfId="0" applyAlignment="1" applyBorder="1" applyFont="1">
      <alignment horizontal="center" readingOrder="0" shrinkToFit="0" vertical="center" wrapText="1"/>
    </xf>
    <xf borderId="48" fillId="10" fontId="69" numFmtId="0" xfId="0" applyAlignment="1" applyBorder="1" applyFont="1">
      <alignment horizontal="center" readingOrder="0" shrinkToFit="0" vertical="center" wrapText="1"/>
    </xf>
    <xf borderId="0" fillId="5" fontId="66" numFmtId="0" xfId="0" applyAlignment="1" applyFont="1">
      <alignment horizontal="center" shrinkToFit="0" vertical="center" wrapText="1"/>
    </xf>
    <xf borderId="48" fillId="5" fontId="66" numFmtId="0" xfId="0" applyAlignment="1" applyBorder="1" applyFont="1">
      <alignment horizontal="center" shrinkToFit="0" vertical="center" wrapText="1"/>
    </xf>
    <xf borderId="48" fillId="5" fontId="66" numFmtId="0" xfId="0" applyAlignment="1" applyBorder="1" applyFont="1">
      <alignment horizontal="center" readingOrder="0" shrinkToFit="0" vertical="center" wrapText="1"/>
    </xf>
    <xf borderId="60" fillId="5" fontId="66" numFmtId="0" xfId="0" applyAlignment="1" applyBorder="1" applyFont="1">
      <alignment horizontal="center" shrinkToFit="0" vertical="center" wrapText="1"/>
    </xf>
    <xf borderId="48" fillId="5" fontId="70" numFmtId="0" xfId="0" applyAlignment="1" applyBorder="1" applyFont="1">
      <alignment horizontal="center" readingOrder="0" shrinkToFit="0" vertical="center" wrapText="1"/>
    </xf>
    <xf borderId="63" fillId="0" fontId="2" numFmtId="0" xfId="0" applyBorder="1" applyFont="1"/>
    <xf borderId="64" fillId="17" fontId="66" numFmtId="0" xfId="0" applyAlignment="1" applyBorder="1" applyFont="1">
      <alignment horizontal="center" shrinkToFit="0" vertical="center" wrapText="1"/>
    </xf>
    <xf borderId="48" fillId="17" fontId="1" numFmtId="0" xfId="0" applyAlignment="1" applyBorder="1" applyFont="1">
      <alignment horizontal="center" readingOrder="0" shrinkToFit="0" wrapText="1"/>
    </xf>
    <xf borderId="48" fillId="17" fontId="71" numFmtId="0" xfId="0" applyAlignment="1" applyBorder="1" applyFont="1">
      <alignment horizontal="center" readingOrder="0" shrinkToFit="0" vertical="center" wrapText="1"/>
    </xf>
    <xf borderId="64" fillId="11" fontId="66" numFmtId="0" xfId="0" applyAlignment="1" applyBorder="1" applyFont="1">
      <alignment horizontal="center" readingOrder="0" shrinkToFit="0" vertical="center" wrapText="1"/>
    </xf>
    <xf borderId="48" fillId="11" fontId="66" numFmtId="0" xfId="0" applyAlignment="1" applyBorder="1" applyFont="1">
      <alignment horizontal="center" shrinkToFit="0" vertical="center" wrapText="1"/>
    </xf>
    <xf borderId="48" fillId="11" fontId="66" numFmtId="0" xfId="0" applyAlignment="1" applyBorder="1" applyFont="1">
      <alignment horizontal="center" readingOrder="0" shrinkToFit="0" vertical="center" wrapText="1"/>
    </xf>
    <xf borderId="60" fillId="11" fontId="66" numFmtId="0" xfId="0" applyAlignment="1" applyBorder="1" applyFont="1">
      <alignment horizontal="center" shrinkToFit="0" vertical="center" wrapText="1"/>
    </xf>
    <xf borderId="48" fillId="11" fontId="72" numFmtId="0" xfId="0" applyAlignment="1" applyBorder="1" applyFont="1">
      <alignment horizontal="center" readingOrder="0" shrinkToFit="0" vertical="center" wrapText="1"/>
    </xf>
    <xf borderId="64" fillId="29" fontId="66" numFmtId="0" xfId="0" applyAlignment="1" applyBorder="1" applyFont="1">
      <alignment horizontal="center" shrinkToFit="0" vertical="center" wrapText="1"/>
    </xf>
    <xf borderId="48" fillId="29" fontId="73" numFmtId="0" xfId="0" applyAlignment="1" applyBorder="1" applyFont="1">
      <alignment horizontal="center" readingOrder="0" shrinkToFit="0" vertical="center" wrapText="1"/>
    </xf>
    <xf borderId="64" fillId="11" fontId="66" numFmtId="0" xfId="0" applyAlignment="1" applyBorder="1" applyFont="1">
      <alignment horizontal="center" shrinkToFit="0" vertical="center" wrapText="1"/>
    </xf>
    <xf borderId="64" fillId="30" fontId="66" numFmtId="0" xfId="0" applyAlignment="1" applyBorder="1" applyFill="1" applyFont="1">
      <alignment horizontal="center" shrinkToFit="0" vertical="center" wrapText="1"/>
    </xf>
    <xf borderId="48" fillId="30" fontId="66" numFmtId="0" xfId="0" applyAlignment="1" applyBorder="1" applyFont="1">
      <alignment horizontal="center" shrinkToFit="0" vertical="center" wrapText="1"/>
    </xf>
    <xf borderId="48" fillId="30" fontId="66" numFmtId="0" xfId="0" applyAlignment="1" applyBorder="1" applyFont="1">
      <alignment horizontal="center" readingOrder="0" shrinkToFit="0" vertical="center" wrapText="1"/>
    </xf>
    <xf borderId="60" fillId="30" fontId="66" numFmtId="0" xfId="0" applyAlignment="1" applyBorder="1" applyFont="1">
      <alignment horizontal="center" shrinkToFit="0" vertical="center" wrapText="1"/>
    </xf>
    <xf borderId="65" fillId="31" fontId="17" numFmtId="0" xfId="0" applyAlignment="1" applyBorder="1" applyFill="1" applyFont="1">
      <alignment horizontal="center" shrinkToFit="0" vertical="center" wrapText="1"/>
    </xf>
    <xf borderId="66" fillId="31" fontId="13" numFmtId="0" xfId="0" applyAlignment="1" applyBorder="1" applyFont="1">
      <alignment horizontal="center" shrinkToFit="0" vertical="center" wrapText="1"/>
    </xf>
    <xf borderId="67" fillId="31" fontId="13" numFmtId="0" xfId="0" applyAlignment="1" applyBorder="1" applyFont="1">
      <alignment horizontal="center" shrinkToFit="0" vertical="center" wrapText="1"/>
    </xf>
    <xf borderId="48" fillId="31" fontId="13" numFmtId="0" xfId="0" applyAlignment="1" applyBorder="1" applyFont="1">
      <alignment horizontal="center" shrinkToFit="0" vertical="center" wrapText="1"/>
    </xf>
    <xf borderId="48" fillId="4" fontId="74" numFmtId="0" xfId="0" applyAlignment="1" applyBorder="1" applyFont="1">
      <alignment horizontal="center" shrinkToFit="0" vertical="center" wrapText="1"/>
    </xf>
    <xf borderId="68" fillId="0" fontId="1" numFmtId="0" xfId="0" applyAlignment="1" applyBorder="1" applyFont="1">
      <alignment vertical="center"/>
    </xf>
    <xf borderId="69" fillId="0" fontId="1" numFmtId="0" xfId="0" applyAlignment="1" applyBorder="1" applyFont="1">
      <alignment vertical="center"/>
    </xf>
    <xf borderId="68" fillId="0" fontId="1" numFmtId="0" xfId="0" applyAlignment="1" applyBorder="1" applyFont="1">
      <alignment horizontal="center" vertical="center"/>
    </xf>
    <xf borderId="69" fillId="0" fontId="17" numFmtId="0" xfId="0" applyAlignment="1" applyBorder="1" applyFont="1">
      <alignment vertical="center"/>
    </xf>
    <xf borderId="69" fillId="0" fontId="75" numFmtId="0" xfId="0" applyAlignment="1" applyBorder="1" applyFont="1">
      <alignment horizontal="center" vertical="center"/>
    </xf>
    <xf borderId="70" fillId="0" fontId="3" numFmtId="0" xfId="0" applyBorder="1" applyFont="1"/>
    <xf borderId="31" fillId="3" fontId="13" numFmtId="0" xfId="0" applyAlignment="1" applyBorder="1" applyFont="1">
      <alignment horizontal="center" shrinkToFit="0" vertical="center" wrapText="1"/>
    </xf>
    <xf borderId="31" fillId="4" fontId="13" numFmtId="0" xfId="0" applyAlignment="1" applyBorder="1" applyFont="1">
      <alignment horizontal="center" shrinkToFit="0" vertical="center" wrapText="1"/>
    </xf>
    <xf borderId="31" fillId="9" fontId="76" numFmtId="0" xfId="0" applyAlignment="1" applyBorder="1" applyFont="1">
      <alignment horizontal="center" shrinkToFit="0" vertical="center" wrapText="1"/>
    </xf>
    <xf borderId="31" fillId="5" fontId="9" numFmtId="0" xfId="0" applyAlignment="1" applyBorder="1" applyFont="1">
      <alignment horizontal="left" shrinkToFit="0" vertical="center" wrapText="1"/>
    </xf>
    <xf borderId="31" fillId="5" fontId="9" numFmtId="0" xfId="0" applyAlignment="1" applyBorder="1" applyFont="1">
      <alignment horizontal="center" shrinkToFit="0" vertical="center" wrapText="1"/>
    </xf>
    <xf borderId="31" fillId="9" fontId="13" numFmtId="0" xfId="0" applyAlignment="1" applyBorder="1" applyFont="1">
      <alignment horizontal="center" shrinkToFit="0" vertical="center" wrapText="1"/>
    </xf>
    <xf borderId="31" fillId="13" fontId="76" numFmtId="0" xfId="0" applyAlignment="1" applyBorder="1" applyFont="1">
      <alignment horizontal="center" shrinkToFit="0" vertical="center" wrapText="1"/>
    </xf>
    <xf borderId="31" fillId="13" fontId="13" numFmtId="0" xfId="0" applyAlignment="1" applyBorder="1" applyFont="1">
      <alignment horizontal="center" shrinkToFit="0" vertical="center" wrapText="1"/>
    </xf>
    <xf borderId="31" fillId="15" fontId="76" numFmtId="0" xfId="0" applyAlignment="1" applyBorder="1" applyFont="1">
      <alignment horizontal="center" shrinkToFit="0" vertical="center" wrapText="1"/>
    </xf>
    <xf borderId="31" fillId="15" fontId="13" numFmtId="0" xfId="0" applyAlignment="1" applyBorder="1" applyFont="1">
      <alignment horizontal="center" shrinkToFit="0" vertical="center" wrapText="1"/>
    </xf>
    <xf borderId="31" fillId="20" fontId="9" numFmtId="0" xfId="0" applyAlignment="1" applyBorder="1" applyFont="1">
      <alignment horizontal="center" shrinkToFit="0" vertical="center" wrapText="1"/>
    </xf>
    <xf borderId="31" fillId="20" fontId="1" numFmtId="0" xfId="0" applyAlignment="1" applyBorder="1" applyFont="1">
      <alignment horizontal="center" shrinkToFit="0" vertical="center" wrapText="1"/>
    </xf>
    <xf borderId="31" fillId="18" fontId="9" numFmtId="0" xfId="0" applyAlignment="1" applyBorder="1" applyFont="1">
      <alignment horizontal="center" shrinkToFit="0" vertical="center" wrapText="1"/>
    </xf>
    <xf borderId="31" fillId="18" fontId="1" numFmtId="0" xfId="0" applyAlignment="1" applyBorder="1" applyFont="1">
      <alignment horizontal="center" shrinkToFit="0" vertical="center" wrapText="1"/>
    </xf>
    <xf borderId="31" fillId="16" fontId="76" numFmtId="0" xfId="0" applyAlignment="1" applyBorder="1" applyFont="1">
      <alignment horizontal="center" shrinkToFit="0" vertical="center" wrapText="1"/>
    </xf>
    <xf borderId="31" fillId="16" fontId="13" numFmtId="0" xfId="0" applyAlignment="1" applyBorder="1" applyFont="1">
      <alignment horizontal="center" shrinkToFit="0" vertical="center" wrapText="1"/>
    </xf>
    <xf borderId="31" fillId="7" fontId="9" numFmtId="0" xfId="0" applyAlignment="1" applyBorder="1" applyFont="1">
      <alignment horizontal="center" shrinkToFit="0" vertical="center" wrapText="1"/>
    </xf>
    <xf borderId="31" fillId="32" fontId="76" numFmtId="0" xfId="0" applyAlignment="1" applyBorder="1" applyFill="1" applyFont="1">
      <alignment horizontal="center" shrinkToFit="0" vertical="center" wrapText="1"/>
    </xf>
    <xf borderId="31" fillId="32" fontId="13" numFmtId="0" xfId="0" applyAlignment="1" applyBorder="1" applyFont="1">
      <alignment horizontal="center" shrinkToFit="0" vertical="center" wrapText="1"/>
    </xf>
    <xf borderId="31" fillId="33" fontId="76" numFmtId="0" xfId="0" applyAlignment="1" applyBorder="1" applyFill="1" applyFont="1">
      <alignment horizontal="center" shrinkToFit="0" vertical="center" wrapText="1"/>
    </xf>
    <xf borderId="31" fillId="33" fontId="13" numFmtId="0" xfId="0" applyAlignment="1" applyBorder="1" applyFont="1">
      <alignment horizontal="center" shrinkToFit="0" vertical="center" wrapText="1"/>
    </xf>
    <xf borderId="31" fillId="25" fontId="9" numFmtId="0" xfId="0" applyAlignment="1" applyBorder="1" applyFont="1">
      <alignment horizontal="center" shrinkToFit="0" vertical="center" wrapText="1"/>
    </xf>
    <xf borderId="31" fillId="25" fontId="1" numFmtId="0" xfId="0" applyAlignment="1" applyBorder="1" applyFont="1">
      <alignment horizontal="center" shrinkToFit="0" vertical="center" wrapText="1"/>
    </xf>
    <xf borderId="71" fillId="4" fontId="13" numFmtId="0" xfId="0" applyAlignment="1" applyBorder="1" applyFont="1">
      <alignment horizontal="center" shrinkToFit="0" vertical="center" wrapText="1"/>
    </xf>
    <xf borderId="72" fillId="0" fontId="2" numFmtId="0" xfId="0" applyBorder="1" applyFont="1"/>
    <xf borderId="31" fillId="4" fontId="77" numFmtId="0" xfId="0" applyAlignment="1" applyBorder="1" applyFont="1">
      <alignment horizontal="center" shrinkToFit="0" vertical="center" wrapText="1"/>
    </xf>
    <xf borderId="31" fillId="3" fontId="77" numFmtId="0" xfId="0" applyAlignment="1" applyBorder="1" applyFont="1">
      <alignment horizontal="center" shrinkToFit="0" vertical="center" wrapText="1"/>
    </xf>
    <xf borderId="73" fillId="0" fontId="9" numFmtId="0" xfId="0" applyAlignment="1" applyBorder="1" applyFont="1">
      <alignment horizontal="center"/>
    </xf>
    <xf borderId="73" fillId="0" fontId="1" numFmtId="0" xfId="0" applyBorder="1" applyFont="1"/>
    <xf borderId="0" fillId="0" fontId="9" numFmtId="0" xfId="0" applyFont="1"/>
    <xf borderId="0" fillId="0" fontId="9" numFmtId="0" xfId="0" applyAlignment="1" applyFont="1">
      <alignment horizontal="center"/>
    </xf>
    <xf borderId="5" fillId="5" fontId="78" numFmtId="9" xfId="0" applyAlignment="1" applyBorder="1" applyFont="1" applyNumberFormat="1">
      <alignment horizontal="center" vertical="center"/>
    </xf>
    <xf borderId="5" fillId="34" fontId="78" numFmtId="9" xfId="0" applyAlignment="1" applyBorder="1" applyFill="1" applyFont="1" applyNumberFormat="1">
      <alignment horizontal="center" vertical="center"/>
    </xf>
    <xf borderId="0" fillId="0" fontId="9" numFmtId="0" xfId="0" applyAlignment="1" applyFont="1">
      <alignment horizontal="left" shrinkToFit="0" vertical="top" wrapText="1"/>
    </xf>
    <xf borderId="54" fillId="0" fontId="9" numFmtId="0" xfId="0" applyAlignment="1" applyBorder="1" applyFont="1">
      <alignment vertical="center"/>
    </xf>
    <xf borderId="54" fillId="0" fontId="9" numFmtId="0" xfId="0" applyAlignment="1" applyBorder="1" applyFont="1">
      <alignment horizontal="center" vertical="center"/>
    </xf>
    <xf borderId="74" fillId="0" fontId="9" numFmtId="0" xfId="0" applyAlignment="1" applyBorder="1" applyFont="1">
      <alignment vertical="center"/>
    </xf>
    <xf borderId="75" fillId="0" fontId="9" numFmtId="0" xfId="0" applyAlignment="1" applyBorder="1" applyFont="1">
      <alignment horizontal="center" vertical="center"/>
    </xf>
    <xf borderId="26" fillId="3" fontId="13" numFmtId="9" xfId="0" applyAlignment="1" applyBorder="1" applyFont="1" applyNumberFormat="1">
      <alignment horizontal="center" vertical="center"/>
    </xf>
    <xf borderId="26" fillId="3" fontId="79" numFmtId="9" xfId="0" applyAlignment="1" applyBorder="1" applyFont="1" applyNumberFormat="1">
      <alignment horizontal="center" vertical="center"/>
    </xf>
    <xf borderId="54" fillId="0" fontId="9" numFmtId="0" xfId="0" applyBorder="1" applyFont="1"/>
    <xf borderId="54" fillId="0" fontId="1" numFmtId="0" xfId="0" applyAlignment="1" applyBorder="1" applyFont="1">
      <alignment vertical="center"/>
    </xf>
    <xf borderId="54" fillId="0" fontId="1" numFmtId="0" xfId="0" applyAlignment="1" applyBorder="1" applyFont="1">
      <alignment horizontal="center" vertical="center"/>
    </xf>
    <xf borderId="76" fillId="0" fontId="1" numFmtId="0" xfId="0" applyAlignment="1" applyBorder="1" applyFont="1">
      <alignment vertical="center"/>
    </xf>
    <xf borderId="48" fillId="0" fontId="17" numFmtId="0" xfId="0" applyAlignment="1" applyBorder="1" applyFont="1">
      <alignment horizontal="center" vertical="center"/>
    </xf>
    <xf borderId="48" fillId="5" fontId="67" numFmtId="0" xfId="0" applyAlignment="1" applyBorder="1" applyFont="1">
      <alignment horizontal="center" vertical="center"/>
    </xf>
    <xf borderId="48" fillId="5" fontId="67" numFmtId="1" xfId="0" applyAlignment="1" applyBorder="1" applyFont="1" applyNumberFormat="1">
      <alignment horizontal="center" vertical="center"/>
    </xf>
    <xf borderId="48" fillId="8" fontId="17" numFmtId="9" xfId="0" applyAlignment="1" applyBorder="1" applyFont="1" applyNumberFormat="1">
      <alignment horizontal="center" vertical="center"/>
    </xf>
    <xf borderId="48" fillId="5" fontId="67" numFmtId="1" xfId="0" applyAlignment="1" applyBorder="1" applyFont="1" applyNumberFormat="1">
      <alignment horizontal="center"/>
    </xf>
    <xf borderId="48" fillId="8" fontId="17" numFmtId="9" xfId="0" applyAlignment="1" applyBorder="1" applyFont="1" applyNumberFormat="1">
      <alignment horizontal="center"/>
    </xf>
    <xf borderId="54" fillId="0" fontId="80" numFmtId="0" xfId="0" applyAlignment="1" applyBorder="1" applyFont="1">
      <alignment horizontal="center" vertical="center"/>
    </xf>
    <xf borderId="77" fillId="0" fontId="1" numFmtId="0" xfId="0" applyAlignment="1" applyBorder="1" applyFont="1">
      <alignment vertical="center"/>
    </xf>
    <xf borderId="77" fillId="0" fontId="9" numFmtId="0" xfId="0" applyBorder="1" applyFont="1"/>
    <xf borderId="77" fillId="0" fontId="81" numFmtId="0" xfId="0" applyAlignment="1" applyBorder="1" applyFont="1">
      <alignment horizontal="center" vertical="center"/>
    </xf>
    <xf borderId="77" fillId="0" fontId="1" numFmtId="0" xfId="0" applyAlignment="1" applyBorder="1" applyFont="1">
      <alignment horizontal="center" vertical="center"/>
    </xf>
    <xf borderId="78" fillId="0" fontId="1" numFmtId="0" xfId="0" applyAlignment="1" applyBorder="1" applyFont="1">
      <alignment vertical="center"/>
    </xf>
    <xf borderId="60" fillId="0" fontId="17" numFmtId="0" xfId="0" applyAlignment="1" applyBorder="1" applyFont="1">
      <alignment horizontal="center" vertical="center"/>
    </xf>
    <xf borderId="52" fillId="5" fontId="67" numFmtId="1" xfId="0" applyAlignment="1" applyBorder="1" applyFont="1" applyNumberFormat="1">
      <alignment horizontal="center"/>
    </xf>
    <xf borderId="52" fillId="5" fontId="67" numFmtId="0" xfId="0" applyAlignment="1" applyBorder="1" applyFont="1">
      <alignment horizontal="center" vertical="center"/>
    </xf>
    <xf borderId="52" fillId="5" fontId="67" numFmtId="1" xfId="0" applyAlignment="1" applyBorder="1" applyFont="1" applyNumberFormat="1">
      <alignment horizontal="center" vertical="center"/>
    </xf>
    <xf borderId="52" fillId="8" fontId="17" numFmtId="9" xfId="0" applyAlignment="1" applyBorder="1" applyFont="1" applyNumberFormat="1">
      <alignment horizontal="center"/>
    </xf>
    <xf borderId="79" fillId="5" fontId="67" numFmtId="1" xfId="0" applyAlignment="1" applyBorder="1" applyFont="1" applyNumberFormat="1">
      <alignment horizontal="center"/>
    </xf>
    <xf borderId="80" fillId="0" fontId="2" numFmtId="0" xfId="0" applyBorder="1" applyFont="1"/>
    <xf borderId="50" fillId="0" fontId="2" numFmtId="0" xfId="0" applyBorder="1" applyFont="1"/>
    <xf borderId="48" fillId="35" fontId="1" numFmtId="9" xfId="0" applyAlignment="1" applyBorder="1" applyFill="1" applyFont="1" applyNumberFormat="1">
      <alignment horizontal="center"/>
    </xf>
    <xf borderId="77" fillId="0" fontId="3" numFmtId="0" xfId="0" applyBorder="1" applyFont="1"/>
    <xf borderId="77" fillId="0" fontId="3" numFmtId="0" xfId="0" applyAlignment="1" applyBorder="1" applyFont="1">
      <alignment horizontal="center" vertical="center"/>
    </xf>
    <xf borderId="54" fillId="0" fontId="3" numFmtId="0" xfId="0" applyBorder="1" applyFont="1"/>
    <xf borderId="23" fillId="3" fontId="13" numFmtId="0" xfId="0" applyAlignment="1" applyBorder="1" applyFont="1">
      <alignment horizontal="center" shrinkToFit="0" vertical="center" wrapText="1"/>
    </xf>
    <xf borderId="23" fillId="8" fontId="13" numFmtId="166" xfId="0" applyAlignment="1" applyBorder="1" applyFont="1" applyNumberFormat="1">
      <alignment horizontal="center" readingOrder="0" shrinkToFit="0" vertical="center" wrapText="1"/>
    </xf>
    <xf borderId="69" fillId="0" fontId="3" numFmtId="0" xfId="0" applyBorder="1" applyFont="1"/>
    <xf borderId="23" fillId="9" fontId="9" numFmtId="0" xfId="0" applyAlignment="1" applyBorder="1" applyFont="1">
      <alignment horizontal="center" shrinkToFit="0" vertical="center" wrapText="1"/>
    </xf>
    <xf borderId="23" fillId="5" fontId="82" numFmtId="0" xfId="0" applyAlignment="1" applyBorder="1" applyFont="1">
      <alignment horizontal="center" shrinkToFit="0" vertical="center" wrapText="1"/>
    </xf>
    <xf borderId="23" fillId="5" fontId="83" numFmtId="0" xfId="0" applyAlignment="1" applyBorder="1" applyFont="1">
      <alignment horizontal="center" shrinkToFit="0" vertical="center" wrapText="1"/>
    </xf>
    <xf borderId="23" fillId="5" fontId="9" numFmtId="165" xfId="0" applyAlignment="1" applyBorder="1" applyFont="1" applyNumberFormat="1">
      <alignment horizontal="center" shrinkToFit="0" vertical="center" wrapText="1"/>
    </xf>
    <xf borderId="23" fillId="5" fontId="1" numFmtId="165" xfId="0" applyAlignment="1" applyBorder="1" applyFont="1" applyNumberFormat="1">
      <alignment horizontal="center" shrinkToFit="0" vertical="center" wrapText="1"/>
    </xf>
    <xf borderId="23" fillId="9" fontId="76" numFmtId="0" xfId="0" applyAlignment="1" applyBorder="1" applyFont="1">
      <alignment horizontal="center" shrinkToFit="0" vertical="center" wrapText="1"/>
    </xf>
    <xf borderId="23" fillId="13" fontId="76" numFmtId="0" xfId="0" applyAlignment="1" applyBorder="1" applyFont="1">
      <alignment horizontal="center" shrinkToFit="0" vertical="center" wrapText="1"/>
    </xf>
    <xf borderId="5" fillId="5" fontId="84" numFmtId="0" xfId="0" applyAlignment="1" applyBorder="1" applyFont="1">
      <alignment horizontal="center" shrinkToFit="0" vertical="center" wrapText="1"/>
    </xf>
    <xf borderId="23" fillId="15" fontId="76" numFmtId="0" xfId="0" applyAlignment="1" applyBorder="1" applyFont="1">
      <alignment horizontal="center" shrinkToFit="0" vertical="center" wrapText="1"/>
    </xf>
    <xf borderId="23" fillId="16" fontId="76" numFmtId="0" xfId="0" applyAlignment="1" applyBorder="1" applyFont="1">
      <alignment horizontal="center" shrinkToFit="0" vertical="center" wrapText="1"/>
    </xf>
    <xf borderId="23" fillId="13" fontId="9" numFmtId="0" xfId="0" applyAlignment="1" applyBorder="1" applyFont="1">
      <alignment horizontal="center" shrinkToFit="0" vertical="center" wrapText="1"/>
    </xf>
    <xf borderId="23" fillId="29" fontId="9" numFmtId="0" xfId="0" applyAlignment="1" applyBorder="1" applyFont="1">
      <alignment horizontal="center" shrinkToFit="0" vertical="center" wrapText="1"/>
    </xf>
    <xf borderId="23" fillId="36" fontId="9" numFmtId="0" xfId="0" applyAlignment="1" applyBorder="1" applyFill="1" applyFont="1">
      <alignment horizontal="center" shrinkToFit="0" vertical="center" wrapText="1"/>
    </xf>
    <xf borderId="23" fillId="7" fontId="9" numFmtId="0" xfId="0" applyAlignment="1" applyBorder="1" applyFont="1">
      <alignment horizontal="center" shrinkToFit="0" vertical="center" wrapText="1"/>
    </xf>
    <xf borderId="21" fillId="5" fontId="85" numFmtId="0" xfId="0" applyAlignment="1" applyBorder="1" applyFont="1">
      <alignment horizontal="center" shrinkToFit="0" vertical="center" wrapText="1"/>
    </xf>
    <xf borderId="23" fillId="5" fontId="86" numFmtId="0" xfId="0" applyAlignment="1" applyBorder="1" applyFont="1">
      <alignment horizontal="center" shrinkToFit="0" vertical="center" wrapText="1"/>
    </xf>
    <xf borderId="21" fillId="5" fontId="9" numFmtId="0" xfId="0" applyAlignment="1" applyBorder="1" applyFont="1">
      <alignment horizontal="center" shrinkToFit="0" vertical="center" wrapText="1"/>
    </xf>
    <xf borderId="21" fillId="5" fontId="9" numFmtId="165" xfId="0" applyAlignment="1" applyBorder="1" applyFont="1" applyNumberFormat="1">
      <alignment horizontal="center" shrinkToFit="0" vertical="center" wrapText="1"/>
    </xf>
    <xf borderId="23" fillId="32" fontId="76" numFmtId="0" xfId="0" applyAlignment="1" applyBorder="1" applyFont="1">
      <alignment horizontal="center" shrinkToFit="0" vertical="center" wrapText="1"/>
    </xf>
    <xf borderId="23" fillId="37" fontId="9" numFmtId="0" xfId="0" applyAlignment="1" applyBorder="1" applyFill="1" applyFont="1">
      <alignment horizontal="center" shrinkToFit="0" vertical="center" wrapText="1"/>
    </xf>
    <xf borderId="23" fillId="38" fontId="9" numFmtId="0" xfId="0" applyAlignment="1" applyBorder="1" applyFill="1" applyFont="1">
      <alignment horizontal="center" shrinkToFit="0" vertical="center" wrapText="1"/>
    </xf>
    <xf borderId="23" fillId="16" fontId="9" numFmtId="0" xfId="0" applyAlignment="1" applyBorder="1" applyFont="1">
      <alignment horizontal="center" shrinkToFit="0" vertical="center" wrapText="1"/>
    </xf>
    <xf borderId="23" fillId="25" fontId="9" numFmtId="0" xfId="0" applyAlignment="1" applyBorder="1" applyFont="1">
      <alignment horizontal="center" shrinkToFit="0" vertical="center" wrapText="1"/>
    </xf>
    <xf borderId="53" fillId="0" fontId="3" numFmtId="0" xfId="0" applyBorder="1" applyFont="1"/>
    <xf borderId="23" fillId="4" fontId="13" numFmtId="0" xfId="0" applyAlignment="1" applyBorder="1" applyFont="1">
      <alignment shrinkToFit="0" vertical="center" wrapText="1"/>
    </xf>
    <xf borderId="23" fillId="4" fontId="13" numFmtId="0" xfId="0" applyAlignment="1" applyBorder="1" applyFont="1">
      <alignment horizontal="center" shrinkToFit="0" vertical="center" wrapText="1"/>
    </xf>
    <xf borderId="23" fillId="4" fontId="77" numFmtId="0" xfId="0" applyAlignment="1" applyBorder="1" applyFont="1">
      <alignment horizontal="center" shrinkToFit="0" vertical="center" wrapText="1"/>
    </xf>
    <xf borderId="23" fillId="5" fontId="87" numFmtId="0" xfId="0" applyAlignment="1" applyBorder="1" applyFont="1">
      <alignment horizontal="center" vertical="center"/>
    </xf>
    <xf borderId="54" fillId="0" fontId="9" numFmtId="0" xfId="0" applyAlignment="1" applyBorder="1" applyFont="1">
      <alignment horizontal="center"/>
    </xf>
    <xf borderId="81" fillId="4" fontId="88" numFmtId="0" xfId="0" applyAlignment="1" applyBorder="1" applyFont="1">
      <alignment horizontal="center"/>
    </xf>
    <xf borderId="82" fillId="0" fontId="2" numFmtId="0" xfId="0" applyBorder="1" applyFont="1"/>
    <xf borderId="83" fillId="0" fontId="2" numFmtId="0" xfId="0" applyBorder="1" applyFont="1"/>
    <xf borderId="54" fillId="0" fontId="3" numFmtId="0" xfId="0" applyAlignment="1" applyBorder="1" applyFont="1">
      <alignment horizontal="center"/>
    </xf>
    <xf borderId="76" fillId="0" fontId="3" numFmtId="0" xfId="0" applyBorder="1" applyFont="1"/>
    <xf borderId="54" fillId="0" fontId="9" numFmtId="0" xfId="0" applyAlignment="1" applyBorder="1" applyFont="1">
      <alignment horizontal="left" shrinkToFit="0" vertical="center" wrapText="1"/>
    </xf>
    <xf borderId="84" fillId="0" fontId="3" numFmtId="0" xfId="0" applyBorder="1" applyFont="1"/>
    <xf borderId="5" fillId="5" fontId="89" numFmtId="0" xfId="0" applyAlignment="1" applyBorder="1" applyFont="1">
      <alignment horizontal="center" vertical="center"/>
    </xf>
    <xf borderId="23" fillId="39" fontId="9" numFmtId="0" xfId="0" applyAlignment="1" applyBorder="1" applyFill="1" applyFont="1">
      <alignment horizontal="center" shrinkToFit="0" vertical="center" wrapText="1"/>
    </xf>
    <xf borderId="23" fillId="40" fontId="9" numFmtId="0" xfId="0" applyAlignment="1" applyBorder="1" applyFill="1" applyFont="1">
      <alignment horizontal="center" shrinkToFit="0" vertical="center" wrapText="1"/>
    </xf>
    <xf borderId="36" fillId="5" fontId="90" numFmtId="0" xfId="0" applyAlignment="1" applyBorder="1" applyFont="1">
      <alignment horizontal="center" shrinkToFit="0" vertical="center" wrapText="1"/>
    </xf>
    <xf borderId="28" fillId="5" fontId="91" numFmtId="0" xfId="0" applyAlignment="1" applyBorder="1" applyFont="1">
      <alignment horizontal="center" shrinkToFit="0" vertical="center" wrapText="1"/>
    </xf>
    <xf borderId="30" fillId="5" fontId="9" numFmtId="165" xfId="0" applyAlignment="1" applyBorder="1" applyFont="1" applyNumberFormat="1">
      <alignment horizontal="center" shrinkToFit="0" vertical="center" wrapText="1"/>
    </xf>
    <xf borderId="85" fillId="5" fontId="92" numFmtId="0" xfId="0" applyAlignment="1" applyBorder="1" applyFont="1">
      <alignment horizontal="center" shrinkToFit="0" vertical="center" wrapText="1"/>
    </xf>
    <xf borderId="5" fillId="5" fontId="9" numFmtId="15" xfId="0" applyAlignment="1" applyBorder="1" applyFont="1" applyNumberFormat="1">
      <alignment horizontal="center" vertical="center"/>
    </xf>
    <xf borderId="5" fillId="5" fontId="9" numFmtId="167" xfId="0" applyAlignment="1" applyBorder="1" applyFont="1" applyNumberFormat="1">
      <alignment horizontal="center" vertical="center"/>
    </xf>
    <xf borderId="28" fillId="3" fontId="13" numFmtId="0" xfId="0" applyAlignment="1" applyBorder="1" applyFont="1">
      <alignment horizontal="center" shrinkToFit="0" vertical="center" wrapText="1"/>
    </xf>
    <xf borderId="30" fillId="0" fontId="2" numFmtId="0" xfId="0" applyBorder="1" applyFont="1"/>
    <xf borderId="23" fillId="3" fontId="77" numFmtId="0" xfId="0" applyAlignment="1" applyBorder="1" applyFont="1">
      <alignment horizontal="center" shrinkToFit="0" vertical="center" wrapText="1"/>
    </xf>
    <xf borderId="23" fillId="3" fontId="13" numFmtId="1" xfId="0" applyAlignment="1" applyBorder="1" applyFont="1" applyNumberFormat="1">
      <alignment horizontal="center" shrinkToFit="0" vertical="center" wrapText="1"/>
    </xf>
    <xf borderId="76" fillId="3" fontId="13" numFmtId="0" xfId="0" applyAlignment="1" applyBorder="1" applyFont="1">
      <alignment horizontal="center" shrinkToFit="0" vertical="center" wrapText="1"/>
    </xf>
    <xf borderId="69" fillId="0" fontId="2" numFmtId="0" xfId="0" applyBorder="1" applyFont="1"/>
    <xf borderId="53" fillId="0" fontId="2" numFmtId="0" xfId="0" applyBorder="1" applyFont="1"/>
    <xf borderId="5" fillId="3" fontId="13" numFmtId="0" xfId="0" applyAlignment="1" applyBorder="1" applyFont="1">
      <alignment shrinkToFit="0" wrapText="1"/>
    </xf>
    <xf borderId="0" fillId="0" fontId="44" numFmtId="0" xfId="0" applyFont="1"/>
    <xf borderId="86" fillId="3" fontId="13" numFmtId="0" xfId="0" applyAlignment="1" applyBorder="1" applyFont="1">
      <alignment horizontal="center" shrinkToFit="0" vertical="center" wrapText="1"/>
    </xf>
    <xf borderId="87" fillId="0" fontId="2" numFmtId="0" xfId="0" applyBorder="1" applyFont="1"/>
    <xf borderId="88" fillId="3" fontId="13" numFmtId="0" xfId="0" applyAlignment="1" applyBorder="1" applyFont="1">
      <alignment horizontal="center" shrinkToFit="0" vertical="center" wrapText="1"/>
    </xf>
    <xf borderId="89" fillId="3" fontId="13" numFmtId="0" xfId="0" applyAlignment="1" applyBorder="1" applyFont="1">
      <alignment shrinkToFit="0" wrapText="1"/>
    </xf>
    <xf borderId="90" fillId="3" fontId="13" numFmtId="0" xfId="0" applyAlignment="1" applyBorder="1" applyFont="1">
      <alignment shrinkToFit="0" wrapText="1"/>
    </xf>
    <xf borderId="31" fillId="0" fontId="9" numFmtId="167" xfId="0" applyAlignment="1" applyBorder="1" applyFont="1" applyNumberFormat="1">
      <alignment shrinkToFit="0" wrapText="1"/>
    </xf>
    <xf borderId="31" fillId="0" fontId="9" numFmtId="0" xfId="0" applyAlignment="1" applyBorder="1" applyFont="1">
      <alignment shrinkToFit="0" wrapText="1"/>
    </xf>
    <xf borderId="31" fillId="0" fontId="1" numFmtId="0" xfId="0" applyAlignment="1" applyBorder="1" applyFont="1">
      <alignment horizontal="left" shrinkToFit="0" vertical="center" wrapText="1"/>
    </xf>
    <xf borderId="31" fillId="0" fontId="1" numFmtId="167" xfId="0" applyAlignment="1" applyBorder="1" applyFont="1" applyNumberFormat="1">
      <alignment shrinkToFit="0" wrapText="1"/>
    </xf>
    <xf borderId="31" fillId="0" fontId="1" numFmtId="0" xfId="0" applyAlignment="1" applyBorder="1" applyFont="1">
      <alignment shrinkToFit="0" wrapText="1"/>
    </xf>
    <xf borderId="91" fillId="0" fontId="9" numFmtId="0" xfId="0" applyAlignment="1" applyBorder="1" applyFont="1">
      <alignment horizontal="left" shrinkToFit="0" vertical="center" wrapText="1"/>
    </xf>
    <xf borderId="91" fillId="0" fontId="9" numFmtId="167" xfId="0" applyAlignment="1" applyBorder="1" applyFont="1" applyNumberFormat="1">
      <alignment shrinkToFit="0" wrapText="1"/>
    </xf>
    <xf borderId="91" fillId="0" fontId="9" numFmtId="0" xfId="0" applyAlignment="1" applyBorder="1" applyFont="1">
      <alignment shrinkToFit="0" wrapText="1"/>
    </xf>
    <xf borderId="92" fillId="0" fontId="9" numFmtId="0" xfId="0" applyAlignment="1" applyBorder="1" applyFont="1">
      <alignment horizontal="left" shrinkToFit="0" vertical="center" wrapText="1"/>
    </xf>
    <xf borderId="93" fillId="0" fontId="9" numFmtId="167" xfId="0" applyAlignment="1" applyBorder="1" applyFont="1" applyNumberFormat="1">
      <alignment shrinkToFit="0" wrapText="1"/>
    </xf>
    <xf borderId="93" fillId="0" fontId="9" numFmtId="0" xfId="0" applyAlignment="1" applyBorder="1" applyFont="1">
      <alignment shrinkToFit="0" wrapText="1"/>
    </xf>
    <xf borderId="94" fillId="0" fontId="9" numFmtId="0" xfId="0" applyAlignment="1" applyBorder="1" applyFont="1">
      <alignment shrinkToFit="0" wrapText="1"/>
    </xf>
    <xf borderId="0" fillId="0" fontId="1" numFmtId="0" xfId="0" applyAlignment="1" applyFont="1">
      <alignment horizontal="left" shrinkToFit="0" vertical="center" wrapText="1"/>
    </xf>
    <xf borderId="0" fillId="0" fontId="9" numFmtId="0" xfId="0" applyAlignment="1" applyFont="1">
      <alignment horizontal="left" shrinkToFit="0" vertical="center" wrapText="1"/>
    </xf>
    <xf borderId="95" fillId="0" fontId="9" numFmtId="0" xfId="0" applyAlignment="1" applyBorder="1" applyFont="1">
      <alignment horizontal="left" shrinkToFit="0" vertical="center" wrapText="1"/>
    </xf>
    <xf borderId="93" fillId="0" fontId="9" numFmtId="0" xfId="0" applyAlignment="1" applyBorder="1" applyFont="1">
      <alignment horizontal="left" shrinkToFit="0" vertical="center" wrapText="1"/>
    </xf>
    <xf borderId="91" fillId="0" fontId="1" numFmtId="0" xfId="0" applyAlignment="1" applyBorder="1" applyFont="1">
      <alignment horizontal="left" shrinkToFit="0" vertical="center" wrapText="1"/>
    </xf>
    <xf borderId="91" fillId="0" fontId="1" numFmtId="167" xfId="0" applyAlignment="1" applyBorder="1" applyFont="1" applyNumberFormat="1">
      <alignment shrinkToFit="0" wrapText="1"/>
    </xf>
    <xf borderId="91" fillId="0" fontId="1" numFmtId="0" xfId="0" applyAlignment="1" applyBorder="1" applyFont="1">
      <alignment shrinkToFit="0" wrapText="1"/>
    </xf>
    <xf borderId="94" fillId="0" fontId="9" numFmtId="0" xfId="0" applyAlignment="1" applyBorder="1" applyFont="1">
      <alignment horizontal="left" shrinkToFit="0" vertical="center" wrapText="1"/>
    </xf>
    <xf borderId="94" fillId="0" fontId="9" numFmtId="167" xfId="0" applyAlignment="1" applyBorder="1" applyFont="1" applyNumberFormat="1">
      <alignment shrinkToFit="0" wrapText="1"/>
    </xf>
    <xf borderId="96" fillId="0" fontId="9" numFmtId="0" xfId="0" applyAlignment="1" applyBorder="1" applyFont="1">
      <alignment horizontal="left" shrinkToFit="0" vertical="center" wrapText="1"/>
    </xf>
    <xf borderId="0" fillId="0" fontId="9" numFmtId="167" xfId="0" applyFont="1" applyNumberFormat="1"/>
    <xf borderId="97" fillId="0" fontId="9" numFmtId="0" xfId="0" applyAlignment="1" applyBorder="1" applyFont="1">
      <alignment horizontal="left" shrinkToFit="0" vertical="center" wrapText="1"/>
    </xf>
    <xf borderId="95" fillId="0" fontId="9" numFmtId="167" xfId="0" applyBorder="1" applyFont="1" applyNumberFormat="1"/>
    <xf borderId="96" fillId="0" fontId="1" numFmtId="0" xfId="0" applyAlignment="1" applyBorder="1" applyFont="1">
      <alignment horizontal="left" shrinkToFit="0" vertical="center" wrapText="1"/>
    </xf>
    <xf borderId="0" fillId="0" fontId="1" numFmtId="167" xfId="0" applyFont="1" applyNumberFormat="1"/>
    <xf borderId="97" fillId="0" fontId="1" numFmtId="0" xfId="0" applyAlignment="1" applyBorder="1" applyFont="1">
      <alignment horizontal="left" shrinkToFit="0" vertical="center" wrapText="1"/>
    </xf>
    <xf borderId="95" fillId="0" fontId="1" numFmtId="167" xfId="0" applyBorder="1" applyFont="1" applyNumberFormat="1"/>
    <xf borderId="0" fillId="0" fontId="44" numFmtId="167" xfId="0" applyFont="1" applyNumberFormat="1"/>
    <xf borderId="95" fillId="0" fontId="44" numFmtId="167" xfId="0" applyBorder="1" applyFont="1" applyNumberFormat="1"/>
    <xf borderId="97" fillId="0" fontId="9" numFmtId="0" xfId="0" applyAlignment="1" applyBorder="1" applyFont="1">
      <alignment shrinkToFit="0" wrapText="1"/>
    </xf>
    <xf borderId="0" fillId="0" fontId="44" numFmtId="164" xfId="0" applyFont="1" applyNumberFormat="1"/>
    <xf borderId="95" fillId="0" fontId="44" numFmtId="164" xfId="0" applyBorder="1" applyFont="1" applyNumberFormat="1"/>
    <xf borderId="98" fillId="0" fontId="9" numFmtId="0" xfId="0" applyAlignment="1" applyBorder="1" applyFont="1">
      <alignment horizontal="left" shrinkToFit="0" vertical="center" wrapText="1"/>
    </xf>
    <xf borderId="98" fillId="0" fontId="44" numFmtId="164" xfId="0" applyBorder="1" applyFont="1" applyNumberFormat="1"/>
    <xf borderId="72" fillId="0" fontId="9" numFmtId="0" xfId="0" applyAlignment="1" applyBorder="1" applyFont="1">
      <alignment shrinkToFit="0" wrapText="1"/>
    </xf>
    <xf borderId="99" fillId="0" fontId="44" numFmtId="0" xfId="0" applyBorder="1" applyFont="1"/>
    <xf borderId="99" fillId="0" fontId="44" numFmtId="164" xfId="0" applyBorder="1" applyFont="1" applyNumberFormat="1"/>
    <xf borderId="40" fillId="0" fontId="9" numFmtId="0" xfId="0" applyAlignment="1" applyBorder="1" applyFont="1">
      <alignment shrinkToFit="0" wrapText="1"/>
    </xf>
    <xf borderId="99" fillId="0" fontId="44" numFmtId="167" xfId="0" applyBorder="1" applyFont="1" applyNumberFormat="1"/>
    <xf borderId="100" fillId="0" fontId="9" numFmtId="0" xfId="0" applyAlignment="1" applyBorder="1" applyFont="1">
      <alignment shrinkToFit="0" wrapText="1"/>
    </xf>
    <xf borderId="101" fillId="0" fontId="44" numFmtId="0" xfId="0" applyBorder="1" applyFont="1"/>
    <xf borderId="101" fillId="0" fontId="44" numFmtId="167" xfId="0" applyBorder="1" applyFont="1" applyNumberFormat="1"/>
    <xf borderId="102" fillId="0" fontId="9" numFmtId="0" xfId="0" applyAlignment="1" applyBorder="1" applyFont="1">
      <alignment shrinkToFit="0" wrapText="1"/>
    </xf>
    <xf borderId="62" fillId="0" fontId="44" numFmtId="0" xfId="0" applyAlignment="1" applyBorder="1" applyFont="1">
      <alignment readingOrder="0"/>
    </xf>
    <xf borderId="62" fillId="0" fontId="44" numFmtId="169" xfId="0" applyAlignment="1" applyBorder="1" applyFont="1" applyNumberFormat="1">
      <alignment readingOrder="0"/>
    </xf>
    <xf borderId="62" fillId="0" fontId="44" numFmtId="0" xfId="0" applyBorder="1" applyFont="1"/>
    <xf borderId="48" fillId="0" fontId="44" numFmtId="0" xfId="0" applyBorder="1" applyFont="1"/>
    <xf borderId="0" fillId="0" fontId="93" numFmtId="0" xfId="0" applyFont="1"/>
    <xf borderId="79" fillId="6" fontId="9" numFmtId="0" xfId="0" applyAlignment="1" applyBorder="1" applyFont="1">
      <alignment horizontal="center" vertical="center"/>
    </xf>
    <xf borderId="48" fillId="36" fontId="9" numFmtId="0" xfId="0" applyAlignment="1" applyBorder="1" applyFont="1">
      <alignment horizontal="center" vertical="center"/>
    </xf>
    <xf borderId="79" fillId="41" fontId="9" numFmtId="0" xfId="0" applyAlignment="1" applyBorder="1" applyFill="1" applyFont="1">
      <alignment horizontal="center"/>
    </xf>
    <xf borderId="79" fillId="42" fontId="9" numFmtId="0" xfId="0" applyAlignment="1" applyBorder="1" applyFill="1" applyFont="1">
      <alignment horizontal="center"/>
    </xf>
    <xf borderId="79" fillId="43" fontId="9" numFmtId="0" xfId="0" applyAlignment="1" applyBorder="1" applyFill="1" applyFont="1">
      <alignment horizontal="center"/>
    </xf>
    <xf borderId="5" fillId="16" fontId="9" numFmtId="0" xfId="0" applyAlignment="1" applyBorder="1" applyFont="1">
      <alignment horizontal="center"/>
    </xf>
    <xf borderId="0" fillId="0" fontId="9" numFmtId="15" xfId="0" applyFont="1" applyNumberFormat="1"/>
    <xf borderId="3" fillId="3" fontId="94" numFmtId="0" xfId="0" applyAlignment="1" applyBorder="1" applyFont="1">
      <alignment horizontal="center"/>
    </xf>
    <xf borderId="21" fillId="13" fontId="13" numFmtId="0" xfId="0" applyAlignment="1" applyBorder="1" applyFont="1">
      <alignment horizontal="center" shrinkToFit="0" vertical="center" wrapText="1"/>
    </xf>
    <xf borderId="23" fillId="6" fontId="9" numFmtId="0" xfId="0" applyAlignment="1" applyBorder="1" applyFont="1">
      <alignment horizontal="left" shrinkToFit="0" vertical="center" wrapText="1"/>
    </xf>
    <xf borderId="23" fillId="6" fontId="9" numFmtId="1" xfId="0" applyAlignment="1" applyBorder="1" applyFont="1" applyNumberFormat="1">
      <alignment horizontal="center" shrinkToFit="0" vertical="center" wrapText="1"/>
    </xf>
    <xf borderId="23" fillId="6" fontId="9" numFmtId="15" xfId="0" applyAlignment="1" applyBorder="1" applyFont="1" applyNumberFormat="1">
      <alignment horizontal="center" shrinkToFit="0" vertical="center" wrapText="1"/>
    </xf>
    <xf borderId="5" fillId="6" fontId="9" numFmtId="170" xfId="0" applyAlignment="1" applyBorder="1" applyFont="1" applyNumberFormat="1">
      <alignment horizontal="center" vertical="center"/>
    </xf>
    <xf borderId="23" fillId="36" fontId="9" numFmtId="0" xfId="0" applyAlignment="1" applyBorder="1" applyFont="1">
      <alignment horizontal="left" shrinkToFit="0" vertical="center" wrapText="1"/>
    </xf>
    <xf borderId="23" fillId="36" fontId="9" numFmtId="1" xfId="0" applyAlignment="1" applyBorder="1" applyFont="1" applyNumberFormat="1">
      <alignment horizontal="center" shrinkToFit="0" vertical="center" wrapText="1"/>
    </xf>
    <xf borderId="23" fillId="36" fontId="9" numFmtId="15" xfId="0" applyAlignment="1" applyBorder="1" applyFont="1" applyNumberFormat="1">
      <alignment horizontal="center" shrinkToFit="0" vertical="center" wrapText="1"/>
    </xf>
    <xf borderId="5" fillId="36" fontId="9" numFmtId="170" xfId="0" applyAlignment="1" applyBorder="1" applyFont="1" applyNumberFormat="1">
      <alignment horizontal="center" vertical="center"/>
    </xf>
    <xf borderId="0" fillId="0" fontId="9" numFmtId="0" xfId="0" applyAlignment="1" applyFont="1">
      <alignment shrinkToFit="0" vertical="center" wrapText="1"/>
    </xf>
    <xf borderId="0" fillId="0" fontId="9" numFmtId="1" xfId="0" applyAlignment="1" applyFont="1" applyNumberFormat="1">
      <alignment horizontal="center" shrinkToFit="0" vertical="center" wrapText="1"/>
    </xf>
    <xf borderId="0" fillId="0" fontId="9" numFmtId="15" xfId="0" applyAlignment="1" applyFont="1" applyNumberFormat="1">
      <alignment horizontal="center" shrinkToFit="0" vertical="center" wrapText="1"/>
    </xf>
    <xf borderId="0" fillId="0" fontId="9" numFmtId="170" xfId="0" applyAlignment="1" applyFont="1" applyNumberFormat="1">
      <alignment horizontal="center" vertical="center"/>
    </xf>
    <xf borderId="103" fillId="0" fontId="9" numFmtId="15" xfId="0" applyAlignment="1" applyBorder="1" applyFont="1" applyNumberFormat="1">
      <alignment horizontal="center" shrinkToFit="0" vertical="center" wrapText="1"/>
    </xf>
    <xf borderId="23" fillId="41" fontId="9" numFmtId="0" xfId="0" applyAlignment="1" applyBorder="1" applyFont="1">
      <alignment horizontal="left" shrinkToFit="0" vertical="center" wrapText="1"/>
    </xf>
    <xf borderId="23" fillId="0" fontId="9" numFmtId="1" xfId="0" applyAlignment="1" applyBorder="1" applyFont="1" applyNumberFormat="1">
      <alignment horizontal="center" shrinkToFit="0" vertical="center" wrapText="1"/>
    </xf>
    <xf borderId="23" fillId="0" fontId="9" numFmtId="15" xfId="0" applyAlignment="1" applyBorder="1" applyFont="1" applyNumberFormat="1">
      <alignment horizontal="center" shrinkToFit="0" vertical="center" wrapText="1"/>
    </xf>
    <xf borderId="23" fillId="43" fontId="9" numFmtId="0" xfId="0" applyAlignment="1" applyBorder="1" applyFont="1">
      <alignment horizontal="center" shrinkToFit="0" vertical="center" wrapText="1"/>
    </xf>
    <xf borderId="23" fillId="43" fontId="9" numFmtId="0" xfId="0" applyAlignment="1" applyBorder="1" applyFont="1">
      <alignment horizontal="left" shrinkToFit="0" vertical="center" wrapText="1"/>
    </xf>
    <xf borderId="23" fillId="43" fontId="9" numFmtId="1" xfId="0" applyAlignment="1" applyBorder="1" applyFont="1" applyNumberFormat="1">
      <alignment horizontal="center" shrinkToFit="0" vertical="center" wrapText="1"/>
    </xf>
    <xf borderId="23" fillId="43" fontId="9" numFmtId="15" xfId="0" applyAlignment="1" applyBorder="1" applyFont="1" applyNumberFormat="1">
      <alignment horizontal="center" shrinkToFit="0" vertical="center" wrapText="1"/>
    </xf>
    <xf borderId="5" fillId="43" fontId="9" numFmtId="170" xfId="0" applyAlignment="1" applyBorder="1" applyFont="1" applyNumberFormat="1">
      <alignment horizontal="center" vertical="center"/>
    </xf>
    <xf borderId="23" fillId="16" fontId="9" numFmtId="0" xfId="0" applyAlignment="1" applyBorder="1" applyFont="1">
      <alignment horizontal="left" shrinkToFit="0" vertical="center" wrapText="1"/>
    </xf>
    <xf borderId="23" fillId="16" fontId="9" numFmtId="1" xfId="0" applyAlignment="1" applyBorder="1" applyFont="1" applyNumberFormat="1">
      <alignment horizontal="center" shrinkToFit="0" vertical="center" wrapText="1"/>
    </xf>
    <xf borderId="23" fillId="16" fontId="9" numFmtId="15" xfId="0" applyAlignment="1" applyBorder="1" applyFont="1" applyNumberFormat="1">
      <alignment horizontal="center" shrinkToFit="0" vertical="center" wrapText="1"/>
    </xf>
    <xf borderId="5" fillId="16" fontId="9" numFmtId="170" xfId="0" applyAlignment="1" applyBorder="1" applyFont="1" applyNumberFormat="1">
      <alignment horizontal="center" vertical="center"/>
    </xf>
    <xf borderId="21" fillId="44" fontId="13" numFmtId="0" xfId="0" applyAlignment="1" applyBorder="1" applyFill="1" applyFont="1">
      <alignment horizontal="center" shrinkToFit="0" vertical="center" wrapText="1"/>
    </xf>
    <xf borderId="23" fillId="42" fontId="9" numFmtId="0" xfId="0" applyAlignment="1" applyBorder="1" applyFont="1">
      <alignment horizontal="left" shrinkToFit="0" vertical="center" wrapText="1"/>
    </xf>
    <xf borderId="23" fillId="7" fontId="9" numFmtId="0" xfId="0" applyAlignment="1" applyBorder="1" applyFont="1">
      <alignment horizontal="left" shrinkToFit="0" vertical="center" wrapText="1"/>
    </xf>
    <xf borderId="48" fillId="3" fontId="13" numFmtId="0" xfId="0" applyAlignment="1" applyBorder="1" applyFont="1">
      <alignment horizontal="center" shrinkToFit="0" vertical="center" wrapText="1"/>
    </xf>
    <xf borderId="48" fillId="0" fontId="9" numFmtId="0" xfId="0" applyAlignment="1" applyBorder="1" applyFont="1">
      <alignment horizontal="center" shrinkToFit="0" vertical="center" wrapText="1"/>
    </xf>
    <xf borderId="48" fillId="7" fontId="9" numFmtId="0" xfId="0" applyAlignment="1" applyBorder="1" applyFont="1">
      <alignment horizontal="left" shrinkToFit="0" vertical="center" wrapText="1"/>
    </xf>
    <xf borderId="48" fillId="7" fontId="95" numFmtId="0" xfId="0" applyAlignment="1" applyBorder="1" applyFont="1">
      <alignment horizontal="center" shrinkToFit="0" vertical="center" wrapText="1"/>
    </xf>
    <xf borderId="48" fillId="7" fontId="96" numFmtId="0" xfId="0" applyAlignment="1" applyBorder="1" applyFont="1">
      <alignment horizontal="center" shrinkToFit="0" vertical="center" wrapText="1"/>
    </xf>
    <xf borderId="48" fillId="7" fontId="9" numFmtId="165" xfId="0" applyAlignment="1" applyBorder="1" applyFont="1" applyNumberFormat="1">
      <alignment horizontal="center" shrinkToFit="0" vertical="center" wrapText="1"/>
    </xf>
    <xf borderId="48" fillId="7" fontId="9" numFmtId="0" xfId="0" applyAlignment="1" applyBorder="1" applyFont="1">
      <alignment horizontal="center" shrinkToFit="0" vertical="center" wrapText="1"/>
    </xf>
    <xf borderId="48" fillId="0" fontId="44" numFmtId="0" xfId="0" applyAlignment="1" applyBorder="1" applyFont="1">
      <alignment horizontal="center" vertical="center"/>
    </xf>
    <xf borderId="48" fillId="35" fontId="9" numFmtId="0" xfId="0" applyAlignment="1" applyBorder="1" applyFont="1">
      <alignment horizontal="center" shrinkToFit="0" vertical="center" wrapText="1"/>
    </xf>
    <xf borderId="48" fillId="35" fontId="9" numFmtId="0" xfId="0" applyAlignment="1" applyBorder="1" applyFont="1">
      <alignment horizontal="left" shrinkToFit="0" vertical="center" wrapText="1"/>
    </xf>
    <xf borderId="48" fillId="35" fontId="97" numFmtId="0" xfId="0" applyAlignment="1" applyBorder="1" applyFont="1">
      <alignment horizontal="center" shrinkToFit="0" vertical="center" wrapText="1"/>
    </xf>
    <xf borderId="48" fillId="35" fontId="98" numFmtId="0" xfId="0" applyAlignment="1" applyBorder="1" applyFont="1">
      <alignment horizontal="center" shrinkToFit="0" vertical="center" wrapText="1"/>
    </xf>
    <xf borderId="48" fillId="35" fontId="9" numFmtId="165" xfId="0" applyAlignment="1" applyBorder="1" applyFont="1" applyNumberFormat="1">
      <alignment horizontal="center" shrinkToFit="0" vertical="center" wrapText="1"/>
    </xf>
    <xf borderId="48" fillId="0" fontId="99" numFmtId="0" xfId="0" applyAlignment="1" applyBorder="1" applyFont="1">
      <alignment horizontal="center" vertical="center"/>
    </xf>
    <xf borderId="48" fillId="0" fontId="100" numFmtId="0" xfId="0" applyAlignment="1" applyBorder="1" applyFont="1">
      <alignment horizontal="center" shrinkToFit="0" vertical="center" wrapText="1"/>
    </xf>
    <xf borderId="48" fillId="7" fontId="101" numFmtId="0" xfId="0" applyAlignment="1" applyBorder="1" applyFont="1">
      <alignment horizontal="center" vertical="center"/>
    </xf>
    <xf borderId="48" fillId="7" fontId="102" numFmtId="0" xfId="0" applyAlignment="1" applyBorder="1" applyFont="1">
      <alignment horizontal="center" shrinkToFit="0" vertical="center" wrapText="1"/>
    </xf>
    <xf borderId="48" fillId="35" fontId="103" numFmtId="0" xfId="0" applyAlignment="1" applyBorder="1" applyFont="1">
      <alignment horizontal="center" shrinkToFit="0" vertical="center" wrapText="1"/>
    </xf>
    <xf borderId="48" fillId="35" fontId="104" numFmtId="0" xfId="0" applyAlignment="1" applyBorder="1" applyFont="1">
      <alignment horizontal="center" vertical="center"/>
    </xf>
    <xf borderId="48" fillId="7" fontId="105" numFmtId="0" xfId="0" applyAlignment="1" applyBorder="1" applyFont="1">
      <alignment horizontal="center" vertical="center"/>
    </xf>
    <xf borderId="48" fillId="7" fontId="9" numFmtId="167" xfId="0" applyAlignment="1" applyBorder="1" applyFont="1" applyNumberFormat="1">
      <alignment horizontal="center" vertical="center"/>
    </xf>
    <xf borderId="48" fillId="7" fontId="9" numFmtId="15" xfId="0" applyAlignment="1" applyBorder="1" applyFont="1" applyNumberFormat="1">
      <alignment horizontal="center" vertical="center"/>
    </xf>
    <xf borderId="48" fillId="7" fontId="1" numFmtId="165" xfId="0" applyAlignment="1" applyBorder="1" applyFont="1" applyNumberFormat="1">
      <alignment horizontal="center" shrinkToFit="0" vertical="center" wrapText="1"/>
    </xf>
    <xf borderId="48" fillId="0" fontId="44" numFmtId="167" xfId="0" applyAlignment="1" applyBorder="1" applyFont="1" applyNumberFormat="1">
      <alignment horizontal="center" vertical="center"/>
    </xf>
    <xf borderId="104" fillId="0" fontId="1" numFmtId="0" xfId="0" applyAlignment="1" applyBorder="1" applyFont="1">
      <alignment horizontal="center" vertical="center"/>
    </xf>
    <xf borderId="0" fillId="0" fontId="9" numFmtId="0" xfId="0" applyAlignment="1" applyFont="1">
      <alignment horizontal="center" vertical="center"/>
    </xf>
    <xf borderId="0" fillId="0" fontId="9" numFmtId="0" xfId="0" applyAlignment="1" applyFont="1">
      <alignment vertical="center"/>
    </xf>
    <xf borderId="31" fillId="3" fontId="13" numFmtId="0" xfId="0" applyAlignment="1" applyBorder="1" applyFont="1">
      <alignment horizontal="center" vertical="center"/>
    </xf>
    <xf borderId="31" fillId="3" fontId="13" numFmtId="9" xfId="0" applyAlignment="1" applyBorder="1" applyFont="1" applyNumberFormat="1">
      <alignment horizontal="center" vertical="center"/>
    </xf>
    <xf borderId="0" fillId="0" fontId="17" numFmtId="0" xfId="0" applyAlignment="1" applyFont="1">
      <alignment horizontal="left"/>
    </xf>
    <xf borderId="31" fillId="5" fontId="17" numFmtId="0" xfId="0" applyAlignment="1" applyBorder="1" applyFont="1">
      <alignment horizontal="center" vertical="center"/>
    </xf>
    <xf borderId="31" fillId="0" fontId="67" numFmtId="1" xfId="0" applyAlignment="1" applyBorder="1" applyFont="1" applyNumberFormat="1">
      <alignment horizontal="center" vertical="center"/>
    </xf>
    <xf borderId="31" fillId="0" fontId="67" numFmtId="0" xfId="0" applyAlignment="1" applyBorder="1" applyFont="1">
      <alignment horizontal="center" vertical="center"/>
    </xf>
    <xf borderId="0" fillId="0" fontId="67" numFmtId="0" xfId="0" applyAlignment="1" applyFont="1">
      <alignment horizontal="left"/>
    </xf>
    <xf borderId="31" fillId="5" fontId="67" numFmtId="0" xfId="0" applyAlignment="1" applyBorder="1" applyFont="1">
      <alignment horizontal="center" vertical="center"/>
    </xf>
    <xf borderId="31" fillId="8" fontId="67" numFmtId="1" xfId="0" applyAlignment="1" applyBorder="1" applyFont="1" applyNumberFormat="1">
      <alignment horizontal="center" vertical="center"/>
    </xf>
    <xf borderId="0" fillId="0" fontId="1" numFmtId="0" xfId="0" applyAlignment="1" applyFont="1">
      <alignment horizontal="center"/>
    </xf>
    <xf borderId="0" fillId="0" fontId="55" numFmtId="0" xfId="0" applyFont="1"/>
    <xf borderId="0" fillId="0" fontId="1" numFmtId="0" xfId="0" applyFont="1"/>
    <xf borderId="105" fillId="3" fontId="13" numFmtId="0" xfId="0" applyAlignment="1" applyBorder="1" applyFont="1">
      <alignment horizontal="center" shrinkToFit="0" vertical="center" wrapText="1"/>
    </xf>
    <xf borderId="27" fillId="9" fontId="76" numFmtId="0" xfId="0" applyAlignment="1" applyBorder="1" applyFont="1">
      <alignment horizontal="center" shrinkToFit="0" vertical="center" wrapText="1"/>
    </xf>
    <xf borderId="106" fillId="0" fontId="9" numFmtId="0" xfId="0" applyAlignment="1" applyBorder="1" applyFont="1">
      <alignment horizontal="center" shrinkToFit="0" vertical="center" wrapText="1"/>
    </xf>
    <xf borderId="107" fillId="0" fontId="9" numFmtId="0" xfId="0" applyAlignment="1" applyBorder="1" applyFont="1">
      <alignment horizontal="left" shrinkToFit="0" vertical="center" wrapText="1"/>
    </xf>
    <xf borderId="107" fillId="0" fontId="9" numFmtId="0" xfId="0" applyAlignment="1" applyBorder="1" applyFont="1">
      <alignment horizontal="center" shrinkToFit="0" vertical="center" wrapText="1"/>
    </xf>
    <xf borderId="103" fillId="0" fontId="9" numFmtId="0" xfId="0" applyAlignment="1" applyBorder="1" applyFont="1">
      <alignment horizontal="center" shrinkToFit="0" vertical="center" wrapText="1"/>
    </xf>
    <xf borderId="85" fillId="0" fontId="9" numFmtId="0" xfId="0" applyAlignment="1" applyBorder="1" applyFont="1">
      <alignment horizontal="center" shrinkToFit="0" vertical="center" wrapText="1"/>
    </xf>
    <xf borderId="27" fillId="13" fontId="76" numFmtId="0" xfId="0" applyAlignment="1" applyBorder="1" applyFont="1">
      <alignment horizontal="center" shrinkToFit="0" vertical="center" wrapText="1"/>
    </xf>
    <xf borderId="33" fillId="15" fontId="76" numFmtId="0" xfId="0" applyAlignment="1" applyBorder="1" applyFont="1">
      <alignment horizontal="center" shrinkToFit="0" vertical="center" wrapText="1"/>
    </xf>
    <xf borderId="27" fillId="15" fontId="76" numFmtId="0" xfId="0" applyAlignment="1" applyBorder="1" applyFont="1">
      <alignment horizontal="center" shrinkToFit="0" vertical="center" wrapText="1"/>
    </xf>
    <xf borderId="108" fillId="4" fontId="13" numFmtId="0" xfId="0" applyAlignment="1" applyBorder="1" applyFont="1">
      <alignment horizontal="center"/>
    </xf>
    <xf borderId="109" fillId="0" fontId="2" numFmtId="0" xfId="0" applyBorder="1" applyFont="1"/>
    <xf borderId="33" fillId="16" fontId="76" numFmtId="0" xfId="0" applyAlignment="1" applyBorder="1" applyFont="1">
      <alignment horizontal="center" shrinkToFit="0" vertical="center" wrapText="1"/>
    </xf>
    <xf borderId="33" fillId="18" fontId="9" numFmtId="0" xfId="0" applyAlignment="1" applyBorder="1" applyFont="1">
      <alignment horizontal="center" shrinkToFit="0" vertical="center" wrapText="1"/>
    </xf>
    <xf borderId="33" fillId="20" fontId="9" numFmtId="0" xfId="0" applyAlignment="1" applyBorder="1" applyFont="1">
      <alignment horizontal="center" shrinkToFit="0" vertical="center" wrapText="1"/>
    </xf>
    <xf borderId="110" fillId="0" fontId="9" numFmtId="0" xfId="0" applyAlignment="1" applyBorder="1" applyFont="1">
      <alignment horizontal="center" shrinkToFit="0" vertical="center" wrapText="1"/>
    </xf>
    <xf borderId="33" fillId="32" fontId="76" numFmtId="0" xfId="0" applyAlignment="1" applyBorder="1" applyFont="1">
      <alignment horizontal="center" shrinkToFit="0" vertical="center" wrapText="1"/>
    </xf>
    <xf borderId="33" fillId="24" fontId="76" numFmtId="0" xfId="0" applyAlignment="1" applyBorder="1" applyFont="1">
      <alignment horizontal="center" shrinkToFit="0" vertical="center" wrapText="1"/>
    </xf>
    <xf borderId="33" fillId="25" fontId="9" numFmtId="0" xfId="0" applyAlignment="1" applyBorder="1" applyFont="1">
      <alignment horizontal="center" shrinkToFit="0" vertical="center" wrapText="1"/>
    </xf>
    <xf borderId="33" fillId="7" fontId="9" numFmtId="0" xfId="0" applyAlignment="1" applyBorder="1" applyFont="1">
      <alignment horizontal="left" shrinkToFit="0" vertical="center" wrapText="1"/>
    </xf>
    <xf borderId="33" fillId="25" fontId="9" numFmtId="0" xfId="0" applyAlignment="1" applyBorder="1" applyFont="1">
      <alignment horizontal="left" shrinkToFit="0" vertical="center" wrapText="1"/>
    </xf>
    <xf borderId="111" fillId="0" fontId="9" numFmtId="0" xfId="0" applyAlignment="1" applyBorder="1" applyFont="1">
      <alignment horizontal="center" vertical="center"/>
    </xf>
    <xf borderId="112" fillId="0" fontId="9" numFmtId="0" xfId="0" applyAlignment="1" applyBorder="1" applyFont="1">
      <alignment vertical="center"/>
    </xf>
    <xf borderId="112" fillId="0" fontId="9" numFmtId="0" xfId="0" applyAlignment="1" applyBorder="1" applyFont="1">
      <alignment horizontal="center" vertical="center"/>
    </xf>
    <xf borderId="113" fillId="0" fontId="9" numFmtId="0" xfId="0" applyAlignment="1" applyBorder="1" applyFont="1">
      <alignment horizontal="center" vertical="center"/>
    </xf>
    <xf borderId="113" fillId="0" fontId="10" numFmtId="0" xfId="0" applyAlignment="1" applyBorder="1" applyFont="1">
      <alignment horizontal="center"/>
    </xf>
    <xf borderId="114" fillId="0" fontId="2" numFmtId="0" xfId="0" applyBorder="1" applyFont="1"/>
    <xf borderId="112" fillId="0" fontId="9" numFmtId="0" xfId="0" applyBorder="1" applyFont="1"/>
    <xf borderId="112" fillId="0" fontId="1" numFmtId="0" xfId="0" applyAlignment="1" applyBorder="1" applyFont="1">
      <alignment horizontal="center" vertical="center"/>
    </xf>
    <xf borderId="113" fillId="0" fontId="2" numFmtId="0" xfId="0" applyBorder="1" applyFont="1"/>
    <xf borderId="0" fillId="0" fontId="17" numFmtId="0" xfId="0" applyAlignment="1" applyFont="1">
      <alignment horizontal="right"/>
    </xf>
    <xf borderId="112" fillId="0" fontId="106" numFmtId="0" xfId="0" applyAlignment="1" applyBorder="1" applyFont="1">
      <alignment horizontal="center" vertical="center"/>
    </xf>
    <xf borderId="0" fillId="0" fontId="67" numFmtId="0" xfId="0" applyAlignment="1" applyFont="1">
      <alignment horizontal="right"/>
    </xf>
    <xf borderId="79" fillId="3" fontId="107" numFmtId="0" xfId="0" applyAlignment="1" applyBorder="1" applyFont="1">
      <alignment horizontal="center" vertical="center"/>
    </xf>
    <xf borderId="48" fillId="3" fontId="13" numFmtId="0" xfId="0" applyAlignment="1" applyBorder="1" applyFont="1">
      <alignment horizontal="center" shrinkToFit="0" vertical="center" wrapText="1"/>
    </xf>
    <xf borderId="48" fillId="3" fontId="13" numFmtId="0" xfId="0" applyAlignment="1" applyBorder="1" applyFont="1">
      <alignment horizontal="center" vertical="center"/>
    </xf>
    <xf borderId="48" fillId="9" fontId="9" numFmtId="0" xfId="0" applyAlignment="1" applyBorder="1" applyFont="1">
      <alignment horizontal="center" shrinkToFit="0" vertical="center" wrapText="1"/>
    </xf>
    <xf borderId="48" fillId="7" fontId="9" numFmtId="0" xfId="0" applyAlignment="1" applyBorder="1" applyFont="1">
      <alignment horizontal="center" shrinkToFit="0" vertical="center" wrapText="1"/>
    </xf>
    <xf borderId="48" fillId="7" fontId="10" numFmtId="0" xfId="0" applyAlignment="1" applyBorder="1" applyFont="1">
      <alignment horizontal="center" shrinkToFit="0" vertical="center" wrapText="1"/>
    </xf>
    <xf borderId="48" fillId="45" fontId="10" numFmtId="0" xfId="0" applyAlignment="1" applyBorder="1" applyFill="1" applyFont="1">
      <alignment horizontal="center" vertical="center"/>
    </xf>
    <xf borderId="48" fillId="46" fontId="10" numFmtId="0" xfId="0" applyAlignment="1" applyBorder="1" applyFill="1" applyFont="1">
      <alignment horizontal="center" vertical="center"/>
    </xf>
    <xf borderId="48" fillId="47" fontId="10" numFmtId="0" xfId="0" applyAlignment="1" applyBorder="1" applyFill="1" applyFont="1">
      <alignment horizontal="center" vertical="center"/>
    </xf>
    <xf borderId="48" fillId="7" fontId="9" numFmtId="0" xfId="0" applyAlignment="1" applyBorder="1" applyFont="1">
      <alignment horizontal="center" vertical="center"/>
    </xf>
    <xf borderId="48" fillId="6" fontId="10" numFmtId="0" xfId="0" applyAlignment="1" applyBorder="1" applyFont="1">
      <alignment horizontal="center" vertical="center"/>
    </xf>
    <xf borderId="48" fillId="48" fontId="10" numFmtId="0" xfId="0" applyAlignment="1" applyBorder="1" applyFill="1" applyFont="1">
      <alignment horizontal="center"/>
    </xf>
    <xf borderId="48" fillId="13" fontId="108" numFmtId="0" xfId="0" applyAlignment="1" applyBorder="1" applyFont="1">
      <alignment horizontal="center" shrinkToFit="0" vertical="center" wrapText="1"/>
    </xf>
    <xf borderId="48" fillId="7" fontId="109" numFmtId="0" xfId="0" applyAlignment="1" applyBorder="1" applyFont="1">
      <alignment horizontal="center" shrinkToFit="0" vertical="center" wrapText="1"/>
    </xf>
    <xf borderId="48" fillId="15" fontId="108" numFmtId="0" xfId="0" applyAlignment="1" applyBorder="1" applyFont="1">
      <alignment horizontal="center" shrinkToFit="0" vertical="center" wrapText="1"/>
    </xf>
    <xf borderId="48" fillId="16" fontId="108" numFmtId="0" xfId="0" applyAlignment="1" applyBorder="1" applyFont="1">
      <alignment horizontal="center" shrinkToFit="0" vertical="center" wrapText="1"/>
    </xf>
    <xf borderId="48" fillId="18" fontId="1" numFmtId="0" xfId="0" applyAlignment="1" applyBorder="1" applyFont="1">
      <alignment horizontal="center" shrinkToFit="0" vertical="center" wrapText="1"/>
    </xf>
    <xf borderId="0" fillId="0" fontId="11" numFmtId="0" xfId="0" applyAlignment="1" applyFont="1">
      <alignment horizontal="center" vertical="center"/>
    </xf>
    <xf borderId="115" fillId="3" fontId="13" numFmtId="0" xfId="0" applyAlignment="1" applyBorder="1" applyFont="1">
      <alignment horizontal="center" shrinkToFit="0" vertical="center" wrapText="1"/>
    </xf>
    <xf borderId="116" fillId="3" fontId="13" numFmtId="0" xfId="0" applyAlignment="1" applyBorder="1" applyFont="1">
      <alignment horizontal="center" shrinkToFit="0" vertical="center" wrapText="1"/>
    </xf>
    <xf borderId="116" fillId="4" fontId="13" numFmtId="0" xfId="0" applyAlignment="1" applyBorder="1" applyFont="1">
      <alignment horizontal="center" shrinkToFit="0" vertical="center" wrapText="1"/>
    </xf>
    <xf borderId="116" fillId="8" fontId="13" numFmtId="0" xfId="0" applyAlignment="1" applyBorder="1" applyFont="1">
      <alignment horizontal="center" shrinkToFit="0" vertical="center" wrapText="1"/>
    </xf>
    <xf borderId="116" fillId="4" fontId="15" numFmtId="0" xfId="0" applyAlignment="1" applyBorder="1" applyFont="1">
      <alignment horizontal="center" shrinkToFit="0" vertical="center" wrapText="1"/>
    </xf>
    <xf borderId="117" fillId="3" fontId="13" numFmtId="0" xfId="0" applyAlignment="1" applyBorder="1" applyFont="1">
      <alignment horizontal="center" shrinkToFit="0" vertical="center" wrapText="1"/>
    </xf>
    <xf borderId="118" fillId="4" fontId="110" numFmtId="0" xfId="0" applyAlignment="1" applyBorder="1" applyFont="1">
      <alignment horizontal="center" shrinkToFit="0" vertical="center" wrapText="1"/>
    </xf>
    <xf borderId="34" fillId="9" fontId="13" numFmtId="0" xfId="0" applyAlignment="1" applyBorder="1" applyFont="1">
      <alignment horizontal="center" shrinkToFit="0" vertical="center" wrapText="1"/>
    </xf>
    <xf borderId="107" fillId="5" fontId="17" numFmtId="0" xfId="0" applyAlignment="1" applyBorder="1" applyFont="1">
      <alignment horizontal="center" shrinkToFit="0" vertical="center" wrapText="1"/>
    </xf>
    <xf borderId="107" fillId="5" fontId="17" numFmtId="167" xfId="0" applyAlignment="1" applyBorder="1" applyFont="1" applyNumberFormat="1">
      <alignment horizontal="center" shrinkToFit="0" vertical="center" wrapText="1"/>
    </xf>
    <xf borderId="107" fillId="0" fontId="111" numFmtId="0" xfId="0" applyAlignment="1" applyBorder="1" applyFont="1">
      <alignment horizontal="center" shrinkToFit="0" vertical="center" wrapText="1"/>
    </xf>
    <xf borderId="0" fillId="0" fontId="111" numFmtId="0" xfId="0" applyAlignment="1" applyFont="1">
      <alignment horizontal="center" shrinkToFit="0" vertical="center" wrapText="1"/>
    </xf>
    <xf borderId="119" fillId="0" fontId="1" numFmtId="0" xfId="0" applyAlignment="1" applyBorder="1" applyFont="1">
      <alignment horizontal="center" shrinkToFit="0" vertical="center" wrapText="1"/>
    </xf>
    <xf borderId="23" fillId="0" fontId="111" numFmtId="0" xfId="0" applyAlignment="1" applyBorder="1" applyFont="1">
      <alignment horizontal="center" shrinkToFit="0" vertical="center" wrapText="1"/>
    </xf>
    <xf borderId="120" fillId="0" fontId="1" numFmtId="0" xfId="0" applyAlignment="1" applyBorder="1" applyFont="1">
      <alignment horizontal="center" shrinkToFit="0" vertical="center" wrapText="1"/>
    </xf>
    <xf borderId="30" fillId="0" fontId="9" numFmtId="0" xfId="0" applyAlignment="1" applyBorder="1" applyFont="1">
      <alignment horizontal="left" shrinkToFit="0" vertical="center" wrapText="1"/>
    </xf>
    <xf borderId="34" fillId="13" fontId="108" numFmtId="0" xfId="0" applyAlignment="1" applyBorder="1" applyFont="1">
      <alignment horizontal="center" shrinkToFit="0" vertical="center" wrapText="1"/>
    </xf>
    <xf borderId="34" fillId="15" fontId="108" numFmtId="0" xfId="0" applyAlignment="1" applyBorder="1" applyFont="1">
      <alignment horizontal="center" shrinkToFit="0" vertical="center" wrapText="1"/>
    </xf>
    <xf borderId="34" fillId="16" fontId="108" numFmtId="0" xfId="0" applyAlignment="1" applyBorder="1" applyFont="1">
      <alignment horizontal="center" shrinkToFit="0" vertical="center" wrapText="1"/>
    </xf>
    <xf borderId="23" fillId="5" fontId="112" numFmtId="0" xfId="0" applyAlignment="1" applyBorder="1" applyFont="1">
      <alignment horizontal="center" shrinkToFit="0" vertical="center" wrapText="1"/>
    </xf>
    <xf borderId="34" fillId="18" fontId="1" numFmtId="0" xfId="0" applyAlignment="1" applyBorder="1" applyFont="1">
      <alignment horizontal="center" shrinkToFit="0" vertical="center" wrapText="1"/>
    </xf>
    <xf borderId="23" fillId="5" fontId="17" numFmtId="168" xfId="0" applyAlignment="1" applyBorder="1" applyFont="1" applyNumberFormat="1">
      <alignment horizontal="center" shrinkToFit="0" vertical="center" wrapText="1"/>
    </xf>
    <xf borderId="23" fillId="5" fontId="113" numFmtId="168" xfId="0" applyAlignment="1" applyBorder="1" applyFont="1" applyNumberFormat="1">
      <alignment horizontal="center" shrinkToFit="0" vertical="center" wrapText="1"/>
    </xf>
    <xf borderId="34" fillId="20" fontId="1" numFmtId="0" xfId="0" applyAlignment="1" applyBorder="1" applyFont="1">
      <alignment horizontal="center" shrinkToFit="0" vertical="center" wrapText="1"/>
    </xf>
    <xf borderId="23" fillId="0" fontId="11" numFmtId="0" xfId="0" applyAlignment="1" applyBorder="1" applyFont="1">
      <alignment horizontal="center" vertical="center"/>
    </xf>
    <xf borderId="34" fillId="32" fontId="13" numFmtId="0" xfId="0" applyAlignment="1" applyBorder="1" applyFont="1">
      <alignment horizontal="center" shrinkToFit="0" vertical="center" wrapText="1"/>
    </xf>
    <xf borderId="34" fillId="24" fontId="13" numFmtId="0" xfId="0" applyAlignment="1" applyBorder="1" applyFont="1">
      <alignment horizontal="center" shrinkToFit="0" vertical="center" wrapText="1"/>
    </xf>
    <xf borderId="23" fillId="0" fontId="111" numFmtId="0" xfId="0" applyAlignment="1" applyBorder="1" applyFont="1">
      <alignment horizontal="center" vertical="center"/>
    </xf>
    <xf borderId="34" fillId="25" fontId="1" numFmtId="0" xfId="0" applyAlignment="1" applyBorder="1" applyFont="1">
      <alignment horizontal="center" shrinkToFit="0" vertical="center" wrapText="1"/>
    </xf>
    <xf borderId="26" fillId="5" fontId="114" numFmtId="0" xfId="0" applyAlignment="1" applyBorder="1" applyFont="1">
      <alignment horizontal="center" shrinkToFit="0" vertical="center" wrapText="1"/>
    </xf>
    <xf borderId="26" fillId="5" fontId="17" numFmtId="164" xfId="0" applyAlignment="1" applyBorder="1" applyFont="1" applyNumberFormat="1">
      <alignment horizontal="center" shrinkToFit="0" vertical="center" wrapText="1"/>
    </xf>
    <xf borderId="26" fillId="5" fontId="17" numFmtId="0" xfId="0" applyAlignment="1" applyBorder="1" applyFont="1">
      <alignment horizontal="center" shrinkToFit="0" vertical="center" wrapText="1"/>
    </xf>
    <xf borderId="36" fillId="0" fontId="111" numFmtId="0" xfId="0" applyAlignment="1" applyBorder="1" applyFont="1">
      <alignment horizontal="center" shrinkToFit="0" vertical="center" wrapText="1"/>
    </xf>
    <xf borderId="26" fillId="5" fontId="115" numFmtId="0" xfId="0" applyAlignment="1" applyBorder="1" applyFont="1">
      <alignment horizontal="center" shrinkToFit="0" vertical="center" wrapText="1"/>
    </xf>
    <xf borderId="26" fillId="5" fontId="9" numFmtId="164" xfId="0" applyAlignment="1" applyBorder="1" applyFont="1" applyNumberFormat="1">
      <alignment horizontal="center" shrinkToFit="0" vertical="center" wrapText="1"/>
    </xf>
    <xf borderId="26" fillId="5" fontId="9" numFmtId="0" xfId="0" applyAlignment="1" applyBorder="1" applyFont="1">
      <alignment horizontal="center" shrinkToFit="0" vertical="center" wrapText="1"/>
    </xf>
    <xf borderId="121" fillId="25" fontId="1" numFmtId="0" xfId="0" applyAlignment="1" applyBorder="1" applyFont="1">
      <alignment horizontal="center" shrinkToFit="0" vertical="center" wrapText="1"/>
    </xf>
    <xf borderId="122" fillId="0" fontId="9" numFmtId="0" xfId="0" applyAlignment="1" applyBorder="1" applyFont="1">
      <alignment horizontal="left" shrinkToFit="0" vertical="center" wrapText="1"/>
    </xf>
    <xf borderId="122" fillId="0" fontId="9" numFmtId="0" xfId="0" applyAlignment="1" applyBorder="1" applyFont="1">
      <alignment horizontal="center" vertical="center"/>
    </xf>
    <xf borderId="122" fillId="5" fontId="17" numFmtId="0" xfId="0" applyAlignment="1" applyBorder="1" applyFont="1">
      <alignment horizontal="center" shrinkToFit="0" vertical="center" wrapText="1"/>
    </xf>
    <xf borderId="122" fillId="11" fontId="17" numFmtId="167" xfId="0" applyAlignment="1" applyBorder="1" applyFont="1" applyNumberFormat="1">
      <alignment horizontal="center" shrinkToFit="0" vertical="center" wrapText="1"/>
    </xf>
    <xf borderId="122" fillId="5" fontId="17" numFmtId="167" xfId="0" applyAlignment="1" applyBorder="1" applyFont="1" applyNumberFormat="1">
      <alignment horizontal="center" shrinkToFit="0" vertical="center" wrapText="1"/>
    </xf>
    <xf borderId="122" fillId="0" fontId="111" numFmtId="0" xfId="0" applyAlignment="1" applyBorder="1" applyFont="1">
      <alignment horizontal="center" shrinkToFit="0" vertical="center" wrapText="1"/>
    </xf>
    <xf borderId="123" fillId="0" fontId="9" numFmtId="0" xfId="0" applyAlignment="1" applyBorder="1" applyFont="1">
      <alignment horizontal="center" shrinkToFit="0" vertical="center" wrapText="1"/>
    </xf>
    <xf borderId="124" fillId="0" fontId="1" numFmtId="0" xfId="0" applyAlignment="1" applyBorder="1" applyFont="1">
      <alignment horizontal="center" shrinkToFit="0" vertical="center" wrapText="1"/>
    </xf>
    <xf borderId="25" fillId="4" fontId="13" numFmtId="0" xfId="0" applyAlignment="1" applyBorder="1" applyFont="1">
      <alignment horizontal="center" vertical="center"/>
    </xf>
    <xf borderId="25" fillId="4" fontId="13" numFmtId="9" xfId="0" applyAlignment="1" applyBorder="1" applyFont="1" applyNumberFormat="1">
      <alignment horizontal="center" vertical="center"/>
    </xf>
    <xf borderId="125" fillId="0" fontId="9" numFmtId="0" xfId="0" applyAlignment="1" applyBorder="1" applyFont="1">
      <alignment horizontal="center" vertical="center"/>
    </xf>
    <xf borderId="53" fillId="0" fontId="1" numFmtId="0" xfId="0" applyAlignment="1" applyBorder="1" applyFont="1">
      <alignment vertical="center"/>
    </xf>
    <xf borderId="26" fillId="5" fontId="67" numFmtId="0" xfId="0" applyAlignment="1" applyBorder="1" applyFont="1">
      <alignment horizontal="left"/>
    </xf>
    <xf borderId="36" fillId="0" fontId="67" numFmtId="0" xfId="0" applyAlignment="1" applyBorder="1" applyFont="1">
      <alignment horizontal="center" vertical="center"/>
    </xf>
    <xf borderId="36" fillId="0" fontId="116" numFmtId="0" xfId="0" applyAlignment="1" applyBorder="1" applyFont="1">
      <alignment horizontal="center" vertical="center"/>
    </xf>
    <xf borderId="126" fillId="0" fontId="9" numFmtId="0" xfId="0" applyAlignment="1" applyBorder="1" applyFont="1">
      <alignment horizontal="center" vertical="center"/>
    </xf>
    <xf borderId="127" fillId="0" fontId="67" numFmtId="0" xfId="0" applyAlignment="1" applyBorder="1" applyFont="1">
      <alignment horizontal="left"/>
    </xf>
    <xf borderId="127" fillId="0" fontId="67" numFmtId="0" xfId="0" applyAlignment="1" applyBorder="1" applyFont="1">
      <alignment horizontal="center" vertical="center"/>
    </xf>
    <xf borderId="127" fillId="0" fontId="67" numFmtId="1" xfId="0" applyAlignment="1" applyBorder="1" applyFont="1" applyNumberFormat="1">
      <alignment horizontal="center" vertical="center"/>
    </xf>
    <xf borderId="127" fillId="0" fontId="1" numFmtId="0" xfId="0" applyAlignment="1" applyBorder="1" applyFont="1">
      <alignment vertical="center"/>
    </xf>
    <xf borderId="74" fillId="0" fontId="9" numFmtId="0" xfId="0" applyBorder="1" applyFont="1"/>
    <xf borderId="112" fillId="3" fontId="13" numFmtId="0" xfId="0" applyAlignment="1" applyBorder="1" applyFont="1">
      <alignment horizontal="center" shrinkToFit="0" vertical="center" wrapText="1"/>
    </xf>
    <xf borderId="112" fillId="0" fontId="1" numFmtId="0" xfId="0" applyAlignment="1" applyBorder="1" applyFont="1">
      <alignment horizontal="left" shrinkToFit="0" vertical="center" wrapText="1"/>
    </xf>
    <xf borderId="112" fillId="0" fontId="9" numFmtId="0" xfId="0" applyAlignment="1" applyBorder="1" applyFont="1">
      <alignment horizontal="center" shrinkToFit="0" vertical="center" wrapText="1"/>
    </xf>
    <xf borderId="27" fillId="13" fontId="117" numFmtId="0" xfId="0" applyAlignment="1" applyBorder="1" applyFont="1">
      <alignment horizontal="center" shrinkToFit="0" vertical="center" wrapText="1"/>
    </xf>
    <xf borderId="27" fillId="15" fontId="117" numFmtId="0" xfId="0" applyAlignment="1" applyBorder="1" applyFont="1">
      <alignment horizontal="center" shrinkToFit="0" vertical="center" wrapText="1"/>
    </xf>
    <xf borderId="33" fillId="16" fontId="117" numFmtId="0" xfId="0" applyAlignment="1" applyBorder="1" applyFont="1">
      <alignment horizontal="center" shrinkToFit="0" vertical="center" wrapText="1"/>
    </xf>
    <xf borderId="112" fillId="0" fontId="17" numFmtId="0" xfId="0" applyAlignment="1" applyBorder="1" applyFont="1">
      <alignment horizontal="right" vertical="center"/>
    </xf>
    <xf borderId="112" fillId="4" fontId="13" numFmtId="0" xfId="0" applyAlignment="1" applyBorder="1" applyFont="1">
      <alignment horizontal="center" shrinkToFit="0" vertical="center" wrapText="1"/>
    </xf>
    <xf borderId="112" fillId="5" fontId="1" numFmtId="9" xfId="0" applyAlignment="1" applyBorder="1" applyFont="1" applyNumberFormat="1">
      <alignment horizontal="center" vertical="center"/>
    </xf>
    <xf borderId="112" fillId="0" fontId="9" numFmtId="0" xfId="0" applyAlignment="1" applyBorder="1" applyFont="1">
      <alignment horizontal="center"/>
    </xf>
    <xf borderId="128" fillId="0" fontId="9" numFmtId="0" xfId="0" applyBorder="1" applyFont="1"/>
    <xf borderId="129" fillId="3" fontId="13" numFmtId="0" xfId="0" applyBorder="1" applyFont="1"/>
    <xf borderId="129" fillId="3" fontId="13" numFmtId="9" xfId="0" applyBorder="1" applyFont="1" applyNumberFormat="1"/>
    <xf borderId="130" fillId="3" fontId="13" numFmtId="9" xfId="0" applyAlignment="1" applyBorder="1" applyFont="1" applyNumberFormat="1">
      <alignment shrinkToFit="0" wrapText="1"/>
    </xf>
    <xf borderId="0" fillId="0" fontId="9" numFmtId="0" xfId="0" applyAlignment="1" applyFont="1">
      <alignment horizontal="right"/>
    </xf>
    <xf borderId="112" fillId="0" fontId="1" numFmtId="0" xfId="0" applyAlignment="1" applyBorder="1" applyFont="1">
      <alignment horizontal="center"/>
    </xf>
    <xf borderId="131" fillId="5" fontId="17" numFmtId="0" xfId="0" applyBorder="1" applyFont="1"/>
    <xf borderId="132" fillId="0" fontId="9" numFmtId="0" xfId="0" applyBorder="1" applyFont="1"/>
    <xf borderId="133" fillId="0" fontId="9" numFmtId="0" xfId="0" applyBorder="1" applyFont="1"/>
    <xf borderId="112" fillId="0" fontId="118" numFmtId="0" xfId="0" applyAlignment="1" applyBorder="1" applyFont="1">
      <alignment horizontal="center"/>
    </xf>
    <xf borderId="111" fillId="0" fontId="3" numFmtId="0" xfId="0" applyBorder="1" applyFont="1"/>
    <xf borderId="111" fillId="0" fontId="3" numFmtId="0" xfId="0" applyAlignment="1" applyBorder="1" applyFont="1">
      <alignment horizontal="center"/>
    </xf>
    <xf borderId="134" fillId="3" fontId="13" numFmtId="0" xfId="0" applyAlignment="1" applyBorder="1" applyFont="1">
      <alignment shrinkToFit="0" wrapText="1"/>
    </xf>
    <xf borderId="135" fillId="0" fontId="2" numFmtId="0" xfId="0" applyBorder="1" applyFont="1"/>
    <xf borderId="48" fillId="3" fontId="13" numFmtId="0" xfId="0" applyAlignment="1" applyBorder="1" applyFont="1">
      <alignment shrinkToFit="0" wrapText="1"/>
    </xf>
    <xf borderId="48" fillId="3" fontId="13" numFmtId="0" xfId="0" applyAlignment="1" applyBorder="1" applyFont="1">
      <alignment horizontal="center" shrinkToFit="0" wrapText="1"/>
    </xf>
    <xf borderId="136" fillId="3" fontId="13" numFmtId="0" xfId="0" applyAlignment="1" applyBorder="1" applyFont="1">
      <alignment shrinkToFit="0" wrapText="1"/>
    </xf>
    <xf borderId="45" fillId="3" fontId="13" numFmtId="0" xfId="0" applyAlignment="1" applyBorder="1" applyFont="1">
      <alignment shrinkToFit="0" wrapText="1"/>
    </xf>
    <xf borderId="0" fillId="0" fontId="3" numFmtId="0" xfId="0" applyAlignment="1" applyFont="1">
      <alignment horizontal="right"/>
    </xf>
    <xf borderId="48" fillId="0" fontId="3" numFmtId="0" xfId="0" applyBorder="1" applyFont="1"/>
    <xf borderId="48" fillId="0" fontId="3" numFmtId="0" xfId="0" applyAlignment="1" applyBorder="1" applyFont="1">
      <alignment horizontal="center"/>
    </xf>
    <xf borderId="48" fillId="0" fontId="3" numFmtId="167" xfId="0" applyBorder="1" applyFont="1" applyNumberFormat="1"/>
    <xf borderId="48" fillId="0" fontId="3" numFmtId="167" xfId="0" applyAlignment="1" applyBorder="1" applyFont="1" applyNumberFormat="1">
      <alignment horizontal="right"/>
    </xf>
    <xf borderId="48" fillId="0" fontId="3" numFmtId="0" xfId="0" applyAlignment="1" applyBorder="1" applyFont="1">
      <alignment horizontal="right"/>
    </xf>
    <xf borderId="48" fillId="0" fontId="119" numFmtId="167" xfId="0" applyAlignment="1" applyBorder="1" applyFont="1" applyNumberFormat="1">
      <alignment horizontal="right"/>
    </xf>
    <xf borderId="48" fillId="0" fontId="3" numFmtId="0" xfId="0" applyAlignment="1" applyBorder="1" applyFont="1">
      <alignment horizontal="right" vertical="center"/>
    </xf>
    <xf borderId="48" fillId="0" fontId="3" numFmtId="0" xfId="0" applyAlignment="1" applyBorder="1" applyFont="1">
      <alignment horizontal="left" vertical="center"/>
    </xf>
    <xf borderId="48" fillId="0" fontId="3" numFmtId="0" xfId="0" applyAlignment="1" applyBorder="1" applyFont="1">
      <alignment horizontal="center" vertical="center"/>
    </xf>
    <xf borderId="48" fillId="0" fontId="3" numFmtId="167" xfId="0" applyAlignment="1" applyBorder="1" applyFont="1" applyNumberFormat="1">
      <alignment horizontal="right" vertical="center"/>
    </xf>
    <xf borderId="48" fillId="0" fontId="120" numFmtId="167" xfId="0" applyAlignment="1" applyBorder="1" applyFont="1" applyNumberFormat="1">
      <alignment horizontal="right" vertical="center"/>
    </xf>
    <xf borderId="0" fillId="0" fontId="10" numFmtId="0" xfId="0" applyAlignment="1" applyFont="1">
      <alignment horizontal="left" vertical="center"/>
    </xf>
    <xf borderId="0" fillId="0" fontId="3" numFmtId="0" xfId="0" applyAlignment="1" applyFont="1">
      <alignment horizontal="left" vertical="center"/>
    </xf>
    <xf borderId="48" fillId="0" fontId="3" numFmtId="0" xfId="0" applyAlignment="1" applyBorder="1" applyFont="1">
      <alignment shrinkToFit="0" wrapText="1"/>
    </xf>
    <xf borderId="48" fillId="48" fontId="3" numFmtId="0" xfId="0" applyBorder="1" applyFont="1"/>
    <xf borderId="48" fillId="49" fontId="3" numFmtId="0" xfId="0" applyBorder="1" applyFill="1" applyFont="1"/>
    <xf borderId="0" fillId="0" fontId="10" numFmtId="0" xfId="0" applyAlignment="1" applyFont="1">
      <alignment horizontal="right"/>
    </xf>
    <xf borderId="0" fillId="0" fontId="3" numFmtId="0" xfId="0" applyAlignment="1" applyFont="1">
      <alignment horizontal="center"/>
    </xf>
    <xf borderId="137" fillId="3" fontId="13" numFmtId="0" xfId="0" applyAlignment="1" applyBorder="1" applyFont="1">
      <alignment shrinkToFit="0" wrapText="1"/>
    </xf>
    <xf borderId="138" fillId="0" fontId="2" numFmtId="0" xfId="0" applyBorder="1" applyFont="1"/>
    <xf borderId="23" fillId="3" fontId="13" numFmtId="0" xfId="0" applyAlignment="1" applyBorder="1" applyFont="1">
      <alignment shrinkToFit="0" wrapText="1"/>
    </xf>
    <xf borderId="23" fillId="3" fontId="13" numFmtId="0" xfId="0" applyAlignment="1" applyBorder="1" applyFont="1">
      <alignment horizontal="center" shrinkToFit="0" wrapText="1"/>
    </xf>
    <xf borderId="26" fillId="3" fontId="13" numFmtId="0" xfId="0" applyAlignment="1" applyBorder="1" applyFont="1">
      <alignment shrinkToFit="0" wrapText="1"/>
    </xf>
    <xf borderId="35" fillId="3" fontId="13" numFmtId="0" xfId="0" applyAlignment="1" applyBorder="1" applyFont="1">
      <alignment shrinkToFit="0" wrapText="1"/>
    </xf>
    <xf borderId="48" fillId="0" fontId="9" numFmtId="0" xfId="0" applyAlignment="1" applyBorder="1" applyFont="1">
      <alignment shrinkToFit="0" wrapText="1"/>
    </xf>
    <xf borderId="48" fillId="0" fontId="9" numFmtId="0" xfId="0" applyAlignment="1" applyBorder="1" applyFont="1">
      <alignment horizontal="center" shrinkToFit="0" wrapText="1"/>
    </xf>
    <xf borderId="48" fillId="0" fontId="9" numFmtId="165" xfId="0" applyAlignment="1" applyBorder="1" applyFont="1" applyNumberFormat="1">
      <alignment shrinkToFit="0" wrapText="1"/>
    </xf>
    <xf borderId="79" fillId="0" fontId="9" numFmtId="165" xfId="0" applyAlignment="1" applyBorder="1" applyFont="1" applyNumberFormat="1">
      <alignment shrinkToFit="0" wrapText="1"/>
    </xf>
    <xf borderId="48" fillId="0" fontId="121" numFmtId="0" xfId="0" applyAlignment="1" applyBorder="1" applyFont="1">
      <alignment shrinkToFit="0" wrapText="1"/>
    </xf>
    <xf borderId="0" fillId="0" fontId="10" numFmtId="0" xfId="0" applyAlignment="1" applyFont="1">
      <alignment horizontal="center"/>
    </xf>
    <xf borderId="139" fillId="0" fontId="56" numFmtId="0" xfId="0" applyAlignment="1" applyBorder="1" applyFont="1">
      <alignment horizontal="center" vertical="center"/>
    </xf>
    <xf borderId="0" fillId="0" fontId="122" numFmtId="15" xfId="0" applyAlignment="1" applyFont="1" applyNumberFormat="1">
      <alignment horizontal="left" shrinkToFit="0" vertical="center" wrapText="1"/>
    </xf>
    <xf borderId="0" fillId="0" fontId="123" numFmtId="15" xfId="0" applyAlignment="1" applyFont="1" applyNumberFormat="1">
      <alignment horizontal="left" shrinkToFit="0" vertical="center" wrapText="1"/>
    </xf>
    <xf borderId="0" fillId="0" fontId="124" numFmtId="15" xfId="0" applyAlignment="1" applyFont="1" applyNumberFormat="1">
      <alignment horizontal="left" shrinkToFit="0" vertical="center" wrapText="1"/>
    </xf>
    <xf borderId="0" fillId="0" fontId="125" numFmtId="15" xfId="0" applyAlignment="1" applyFont="1" applyNumberFormat="1">
      <alignment horizontal="left" shrinkToFit="0" vertical="center" wrapText="1"/>
    </xf>
    <xf borderId="139" fillId="0" fontId="51" numFmtId="0" xfId="0" applyAlignment="1" applyBorder="1" applyFont="1">
      <alignment horizontal="center" vertical="center"/>
    </xf>
    <xf borderId="0" fillId="0" fontId="17" numFmtId="0" xfId="0" applyAlignment="1" applyFont="1">
      <alignment horizontal="center" vertical="center"/>
    </xf>
    <xf borderId="0" fillId="0" fontId="35" numFmtId="15" xfId="0" applyAlignment="1" applyFont="1" applyNumberFormat="1">
      <alignment horizontal="left" shrinkToFit="0" vertical="center" wrapText="1"/>
    </xf>
    <xf borderId="0" fillId="0" fontId="126" numFmtId="15" xfId="0" applyAlignment="1" applyFont="1" applyNumberFormat="1">
      <alignment horizontal="left" shrinkToFit="0" vertical="center" wrapText="1"/>
    </xf>
    <xf borderId="139" fillId="0" fontId="18" numFmtId="0" xfId="0" applyAlignment="1" applyBorder="1" applyFont="1">
      <alignment horizontal="center" vertical="center"/>
    </xf>
    <xf borderId="36" fillId="0" fontId="9" numFmtId="0" xfId="0" applyAlignment="1" applyBorder="1" applyFont="1">
      <alignment vertical="center"/>
    </xf>
    <xf borderId="140" fillId="3" fontId="108" numFmtId="0" xfId="0" applyAlignment="1" applyBorder="1" applyFont="1">
      <alignment horizontal="center" shrinkToFit="0" vertical="center" wrapText="1"/>
    </xf>
    <xf borderId="141" fillId="3" fontId="13" numFmtId="0" xfId="0" applyAlignment="1" applyBorder="1" applyFont="1">
      <alignment horizontal="center" shrinkToFit="0" vertical="center" wrapText="1"/>
    </xf>
    <xf borderId="141" fillId="11" fontId="17" numFmtId="0" xfId="0" applyAlignment="1" applyBorder="1" applyFont="1">
      <alignment horizontal="center" shrinkToFit="0" vertical="center" wrapText="1"/>
    </xf>
    <xf borderId="141" fillId="4" fontId="13" numFmtId="0" xfId="0" applyAlignment="1" applyBorder="1" applyFont="1">
      <alignment horizontal="center" shrinkToFit="0" vertical="center" wrapText="1"/>
    </xf>
    <xf borderId="141" fillId="4" fontId="13" numFmtId="15" xfId="0" applyAlignment="1" applyBorder="1" applyFont="1" applyNumberFormat="1">
      <alignment horizontal="center" shrinkToFit="0" vertical="center" wrapText="1"/>
    </xf>
    <xf borderId="141" fillId="8" fontId="127" numFmtId="15" xfId="0" applyAlignment="1" applyBorder="1" applyFont="1" applyNumberFormat="1">
      <alignment horizontal="center" shrinkToFit="0" vertical="center" wrapText="1"/>
    </xf>
    <xf borderId="141" fillId="11" fontId="17" numFmtId="1" xfId="0" applyAlignment="1" applyBorder="1" applyFont="1" applyNumberFormat="1">
      <alignment horizontal="center" shrinkToFit="0" vertical="center" wrapText="1"/>
    </xf>
    <xf borderId="142" fillId="8" fontId="127" numFmtId="15" xfId="0" applyAlignment="1" applyBorder="1" applyFont="1" applyNumberFormat="1">
      <alignment horizontal="center" shrinkToFit="0" vertical="center" wrapText="1"/>
    </xf>
    <xf borderId="143" fillId="11" fontId="17" numFmtId="0" xfId="0" applyAlignment="1" applyBorder="1" applyFont="1">
      <alignment horizontal="center" shrinkToFit="0" vertical="center" wrapText="1"/>
    </xf>
    <xf borderId="144" fillId="8" fontId="127" numFmtId="15" xfId="0" applyAlignment="1" applyBorder="1" applyFont="1" applyNumberFormat="1">
      <alignment horizontal="center" shrinkToFit="0" vertical="center" wrapText="1"/>
    </xf>
    <xf borderId="145" fillId="9" fontId="117" numFmtId="0" xfId="0" applyAlignment="1" applyBorder="1" applyFont="1">
      <alignment horizontal="center" shrinkToFit="0" vertical="center" wrapText="1"/>
    </xf>
    <xf borderId="112" fillId="0" fontId="9" numFmtId="0" xfId="0" applyAlignment="1" applyBorder="1" applyFont="1">
      <alignment horizontal="left" shrinkToFit="0" vertical="center" wrapText="1"/>
    </xf>
    <xf borderId="112" fillId="5" fontId="17" numFmtId="0" xfId="0" applyAlignment="1" applyBorder="1" applyFont="1">
      <alignment horizontal="center" shrinkToFit="0" vertical="center" wrapText="1"/>
    </xf>
    <xf borderId="112" fillId="5" fontId="17" numFmtId="15" xfId="0" applyAlignment="1" applyBorder="1" applyFont="1" applyNumberFormat="1">
      <alignment horizontal="center" shrinkToFit="0" vertical="center" wrapText="1"/>
    </xf>
    <xf borderId="112" fillId="50" fontId="128" numFmtId="15" xfId="0" applyAlignment="1" applyBorder="1" applyFill="1" applyFont="1" applyNumberFormat="1">
      <alignment horizontal="center" shrinkToFit="0" vertical="center" wrapText="1"/>
    </xf>
    <xf borderId="146" fillId="50" fontId="128" numFmtId="15" xfId="0" applyAlignment="1" applyBorder="1" applyFont="1" applyNumberFormat="1">
      <alignment horizontal="center" shrinkToFit="0" vertical="center" wrapText="1"/>
    </xf>
    <xf borderId="112" fillId="5" fontId="17" numFmtId="1" xfId="0" applyAlignment="1" applyBorder="1" applyFont="1" applyNumberFormat="1">
      <alignment horizontal="center" shrinkToFit="0" vertical="center" wrapText="1"/>
    </xf>
    <xf borderId="147" fillId="50" fontId="128" numFmtId="15" xfId="0" applyAlignment="1" applyBorder="1" applyFont="1" applyNumberFormat="1">
      <alignment horizontal="center" shrinkToFit="0" vertical="center" wrapText="1"/>
    </xf>
    <xf borderId="145" fillId="13" fontId="117" numFmtId="0" xfId="0" applyAlignment="1" applyBorder="1" applyFont="1">
      <alignment horizontal="center" shrinkToFit="0" vertical="center" wrapText="1"/>
    </xf>
    <xf borderId="145" fillId="15" fontId="117" numFmtId="0" xfId="0" applyAlignment="1" applyBorder="1" applyFont="1">
      <alignment horizontal="center" shrinkToFit="0" vertical="center" wrapText="1"/>
    </xf>
    <xf borderId="112" fillId="0" fontId="17" numFmtId="15" xfId="0" applyAlignment="1" applyBorder="1" applyFont="1" applyNumberFormat="1">
      <alignment horizontal="center" shrinkToFit="0" vertical="center" wrapText="1"/>
    </xf>
    <xf borderId="145" fillId="16" fontId="117" numFmtId="0" xfId="0" applyAlignment="1" applyBorder="1" applyFont="1">
      <alignment horizontal="center" shrinkToFit="0" vertical="center" wrapText="1"/>
    </xf>
    <xf borderId="145" fillId="18" fontId="18" numFmtId="0" xfId="0" applyAlignment="1" applyBorder="1" applyFont="1">
      <alignment horizontal="center" shrinkToFit="0" vertical="center" wrapText="1"/>
    </xf>
    <xf borderId="145" fillId="20" fontId="18" numFmtId="0" xfId="0" applyAlignment="1" applyBorder="1" applyFont="1">
      <alignment horizontal="center" shrinkToFit="0" vertical="center" wrapText="1"/>
    </xf>
    <xf borderId="145" fillId="32" fontId="117" numFmtId="0" xfId="0" applyAlignment="1" applyBorder="1" applyFont="1">
      <alignment horizontal="center" shrinkToFit="0" vertical="center" wrapText="1"/>
    </xf>
    <xf borderId="145" fillId="24" fontId="117" numFmtId="0" xfId="0" applyAlignment="1" applyBorder="1" applyFont="1">
      <alignment horizontal="center" shrinkToFit="0" vertical="center" wrapText="1"/>
    </xf>
    <xf borderId="112" fillId="50" fontId="1" numFmtId="15" xfId="0" applyAlignment="1" applyBorder="1" applyFont="1" applyNumberFormat="1">
      <alignment horizontal="center" shrinkToFit="0" vertical="center" wrapText="1"/>
    </xf>
    <xf borderId="145" fillId="25" fontId="18" numFmtId="0" xfId="0" applyAlignment="1" applyBorder="1" applyFont="1">
      <alignment horizontal="center" shrinkToFit="0" vertical="center" wrapText="1"/>
    </xf>
    <xf borderId="112" fillId="5" fontId="17" numFmtId="167" xfId="0" applyAlignment="1" applyBorder="1" applyFont="1" applyNumberFormat="1">
      <alignment horizontal="center" shrinkToFit="0" vertical="center" wrapText="1"/>
    </xf>
    <xf borderId="148" fillId="25" fontId="18" numFmtId="0" xfId="0" applyAlignment="1" applyBorder="1" applyFont="1">
      <alignment horizontal="center" shrinkToFit="0" vertical="center" wrapText="1"/>
    </xf>
    <xf borderId="149" fillId="0" fontId="9" numFmtId="0" xfId="0" applyAlignment="1" applyBorder="1" applyFont="1">
      <alignment horizontal="left" shrinkToFit="0" vertical="center" wrapText="1"/>
    </xf>
    <xf borderId="149" fillId="0" fontId="9" numFmtId="0" xfId="0" applyAlignment="1" applyBorder="1" applyFont="1">
      <alignment horizontal="center" shrinkToFit="0" vertical="center" wrapText="1"/>
    </xf>
    <xf borderId="149" fillId="5" fontId="17" numFmtId="0" xfId="0" applyAlignment="1" applyBorder="1" applyFont="1">
      <alignment horizontal="center" shrinkToFit="0" vertical="center" wrapText="1"/>
    </xf>
    <xf borderId="149" fillId="5" fontId="17" numFmtId="15" xfId="0" applyAlignment="1" applyBorder="1" applyFont="1" applyNumberFormat="1">
      <alignment horizontal="center" shrinkToFit="0" vertical="center" wrapText="1"/>
    </xf>
    <xf borderId="149" fillId="50" fontId="128" numFmtId="15" xfId="0" applyAlignment="1" applyBorder="1" applyFont="1" applyNumberFormat="1">
      <alignment horizontal="center" shrinkToFit="0" vertical="center" wrapText="1"/>
    </xf>
    <xf borderId="149" fillId="5" fontId="17" numFmtId="1" xfId="0" applyAlignment="1" applyBorder="1" applyFont="1" applyNumberFormat="1">
      <alignment horizontal="center" shrinkToFit="0" vertical="center" wrapText="1"/>
    </xf>
    <xf borderId="150" fillId="50" fontId="128" numFmtId="15" xfId="0" applyAlignment="1" applyBorder="1" applyFont="1" applyNumberFormat="1">
      <alignment horizontal="center" shrinkToFit="0" vertical="center" wrapText="1"/>
    </xf>
    <xf borderId="151" fillId="50" fontId="128" numFmtId="15" xfId="0" applyAlignment="1" applyBorder="1" applyFont="1" applyNumberFormat="1">
      <alignment horizontal="center" shrinkToFit="0" vertical="center" wrapText="1"/>
    </xf>
    <xf borderId="23" fillId="10" fontId="9" numFmtId="0" xfId="0" applyAlignment="1" applyBorder="1" applyFont="1">
      <alignment horizontal="left" shrinkToFit="0" vertical="center" wrapText="1"/>
    </xf>
    <xf borderId="23" fillId="0" fontId="1" numFmtId="0" xfId="0" applyAlignment="1" applyBorder="1" applyFont="1">
      <alignment horizontal="center" shrinkToFit="0" vertical="center" wrapText="1"/>
    </xf>
    <xf borderId="103" fillId="0" fontId="1" numFmtId="0" xfId="0" applyAlignment="1" applyBorder="1" applyFont="1">
      <alignment horizontal="center" shrinkToFit="0" vertical="center" wrapText="1"/>
    </xf>
    <xf borderId="0" fillId="0" fontId="129" numFmtId="0" xfId="0" applyFont="1"/>
    <xf borderId="111" fillId="9" fontId="66" numFmtId="0" xfId="0" applyAlignment="1" applyBorder="1" applyFont="1">
      <alignment horizontal="center" shrinkToFit="0" vertical="center" wrapText="1"/>
    </xf>
    <xf borderId="111" fillId="0" fontId="66" numFmtId="0" xfId="0" applyAlignment="1" applyBorder="1" applyFont="1">
      <alignment horizontal="center" shrinkToFit="0" vertical="center" wrapText="1"/>
    </xf>
    <xf borderId="112" fillId="0" fontId="44" numFmtId="0" xfId="0" applyAlignment="1" applyBorder="1" applyFont="1">
      <alignment shrinkToFit="0" vertical="center" wrapText="1"/>
    </xf>
    <xf borderId="152" fillId="0" fontId="2" numFmtId="0" xfId="0" applyBorder="1" applyFont="1"/>
    <xf borderId="111" fillId="37" fontId="66" numFmtId="0" xfId="0" applyAlignment="1" applyBorder="1" applyFont="1">
      <alignment horizontal="center" shrinkToFit="0" vertical="center" wrapText="1"/>
    </xf>
    <xf borderId="112" fillId="0" fontId="44" numFmtId="0" xfId="0" applyAlignment="1" applyBorder="1" applyFont="1">
      <alignment horizontal="center" shrinkToFit="0" vertical="center" wrapText="1"/>
    </xf>
    <xf borderId="111" fillId="16" fontId="66" numFmtId="0" xfId="0" applyAlignment="1" applyBorder="1" applyFont="1">
      <alignment horizontal="center" shrinkToFit="0" vertical="center" wrapText="1"/>
    </xf>
    <xf borderId="112" fillId="0" fontId="9" numFmtId="0" xfId="0" applyAlignment="1" applyBorder="1" applyFont="1">
      <alignment shrinkToFit="0" vertical="center" wrapText="1"/>
    </xf>
    <xf borderId="153" fillId="20" fontId="66" numFmtId="0" xfId="0" applyAlignment="1" applyBorder="1" applyFont="1">
      <alignment horizontal="center" shrinkToFit="0" vertical="center" wrapText="1"/>
    </xf>
    <xf borderId="111" fillId="32" fontId="66" numFmtId="0" xfId="0" applyAlignment="1" applyBorder="1" applyFont="1">
      <alignment horizontal="center" shrinkToFit="0" vertical="center" wrapText="1"/>
    </xf>
    <xf borderId="0" fillId="0" fontId="11" numFmtId="0" xfId="0" applyAlignment="1" applyFont="1">
      <alignment horizontal="center"/>
    </xf>
    <xf borderId="154" fillId="3" fontId="13" numFmtId="0" xfId="0" applyAlignment="1" applyBorder="1" applyFont="1">
      <alignment horizontal="center"/>
    </xf>
    <xf borderId="155" fillId="0" fontId="9" numFmtId="0" xfId="0" applyAlignment="1" applyBorder="1" applyFont="1">
      <alignment horizontal="center" vertical="center"/>
    </xf>
    <xf borderId="156" fillId="0" fontId="9" numFmtId="0" xfId="0" applyAlignment="1" applyBorder="1" applyFont="1">
      <alignment horizontal="center" vertical="center"/>
    </xf>
    <xf borderId="157" fillId="0" fontId="9" numFmtId="0" xfId="0" applyAlignment="1" applyBorder="1" applyFont="1">
      <alignment horizontal="center" vertical="center"/>
    </xf>
    <xf borderId="155" fillId="0" fontId="9" numFmtId="0" xfId="0" applyAlignment="1" applyBorder="1" applyFont="1">
      <alignment horizontal="left" vertical="center"/>
    </xf>
    <xf borderId="158" fillId="15" fontId="88" numFmtId="0" xfId="0" applyBorder="1" applyFont="1"/>
    <xf borderId="159" fillId="0" fontId="3" numFmtId="0" xfId="0" applyBorder="1" applyFont="1"/>
    <xf borderId="160" fillId="0" fontId="3" numFmtId="0" xfId="0" applyBorder="1" applyFont="1"/>
    <xf borderId="158" fillId="37" fontId="88" numFmtId="0" xfId="0" applyBorder="1" applyFont="1"/>
    <xf borderId="0" fillId="0" fontId="10" numFmtId="0" xfId="0" applyFont="1"/>
  </cellXfs>
  <cellStyles count="1">
    <cellStyle xfId="0" name="Normal" builtinId="0"/>
  </cellStyles>
  <dxfs count="21">
    <dxf>
      <font/>
      <fill>
        <patternFill patternType="none"/>
      </fill>
      <border/>
    </dxf>
    <dxf>
      <font/>
      <fill>
        <patternFill patternType="solid">
          <fgColor theme="4"/>
          <bgColor theme="4"/>
        </patternFill>
      </fill>
      <border/>
    </dxf>
    <dxf>
      <font/>
      <fill>
        <patternFill patternType="solid">
          <fgColor rgb="FFDBE5F1"/>
          <bgColor rgb="FFDBE5F1"/>
        </patternFill>
      </fill>
      <border/>
    </dxf>
    <dxf>
      <font/>
      <fill>
        <patternFill patternType="solid">
          <fgColor rgb="FFFBD4B4"/>
          <bgColor rgb="FFFBD4B4"/>
        </patternFill>
      </fill>
      <border/>
    </dxf>
    <dxf>
      <font/>
      <fill>
        <patternFill patternType="solid">
          <fgColor rgb="FFFFFF00"/>
          <bgColor rgb="FFFFFF00"/>
        </patternFill>
      </fill>
      <border/>
    </dxf>
    <dxf>
      <font/>
      <fill>
        <patternFill patternType="solid">
          <fgColor rgb="FF8AE4EE"/>
          <bgColor rgb="FF8AE4EE"/>
        </patternFill>
      </fill>
      <border/>
    </dxf>
    <dxf>
      <font/>
      <fill>
        <patternFill patternType="solid">
          <fgColor rgb="FFC9F490"/>
          <bgColor rgb="FFC9F490"/>
        </patternFill>
      </fill>
      <border/>
    </dxf>
    <dxf>
      <font/>
      <fill>
        <patternFill patternType="solid">
          <fgColor rgb="FFC39BE1"/>
          <bgColor rgb="FFC39BE1"/>
        </patternFill>
      </fill>
      <border/>
    </dxf>
    <dxf>
      <font/>
      <fill>
        <patternFill patternType="solid">
          <fgColor rgb="FFD8D8D8"/>
          <bgColor rgb="FFD8D8D8"/>
        </patternFill>
      </fill>
      <border/>
    </dxf>
    <dxf>
      <font/>
      <fill>
        <patternFill patternType="solid">
          <fgColor rgb="FFD2DE82"/>
          <bgColor rgb="FFD2DE82"/>
        </patternFill>
      </fill>
      <border/>
    </dxf>
    <dxf>
      <font/>
      <fill>
        <patternFill patternType="solid">
          <fgColor rgb="FFE4E483"/>
          <bgColor rgb="FFE4E483"/>
        </patternFill>
      </fill>
      <border/>
    </dxf>
    <dxf>
      <font/>
      <fill>
        <patternFill patternType="solid">
          <fgColor rgb="FFF6E984"/>
          <bgColor rgb="FFF6E984"/>
        </patternFill>
      </fill>
      <border/>
    </dxf>
    <dxf>
      <font/>
      <fill>
        <patternFill patternType="solid">
          <fgColor rgb="FFFEE382"/>
          <bgColor rgb="FFFEE382"/>
        </patternFill>
      </fill>
      <border/>
    </dxf>
    <dxf>
      <font/>
      <fill>
        <patternFill patternType="solid">
          <fgColor rgb="FFFDD47F"/>
          <bgColor rgb="FFFDD47F"/>
        </patternFill>
      </fill>
      <border/>
    </dxf>
    <dxf>
      <font/>
      <fill>
        <patternFill patternType="solid">
          <fgColor rgb="FFFCC47C"/>
          <bgColor rgb="FFFCC47C"/>
        </patternFill>
      </fill>
      <border/>
    </dxf>
    <dxf>
      <font/>
      <fill>
        <patternFill patternType="solid">
          <fgColor rgb="FFFCB579"/>
          <bgColor rgb="FFFCB579"/>
        </patternFill>
      </fill>
      <border/>
    </dxf>
    <dxf>
      <font/>
      <fill>
        <patternFill patternType="solid">
          <fgColor rgb="FFFBA676"/>
          <bgColor rgb="FFFBA676"/>
        </patternFill>
      </fill>
      <border/>
    </dxf>
    <dxf>
      <font/>
      <fill>
        <patternFill patternType="solid">
          <fgColor rgb="FFFA9673"/>
          <bgColor rgb="FFFA9673"/>
        </patternFill>
      </fill>
      <border/>
    </dxf>
    <dxf>
      <font/>
      <fill>
        <patternFill patternType="solid">
          <fgColor rgb="FFF98770"/>
          <bgColor rgb="FFF98770"/>
        </patternFill>
      </fill>
      <border/>
    </dxf>
    <dxf>
      <font/>
      <fill>
        <patternFill patternType="solid">
          <fgColor rgb="FFF8786D"/>
          <bgColor rgb="FFF8786D"/>
        </patternFill>
      </fill>
      <border/>
    </dxf>
    <dxf>
      <font/>
      <fill>
        <patternFill patternType="solid">
          <fgColor rgb="FFF8696B"/>
          <bgColor rgb="FFF8696B"/>
        </patternFill>
      </fill>
      <border/>
    </dxf>
  </dxfs>
  <tableStyles count="1">
    <tableStyle count="3" pivot="0" name="Acreditables a 2026-style">
      <tableStyleElement dxfId="1" type="headerRow"/>
      <tableStyleElement dxfId="2" type="firstRowStripe"/>
      <tableStyleElement dxfId="2" type="secondRowStripe"/>
    </tableStyle>
  </tableStyles>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comments2.xml.rels><?xml version="1.0" encoding="UTF-8" standalone="yes"?><Relationships xmlns="http://schemas.openxmlformats.org/package/2006/relationships"><Relationship Id="rId1" Type="http://customschemas.google.com/relationships/workbookmetadata" Target="commentsmeta1"/></Relationships>
</file>

<file path=xl/_rels/comments3.xml.rels><?xml version="1.0" encoding="UTF-8" standalone="yes"?><Relationships xmlns="http://schemas.openxmlformats.org/package/2006/relationships"><Relationship Id="rId1" Type="http://customschemas.google.com/relationships/workbookmetadata" Target="commentsmeta2"/></Relationships>
</file>

<file path=xl/_rels/comments4.xml.rels><?xml version="1.0" encoding="UTF-8" standalone="yes"?><Relationships xmlns="http://schemas.openxmlformats.org/package/2006/relationships"><Relationship Id="rId1" Type="http://customschemas.google.com/relationships/workbookmetadata" Target="commentsmeta3"/></Relationships>
</file>

<file path=xl/_rels/comments5.xml.rels><?xml version="1.0" encoding="UTF-8" standalone="yes"?><Relationships xmlns="http://schemas.openxmlformats.org/package/2006/relationships"><Relationship Id="rId1" Type="http://customschemas.google.com/relationships/workbookmetadata" Target="commentsmeta4"/></Relationships>
</file>

<file path=xl/_rels/comments6.xml.rels><?xml version="1.0" encoding="UTF-8" standalone="yes"?><Relationships xmlns="http://schemas.openxmlformats.org/package/2006/relationships"><Relationship Id="rId1" Type="http://customschemas.google.com/relationships/workbookmetadata" Target="commentsmeta5"/></Relationships>
</file>

<file path=xl/_rels/comments7.xml.rels><?xml version="1.0" encoding="UTF-8" standalone="yes"?><Relationships xmlns="http://schemas.openxmlformats.org/package/2006/relationships"><Relationship Id="rId1" Type="http://customschemas.google.com/relationships/workbookmetadata" Target="commentsmeta6"/></Relationships>
</file>

<file path=xl/_rels/comments8.xml.rels><?xml version="1.0" encoding="UTF-8" standalone="yes"?><Relationships xmlns="http://schemas.openxmlformats.org/package/2006/relationships"><Relationship Id="rId1" Type="http://customschemas.google.com/relationships/workbookmetadata" Target="commentsmeta7"/></Relationships>
</file>

<file path=xl/_rels/workbook.xml.rels><?xml version="1.0" encoding="UTF-8" standalone="yes"?><Relationships xmlns="http://schemas.openxmlformats.org/package/2006/relationships"><Relationship Id="rId31" Type="http://schemas.openxmlformats.org/officeDocument/2006/relationships/externalLink" Target="externalLinks/externalLink7.xml"/><Relationship Id="rId30" Type="http://schemas.openxmlformats.org/officeDocument/2006/relationships/externalLink" Target="externalLinks/externalLink6.xml"/><Relationship Id="rId32" Type="http://customschemas.google.com/relationships/workbookmetadata" Target="metadata"/><Relationship Id="rId20" Type="http://schemas.openxmlformats.org/officeDocument/2006/relationships/worksheet" Target="worksheets/sheet17.xml"/><Relationship Id="rId22" Type="http://schemas.openxmlformats.org/officeDocument/2006/relationships/worksheet" Target="worksheets/sheet19.xml"/><Relationship Id="rId21" Type="http://schemas.openxmlformats.org/officeDocument/2006/relationships/worksheet" Target="worksheets/sheet18.xml"/><Relationship Id="rId24" Type="http://schemas.openxmlformats.org/officeDocument/2006/relationships/worksheet" Target="worksheets/sheet21.xml"/><Relationship Id="rId23" Type="http://schemas.openxmlformats.org/officeDocument/2006/relationships/worksheet" Target="worksheets/sheet20.xml"/><Relationship Id="rId26" Type="http://schemas.openxmlformats.org/officeDocument/2006/relationships/externalLink" Target="externalLinks/externalLink2.xml"/><Relationship Id="rId25" Type="http://schemas.openxmlformats.org/officeDocument/2006/relationships/externalLink" Target="externalLinks/externalLink1.xml"/><Relationship Id="rId28" Type="http://schemas.openxmlformats.org/officeDocument/2006/relationships/externalLink" Target="externalLinks/externalLink4.xml"/><Relationship Id="rId27" Type="http://schemas.openxmlformats.org/officeDocument/2006/relationships/externalLink" Target="externalLinks/externalLink3.xml"/><Relationship Id="rId29" Type="http://schemas.openxmlformats.org/officeDocument/2006/relationships/externalLink" Target="externalLinks/externalLink5.xml"/><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5" Type="http://schemas.openxmlformats.org/officeDocument/2006/relationships/worksheet" Target="worksheets/sheet12.xml"/><Relationship Id="rId14" Type="http://schemas.openxmlformats.org/officeDocument/2006/relationships/worksheet" Target="worksheets/sheet11.xml"/><Relationship Id="rId17" Type="http://schemas.openxmlformats.org/officeDocument/2006/relationships/worksheet" Target="worksheets/sheet14.xml"/><Relationship Id="rId16" Type="http://schemas.openxmlformats.org/officeDocument/2006/relationships/worksheet" Target="worksheets/sheet13.xml"/><Relationship Id="rId19" Type="http://schemas.openxmlformats.org/officeDocument/2006/relationships/worksheet" Target="worksheets/sheet16.xml"/><Relationship Id="rId18" Type="http://schemas.openxmlformats.org/officeDocument/2006/relationships/worksheet" Target="worksheets/sheet15.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i="0" sz="1100">
                <a:solidFill>
                  <a:srgbClr val="757575"/>
                </a:solidFill>
                <a:latin typeface="Arial Narrow"/>
              </a:defRPr>
            </a:pPr>
            <a:r>
              <a:rPr b="1" i="0" sz="1100">
                <a:solidFill>
                  <a:srgbClr val="757575"/>
                </a:solidFill>
                <a:latin typeface="Arial Narrow"/>
              </a:rPr>
              <a:t>Programas académicos de pregrado y posgrado con Registro Calificado de la Universidad del Cauca</a:t>
            </a:r>
          </a:p>
        </c:rich>
      </c:tx>
      <c:overlay val="0"/>
    </c:title>
    <c:view3D>
      <c:rotX val="50"/>
      <c:perspective val="0"/>
    </c:view3D>
    <c:plotArea>
      <c:layout>
        <c:manualLayout>
          <c:xMode val="edge"/>
          <c:yMode val="edge"/>
          <c:x val="0.057322019989892524"/>
          <c:y val="0.20039580588050004"/>
          <c:w val="0.6432451835045387"/>
          <c:h val="0.7483321341665521"/>
        </c:manualLayout>
      </c:layout>
      <c:pie3DChart>
        <c:varyColors val="1"/>
        <c:ser>
          <c:idx val="0"/>
          <c:order val="0"/>
          <c:dPt>
            <c:idx val="0"/>
            <c:spPr>
              <a:solidFill>
                <a:srgbClr val="4F81BD"/>
              </a:solidFill>
            </c:spPr>
          </c:dPt>
          <c:dLbls>
            <c:showLegendKey val="0"/>
            <c:showVal val="1"/>
            <c:showCatName val="0"/>
            <c:showSerName val="0"/>
            <c:showPercent val="0"/>
            <c:showBubbleSize val="0"/>
            <c:showLeaderLines val="1"/>
          </c:dLbls>
          <c:cat>
            <c:strRef>
              <c:f>'Sintesis-Programas'!$I$17:$J$17</c:f>
            </c:strRef>
          </c:cat>
          <c:val>
            <c:numRef>
              <c:f>'Sintesis-Programas'!$I$18:$J$18</c:f>
              <c:numCache/>
            </c:numRef>
          </c:val>
        </c:ser>
        <c:dLbls>
          <c:showLegendKey val="0"/>
          <c:showVal val="0"/>
          <c:showCatName val="0"/>
          <c:showSerName val="0"/>
          <c:showPercent val="0"/>
          <c:showBubbleSize val="0"/>
        </c:dLbls>
      </c:pie3DChart>
    </c:plotArea>
    <c:legend>
      <c:legendPos val="r"/>
      <c:layout>
        <c:manualLayout>
          <c:xMode val="edge"/>
          <c:yMode val="edge"/>
          <c:x val="0.7730504696888115"/>
          <c:y val="0.44985052183967533"/>
        </c:manualLayout>
      </c:layout>
      <c:overlay val="0"/>
      <c:txPr>
        <a:bodyPr/>
        <a:lstStyle/>
        <a:p>
          <a:pPr lvl="0">
            <a:defRPr b="1" i="0">
              <a:solidFill>
                <a:srgbClr val="1A1A1A"/>
              </a:solidFill>
              <a:latin typeface="Arial Narrow"/>
            </a:defRPr>
          </a:pPr>
        </a:p>
      </c:txPr>
    </c:legend>
    <c:plotVisOnly val="1"/>
  </c:chart>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i="0" sz="1100">
                <a:solidFill>
                  <a:srgbClr val="002060"/>
                </a:solidFill>
                <a:latin typeface="Arial Narrow"/>
              </a:defRPr>
            </a:pPr>
            <a:r>
              <a:rPr b="1" i="0" sz="1100">
                <a:solidFill>
                  <a:srgbClr val="002060"/>
                </a:solidFill>
                <a:latin typeface="Arial Narrow"/>
              </a:rPr>
              <a:t>Programas académicos con Registro Calificado de la Universidad del Cauca</a:t>
            </a:r>
          </a:p>
        </c:rich>
      </c:tx>
      <c:layout>
        <c:manualLayout>
          <c:xMode val="edge"/>
          <c:yMode val="edge"/>
          <c:x val="0.14681255468066493"/>
          <c:y val="0.02089093247170706"/>
        </c:manualLayout>
      </c:layout>
      <c:overlay val="0"/>
    </c:title>
    <c:view3D>
      <c:rotX val="50"/>
      <c:perspective val="0"/>
    </c:view3D>
    <c:plotArea>
      <c:layout>
        <c:manualLayout>
          <c:xMode val="edge"/>
          <c:yMode val="edge"/>
          <c:x val="0.05277777777777779"/>
          <c:y val="0.14138096909101186"/>
          <c:w val="0.5747375328084176"/>
          <c:h val="0.8581710591013476"/>
        </c:manualLayout>
      </c:layout>
      <c:pie3DChart>
        <c:varyColors val="1"/>
        <c:ser>
          <c:idx val="0"/>
          <c:order val="0"/>
          <c:dPt>
            <c:idx val="0"/>
            <c:spPr>
              <a:solidFill>
                <a:srgbClr val="4F81BD"/>
              </a:solidFill>
            </c:spPr>
          </c:dPt>
          <c:dLbls>
            <c:showLegendKey val="0"/>
            <c:showVal val="1"/>
            <c:showCatName val="0"/>
            <c:showSerName val="0"/>
            <c:showPercent val="0"/>
            <c:showBubbleSize val="0"/>
            <c:showLeaderLines val="1"/>
          </c:dLbls>
          <c:cat>
            <c:strRef>
              <c:f>'Sintesis-Programas'!$C$17:$H$17</c:f>
            </c:strRef>
          </c:cat>
          <c:val>
            <c:numRef>
              <c:f>'Sintesis-Programas'!$C$18:$H$18</c:f>
              <c:numCache/>
            </c:numRef>
          </c:val>
        </c:ser>
        <c:dLbls>
          <c:showLegendKey val="0"/>
          <c:showVal val="0"/>
          <c:showCatName val="0"/>
          <c:showSerName val="0"/>
          <c:showPercent val="0"/>
          <c:showBubbleSize val="0"/>
        </c:dLbls>
      </c:pie3DChart>
    </c:plotArea>
    <c:legend>
      <c:legendPos val="r"/>
      <c:layout>
        <c:manualLayout>
          <c:xMode val="edge"/>
          <c:yMode val="edge"/>
          <c:x val="0.6360764196289149"/>
          <c:y val="0.35514402334688105"/>
        </c:manualLayout>
      </c:layout>
      <c:overlay val="0"/>
      <c:txPr>
        <a:bodyPr/>
        <a:lstStyle/>
        <a:p>
          <a:pPr lvl="0">
            <a:defRPr b="1" i="0">
              <a:solidFill>
                <a:srgbClr val="1A1A1A"/>
              </a:solidFill>
              <a:latin typeface="Arial Narrow"/>
            </a:defRPr>
          </a:pPr>
        </a:p>
      </c:txPr>
    </c:legend>
    <c:plotVisOnly val="1"/>
  </c:chart>
</c:chartSpace>
</file>

<file path=xl/charts/chart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i="0" sz="1100">
                <a:solidFill>
                  <a:srgbClr val="757575"/>
                </a:solidFill>
                <a:latin typeface="Arial Narrow"/>
              </a:defRPr>
            </a:pPr>
            <a:r>
              <a:rPr b="1" i="0" sz="1100">
                <a:solidFill>
                  <a:srgbClr val="757575"/>
                </a:solidFill>
                <a:latin typeface="Arial Narrow"/>
              </a:rPr>
              <a:t>Programas académicos de pregrado y posgrado con Registro Calificado por Facultad</a:t>
            </a:r>
          </a:p>
        </c:rich>
      </c:tx>
      <c:overlay val="0"/>
    </c:title>
    <c:plotArea>
      <c:layout>
        <c:manualLayout>
          <c:xMode val="edge"/>
          <c:yMode val="edge"/>
          <c:x val="0.4077947721308963"/>
          <c:y val="0.12470947310587782"/>
          <c:w val="0.4805683452435368"/>
          <c:h val="0.7191395876910226"/>
        </c:manualLayout>
      </c:layout>
      <c:barChart>
        <c:barDir val="bar"/>
        <c:grouping val="stacked"/>
        <c:ser>
          <c:idx val="0"/>
          <c:order val="0"/>
          <c:tx>
            <c:v>Total
Pregrado</c:v>
          </c:tx>
          <c:spPr>
            <a:solidFill>
              <a:srgbClr val="4F81BD"/>
            </a:solidFill>
            <a:ln cmpd="sng">
              <a:solidFill>
                <a:srgbClr val="000000"/>
              </a:solidFill>
            </a:ln>
          </c:spPr>
          <c:dPt>
            <c:idx val="0"/>
            <c:spPr>
              <a:solidFill>
                <a:srgbClr val="CC00CC"/>
              </a:solidFill>
              <a:ln cmpd="sng">
                <a:solidFill>
                  <a:srgbClr val="000000"/>
                </a:solidFill>
              </a:ln>
            </c:spPr>
          </c:dPt>
          <c:dPt>
            <c:idx val="1"/>
            <c:spPr>
              <a:solidFill>
                <a:srgbClr val="00B050"/>
              </a:solidFill>
              <a:ln cmpd="sng">
                <a:solidFill>
                  <a:srgbClr val="000000"/>
                </a:solidFill>
              </a:ln>
            </c:spPr>
          </c:dPt>
          <c:dPt>
            <c:idx val="2"/>
            <c:spPr>
              <a:solidFill>
                <a:srgbClr val="FF0000"/>
              </a:solidFill>
              <a:ln cmpd="sng">
                <a:solidFill>
                  <a:srgbClr val="000000"/>
                </a:solidFill>
              </a:ln>
            </c:spPr>
          </c:dPt>
          <c:dPt>
            <c:idx val="4"/>
            <c:spPr>
              <a:solidFill>
                <a:srgbClr val="FFE101"/>
              </a:solidFill>
              <a:ln cmpd="sng">
                <a:solidFill>
                  <a:srgbClr val="000000"/>
                </a:solidFill>
              </a:ln>
            </c:spPr>
          </c:dPt>
          <c:dPt>
            <c:idx val="7"/>
            <c:spPr>
              <a:solidFill>
                <a:srgbClr val="CC9900"/>
              </a:solidFill>
              <a:ln cmpd="sng">
                <a:solidFill>
                  <a:srgbClr val="000000"/>
                </a:solidFill>
              </a:ln>
            </c:spPr>
          </c:dPt>
          <c:dPt>
            <c:idx val="8"/>
            <c:spPr>
              <a:solidFill>
                <a:srgbClr val="9CEECD"/>
              </a:solidFill>
              <a:ln cmpd="sng">
                <a:solidFill>
                  <a:srgbClr val="000000"/>
                </a:solidFill>
              </a:ln>
            </c:spPr>
          </c:dPt>
          <c:dLbls>
            <c:numFmt formatCode="General" sourceLinked="1"/>
            <c:txPr>
              <a:bodyPr/>
              <a:lstStyle/>
              <a:p>
                <a:pPr lvl="0">
                  <a:defRPr b="1" i="0"/>
                </a:pPr>
              </a:p>
            </c:txPr>
            <c:showLegendKey val="0"/>
            <c:showVal val="1"/>
            <c:showCatName val="0"/>
            <c:showSerName val="0"/>
            <c:showPercent val="0"/>
            <c:showBubbleSize val="0"/>
          </c:dLbls>
          <c:cat>
            <c:strRef>
              <c:f>'Sintesis-Programas'!$B$7:$B$15</c:f>
            </c:strRef>
          </c:cat>
          <c:val>
            <c:numRef>
              <c:f>'Sintesis-Programas'!$I$7:$I$15</c:f>
              <c:numCache/>
            </c:numRef>
          </c:val>
        </c:ser>
        <c:ser>
          <c:idx val="1"/>
          <c:order val="1"/>
          <c:tx>
            <c:v>Total
Posgrado</c:v>
          </c:tx>
          <c:spPr>
            <a:solidFill>
              <a:srgbClr val="C0504D"/>
            </a:solidFill>
            <a:ln cmpd="sng">
              <a:solidFill>
                <a:srgbClr val="000000"/>
              </a:solidFill>
            </a:ln>
          </c:spPr>
          <c:dPt>
            <c:idx val="0"/>
            <c:spPr>
              <a:solidFill>
                <a:srgbClr val="CC00CC">
                  <a:alpha val="27450"/>
                </a:srgbClr>
              </a:solidFill>
              <a:ln cmpd="sng">
                <a:solidFill>
                  <a:srgbClr val="000000"/>
                </a:solidFill>
              </a:ln>
            </c:spPr>
          </c:dPt>
          <c:dPt>
            <c:idx val="1"/>
            <c:spPr>
              <a:solidFill>
                <a:srgbClr val="00B050">
                  <a:alpha val="27450"/>
                </a:srgbClr>
              </a:solidFill>
              <a:ln cmpd="sng">
                <a:solidFill>
                  <a:srgbClr val="000000"/>
                </a:solidFill>
              </a:ln>
            </c:spPr>
          </c:dPt>
          <c:dPt>
            <c:idx val="2"/>
            <c:spPr>
              <a:solidFill>
                <a:srgbClr val="FF0000">
                  <a:alpha val="27450"/>
                </a:srgbClr>
              </a:solidFill>
              <a:ln cmpd="sng">
                <a:solidFill>
                  <a:srgbClr val="000000"/>
                </a:solidFill>
              </a:ln>
            </c:spPr>
          </c:dPt>
          <c:dPt>
            <c:idx val="3"/>
            <c:spPr>
              <a:solidFill>
                <a:srgbClr val="C4BD97">
                  <a:alpha val="27450"/>
                </a:srgbClr>
              </a:solidFill>
              <a:ln cmpd="sng">
                <a:solidFill>
                  <a:srgbClr val="000000"/>
                </a:solidFill>
              </a:ln>
            </c:spPr>
          </c:dPt>
          <c:dPt>
            <c:idx val="4"/>
            <c:spPr>
              <a:solidFill>
                <a:srgbClr val="FFE101">
                  <a:alpha val="27450"/>
                </a:srgbClr>
              </a:solidFill>
              <a:ln cmpd="sng">
                <a:solidFill>
                  <a:srgbClr val="000000"/>
                </a:solidFill>
              </a:ln>
            </c:spPr>
          </c:dPt>
          <c:dPt>
            <c:idx val="5"/>
            <c:spPr>
              <a:solidFill>
                <a:srgbClr val="8EB4E3">
                  <a:alpha val="27450"/>
                </a:srgbClr>
              </a:solidFill>
              <a:ln cmpd="sng">
                <a:solidFill>
                  <a:srgbClr val="000000"/>
                </a:solidFill>
              </a:ln>
            </c:spPr>
          </c:dPt>
          <c:dPt>
            <c:idx val="6"/>
            <c:spPr>
              <a:solidFill>
                <a:srgbClr val="4F81BD">
                  <a:alpha val="27450"/>
                </a:srgbClr>
              </a:solidFill>
              <a:ln cmpd="sng">
                <a:solidFill>
                  <a:srgbClr val="000000"/>
                </a:solidFill>
              </a:ln>
            </c:spPr>
          </c:dPt>
          <c:dPt>
            <c:idx val="7"/>
            <c:spPr>
              <a:solidFill>
                <a:srgbClr val="CC9900">
                  <a:alpha val="27450"/>
                </a:srgbClr>
              </a:solidFill>
              <a:ln cmpd="sng">
                <a:solidFill>
                  <a:srgbClr val="000000"/>
                </a:solidFill>
              </a:ln>
            </c:spPr>
          </c:dPt>
          <c:dPt>
            <c:idx val="8"/>
            <c:spPr>
              <a:solidFill>
                <a:srgbClr val="9CEECD">
                  <a:alpha val="27450"/>
                </a:srgbClr>
              </a:solidFill>
              <a:ln cmpd="sng">
                <a:solidFill>
                  <a:srgbClr val="000000"/>
                </a:solidFill>
              </a:ln>
            </c:spPr>
          </c:dPt>
          <c:dLbls>
            <c:numFmt formatCode="General" sourceLinked="1"/>
            <c:txPr>
              <a:bodyPr/>
              <a:lstStyle/>
              <a:p>
                <a:pPr lvl="0">
                  <a:defRPr b="1" i="0"/>
                </a:pPr>
              </a:p>
            </c:txPr>
            <c:showLegendKey val="0"/>
            <c:showVal val="1"/>
            <c:showCatName val="0"/>
            <c:showSerName val="0"/>
            <c:showPercent val="0"/>
            <c:showBubbleSize val="0"/>
          </c:dLbls>
          <c:cat>
            <c:strRef>
              <c:f>'Sintesis-Programas'!$B$7:$B$15</c:f>
            </c:strRef>
          </c:cat>
          <c:val>
            <c:numRef>
              <c:f>'Sintesis-Programas'!$J$7:$J$15</c:f>
              <c:numCache/>
            </c:numRef>
          </c:val>
        </c:ser>
        <c:overlap val="100"/>
        <c:axId val="711438620"/>
        <c:axId val="763390077"/>
      </c:barChart>
      <c:catAx>
        <c:axId val="711438620"/>
        <c:scaling>
          <c:orientation val="maxMin"/>
        </c:scaling>
        <c:delete val="0"/>
        <c:axPos val="l"/>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0"/>
        <c:majorTickMark val="none"/>
        <c:minorTickMark val="none"/>
        <c:spPr/>
        <c:txPr>
          <a:bodyPr/>
          <a:lstStyle/>
          <a:p>
            <a:pPr lvl="0">
              <a:defRPr b="1" i="0">
                <a:solidFill>
                  <a:srgbClr val="000000"/>
                </a:solidFill>
                <a:latin typeface="Arial Narrow"/>
              </a:defRPr>
            </a:pPr>
          </a:p>
        </c:txPr>
        <c:crossAx val="763390077"/>
      </c:catAx>
      <c:valAx>
        <c:axId val="763390077"/>
        <c:scaling>
          <c:orientation val="minMax"/>
        </c:scaling>
        <c:delete val="0"/>
        <c:axPos val="b"/>
        <c:majorGridlines>
          <c:spPr>
            <a:ln>
              <a:solidFill>
                <a:srgbClr val="B7B7B7"/>
              </a:solidFill>
            </a:ln>
          </c:spPr>
        </c:majorGridlines>
        <c:title>
          <c:tx>
            <c:rich>
              <a:bodyPr/>
              <a:lstStyle/>
              <a:p>
                <a:pPr lvl="0">
                  <a:defRPr b="1" i="0">
                    <a:solidFill>
                      <a:srgbClr val="000000"/>
                    </a:solidFill>
                    <a:latin typeface="Arial Narrow"/>
                  </a:defRPr>
                </a:pPr>
                <a:r>
                  <a:rPr b="1" i="0">
                    <a:solidFill>
                      <a:srgbClr val="000000"/>
                    </a:solidFill>
                    <a:latin typeface="Arial Narrow"/>
                  </a:rPr>
                  <a:t>Cantidad  de programas académicos de pregrado y posgrado</a:t>
                </a:r>
              </a:p>
            </c:rich>
          </c:tx>
          <c:layout>
            <c:manualLayout>
              <c:xMode val="edge"/>
              <c:yMode val="edge"/>
              <c:x val="0.4008696931213379"/>
              <c:y val="0.9143338788758898"/>
            </c:manualLayout>
          </c:layout>
          <c:overlay val="0"/>
        </c:title>
        <c:numFmt formatCode="General" sourceLinked="1"/>
        <c:majorTickMark val="none"/>
        <c:minorTickMark val="none"/>
        <c:tickLblPos val="nextTo"/>
        <c:spPr>
          <a:ln/>
        </c:spPr>
        <c:txPr>
          <a:bodyPr/>
          <a:lstStyle/>
          <a:p>
            <a:pPr lvl="0">
              <a:defRPr b="0" i="0">
                <a:solidFill>
                  <a:srgbClr val="000000"/>
                </a:solidFill>
                <a:latin typeface="+mn-lt"/>
              </a:defRPr>
            </a:pPr>
          </a:p>
        </c:txPr>
        <c:crossAx val="711438620"/>
        <c:crosses val="max"/>
      </c:valAx>
    </c:plotArea>
    <c:legend>
      <c:legendPos val="b"/>
      <c:layout>
        <c:manualLayout>
          <c:xMode val="edge"/>
          <c:yMode val="edge"/>
          <c:x val="0.7585197970525265"/>
          <c:y val="0.2312262059475575"/>
        </c:manualLayout>
      </c:layout>
      <c:overlay val="0"/>
      <c:txPr>
        <a:bodyPr/>
        <a:lstStyle/>
        <a:p>
          <a:pPr lvl="0">
            <a:defRPr b="0" i="0">
              <a:solidFill>
                <a:srgbClr val="1A1A1A"/>
              </a:solidFill>
              <a:latin typeface="+mn-lt"/>
            </a:defRPr>
          </a:pPr>
        </a:p>
      </c:txPr>
    </c:legend>
    <c:plotVisOnly val="1"/>
  </c:chart>
</c:chartSpace>
</file>

<file path=xl/charts/chart4.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i="0" sz="1400">
                <a:solidFill>
                  <a:srgbClr val="757575"/>
                </a:solidFill>
                <a:latin typeface="Calibri"/>
              </a:defRPr>
            </a:pPr>
            <a:r>
              <a:rPr b="0" i="0" sz="1400">
                <a:solidFill>
                  <a:srgbClr val="757575"/>
                </a:solidFill>
                <a:latin typeface="Calibri"/>
              </a:rPr>
              <a:t>Programas Acreditados</a:t>
            </a:r>
          </a:p>
        </c:rich>
      </c:tx>
      <c:overlay val="0"/>
    </c:title>
    <c:plotArea>
      <c:layout/>
      <c:barChart>
        <c:barDir val="bar"/>
        <c:ser>
          <c:idx val="0"/>
          <c:order val="0"/>
          <c:tx>
            <c:v>Tecnologías</c:v>
          </c:tx>
          <c:spPr>
            <a:solidFill>
              <a:srgbClr val="4F81BD"/>
            </a:solidFill>
            <a:ln cmpd="sng">
              <a:solidFill>
                <a:srgbClr val="000000"/>
              </a:solidFill>
            </a:ln>
          </c:spPr>
          <c:cat>
            <c:strRef>
              <c:f>Acreditados!$L$10:$L$18</c:f>
            </c:strRef>
          </c:cat>
          <c:val>
            <c:numRef>
              <c:f>Acreditados!$M$10:$M$18</c:f>
              <c:numCache/>
            </c:numRef>
          </c:val>
        </c:ser>
        <c:ser>
          <c:idx val="1"/>
          <c:order val="1"/>
          <c:tx>
            <c:v>Pregado</c:v>
          </c:tx>
          <c:spPr>
            <a:solidFill>
              <a:srgbClr val="C0504D"/>
            </a:solidFill>
            <a:ln cmpd="sng">
              <a:solidFill>
                <a:srgbClr val="000000"/>
              </a:solidFill>
            </a:ln>
          </c:spPr>
          <c:cat>
            <c:strRef>
              <c:f>Acreditados!$L$10:$L$18</c:f>
            </c:strRef>
          </c:cat>
          <c:val>
            <c:numRef>
              <c:f>Acreditados!$N$10:$N$18</c:f>
              <c:numCache/>
            </c:numRef>
          </c:val>
        </c:ser>
        <c:ser>
          <c:idx val="2"/>
          <c:order val="2"/>
          <c:spPr>
            <a:solidFill>
              <a:srgbClr val="8064A2"/>
            </a:solidFill>
            <a:ln cmpd="sng">
              <a:solidFill>
                <a:srgbClr val="000000"/>
              </a:solidFill>
            </a:ln>
          </c:spPr>
          <c:cat>
            <c:strRef>
              <c:f>Acreditados!$L$10:$L$18</c:f>
            </c:strRef>
          </c:cat>
          <c:val>
            <c:numRef>
              <c:f>Acreditados!$P$10:$P$18</c:f>
              <c:numCache/>
            </c:numRef>
          </c:val>
        </c:ser>
        <c:ser>
          <c:idx val="3"/>
          <c:order val="3"/>
          <c:spPr>
            <a:solidFill>
              <a:srgbClr val="4BACC6"/>
            </a:solidFill>
            <a:ln cmpd="sng">
              <a:solidFill>
                <a:srgbClr val="000000"/>
              </a:solidFill>
            </a:ln>
          </c:spPr>
          <c:cat>
            <c:strRef>
              <c:f>Acreditados!$L$10:$L$18</c:f>
            </c:strRef>
          </c:cat>
          <c:val>
            <c:numRef>
              <c:f>Acreditados!$Q$10:$Q$18</c:f>
              <c:numCache/>
            </c:numRef>
          </c:val>
        </c:ser>
        <c:ser>
          <c:idx val="4"/>
          <c:order val="4"/>
          <c:cat>
            <c:strRef>
              <c:f>Acreditados!$L$10:$L$18</c:f>
            </c:strRef>
          </c:cat>
          <c:val>
            <c:numRef>
              <c:f>Acreditados!$R$10:$R$18</c:f>
              <c:numCache/>
            </c:numRef>
          </c:val>
        </c:ser>
        <c:ser>
          <c:idx val="5"/>
          <c:order val="5"/>
          <c:cat>
            <c:strRef>
              <c:f>Acreditados!$L$10:$L$18</c:f>
            </c:strRef>
          </c:cat>
          <c:val>
            <c:numRef>
              <c:f>Acreditados!$O$10:$O$18</c:f>
              <c:numCache/>
            </c:numRef>
          </c:val>
        </c:ser>
        <c:axId val="760819321"/>
        <c:axId val="359880332"/>
      </c:barChart>
      <c:catAx>
        <c:axId val="760819321"/>
        <c:scaling>
          <c:orientation val="maxMin"/>
        </c:scaling>
        <c:delete val="0"/>
        <c:axPos val="l"/>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i="0" sz="900">
                <a:solidFill>
                  <a:srgbClr val="000000"/>
                </a:solidFill>
                <a:latin typeface="Calibri"/>
              </a:defRPr>
            </a:pPr>
          </a:p>
        </c:txPr>
        <c:crossAx val="359880332"/>
      </c:catAx>
      <c:valAx>
        <c:axId val="359880332"/>
        <c:scaling>
          <c:orientation val="minMax"/>
        </c:scaling>
        <c:delete val="0"/>
        <c:axPos val="b"/>
        <c:majorGridlines>
          <c:spPr>
            <a:ln>
              <a:solidFill>
                <a:srgbClr val="B7B7B7"/>
              </a:solidFill>
            </a:ln>
          </c:spPr>
        </c:maj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i="0" sz="900">
                <a:solidFill>
                  <a:srgbClr val="000000"/>
                </a:solidFill>
                <a:latin typeface="Calibri"/>
              </a:defRPr>
            </a:pPr>
          </a:p>
        </c:txPr>
        <c:crossAx val="760819321"/>
        <c:crosses val="max"/>
      </c:valAx>
    </c:plotArea>
    <c:legend>
      <c:legendPos val="b"/>
      <c:layout>
        <c:manualLayout>
          <c:xMode val="edge"/>
          <c:yMode val="edge"/>
          <c:x val="0.2526763351661334"/>
          <c:y val="0.9286874715232724"/>
        </c:manualLayout>
      </c:layout>
      <c:overlay val="0"/>
      <c:txPr>
        <a:bodyPr/>
        <a:lstStyle/>
        <a:p>
          <a:pPr lvl="0">
            <a:defRPr b="0" i="0" sz="900">
              <a:solidFill>
                <a:srgbClr val="1A1A1A"/>
              </a:solidFill>
              <a:latin typeface="Calibri"/>
            </a:defRPr>
          </a:pPr>
        </a:p>
      </c:txPr>
    </c:legend>
    <c:plotVisOnly val="1"/>
  </c:chart>
</c:chartSpace>
</file>

<file path=xl/charts/chart5.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i="0" sz="1100">
                <a:solidFill>
                  <a:srgbClr val="002060"/>
                </a:solidFill>
                <a:latin typeface="Calibri"/>
              </a:defRPr>
            </a:pPr>
            <a:r>
              <a:rPr b="1" i="0" sz="1100">
                <a:solidFill>
                  <a:srgbClr val="002060"/>
                </a:solidFill>
                <a:latin typeface="Calibri"/>
              </a:rPr>
              <a:t>Etapa Programa en proceso Renovación RC</a:t>
            </a:r>
          </a:p>
        </c:rich>
      </c:tx>
      <c:overlay val="0"/>
    </c:title>
    <c:plotArea>
      <c:layout>
        <c:manualLayout>
          <c:xMode val="edge"/>
          <c:yMode val="edge"/>
          <c:x val="0.07073103467441853"/>
          <c:y val="0.19907407407407407"/>
          <c:w val="0.37254894770940916"/>
          <c:h val="0.7037037037037037"/>
        </c:manualLayout>
      </c:layout>
      <c:pieChart>
        <c:varyColors val="1"/>
        <c:ser>
          <c:idx val="0"/>
          <c:order val="0"/>
          <c:dPt>
            <c:idx val="0"/>
            <c:spPr>
              <a:solidFill>
                <a:srgbClr val="FF0000"/>
              </a:solidFill>
            </c:spPr>
          </c:dPt>
          <c:dLbls>
            <c:showLegendKey val="0"/>
            <c:showVal val="1"/>
            <c:showCatName val="0"/>
            <c:showSerName val="0"/>
            <c:showPercent val="0"/>
            <c:showBubbleSize val="0"/>
            <c:showLeaderLines val="1"/>
          </c:dLbls>
          <c:cat>
            <c:strRef>
              <c:f>'Facultad-Ruta-AAC'!$C$17:$V$17</c:f>
            </c:strRef>
          </c:cat>
          <c:val>
            <c:numRef>
              <c:f>'Facultad-Ruta-AAC'!$C$18:$V$18</c:f>
              <c:numCache/>
            </c:numRef>
          </c:val>
        </c:ser>
        <c:dLbls>
          <c:showLegendKey val="0"/>
          <c:showVal val="0"/>
          <c:showCatName val="0"/>
          <c:showSerName val="0"/>
          <c:showPercent val="0"/>
          <c:showBubbleSize val="0"/>
        </c:dLbls>
        <c:firstSliceAng val="0"/>
      </c:pieChart>
    </c:plotArea>
    <c:legend>
      <c:legendPos val="r"/>
      <c:layout>
        <c:manualLayout>
          <c:xMode val="edge"/>
          <c:yMode val="edge"/>
          <c:x val="0.55584596343872"/>
          <c:y val="0.13696959755030813"/>
        </c:manualLayout>
      </c:layout>
      <c:overlay val="0"/>
      <c:txPr>
        <a:bodyPr/>
        <a:lstStyle/>
        <a:p>
          <a:pPr lvl="0">
            <a:defRPr b="0" i="0">
              <a:solidFill>
                <a:srgbClr val="1A1A1A"/>
              </a:solidFill>
              <a:latin typeface="+mn-lt"/>
            </a:defRPr>
          </a:pPr>
        </a:p>
      </c:txPr>
    </c:legend>
    <c:plotVisOnly val="1"/>
  </c:chart>
  <c:spPr>
    <a:solidFill>
      <a:schemeClr val="lt1"/>
    </a:solidFill>
  </c:spPr>
</c:chartSpace>
</file>

<file path=xl/charts/chart6.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i="0" sz="1800">
                <a:solidFill>
                  <a:schemeClr val="dk1"/>
                </a:solidFill>
                <a:latin typeface="Arial Narrow"/>
              </a:defRPr>
            </a:pPr>
            <a:r>
              <a:rPr b="1" i="0" sz="1800">
                <a:solidFill>
                  <a:schemeClr val="dk1"/>
                </a:solidFill>
                <a:latin typeface="Arial Narrow"/>
              </a:rPr>
              <a:t>NÚMERO DE PROGRAMAS NUEVOS</a:t>
            </a:r>
          </a:p>
        </c:rich>
      </c:tx>
      <c:overlay val="0"/>
    </c:title>
    <c:plotArea>
      <c:layout/>
      <c:barChart>
        <c:barDir val="col"/>
        <c:ser>
          <c:idx val="0"/>
          <c:order val="0"/>
          <c:tx>
            <c:v>Pregrado</c:v>
          </c:tx>
          <c:spPr>
            <a:solidFill>
              <a:srgbClr val="4F81BD"/>
            </a:solidFill>
            <a:ln cmpd="sng">
              <a:solidFill>
                <a:srgbClr val="000000"/>
              </a:solidFill>
            </a:ln>
          </c:spPr>
          <c:cat>
            <c:strRef>
              <c:f>'Histórico Programas'!$B$5:$K$5</c:f>
            </c:strRef>
          </c:cat>
          <c:val>
            <c:numRef>
              <c:f>'Histórico Programas'!$B$6:$K$6</c:f>
              <c:numCache/>
            </c:numRef>
          </c:val>
        </c:ser>
        <c:ser>
          <c:idx val="1"/>
          <c:order val="1"/>
          <c:tx>
            <c:v>Posgrado</c:v>
          </c:tx>
          <c:spPr>
            <a:solidFill>
              <a:srgbClr val="C0504D"/>
            </a:solidFill>
            <a:ln cmpd="sng">
              <a:solidFill>
                <a:srgbClr val="000000"/>
              </a:solidFill>
            </a:ln>
          </c:spPr>
          <c:cat>
            <c:strRef>
              <c:f>'Histórico Programas'!$B$5:$K$5</c:f>
            </c:strRef>
          </c:cat>
          <c:val>
            <c:numRef>
              <c:f>'Histórico Programas'!$B$7:$K$7</c:f>
              <c:numCache/>
            </c:numRef>
          </c:val>
        </c:ser>
        <c:axId val="1543453895"/>
        <c:axId val="687913820"/>
      </c:barChart>
      <c:catAx>
        <c:axId val="1543453895"/>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1" i="0" sz="900">
                <a:solidFill>
                  <a:schemeClr val="dk1"/>
                </a:solidFill>
                <a:latin typeface="Arial Narrow"/>
              </a:defRPr>
            </a:pPr>
          </a:p>
        </c:txPr>
        <c:crossAx val="687913820"/>
      </c:catAx>
      <c:valAx>
        <c:axId val="687913820"/>
        <c:scaling>
          <c:orientation val="minMax"/>
        </c:scaling>
        <c:delete val="0"/>
        <c:axPos val="l"/>
        <c:majorGridlines>
          <c:spPr>
            <a:ln>
              <a:solidFill>
                <a:srgbClr val="B7B7B7"/>
              </a:solidFill>
            </a:ln>
          </c:spPr>
        </c:maj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1" i="0" sz="900">
                <a:solidFill>
                  <a:schemeClr val="dk1"/>
                </a:solidFill>
                <a:latin typeface="Arial Narrow"/>
              </a:defRPr>
            </a:pPr>
          </a:p>
        </c:txPr>
        <c:crossAx val="1543453895"/>
      </c:valAx>
    </c:plotArea>
    <c:legend>
      <c:legendPos val="b"/>
      <c:overlay val="0"/>
      <c:txPr>
        <a:bodyPr/>
        <a:lstStyle/>
        <a:p>
          <a:pPr lvl="0">
            <a:defRPr b="0" i="0" sz="900">
              <a:solidFill>
                <a:schemeClr val="dk1"/>
              </a:solidFill>
              <a:latin typeface="Arial Narrow"/>
            </a:defRPr>
          </a:pPr>
        </a:p>
      </c:txPr>
    </c:legend>
    <c:plotVisOnly val="1"/>
  </c:chart>
  <c:spPr>
    <a:solidFill>
      <a:schemeClr val="lt1"/>
    </a:solidFill>
  </c:spPr>
</c:chartSpace>
</file>

<file path=xl/charts/chart7.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i="0" sz="1800">
                <a:solidFill>
                  <a:schemeClr val="dk1"/>
                </a:solidFill>
                <a:latin typeface="Arial Narrow"/>
              </a:defRPr>
            </a:pPr>
            <a:r>
              <a:rPr b="1" i="0" sz="1800">
                <a:solidFill>
                  <a:schemeClr val="dk1"/>
                </a:solidFill>
                <a:latin typeface="Arial Narrow"/>
              </a:rPr>
              <a:t>NÚMERO DE PROGRAMAS NUEVOS</a:t>
            </a:r>
          </a:p>
        </c:rich>
      </c:tx>
      <c:overlay val="0"/>
    </c:title>
    <c:plotArea>
      <c:layout/>
      <c:lineChart>
        <c:ser>
          <c:idx val="0"/>
          <c:order val="0"/>
          <c:tx>
            <c:v>Pregrado</c:v>
          </c:tx>
          <c:spPr>
            <a:ln cmpd="sng" w="28575">
              <a:solidFill>
                <a:schemeClr val="accent1"/>
              </a:solidFill>
            </a:ln>
          </c:spPr>
          <c:marker>
            <c:symbol val="none"/>
          </c:marker>
          <c:cat>
            <c:strRef>
              <c:f>'Histórico Programas'!$B$5:$K$5</c:f>
            </c:strRef>
          </c:cat>
          <c:val>
            <c:numRef>
              <c:f>'Histórico Programas'!$B$6:$K$6</c:f>
              <c:numCache/>
            </c:numRef>
          </c:val>
          <c:smooth val="0"/>
        </c:ser>
        <c:ser>
          <c:idx val="1"/>
          <c:order val="1"/>
          <c:tx>
            <c:v>Posgrado</c:v>
          </c:tx>
          <c:spPr>
            <a:ln cmpd="sng" w="28575">
              <a:solidFill>
                <a:schemeClr val="accent2"/>
              </a:solidFill>
            </a:ln>
          </c:spPr>
          <c:marker>
            <c:symbol val="none"/>
          </c:marker>
          <c:cat>
            <c:strRef>
              <c:f>'Histórico Programas'!$B$5:$K$5</c:f>
            </c:strRef>
          </c:cat>
          <c:val>
            <c:numRef>
              <c:f>'Histórico Programas'!$B$7:$K$7</c:f>
              <c:numCache/>
            </c:numRef>
          </c:val>
          <c:smooth val="0"/>
        </c:ser>
        <c:axId val="863959767"/>
        <c:axId val="677641841"/>
      </c:lineChart>
      <c:catAx>
        <c:axId val="863959767"/>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1" i="0" sz="900">
                <a:solidFill>
                  <a:schemeClr val="dk1"/>
                </a:solidFill>
                <a:latin typeface="Arial Narrow"/>
              </a:defRPr>
            </a:pPr>
          </a:p>
        </c:txPr>
        <c:crossAx val="677641841"/>
      </c:catAx>
      <c:valAx>
        <c:axId val="677641841"/>
        <c:scaling>
          <c:orientation val="minMax"/>
        </c:scaling>
        <c:delete val="0"/>
        <c:axPos val="l"/>
        <c:majorGridlines>
          <c:spPr>
            <a:ln>
              <a:solidFill>
                <a:srgbClr val="B7B7B7"/>
              </a:solidFill>
            </a:ln>
          </c:spPr>
        </c:maj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1" i="0" sz="900">
                <a:solidFill>
                  <a:schemeClr val="dk1"/>
                </a:solidFill>
                <a:latin typeface="Arial Narrow"/>
              </a:defRPr>
            </a:pPr>
          </a:p>
        </c:txPr>
        <c:crossAx val="863959767"/>
      </c:valAx>
    </c:plotArea>
    <c:legend>
      <c:legendPos val="b"/>
      <c:overlay val="0"/>
      <c:txPr>
        <a:bodyPr/>
        <a:lstStyle/>
        <a:p>
          <a:pPr lvl="0">
            <a:defRPr b="0" i="0" sz="900">
              <a:solidFill>
                <a:schemeClr val="dk1"/>
              </a:solidFill>
              <a:latin typeface="Arial Narrow"/>
            </a:defRPr>
          </a:pPr>
        </a:p>
      </c:txPr>
    </c:legend>
    <c:plotVisOnly val="1"/>
  </c:chart>
  <c:spPr>
    <a:solidFill>
      <a:schemeClr val="lt1"/>
    </a:solidFill>
  </c:spPr>
</c:chartSpace>
</file>

<file path=xl/charts/chart8.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i="0" sz="1800">
                <a:solidFill>
                  <a:schemeClr val="dk1"/>
                </a:solidFill>
                <a:latin typeface="Arial Narrow"/>
              </a:defRPr>
            </a:pPr>
            <a:r>
              <a:rPr b="1" i="0" sz="1800">
                <a:solidFill>
                  <a:schemeClr val="dk1"/>
                </a:solidFill>
                <a:latin typeface="Arial Narrow"/>
              </a:rPr>
              <a:t>NÚMERO DE PROGRAMAS</a:t>
            </a:r>
          </a:p>
        </c:rich>
      </c:tx>
      <c:overlay val="0"/>
    </c:title>
    <c:plotArea>
      <c:layout/>
      <c:barChart>
        <c:barDir val="col"/>
        <c:ser>
          <c:idx val="0"/>
          <c:order val="0"/>
          <c:tx>
            <c:v>Pregrado</c:v>
          </c:tx>
          <c:spPr>
            <a:solidFill>
              <a:srgbClr val="4F81BD"/>
            </a:solidFill>
            <a:ln cmpd="sng">
              <a:solidFill>
                <a:srgbClr val="000000"/>
              </a:solidFill>
            </a:ln>
          </c:spPr>
          <c:cat>
            <c:strRef>
              <c:f>'Histórico Programas'!$B$10:$L$10</c:f>
            </c:strRef>
          </c:cat>
          <c:val>
            <c:numRef>
              <c:f>'Histórico Programas'!$B$11:$L$11</c:f>
              <c:numCache/>
            </c:numRef>
          </c:val>
        </c:ser>
        <c:ser>
          <c:idx val="1"/>
          <c:order val="1"/>
          <c:tx>
            <c:v>Posgrado</c:v>
          </c:tx>
          <c:spPr>
            <a:solidFill>
              <a:srgbClr val="C0504D"/>
            </a:solidFill>
            <a:ln cmpd="sng">
              <a:solidFill>
                <a:srgbClr val="000000"/>
              </a:solidFill>
            </a:ln>
          </c:spPr>
          <c:cat>
            <c:strRef>
              <c:f>'Histórico Programas'!$B$10:$L$10</c:f>
            </c:strRef>
          </c:cat>
          <c:val>
            <c:numRef>
              <c:f>'Histórico Programas'!$B$12:$L$12</c:f>
              <c:numCache/>
            </c:numRef>
          </c:val>
        </c:ser>
        <c:axId val="803977440"/>
        <c:axId val="1014879917"/>
      </c:barChart>
      <c:catAx>
        <c:axId val="803977440"/>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1" i="0" sz="900">
                <a:solidFill>
                  <a:schemeClr val="dk1"/>
                </a:solidFill>
                <a:latin typeface="Arial Narrow"/>
              </a:defRPr>
            </a:pPr>
          </a:p>
        </c:txPr>
        <c:crossAx val="1014879917"/>
      </c:catAx>
      <c:valAx>
        <c:axId val="1014879917"/>
        <c:scaling>
          <c:orientation val="minMax"/>
        </c:scaling>
        <c:delete val="0"/>
        <c:axPos val="l"/>
        <c:majorGridlines>
          <c:spPr>
            <a:ln>
              <a:solidFill>
                <a:srgbClr val="B7B7B7"/>
              </a:solidFill>
            </a:ln>
          </c:spPr>
        </c:maj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1" i="0" sz="900">
                <a:solidFill>
                  <a:schemeClr val="dk1"/>
                </a:solidFill>
                <a:latin typeface="Arial Narrow"/>
              </a:defRPr>
            </a:pPr>
          </a:p>
        </c:txPr>
        <c:crossAx val="803977440"/>
      </c:valAx>
    </c:plotArea>
    <c:legend>
      <c:legendPos val="b"/>
      <c:overlay val="0"/>
      <c:txPr>
        <a:bodyPr/>
        <a:lstStyle/>
        <a:p>
          <a:pPr lvl="0">
            <a:defRPr b="0" i="0" sz="900">
              <a:solidFill>
                <a:schemeClr val="dk1"/>
              </a:solidFill>
              <a:latin typeface="Arial Narrow"/>
            </a:defRPr>
          </a:pPr>
        </a:p>
      </c:txPr>
    </c:legend>
    <c:plotVisOnly val="1"/>
  </c:chart>
  <c:spPr>
    <a:solidFill>
      <a:schemeClr val="lt1"/>
    </a:solidFill>
  </c:spPr>
</c:chartSpace>
</file>

<file path=xl/charts/chart9.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i="0" sz="1800">
                <a:solidFill>
                  <a:schemeClr val="dk1"/>
                </a:solidFill>
                <a:latin typeface="Arial Narrow"/>
              </a:defRPr>
            </a:pPr>
            <a:r>
              <a:rPr b="1" i="0" sz="1800">
                <a:solidFill>
                  <a:schemeClr val="dk1"/>
                </a:solidFill>
                <a:latin typeface="Arial Narrow"/>
              </a:rPr>
              <a:t>NÚMERO DE PROGRAMAS</a:t>
            </a:r>
          </a:p>
        </c:rich>
      </c:tx>
      <c:overlay val="0"/>
    </c:title>
    <c:plotArea>
      <c:layout/>
      <c:lineChart>
        <c:ser>
          <c:idx val="0"/>
          <c:order val="0"/>
          <c:tx>
            <c:v>Pregrado</c:v>
          </c:tx>
          <c:spPr>
            <a:ln cmpd="sng" w="28575">
              <a:solidFill>
                <a:schemeClr val="accent1"/>
              </a:solidFill>
            </a:ln>
          </c:spPr>
          <c:marker>
            <c:symbol val="none"/>
          </c:marker>
          <c:cat>
            <c:strRef>
              <c:f>'Histórico Programas'!$B$10:$L$10</c:f>
            </c:strRef>
          </c:cat>
          <c:val>
            <c:numRef>
              <c:f>'Histórico Programas'!$B$11:$L$11</c:f>
              <c:numCache/>
            </c:numRef>
          </c:val>
          <c:smooth val="0"/>
        </c:ser>
        <c:ser>
          <c:idx val="1"/>
          <c:order val="1"/>
          <c:tx>
            <c:v>Posgrado</c:v>
          </c:tx>
          <c:spPr>
            <a:ln cmpd="sng" w="28575">
              <a:solidFill>
                <a:schemeClr val="accent2"/>
              </a:solidFill>
            </a:ln>
          </c:spPr>
          <c:marker>
            <c:symbol val="none"/>
          </c:marker>
          <c:cat>
            <c:strRef>
              <c:f>'Histórico Programas'!$B$10:$L$10</c:f>
            </c:strRef>
          </c:cat>
          <c:val>
            <c:numRef>
              <c:f>'Histórico Programas'!$B$12:$L$12</c:f>
              <c:numCache/>
            </c:numRef>
          </c:val>
          <c:smooth val="0"/>
        </c:ser>
        <c:axId val="1739073280"/>
        <c:axId val="387135808"/>
      </c:lineChart>
      <c:catAx>
        <c:axId val="1739073280"/>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1" i="0" sz="900">
                <a:solidFill>
                  <a:schemeClr val="dk1"/>
                </a:solidFill>
                <a:latin typeface="Arial Narrow"/>
              </a:defRPr>
            </a:pPr>
          </a:p>
        </c:txPr>
        <c:crossAx val="387135808"/>
      </c:catAx>
      <c:valAx>
        <c:axId val="387135808"/>
        <c:scaling>
          <c:orientation val="minMax"/>
        </c:scaling>
        <c:delete val="0"/>
        <c:axPos val="l"/>
        <c:majorGridlines>
          <c:spPr>
            <a:ln>
              <a:solidFill>
                <a:srgbClr val="B7B7B7"/>
              </a:solidFill>
            </a:ln>
          </c:spPr>
        </c:maj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1" i="0" sz="900">
                <a:solidFill>
                  <a:schemeClr val="dk1"/>
                </a:solidFill>
                <a:latin typeface="Arial Narrow"/>
              </a:defRPr>
            </a:pPr>
          </a:p>
        </c:txPr>
        <c:crossAx val="1739073280"/>
      </c:valAx>
    </c:plotArea>
    <c:legend>
      <c:legendPos val="b"/>
      <c:overlay val="0"/>
      <c:txPr>
        <a:bodyPr/>
        <a:lstStyle/>
        <a:p>
          <a:pPr lvl="0">
            <a:defRPr b="0" i="0" sz="900">
              <a:solidFill>
                <a:schemeClr val="dk1"/>
              </a:solidFill>
              <a:latin typeface="Arial Narrow"/>
            </a:defRPr>
          </a:pPr>
        </a:p>
      </c:txPr>
    </c:legend>
    <c:plotVisOnly val="1"/>
  </c:chart>
  <c:spPr>
    <a:solidFill>
      <a:schemeClr val="lt1"/>
    </a:solidFill>
  </c:spPr>
</c:chartSpace>
</file>

<file path=xl/drawings/_rels/drawing1.xml.rels><?xml version="1.0" encoding="UTF-8" standalone="yes"?><Relationships xmlns="http://schemas.openxmlformats.org/package/2006/relationships"><Relationship Id="rId1" Type="http://schemas.openxmlformats.org/officeDocument/2006/relationships/image" Target="../media/image1.jpg"/><Relationship Id="rId2" Type="http://schemas.openxmlformats.org/officeDocument/2006/relationships/image" Target="../media/image2.jpg"/></Relationships>
</file>

<file path=xl/drawings/_rels/drawing2.xml.rels><?xml version="1.0" encoding="UTF-8" standalone="yes"?><Relationships xmlns="http://schemas.openxmlformats.org/package/2006/relationships"><Relationship Id="rId20" Type="http://schemas.openxmlformats.org/officeDocument/2006/relationships/hyperlink" Target="https://drive.google.com/file/d/1Idur_k1JUglTJ1mluFSxbyXPE9NVbqCK/view?usp=sharing" TargetMode="External"/><Relationship Id="rId11" Type="http://schemas.openxmlformats.org/officeDocument/2006/relationships/hyperlink" Target="https://drive.google.com/file/d/1BPxVh70NrryHN-73jLaBdUff8SS5QHnW/view?usp=sharing" TargetMode="External"/><Relationship Id="rId22" Type="http://schemas.openxmlformats.org/officeDocument/2006/relationships/hyperlink" Target="https://drive.google.com/file/d/1_-urkR_fgRAxn8x3n4_64xuFV054PE_A/view?usp=drive_link" TargetMode="External"/><Relationship Id="rId10" Type="http://schemas.openxmlformats.org/officeDocument/2006/relationships/hyperlink" Target="https://drive.google.com/file/d/1kADqiSkGyylkw73ZKsrhehRFGYhXW9r1/view?usp=sharing" TargetMode="External"/><Relationship Id="rId21" Type="http://schemas.openxmlformats.org/officeDocument/2006/relationships/hyperlink" Target="https://drive.google.com/file/d/1nKbY7jOEbXfMKaoXFcKBaLY9PcVrb1Rh/view?usp=sharing" TargetMode="External"/><Relationship Id="rId13" Type="http://schemas.openxmlformats.org/officeDocument/2006/relationships/hyperlink" Target="https://drive.google.com/file/d/1vR-l3bm3HWVXMEpn_6ab2aC2xiyT1cgM/view?usp=sharing" TargetMode="External"/><Relationship Id="rId24" Type="http://schemas.openxmlformats.org/officeDocument/2006/relationships/image" Target="../media/image1.jpg"/><Relationship Id="rId12" Type="http://schemas.openxmlformats.org/officeDocument/2006/relationships/hyperlink" Target="https://drive.google.com/file/d/1hBZinVfYELW8eJ1p8-TBk2s3KOxWnFEG/view?usp=sharing" TargetMode="External"/><Relationship Id="rId23" Type="http://schemas.openxmlformats.org/officeDocument/2006/relationships/hyperlink" Target="https://drive.google.com/file/d/1J53A0lbFKpnKOc4I-cdwmFHiMSj5Zb4V/view?usp=drive_link" TargetMode="External"/><Relationship Id="rId1" Type="http://schemas.openxmlformats.org/officeDocument/2006/relationships/hyperlink" Target="https://drive.google.com/file/d/1cvPEtsfAM24vewi5zvo8rYJnTEnYybSv/view?usp=sharing" TargetMode="External"/><Relationship Id="rId2" Type="http://schemas.openxmlformats.org/officeDocument/2006/relationships/hyperlink" Target="https://drive.google.com/file/d/1Nf5XHA6iKU_lwS444rpUsnudSrBccYiY/view?usp=sharing" TargetMode="External"/><Relationship Id="rId3" Type="http://schemas.openxmlformats.org/officeDocument/2006/relationships/hyperlink" Target="https://drive.google.com/file/d/14EjR6gHHEKzc5D9-BRLxbglgqKMV5wQa/view?usp=sharing" TargetMode="External"/><Relationship Id="rId4" Type="http://schemas.openxmlformats.org/officeDocument/2006/relationships/hyperlink" Target="https://drive.google.com/file/d/1jjT3V0K7N1wo92GRFF5bCGg04o7_VMab/view?usp=sharing" TargetMode="External"/><Relationship Id="rId9" Type="http://schemas.openxmlformats.org/officeDocument/2006/relationships/hyperlink" Target="https://drive.google.com/file/d/10eIEo3NVCyJjCDxmi60SlOiW18lr04C_/view?usp=sharing" TargetMode="External"/><Relationship Id="rId15" Type="http://schemas.openxmlformats.org/officeDocument/2006/relationships/hyperlink" Target="https://drive.google.com/file/d/1WfY4sFjqCBKkanEB6_L46fboIoI8LMmo/view?usp=sharing" TargetMode="External"/><Relationship Id="rId14" Type="http://schemas.openxmlformats.org/officeDocument/2006/relationships/hyperlink" Target="https://drive.google.com/file/d/1HgkZejrf9ymv38XZmWim1dPSUUp2FR0j/view?usp=sharing" TargetMode="External"/><Relationship Id="rId17" Type="http://schemas.openxmlformats.org/officeDocument/2006/relationships/hyperlink" Target="https://drive.google.com/file/d/1AbARnGF9gNEkXUSwuHBDWOjov2h41606/view?usp=sharing" TargetMode="External"/><Relationship Id="rId16" Type="http://schemas.openxmlformats.org/officeDocument/2006/relationships/hyperlink" Target="https://drive.google.com/file/d/1Lgom_f9d2V1FaizlkHFm6aSSrxUvgKvD/view?usp=sharing" TargetMode="External"/><Relationship Id="rId5" Type="http://schemas.openxmlformats.org/officeDocument/2006/relationships/hyperlink" Target="https://drive.google.com/file/d/1cvPEtsfAM24vewi5zvo8rYJnTEnYybSv/view?usp=sharing" TargetMode="External"/><Relationship Id="rId19" Type="http://schemas.openxmlformats.org/officeDocument/2006/relationships/hyperlink" Target="https://drive.google.com/file/d/1iskliAynp2Weod3EYNSLYFVlM-iyNNYi/view?usp=sharing" TargetMode="External"/><Relationship Id="rId6" Type="http://schemas.openxmlformats.org/officeDocument/2006/relationships/hyperlink" Target="https://drive.google.com/file/d/1yDhgVuDCUYyS2ksiOkRgPl0PugZ-ENr8/view?usp=sharing" TargetMode="External"/><Relationship Id="rId18" Type="http://schemas.openxmlformats.org/officeDocument/2006/relationships/hyperlink" Target="https://drive.google.com/file/d/19HqGbQox7C_zvYl3nh8gYisCmkJzTSxo/view?usp=sharing" TargetMode="External"/><Relationship Id="rId7" Type="http://schemas.openxmlformats.org/officeDocument/2006/relationships/hyperlink" Target="https://drive.google.com/file/d/1MN3nDJp3rkYXsQ4h9KYEHE-M54pVCXFN/view?usp=sharing" TargetMode="External"/><Relationship Id="rId8" Type="http://schemas.openxmlformats.org/officeDocument/2006/relationships/hyperlink" Target="https://drive.google.com/file/d/1XE5lIVD6-m-xAd6q_iQI323ACDnUQwEq/view?usp=sharing" TargetMode="External"/></Relationships>
</file>

<file path=xl/drawings/_rels/drawing5.xml.rels><?xml version="1.0" encoding="UTF-8" standalone="yes"?><Relationships xmlns="http://schemas.openxmlformats.org/package/2006/relationships"><Relationship Id="rId1" Type="http://schemas.openxmlformats.org/officeDocument/2006/relationships/image" Target="../media/image1.jpg"/><Relationship Id="rId2" Type="http://schemas.openxmlformats.org/officeDocument/2006/relationships/image" Target="../media/image2.jpg"/></Relationships>
</file>

<file path=xl/drawings/_rels/drawing6.xml.rels><?xml version="1.0" encoding="UTF-8" standalone="yes"?>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 Id="rId3" Type="http://schemas.openxmlformats.org/officeDocument/2006/relationships/chart" Target="../charts/chart3.xml"/><Relationship Id="rId4" Type="http://schemas.openxmlformats.org/officeDocument/2006/relationships/image" Target="../media/image1.jpg"/></Relationships>
</file>

<file path=xl/drawings/_rels/drawing7.xml.rels><?xml version="1.0" encoding="UTF-8" standalone="yes"?><Relationships xmlns="http://schemas.openxmlformats.org/package/2006/relationships"><Relationship Id="rId1" Type="http://schemas.openxmlformats.org/officeDocument/2006/relationships/chart" Target="../charts/chart4.xml"/><Relationship Id="rId2" Type="http://schemas.openxmlformats.org/officeDocument/2006/relationships/image" Target="../media/image1.jpg"/><Relationship Id="rId3" Type="http://schemas.openxmlformats.org/officeDocument/2006/relationships/image" Target="../media/image2.jpg"/></Relationships>
</file>

<file path=xl/drawings/_rels/drawing11.xml.rels><?xml version="1.0" encoding="UTF-8" standalone="yes"?><Relationships xmlns="http://schemas.openxmlformats.org/package/2006/relationships"><Relationship Id="rId1" Type="http://schemas.openxmlformats.org/officeDocument/2006/relationships/image" Target="../media/image1.jpg"/><Relationship Id="rId2" Type="http://schemas.openxmlformats.org/officeDocument/2006/relationships/image" Target="../media/image2.jpg"/></Relationships>
</file>

<file path=xl/drawings/_rels/drawing12.xml.rels><?xml version="1.0" encoding="UTF-8" standalone="yes"?><Relationships xmlns="http://schemas.openxmlformats.org/package/2006/relationships"><Relationship Id="rId1" Type="http://schemas.openxmlformats.org/officeDocument/2006/relationships/image" Target="../media/image1.jpg"/><Relationship Id="rId2" Type="http://schemas.openxmlformats.org/officeDocument/2006/relationships/image" Target="../media/image2.jpg"/></Relationships>
</file>

<file path=xl/drawings/_rels/drawing13.xml.rels><?xml version="1.0" encoding="UTF-8" standalone="yes"?><Relationships xmlns="http://schemas.openxmlformats.org/package/2006/relationships"><Relationship Id="rId1" Type="http://schemas.openxmlformats.org/officeDocument/2006/relationships/image" Target="../media/image1.jpg"/></Relationships>
</file>

<file path=xl/drawings/_rels/drawing14.xml.rels><?xml version="1.0" encoding="UTF-8" standalone="yes"?><Relationships xmlns="http://schemas.openxmlformats.org/package/2006/relationships"><Relationship Id="rId1" Type="http://schemas.openxmlformats.org/officeDocument/2006/relationships/chart" Target="../charts/chart5.xml"/><Relationship Id="rId2" Type="http://schemas.openxmlformats.org/officeDocument/2006/relationships/image" Target="../media/image1.jpg"/></Relationships>
</file>

<file path=xl/drawings/_rels/drawing15.xml.rels><?xml version="1.0" encoding="UTF-8" standalone="yes"?><Relationships xmlns="http://schemas.openxmlformats.org/package/2006/relationships"><Relationship Id="rId1" Type="http://schemas.openxmlformats.org/officeDocument/2006/relationships/image" Target="../media/image1.jpg"/><Relationship Id="rId2" Type="http://schemas.openxmlformats.org/officeDocument/2006/relationships/image" Target="../media/image2.jpg"/></Relationships>
</file>

<file path=xl/drawings/_rels/drawing16.xml.rels><?xml version="1.0" encoding="UTF-8" standalone="yes"?><Relationships xmlns="http://schemas.openxmlformats.org/package/2006/relationships"><Relationship Id="rId1" Type="http://schemas.openxmlformats.org/officeDocument/2006/relationships/image" Target="../media/image1.jpg"/><Relationship Id="rId2" Type="http://schemas.openxmlformats.org/officeDocument/2006/relationships/image" Target="../media/image2.jpg"/></Relationships>
</file>

<file path=xl/drawings/_rels/drawing17.xml.rels><?xml version="1.0" encoding="UTF-8" standalone="yes"?><Relationships xmlns="http://schemas.openxmlformats.org/package/2006/relationships"><Relationship Id="rId1" Type="http://schemas.openxmlformats.org/officeDocument/2006/relationships/image" Target="../media/image1.jpg"/><Relationship Id="rId2" Type="http://schemas.openxmlformats.org/officeDocument/2006/relationships/image" Target="../media/image2.jpg"/></Relationships>
</file>

<file path=xl/drawings/_rels/drawing18.xml.rels><?xml version="1.0" encoding="UTF-8" standalone="yes"?><Relationships xmlns="http://schemas.openxmlformats.org/package/2006/relationships"><Relationship Id="rId1" Type="http://schemas.openxmlformats.org/officeDocument/2006/relationships/chart" Target="../charts/chart6.xml"/><Relationship Id="rId2" Type="http://schemas.openxmlformats.org/officeDocument/2006/relationships/chart" Target="../charts/chart7.xml"/><Relationship Id="rId3" Type="http://schemas.openxmlformats.org/officeDocument/2006/relationships/chart" Target="../charts/chart8.xml"/><Relationship Id="rId4" Type="http://schemas.openxmlformats.org/officeDocument/2006/relationships/chart" Target="../charts/chart9.xml"/></Relationships>
</file>

<file path=xl/drawings/_rels/drawing19.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723900</xdr:colOff>
      <xdr:row>11</xdr:row>
      <xdr:rowOff>28575</xdr:rowOff>
    </xdr:from>
    <xdr:ext cx="628650" cy="638175"/>
    <xdr:pic>
      <xdr:nvPicPr>
        <xdr:cNvPr descr="Logo Original Universidad del Cauca.jpg" id="0" name="image1.jpg"/>
        <xdr:cNvPicPr preferRelativeResize="0"/>
      </xdr:nvPicPr>
      <xdr:blipFill>
        <a:blip cstate="print" r:embed="rId1"/>
        <a:stretch>
          <a:fillRect/>
        </a:stretch>
      </xdr:blipFill>
      <xdr:spPr>
        <a:prstGeom prst="rect">
          <a:avLst/>
        </a:prstGeom>
        <a:noFill/>
      </xdr:spPr>
    </xdr:pic>
    <xdr:clientData fLocksWithSheet="0"/>
  </xdr:oneCellAnchor>
  <xdr:oneCellAnchor>
    <xdr:from>
      <xdr:col>8</xdr:col>
      <xdr:colOff>219075</xdr:colOff>
      <xdr:row>12</xdr:row>
      <xdr:rowOff>57150</xdr:rowOff>
    </xdr:from>
    <xdr:ext cx="723900" cy="352425"/>
    <xdr:pic>
      <xdr:nvPicPr>
        <xdr:cNvPr descr="SiGA.jpg" id="0" name="image2.jpg"/>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43</xdr:col>
      <xdr:colOff>533400</xdr:colOff>
      <xdr:row>46</xdr:row>
      <xdr:rowOff>0</xdr:rowOff>
    </xdr:from>
    <xdr:ext cx="533400" cy="257175"/>
    <xdr:sp>
      <xdr:nvSpPr>
        <xdr:cNvPr id="3" name="Shape 3"/>
        <xdr:cNvSpPr txBox="1"/>
      </xdr:nvSpPr>
      <xdr:spPr>
        <a:xfrm>
          <a:off x="5084063" y="3656175"/>
          <a:ext cx="523875" cy="2476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43</xdr:col>
      <xdr:colOff>533400</xdr:colOff>
      <xdr:row>46</xdr:row>
      <xdr:rowOff>0</xdr:rowOff>
    </xdr:from>
    <xdr:ext cx="533400" cy="257175"/>
    <xdr:sp>
      <xdr:nvSpPr>
        <xdr:cNvPr id="3" name="Shape 3"/>
        <xdr:cNvSpPr txBox="1"/>
      </xdr:nvSpPr>
      <xdr:spPr>
        <a:xfrm>
          <a:off x="5084063" y="3656175"/>
          <a:ext cx="523875" cy="2476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43</xdr:col>
      <xdr:colOff>533400</xdr:colOff>
      <xdr:row>46</xdr:row>
      <xdr:rowOff>0</xdr:rowOff>
    </xdr:from>
    <xdr:ext cx="533400" cy="257175"/>
    <xdr:sp>
      <xdr:nvSpPr>
        <xdr:cNvPr id="3" name="Shape 3"/>
        <xdr:cNvSpPr txBox="1"/>
      </xdr:nvSpPr>
      <xdr:spPr>
        <a:xfrm>
          <a:off x="5084063" y="3656175"/>
          <a:ext cx="523875" cy="2476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43</xdr:col>
      <xdr:colOff>533400</xdr:colOff>
      <xdr:row>46</xdr:row>
      <xdr:rowOff>0</xdr:rowOff>
    </xdr:from>
    <xdr:ext cx="533400" cy="257175"/>
    <xdr:sp>
      <xdr:nvSpPr>
        <xdr:cNvPr id="3" name="Shape 3"/>
        <xdr:cNvSpPr txBox="1"/>
      </xdr:nvSpPr>
      <xdr:spPr>
        <a:xfrm>
          <a:off x="5084063" y="3656175"/>
          <a:ext cx="523875" cy="2476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24</xdr:col>
      <xdr:colOff>85725</xdr:colOff>
      <xdr:row>12</xdr:row>
      <xdr:rowOff>19050</xdr:rowOff>
    </xdr:from>
    <xdr:ext cx="1552575" cy="209550"/>
    <xdr:sp>
      <xdr:nvSpPr>
        <xdr:cNvPr id="4" name="Shape 4">
          <a:hlinkClick r:id="rId1"/>
        </xdr:cNvPr>
        <xdr:cNvSpPr/>
      </xdr:nvSpPr>
      <xdr:spPr>
        <a:xfrm>
          <a:off x="4574475" y="3679988"/>
          <a:ext cx="1543050" cy="200025"/>
        </a:xfrm>
        <a:prstGeom prst="rect">
          <a:avLst/>
        </a:prstGeom>
        <a:noFill/>
        <a:ln>
          <a:noFill/>
        </a:ln>
      </xdr:spPr>
      <xdr:txBody>
        <a:bodyPr anchorCtr="0" anchor="t" bIns="0" lIns="18275" spcFirstLastPara="1" rIns="0" wrap="square" tIns="0">
          <a:noAutofit/>
        </a:bodyPr>
        <a:lstStyle/>
        <a:p>
          <a:pPr indent="0" lvl="0" marL="0" rtl="0" algn="l">
            <a:spcBef>
              <a:spcPts val="0"/>
            </a:spcBef>
            <a:spcAft>
              <a:spcPts val="0"/>
            </a:spcAft>
            <a:buSzPts val="1100"/>
            <a:buFont typeface="Arial"/>
            <a:buNone/>
          </a:pPr>
          <a:r>
            <a:t/>
          </a:r>
          <a:endParaRPr sz="1100"/>
        </a:p>
      </xdr:txBody>
    </xdr:sp>
    <xdr:clientData fLocksWithSheet="0"/>
  </xdr:oneCellAnchor>
  <xdr:oneCellAnchor>
    <xdr:from>
      <xdr:col>24</xdr:col>
      <xdr:colOff>85725</xdr:colOff>
      <xdr:row>12</xdr:row>
      <xdr:rowOff>190500</xdr:rowOff>
    </xdr:from>
    <xdr:ext cx="1552575" cy="200025"/>
    <xdr:sp>
      <xdr:nvSpPr>
        <xdr:cNvPr id="5" name="Shape 5">
          <a:hlinkClick r:id="rId2"/>
        </xdr:cNvPr>
        <xdr:cNvSpPr/>
      </xdr:nvSpPr>
      <xdr:spPr>
        <a:xfrm>
          <a:off x="4574475" y="3684750"/>
          <a:ext cx="1543050" cy="190500"/>
        </a:xfrm>
        <a:prstGeom prst="rect">
          <a:avLst/>
        </a:prstGeom>
        <a:noFill/>
        <a:ln>
          <a:noFill/>
        </a:ln>
      </xdr:spPr>
      <xdr:txBody>
        <a:bodyPr anchorCtr="0" anchor="t" bIns="0" lIns="18275" spcFirstLastPara="1" rIns="0" wrap="square" tIns="0">
          <a:noAutofit/>
        </a:bodyPr>
        <a:lstStyle/>
        <a:p>
          <a:pPr indent="0" lvl="0" marL="0" rtl="0" algn="l">
            <a:spcBef>
              <a:spcPts val="0"/>
            </a:spcBef>
            <a:spcAft>
              <a:spcPts val="0"/>
            </a:spcAft>
            <a:buSzPts val="1100"/>
            <a:buFont typeface="Arial"/>
            <a:buNone/>
          </a:pPr>
          <a:r>
            <a:t/>
          </a:r>
          <a:endParaRPr sz="1100"/>
        </a:p>
      </xdr:txBody>
    </xdr:sp>
    <xdr:clientData fLocksWithSheet="0"/>
  </xdr:oneCellAnchor>
  <xdr:oneCellAnchor>
    <xdr:from>
      <xdr:col>24</xdr:col>
      <xdr:colOff>85725</xdr:colOff>
      <xdr:row>12</xdr:row>
      <xdr:rowOff>352425</xdr:rowOff>
    </xdr:from>
    <xdr:ext cx="1552575" cy="200025"/>
    <xdr:sp>
      <xdr:nvSpPr>
        <xdr:cNvPr id="6" name="Shape 6">
          <a:hlinkClick r:id="rId3"/>
        </xdr:cNvPr>
        <xdr:cNvSpPr/>
      </xdr:nvSpPr>
      <xdr:spPr>
        <a:xfrm>
          <a:off x="4574475" y="3684750"/>
          <a:ext cx="1543050" cy="190500"/>
        </a:xfrm>
        <a:prstGeom prst="rect">
          <a:avLst/>
        </a:prstGeom>
        <a:noFill/>
        <a:ln>
          <a:noFill/>
        </a:ln>
      </xdr:spPr>
      <xdr:txBody>
        <a:bodyPr anchorCtr="0" anchor="t" bIns="0" lIns="18275" spcFirstLastPara="1" rIns="0" wrap="square" tIns="0">
          <a:noAutofit/>
        </a:bodyPr>
        <a:lstStyle/>
        <a:p>
          <a:pPr indent="0" lvl="0" marL="0" rtl="0" algn="l">
            <a:spcBef>
              <a:spcPts val="0"/>
            </a:spcBef>
            <a:spcAft>
              <a:spcPts val="0"/>
            </a:spcAft>
            <a:buSzPts val="1100"/>
            <a:buFont typeface="Arial"/>
            <a:buNone/>
          </a:pPr>
          <a:r>
            <a:t/>
          </a:r>
          <a:endParaRPr sz="1100"/>
        </a:p>
      </xdr:txBody>
    </xdr:sp>
    <xdr:clientData fLocksWithSheet="0"/>
  </xdr:oneCellAnchor>
  <xdr:oneCellAnchor>
    <xdr:from>
      <xdr:col>24</xdr:col>
      <xdr:colOff>76200</xdr:colOff>
      <xdr:row>18</xdr:row>
      <xdr:rowOff>228600</xdr:rowOff>
    </xdr:from>
    <xdr:ext cx="1552575" cy="171450"/>
    <xdr:sp>
      <xdr:nvSpPr>
        <xdr:cNvPr id="7" name="Shape 7">
          <a:hlinkClick r:id="rId4"/>
        </xdr:cNvPr>
        <xdr:cNvSpPr/>
      </xdr:nvSpPr>
      <xdr:spPr>
        <a:xfrm>
          <a:off x="4574475" y="3699038"/>
          <a:ext cx="1543050" cy="161925"/>
        </a:xfrm>
        <a:prstGeom prst="rect">
          <a:avLst/>
        </a:prstGeom>
        <a:noFill/>
        <a:ln>
          <a:noFill/>
        </a:ln>
      </xdr:spPr>
      <xdr:txBody>
        <a:bodyPr anchorCtr="0" anchor="t" bIns="0" lIns="18275" spcFirstLastPara="1" rIns="0" wrap="square" tIns="0">
          <a:noAutofit/>
        </a:bodyPr>
        <a:lstStyle/>
        <a:p>
          <a:pPr indent="0" lvl="0" marL="0" rtl="0" algn="l">
            <a:spcBef>
              <a:spcPts val="0"/>
            </a:spcBef>
            <a:spcAft>
              <a:spcPts val="0"/>
            </a:spcAft>
            <a:buSzPts val="1100"/>
            <a:buFont typeface="Arial"/>
            <a:buNone/>
          </a:pPr>
          <a:r>
            <a:t/>
          </a:r>
          <a:endParaRPr sz="1100"/>
        </a:p>
      </xdr:txBody>
    </xdr:sp>
    <xdr:clientData fLocksWithSheet="0"/>
  </xdr:oneCellAnchor>
  <xdr:oneCellAnchor>
    <xdr:from>
      <xdr:col>24</xdr:col>
      <xdr:colOff>66675</xdr:colOff>
      <xdr:row>18</xdr:row>
      <xdr:rowOff>66675</xdr:rowOff>
    </xdr:from>
    <xdr:ext cx="1552575" cy="171450"/>
    <xdr:sp>
      <xdr:nvSpPr>
        <xdr:cNvPr id="8" name="Shape 8">
          <a:hlinkClick r:id="rId5"/>
        </xdr:cNvPr>
        <xdr:cNvSpPr/>
      </xdr:nvSpPr>
      <xdr:spPr>
        <a:xfrm>
          <a:off x="4574475" y="3699038"/>
          <a:ext cx="1543050" cy="161925"/>
        </a:xfrm>
        <a:prstGeom prst="rect">
          <a:avLst/>
        </a:prstGeom>
        <a:noFill/>
        <a:ln>
          <a:noFill/>
        </a:ln>
      </xdr:spPr>
      <xdr:txBody>
        <a:bodyPr anchorCtr="0" anchor="t" bIns="0" lIns="18275" spcFirstLastPara="1" rIns="0" wrap="square" tIns="0">
          <a:noAutofit/>
        </a:bodyPr>
        <a:lstStyle/>
        <a:p>
          <a:pPr indent="0" lvl="0" marL="0" rtl="0" algn="l">
            <a:spcBef>
              <a:spcPts val="0"/>
            </a:spcBef>
            <a:spcAft>
              <a:spcPts val="0"/>
            </a:spcAft>
            <a:buSzPts val="1100"/>
            <a:buFont typeface="Arial"/>
            <a:buNone/>
          </a:pPr>
          <a:r>
            <a:t/>
          </a:r>
          <a:endParaRPr sz="1100">
            <a:solidFill>
              <a:srgbClr val="FFFF00"/>
            </a:solidFill>
          </a:endParaRPr>
        </a:p>
      </xdr:txBody>
    </xdr:sp>
    <xdr:clientData fLocksWithSheet="0"/>
  </xdr:oneCellAnchor>
  <xdr:oneCellAnchor>
    <xdr:from>
      <xdr:col>24</xdr:col>
      <xdr:colOff>95250</xdr:colOff>
      <xdr:row>19</xdr:row>
      <xdr:rowOff>57150</xdr:rowOff>
    </xdr:from>
    <xdr:ext cx="1552575" cy="200025"/>
    <xdr:sp>
      <xdr:nvSpPr>
        <xdr:cNvPr id="9" name="Shape 9">
          <a:hlinkClick r:id="rId6"/>
        </xdr:cNvPr>
        <xdr:cNvSpPr/>
      </xdr:nvSpPr>
      <xdr:spPr>
        <a:xfrm>
          <a:off x="4574475" y="3684750"/>
          <a:ext cx="1543050" cy="190500"/>
        </a:xfrm>
        <a:prstGeom prst="rect">
          <a:avLst/>
        </a:prstGeom>
        <a:noFill/>
        <a:ln>
          <a:noFill/>
        </a:ln>
      </xdr:spPr>
      <xdr:txBody>
        <a:bodyPr anchorCtr="0" anchor="t" bIns="0" lIns="18275" spcFirstLastPara="1" rIns="0" wrap="square" tIns="0">
          <a:noAutofit/>
        </a:bodyPr>
        <a:lstStyle/>
        <a:p>
          <a:pPr indent="0" lvl="0" marL="0" rtl="0" algn="l">
            <a:spcBef>
              <a:spcPts val="0"/>
            </a:spcBef>
            <a:spcAft>
              <a:spcPts val="0"/>
            </a:spcAft>
            <a:buSzPts val="1100"/>
            <a:buFont typeface="Arial"/>
            <a:buNone/>
          </a:pPr>
          <a:r>
            <a:t/>
          </a:r>
          <a:endParaRPr sz="1100"/>
        </a:p>
      </xdr:txBody>
    </xdr:sp>
    <xdr:clientData fLocksWithSheet="0"/>
  </xdr:oneCellAnchor>
  <xdr:oneCellAnchor>
    <xdr:from>
      <xdr:col>26</xdr:col>
      <xdr:colOff>38100</xdr:colOff>
      <xdr:row>19</xdr:row>
      <xdr:rowOff>38100</xdr:rowOff>
    </xdr:from>
    <xdr:ext cx="1790700" cy="219075"/>
    <xdr:sp>
      <xdr:nvSpPr>
        <xdr:cNvPr id="10" name="Shape 10">
          <a:hlinkClick r:id="rId7"/>
        </xdr:cNvPr>
        <xdr:cNvSpPr/>
      </xdr:nvSpPr>
      <xdr:spPr>
        <a:xfrm>
          <a:off x="4455413" y="3675225"/>
          <a:ext cx="1781175" cy="209550"/>
        </a:xfrm>
        <a:prstGeom prst="rect">
          <a:avLst/>
        </a:prstGeom>
        <a:noFill/>
        <a:ln>
          <a:noFill/>
        </a:ln>
      </xdr:spPr>
      <xdr:txBody>
        <a:bodyPr anchorCtr="0" anchor="t" bIns="0" lIns="18275" spcFirstLastPara="1" rIns="0" wrap="square" tIns="0">
          <a:noAutofit/>
        </a:bodyPr>
        <a:lstStyle/>
        <a:p>
          <a:pPr indent="0" lvl="0" marL="0" rtl="0" algn="l">
            <a:spcBef>
              <a:spcPts val="0"/>
            </a:spcBef>
            <a:spcAft>
              <a:spcPts val="0"/>
            </a:spcAft>
            <a:buSzPts val="1100"/>
            <a:buFont typeface="Arial"/>
            <a:buNone/>
          </a:pPr>
          <a:r>
            <a:t/>
          </a:r>
          <a:endParaRPr sz="1100"/>
        </a:p>
      </xdr:txBody>
    </xdr:sp>
    <xdr:clientData fLocksWithSheet="0"/>
  </xdr:oneCellAnchor>
  <xdr:oneCellAnchor>
    <xdr:from>
      <xdr:col>26</xdr:col>
      <xdr:colOff>38100</xdr:colOff>
      <xdr:row>19</xdr:row>
      <xdr:rowOff>228600</xdr:rowOff>
    </xdr:from>
    <xdr:ext cx="1790700" cy="219075"/>
    <xdr:sp>
      <xdr:nvSpPr>
        <xdr:cNvPr id="11" name="Shape 11">
          <a:hlinkClick r:id="rId8"/>
        </xdr:cNvPr>
        <xdr:cNvSpPr/>
      </xdr:nvSpPr>
      <xdr:spPr>
        <a:xfrm>
          <a:off x="4455413" y="3675225"/>
          <a:ext cx="1781175" cy="209550"/>
        </a:xfrm>
        <a:prstGeom prst="rect">
          <a:avLst/>
        </a:prstGeom>
        <a:noFill/>
        <a:ln>
          <a:noFill/>
        </a:ln>
      </xdr:spPr>
      <xdr:txBody>
        <a:bodyPr anchorCtr="0" anchor="t" bIns="0" lIns="18275" spcFirstLastPara="1" rIns="0" wrap="square" tIns="0">
          <a:noAutofit/>
        </a:bodyPr>
        <a:lstStyle/>
        <a:p>
          <a:pPr indent="0" lvl="0" marL="0" rtl="0" algn="l">
            <a:spcBef>
              <a:spcPts val="0"/>
            </a:spcBef>
            <a:spcAft>
              <a:spcPts val="0"/>
            </a:spcAft>
            <a:buSzPts val="1100"/>
            <a:buFont typeface="Arial"/>
            <a:buNone/>
          </a:pPr>
          <a:r>
            <a:t/>
          </a:r>
          <a:endParaRPr sz="1100"/>
        </a:p>
      </xdr:txBody>
    </xdr:sp>
    <xdr:clientData fLocksWithSheet="0"/>
  </xdr:oneCellAnchor>
  <xdr:oneCellAnchor>
    <xdr:from>
      <xdr:col>24</xdr:col>
      <xdr:colOff>66675</xdr:colOff>
      <xdr:row>59</xdr:row>
      <xdr:rowOff>266700</xdr:rowOff>
    </xdr:from>
    <xdr:ext cx="1552575" cy="200025"/>
    <xdr:sp>
      <xdr:nvSpPr>
        <xdr:cNvPr id="12" name="Shape 12">
          <a:hlinkClick r:id="rId9"/>
        </xdr:cNvPr>
        <xdr:cNvSpPr/>
      </xdr:nvSpPr>
      <xdr:spPr>
        <a:xfrm>
          <a:off x="4574475" y="3684750"/>
          <a:ext cx="1543050" cy="190500"/>
        </a:xfrm>
        <a:prstGeom prst="rect">
          <a:avLst/>
        </a:prstGeom>
        <a:noFill/>
        <a:ln>
          <a:noFill/>
        </a:ln>
      </xdr:spPr>
      <xdr:txBody>
        <a:bodyPr anchorCtr="0" anchor="t" bIns="0" lIns="18275" spcFirstLastPara="1" rIns="0" wrap="square" tIns="0">
          <a:noAutofit/>
        </a:bodyPr>
        <a:lstStyle/>
        <a:p>
          <a:pPr indent="0" lvl="0" marL="0" rtl="0" algn="l">
            <a:spcBef>
              <a:spcPts val="0"/>
            </a:spcBef>
            <a:spcAft>
              <a:spcPts val="0"/>
            </a:spcAft>
            <a:buSzPts val="1100"/>
            <a:buFont typeface="Arial"/>
            <a:buNone/>
          </a:pPr>
          <a:r>
            <a:t/>
          </a:r>
          <a:endParaRPr sz="1100"/>
        </a:p>
      </xdr:txBody>
    </xdr:sp>
    <xdr:clientData fLocksWithSheet="0"/>
  </xdr:oneCellAnchor>
  <xdr:oneCellAnchor>
    <xdr:from>
      <xdr:col>24</xdr:col>
      <xdr:colOff>66675</xdr:colOff>
      <xdr:row>59</xdr:row>
      <xdr:rowOff>95250</xdr:rowOff>
    </xdr:from>
    <xdr:ext cx="1552575" cy="200025"/>
    <xdr:sp>
      <xdr:nvSpPr>
        <xdr:cNvPr id="13" name="Shape 13">
          <a:hlinkClick r:id="rId10"/>
        </xdr:cNvPr>
        <xdr:cNvSpPr/>
      </xdr:nvSpPr>
      <xdr:spPr>
        <a:xfrm>
          <a:off x="4574475" y="3684750"/>
          <a:ext cx="1543050" cy="190500"/>
        </a:xfrm>
        <a:prstGeom prst="rect">
          <a:avLst/>
        </a:prstGeom>
        <a:noFill/>
        <a:ln>
          <a:noFill/>
        </a:ln>
      </xdr:spPr>
      <xdr:txBody>
        <a:bodyPr anchorCtr="0" anchor="t" bIns="0" lIns="18275" spcFirstLastPara="1" rIns="0" wrap="square" tIns="0">
          <a:noAutofit/>
        </a:bodyPr>
        <a:lstStyle/>
        <a:p>
          <a:pPr indent="0" lvl="0" marL="0" rtl="0" algn="l">
            <a:spcBef>
              <a:spcPts val="0"/>
            </a:spcBef>
            <a:spcAft>
              <a:spcPts val="0"/>
            </a:spcAft>
            <a:buSzPts val="1100"/>
            <a:buFont typeface="Arial"/>
            <a:buNone/>
          </a:pPr>
          <a:r>
            <a:t/>
          </a:r>
          <a:endParaRPr sz="1100"/>
        </a:p>
      </xdr:txBody>
    </xdr:sp>
    <xdr:clientData fLocksWithSheet="0"/>
  </xdr:oneCellAnchor>
  <xdr:oneCellAnchor>
    <xdr:from>
      <xdr:col>24</xdr:col>
      <xdr:colOff>95250</xdr:colOff>
      <xdr:row>71</xdr:row>
      <xdr:rowOff>228600</xdr:rowOff>
    </xdr:from>
    <xdr:ext cx="1552575" cy="171450"/>
    <xdr:sp>
      <xdr:nvSpPr>
        <xdr:cNvPr id="14" name="Shape 14">
          <a:hlinkClick r:id="rId11"/>
        </xdr:cNvPr>
        <xdr:cNvSpPr/>
      </xdr:nvSpPr>
      <xdr:spPr>
        <a:xfrm>
          <a:off x="4574475" y="3699038"/>
          <a:ext cx="1543050" cy="161925"/>
        </a:xfrm>
        <a:prstGeom prst="rect">
          <a:avLst/>
        </a:prstGeom>
        <a:noFill/>
        <a:ln>
          <a:noFill/>
        </a:ln>
      </xdr:spPr>
      <xdr:txBody>
        <a:bodyPr anchorCtr="0" anchor="t" bIns="0" lIns="18275" spcFirstLastPara="1" rIns="0" wrap="square" tIns="0">
          <a:noAutofit/>
        </a:bodyPr>
        <a:lstStyle/>
        <a:p>
          <a:pPr indent="0" lvl="0" marL="0" rtl="0" algn="l">
            <a:spcBef>
              <a:spcPts val="0"/>
            </a:spcBef>
            <a:spcAft>
              <a:spcPts val="0"/>
            </a:spcAft>
            <a:buSzPts val="1100"/>
            <a:buFont typeface="Arial"/>
            <a:buNone/>
          </a:pPr>
          <a:r>
            <a:t/>
          </a:r>
          <a:endParaRPr sz="1100"/>
        </a:p>
      </xdr:txBody>
    </xdr:sp>
    <xdr:clientData fLocksWithSheet="0"/>
  </xdr:oneCellAnchor>
  <xdr:oneCellAnchor>
    <xdr:from>
      <xdr:col>24</xdr:col>
      <xdr:colOff>0</xdr:colOff>
      <xdr:row>62</xdr:row>
      <xdr:rowOff>66675</xdr:rowOff>
    </xdr:from>
    <xdr:ext cx="1752600" cy="180975"/>
    <xdr:sp>
      <xdr:nvSpPr>
        <xdr:cNvPr id="15" name="Shape 15">
          <a:hlinkClick r:id="rId12"/>
        </xdr:cNvPr>
        <xdr:cNvSpPr/>
      </xdr:nvSpPr>
      <xdr:spPr>
        <a:xfrm>
          <a:off x="4474463" y="3694275"/>
          <a:ext cx="1743075" cy="171450"/>
        </a:xfrm>
        <a:prstGeom prst="rect">
          <a:avLst/>
        </a:prstGeom>
        <a:noFill/>
        <a:ln>
          <a:noFill/>
        </a:ln>
      </xdr:spPr>
      <xdr:txBody>
        <a:bodyPr anchorCtr="0" anchor="t" bIns="0" lIns="18275" spcFirstLastPara="1" rIns="0" wrap="square" tIns="0">
          <a:noAutofit/>
        </a:bodyPr>
        <a:lstStyle/>
        <a:p>
          <a:pPr indent="0" lvl="0" marL="0" rtl="0" algn="l">
            <a:spcBef>
              <a:spcPts val="0"/>
            </a:spcBef>
            <a:spcAft>
              <a:spcPts val="0"/>
            </a:spcAft>
            <a:buSzPts val="1100"/>
            <a:buFont typeface="Arial"/>
            <a:buNone/>
          </a:pPr>
          <a:r>
            <a:t/>
          </a:r>
          <a:endParaRPr sz="1100"/>
        </a:p>
      </xdr:txBody>
    </xdr:sp>
    <xdr:clientData fLocksWithSheet="0"/>
  </xdr:oneCellAnchor>
  <xdr:oneCellAnchor>
    <xdr:from>
      <xdr:col>24</xdr:col>
      <xdr:colOff>85725</xdr:colOff>
      <xdr:row>62</xdr:row>
      <xdr:rowOff>228600</xdr:rowOff>
    </xdr:from>
    <xdr:ext cx="1552575" cy="171450"/>
    <xdr:sp>
      <xdr:nvSpPr>
        <xdr:cNvPr id="16" name="Shape 16">
          <a:hlinkClick r:id="rId13"/>
        </xdr:cNvPr>
        <xdr:cNvSpPr/>
      </xdr:nvSpPr>
      <xdr:spPr>
        <a:xfrm>
          <a:off x="4574475" y="3699038"/>
          <a:ext cx="1543050" cy="161925"/>
        </a:xfrm>
        <a:prstGeom prst="rect">
          <a:avLst/>
        </a:prstGeom>
        <a:noFill/>
        <a:ln>
          <a:noFill/>
        </a:ln>
      </xdr:spPr>
      <xdr:txBody>
        <a:bodyPr anchorCtr="0" anchor="t" bIns="0" lIns="18275" spcFirstLastPara="1" rIns="0" wrap="square" tIns="0">
          <a:noAutofit/>
        </a:bodyPr>
        <a:lstStyle/>
        <a:p>
          <a:pPr indent="0" lvl="0" marL="0" rtl="0" algn="l">
            <a:spcBef>
              <a:spcPts val="0"/>
            </a:spcBef>
            <a:spcAft>
              <a:spcPts val="0"/>
            </a:spcAft>
            <a:buSzPts val="1100"/>
            <a:buFont typeface="Arial"/>
            <a:buNone/>
          </a:pPr>
          <a:r>
            <a:t/>
          </a:r>
          <a:endParaRPr sz="1100"/>
        </a:p>
      </xdr:txBody>
    </xdr:sp>
    <xdr:clientData fLocksWithSheet="0"/>
  </xdr:oneCellAnchor>
  <xdr:oneCellAnchor>
    <xdr:from>
      <xdr:col>25</xdr:col>
      <xdr:colOff>0</xdr:colOff>
      <xdr:row>71</xdr:row>
      <xdr:rowOff>219075</xdr:rowOff>
    </xdr:from>
    <xdr:ext cx="1552575" cy="200025"/>
    <xdr:sp>
      <xdr:nvSpPr>
        <xdr:cNvPr id="17" name="Shape 17">
          <a:hlinkClick r:id="rId14"/>
        </xdr:cNvPr>
        <xdr:cNvSpPr/>
      </xdr:nvSpPr>
      <xdr:spPr>
        <a:xfrm>
          <a:off x="4574475" y="3684750"/>
          <a:ext cx="1543050" cy="190500"/>
        </a:xfrm>
        <a:prstGeom prst="rect">
          <a:avLst/>
        </a:prstGeom>
        <a:noFill/>
        <a:ln>
          <a:noFill/>
        </a:ln>
      </xdr:spPr>
      <xdr:txBody>
        <a:bodyPr anchorCtr="0" anchor="t" bIns="0" lIns="18275" spcFirstLastPara="1" rIns="0" wrap="square" tIns="0">
          <a:noAutofit/>
        </a:bodyPr>
        <a:lstStyle/>
        <a:p>
          <a:pPr indent="0" lvl="0" marL="0" rtl="0" algn="l">
            <a:spcBef>
              <a:spcPts val="0"/>
            </a:spcBef>
            <a:spcAft>
              <a:spcPts val="0"/>
            </a:spcAft>
            <a:buSzPts val="1100"/>
            <a:buFont typeface="Arial"/>
            <a:buNone/>
          </a:pPr>
          <a:r>
            <a:t/>
          </a:r>
          <a:endParaRPr sz="1100"/>
        </a:p>
      </xdr:txBody>
    </xdr:sp>
    <xdr:clientData fLocksWithSheet="0"/>
  </xdr:oneCellAnchor>
  <xdr:oneCellAnchor>
    <xdr:from>
      <xdr:col>25</xdr:col>
      <xdr:colOff>0</xdr:colOff>
      <xdr:row>71</xdr:row>
      <xdr:rowOff>57150</xdr:rowOff>
    </xdr:from>
    <xdr:ext cx="1552575" cy="200025"/>
    <xdr:sp>
      <xdr:nvSpPr>
        <xdr:cNvPr id="18" name="Shape 18">
          <a:hlinkClick r:id="rId15"/>
        </xdr:cNvPr>
        <xdr:cNvSpPr/>
      </xdr:nvSpPr>
      <xdr:spPr>
        <a:xfrm>
          <a:off x="4574475" y="3684750"/>
          <a:ext cx="1543050" cy="190500"/>
        </a:xfrm>
        <a:prstGeom prst="rect">
          <a:avLst/>
        </a:prstGeom>
        <a:noFill/>
        <a:ln>
          <a:noFill/>
        </a:ln>
      </xdr:spPr>
      <xdr:txBody>
        <a:bodyPr anchorCtr="0" anchor="t" bIns="0" lIns="18275" spcFirstLastPara="1" rIns="0" wrap="square" tIns="0">
          <a:noAutofit/>
        </a:bodyPr>
        <a:lstStyle/>
        <a:p>
          <a:pPr indent="0" lvl="0" marL="0" rtl="0" algn="l">
            <a:spcBef>
              <a:spcPts val="0"/>
            </a:spcBef>
            <a:spcAft>
              <a:spcPts val="0"/>
            </a:spcAft>
            <a:buSzPts val="1100"/>
            <a:buFont typeface="Arial"/>
            <a:buNone/>
          </a:pPr>
          <a:r>
            <a:t/>
          </a:r>
          <a:endParaRPr sz="1100"/>
        </a:p>
      </xdr:txBody>
    </xdr:sp>
    <xdr:clientData fLocksWithSheet="0"/>
  </xdr:oneCellAnchor>
  <xdr:oneCellAnchor>
    <xdr:from>
      <xdr:col>24</xdr:col>
      <xdr:colOff>76200</xdr:colOff>
      <xdr:row>107</xdr:row>
      <xdr:rowOff>66675</xdr:rowOff>
    </xdr:from>
    <xdr:ext cx="1552575" cy="171450"/>
    <xdr:sp>
      <xdr:nvSpPr>
        <xdr:cNvPr id="19" name="Shape 19">
          <a:hlinkClick r:id="rId16"/>
        </xdr:cNvPr>
        <xdr:cNvSpPr/>
      </xdr:nvSpPr>
      <xdr:spPr>
        <a:xfrm>
          <a:off x="4574475" y="3699038"/>
          <a:ext cx="1543050" cy="161925"/>
        </a:xfrm>
        <a:prstGeom prst="rect">
          <a:avLst/>
        </a:prstGeom>
        <a:noFill/>
        <a:ln>
          <a:noFill/>
        </a:ln>
      </xdr:spPr>
      <xdr:txBody>
        <a:bodyPr anchorCtr="0" anchor="t" bIns="0" lIns="18275" spcFirstLastPara="1" rIns="0" wrap="square" tIns="0">
          <a:noAutofit/>
        </a:bodyPr>
        <a:lstStyle/>
        <a:p>
          <a:pPr indent="0" lvl="0" marL="0" rtl="0" algn="l">
            <a:spcBef>
              <a:spcPts val="0"/>
            </a:spcBef>
            <a:spcAft>
              <a:spcPts val="0"/>
            </a:spcAft>
            <a:buSzPts val="1100"/>
            <a:buFont typeface="Arial"/>
            <a:buNone/>
          </a:pPr>
          <a:r>
            <a:t/>
          </a:r>
          <a:endParaRPr sz="1100"/>
        </a:p>
      </xdr:txBody>
    </xdr:sp>
    <xdr:clientData fLocksWithSheet="0"/>
  </xdr:oneCellAnchor>
  <xdr:oneCellAnchor>
    <xdr:from>
      <xdr:col>24</xdr:col>
      <xdr:colOff>85725</xdr:colOff>
      <xdr:row>107</xdr:row>
      <xdr:rowOff>228600</xdr:rowOff>
    </xdr:from>
    <xdr:ext cx="1552575" cy="171450"/>
    <xdr:sp>
      <xdr:nvSpPr>
        <xdr:cNvPr id="20" name="Shape 20">
          <a:hlinkClick r:id="rId17"/>
        </xdr:cNvPr>
        <xdr:cNvSpPr/>
      </xdr:nvSpPr>
      <xdr:spPr>
        <a:xfrm>
          <a:off x="4574475" y="3699038"/>
          <a:ext cx="1543050" cy="161925"/>
        </a:xfrm>
        <a:prstGeom prst="rect">
          <a:avLst/>
        </a:prstGeom>
        <a:noFill/>
        <a:ln>
          <a:noFill/>
        </a:ln>
      </xdr:spPr>
      <xdr:txBody>
        <a:bodyPr anchorCtr="0" anchor="t" bIns="0" lIns="18275" spcFirstLastPara="1" rIns="0" wrap="square" tIns="0">
          <a:noAutofit/>
        </a:bodyPr>
        <a:lstStyle/>
        <a:p>
          <a:pPr indent="0" lvl="0" marL="0" rtl="0" algn="l">
            <a:spcBef>
              <a:spcPts val="0"/>
            </a:spcBef>
            <a:spcAft>
              <a:spcPts val="0"/>
            </a:spcAft>
            <a:buSzPts val="1100"/>
            <a:buFont typeface="Arial"/>
            <a:buNone/>
          </a:pPr>
          <a:r>
            <a:t/>
          </a:r>
          <a:endParaRPr sz="1100"/>
        </a:p>
      </xdr:txBody>
    </xdr:sp>
    <xdr:clientData fLocksWithSheet="0"/>
  </xdr:oneCellAnchor>
  <xdr:oneCellAnchor>
    <xdr:from>
      <xdr:col>24</xdr:col>
      <xdr:colOff>104775</xdr:colOff>
      <xdr:row>123</xdr:row>
      <xdr:rowOff>228600</xdr:rowOff>
    </xdr:from>
    <xdr:ext cx="1552575" cy="171450"/>
    <xdr:sp>
      <xdr:nvSpPr>
        <xdr:cNvPr id="21" name="Shape 21">
          <a:hlinkClick r:id="rId18"/>
        </xdr:cNvPr>
        <xdr:cNvSpPr/>
      </xdr:nvSpPr>
      <xdr:spPr>
        <a:xfrm>
          <a:off x="4574475" y="3699038"/>
          <a:ext cx="1543050" cy="161925"/>
        </a:xfrm>
        <a:prstGeom prst="rect">
          <a:avLst/>
        </a:prstGeom>
        <a:noFill/>
        <a:ln>
          <a:noFill/>
        </a:ln>
      </xdr:spPr>
      <xdr:txBody>
        <a:bodyPr anchorCtr="0" anchor="t" bIns="0" lIns="18275" spcFirstLastPara="1" rIns="0" wrap="square" tIns="0">
          <a:noAutofit/>
        </a:bodyPr>
        <a:lstStyle/>
        <a:p>
          <a:pPr indent="0" lvl="0" marL="0" rtl="0" algn="l">
            <a:spcBef>
              <a:spcPts val="0"/>
            </a:spcBef>
            <a:spcAft>
              <a:spcPts val="0"/>
            </a:spcAft>
            <a:buSzPts val="1100"/>
            <a:buFont typeface="Arial"/>
            <a:buNone/>
          </a:pPr>
          <a:r>
            <a:t/>
          </a:r>
          <a:endParaRPr sz="1100"/>
        </a:p>
      </xdr:txBody>
    </xdr:sp>
    <xdr:clientData fLocksWithSheet="0"/>
  </xdr:oneCellAnchor>
  <xdr:oneCellAnchor>
    <xdr:from>
      <xdr:col>26</xdr:col>
      <xdr:colOff>0</xdr:colOff>
      <xdr:row>112</xdr:row>
      <xdr:rowOff>123825</xdr:rowOff>
    </xdr:from>
    <xdr:ext cx="1971675" cy="361950"/>
    <xdr:sp>
      <xdr:nvSpPr>
        <xdr:cNvPr id="22" name="Shape 22">
          <a:hlinkClick r:id="rId19"/>
        </xdr:cNvPr>
        <xdr:cNvSpPr/>
      </xdr:nvSpPr>
      <xdr:spPr>
        <a:xfrm>
          <a:off x="4364925" y="3603788"/>
          <a:ext cx="1962150" cy="352425"/>
        </a:xfrm>
        <a:prstGeom prst="rect">
          <a:avLst/>
        </a:prstGeom>
        <a:noFill/>
        <a:ln>
          <a:noFill/>
        </a:ln>
      </xdr:spPr>
      <xdr:txBody>
        <a:bodyPr anchorCtr="0" anchor="t" bIns="0" lIns="18275" spcFirstLastPara="1" rIns="0" wrap="square" tIns="0">
          <a:noAutofit/>
        </a:bodyPr>
        <a:lstStyle/>
        <a:p>
          <a:pPr indent="0" lvl="0" marL="0" rtl="0" algn="l">
            <a:spcBef>
              <a:spcPts val="0"/>
            </a:spcBef>
            <a:spcAft>
              <a:spcPts val="0"/>
            </a:spcAft>
            <a:buSzPts val="1100"/>
            <a:buFont typeface="Arial"/>
            <a:buNone/>
          </a:pPr>
          <a:r>
            <a:t/>
          </a:r>
          <a:endParaRPr sz="1100"/>
        </a:p>
      </xdr:txBody>
    </xdr:sp>
    <xdr:clientData fLocksWithSheet="0"/>
  </xdr:oneCellAnchor>
  <xdr:oneCellAnchor>
    <xdr:from>
      <xdr:col>24</xdr:col>
      <xdr:colOff>104775</xdr:colOff>
      <xdr:row>123</xdr:row>
      <xdr:rowOff>390525</xdr:rowOff>
    </xdr:from>
    <xdr:ext cx="1552575" cy="171450"/>
    <xdr:sp>
      <xdr:nvSpPr>
        <xdr:cNvPr id="23" name="Shape 23">
          <a:hlinkClick r:id="rId20"/>
        </xdr:cNvPr>
        <xdr:cNvSpPr/>
      </xdr:nvSpPr>
      <xdr:spPr>
        <a:xfrm>
          <a:off x="4574475" y="3699038"/>
          <a:ext cx="1543050" cy="161925"/>
        </a:xfrm>
        <a:prstGeom prst="rect">
          <a:avLst/>
        </a:prstGeom>
        <a:noFill/>
        <a:ln>
          <a:noFill/>
        </a:ln>
      </xdr:spPr>
      <xdr:txBody>
        <a:bodyPr anchorCtr="0" anchor="t" bIns="0" lIns="18275" spcFirstLastPara="1" rIns="0" wrap="square" tIns="0">
          <a:noAutofit/>
        </a:bodyPr>
        <a:lstStyle/>
        <a:p>
          <a:pPr indent="0" lvl="0" marL="0" rtl="0" algn="l">
            <a:spcBef>
              <a:spcPts val="0"/>
            </a:spcBef>
            <a:spcAft>
              <a:spcPts val="0"/>
            </a:spcAft>
            <a:buSzPts val="1100"/>
            <a:buFont typeface="Arial"/>
            <a:buNone/>
          </a:pPr>
          <a:r>
            <a:t/>
          </a:r>
          <a:endParaRPr sz="1100"/>
        </a:p>
      </xdr:txBody>
    </xdr:sp>
    <xdr:clientData fLocksWithSheet="0"/>
  </xdr:oneCellAnchor>
  <xdr:oneCellAnchor>
    <xdr:from>
      <xdr:col>26</xdr:col>
      <xdr:colOff>0</xdr:colOff>
      <xdr:row>112</xdr:row>
      <xdr:rowOff>0</xdr:rowOff>
    </xdr:from>
    <xdr:ext cx="1971675" cy="190500"/>
    <xdr:sp>
      <xdr:nvSpPr>
        <xdr:cNvPr id="24" name="Shape 24">
          <a:hlinkClick r:id="rId21"/>
        </xdr:cNvPr>
        <xdr:cNvSpPr/>
      </xdr:nvSpPr>
      <xdr:spPr>
        <a:xfrm>
          <a:off x="4364925" y="3689513"/>
          <a:ext cx="1962150" cy="180975"/>
        </a:xfrm>
        <a:prstGeom prst="rect">
          <a:avLst/>
        </a:prstGeom>
        <a:noFill/>
        <a:ln>
          <a:noFill/>
        </a:ln>
      </xdr:spPr>
      <xdr:txBody>
        <a:bodyPr anchorCtr="0" anchor="t" bIns="0" lIns="18275" spcFirstLastPara="1" rIns="0" wrap="square" tIns="0">
          <a:noAutofit/>
        </a:bodyPr>
        <a:lstStyle/>
        <a:p>
          <a:pPr indent="0" lvl="0" marL="0" rtl="0" algn="l">
            <a:spcBef>
              <a:spcPts val="0"/>
            </a:spcBef>
            <a:spcAft>
              <a:spcPts val="0"/>
            </a:spcAft>
            <a:buSzPts val="1100"/>
            <a:buFont typeface="Arial"/>
            <a:buNone/>
          </a:pPr>
          <a:r>
            <a:t/>
          </a:r>
          <a:endParaRPr sz="1100"/>
        </a:p>
      </xdr:txBody>
    </xdr:sp>
    <xdr:clientData fLocksWithSheet="0"/>
  </xdr:oneCellAnchor>
  <xdr:oneCellAnchor>
    <xdr:from>
      <xdr:col>26</xdr:col>
      <xdr:colOff>66675</xdr:colOff>
      <xdr:row>114</xdr:row>
      <xdr:rowOff>19050</xdr:rowOff>
    </xdr:from>
    <xdr:ext cx="1695450" cy="228600"/>
    <xdr:sp>
      <xdr:nvSpPr>
        <xdr:cNvPr id="25" name="Shape 25">
          <a:hlinkClick r:id="rId22"/>
        </xdr:cNvPr>
        <xdr:cNvSpPr/>
      </xdr:nvSpPr>
      <xdr:spPr>
        <a:xfrm>
          <a:off x="4503038" y="3670463"/>
          <a:ext cx="1685925" cy="219075"/>
        </a:xfrm>
        <a:prstGeom prst="rect">
          <a:avLst/>
        </a:prstGeom>
        <a:noFill/>
        <a:ln>
          <a:noFill/>
        </a:ln>
      </xdr:spPr>
      <xdr:txBody>
        <a:bodyPr anchorCtr="0" anchor="t" bIns="0" lIns="18275" spcFirstLastPara="1" rIns="0" wrap="square" tIns="0">
          <a:noAutofit/>
        </a:bodyPr>
        <a:lstStyle/>
        <a:p>
          <a:pPr indent="0" lvl="0" marL="0" rtl="0" algn="l">
            <a:spcBef>
              <a:spcPts val="0"/>
            </a:spcBef>
            <a:spcAft>
              <a:spcPts val="0"/>
            </a:spcAft>
            <a:buSzPts val="1100"/>
            <a:buFont typeface="Arial"/>
            <a:buNone/>
          </a:pPr>
          <a:r>
            <a:t/>
          </a:r>
          <a:endParaRPr sz="1100"/>
        </a:p>
      </xdr:txBody>
    </xdr:sp>
    <xdr:clientData fLocksWithSheet="0"/>
  </xdr:oneCellAnchor>
  <xdr:oneCellAnchor>
    <xdr:from>
      <xdr:col>26</xdr:col>
      <xdr:colOff>76200</xdr:colOff>
      <xdr:row>114</xdr:row>
      <xdr:rowOff>238125</xdr:rowOff>
    </xdr:from>
    <xdr:ext cx="1685925" cy="209550"/>
    <xdr:sp>
      <xdr:nvSpPr>
        <xdr:cNvPr id="26" name="Shape 26">
          <a:hlinkClick r:id="rId23"/>
        </xdr:cNvPr>
        <xdr:cNvSpPr/>
      </xdr:nvSpPr>
      <xdr:spPr>
        <a:xfrm>
          <a:off x="4507800" y="3679988"/>
          <a:ext cx="1676400" cy="200025"/>
        </a:xfrm>
        <a:prstGeom prst="rect">
          <a:avLst/>
        </a:prstGeom>
        <a:noFill/>
        <a:ln>
          <a:noFill/>
        </a:ln>
      </xdr:spPr>
      <xdr:txBody>
        <a:bodyPr anchorCtr="0" anchor="t" bIns="0" lIns="18275" spcFirstLastPara="1" rIns="0" wrap="square" tIns="0">
          <a:noAutofit/>
        </a:bodyPr>
        <a:lstStyle/>
        <a:p>
          <a:pPr indent="0" lvl="0" marL="0" rtl="0" algn="l">
            <a:spcBef>
              <a:spcPts val="0"/>
            </a:spcBef>
            <a:spcAft>
              <a:spcPts val="0"/>
            </a:spcAft>
            <a:buSzPts val="1100"/>
            <a:buFont typeface="Arial"/>
            <a:buNone/>
          </a:pPr>
          <a:r>
            <a:t/>
          </a:r>
          <a:endParaRPr sz="1100"/>
        </a:p>
      </xdr:txBody>
    </xdr:sp>
    <xdr:clientData fLocksWithSheet="0"/>
  </xdr:oneCellAnchor>
  <xdr:oneCellAnchor>
    <xdr:from>
      <xdr:col>0</xdr:col>
      <xdr:colOff>0</xdr:colOff>
      <xdr:row>1</xdr:row>
      <xdr:rowOff>123825</xdr:rowOff>
    </xdr:from>
    <xdr:ext cx="771525" cy="781050"/>
    <xdr:pic>
      <xdr:nvPicPr>
        <xdr:cNvPr descr="Logo Original Universidad del Cauca.jpg" id="0" name="image1.jpg"/>
        <xdr:cNvPicPr preferRelativeResize="0"/>
      </xdr:nvPicPr>
      <xdr:blipFill>
        <a:blip cstate="print" r:embed="rId24"/>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533400</xdr:colOff>
      <xdr:row>0</xdr:row>
      <xdr:rowOff>47625</xdr:rowOff>
    </xdr:from>
    <xdr:ext cx="466725" cy="676275"/>
    <xdr:pic>
      <xdr:nvPicPr>
        <xdr:cNvPr descr="Logo Original Universidad del Cauca.jpg" id="0" name="image1.jpg"/>
        <xdr:cNvPicPr preferRelativeResize="0"/>
      </xdr:nvPicPr>
      <xdr:blipFill>
        <a:blip cstate="print" r:embed="rId1"/>
        <a:stretch>
          <a:fillRect/>
        </a:stretch>
      </xdr:blipFill>
      <xdr:spPr>
        <a:prstGeom prst="rect">
          <a:avLst/>
        </a:prstGeom>
        <a:noFill/>
      </xdr:spPr>
    </xdr:pic>
    <xdr:clientData fLocksWithSheet="0"/>
  </xdr:oneCellAnchor>
  <xdr:oneCellAnchor>
    <xdr:from>
      <xdr:col>5</xdr:col>
      <xdr:colOff>1581150</xdr:colOff>
      <xdr:row>1</xdr:row>
      <xdr:rowOff>76200</xdr:rowOff>
    </xdr:from>
    <xdr:ext cx="723900" cy="381000"/>
    <xdr:pic>
      <xdr:nvPicPr>
        <xdr:cNvPr descr="SiGA.jpg" id="0" name="image2.jpg"/>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6</xdr:col>
      <xdr:colOff>333375</xdr:colOff>
      <xdr:row>20</xdr:row>
      <xdr:rowOff>95250</xdr:rowOff>
    </xdr:from>
    <xdr:ext cx="4600575" cy="3028950"/>
    <xdr:graphicFrame>
      <xdr:nvGraphicFramePr>
        <xdr:cNvPr id="1445327278" name="Chart 1"/>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0</xdr:col>
      <xdr:colOff>114300</xdr:colOff>
      <xdr:row>20</xdr:row>
      <xdr:rowOff>133350</xdr:rowOff>
    </xdr:from>
    <xdr:ext cx="5095875" cy="3009900"/>
    <xdr:graphicFrame>
      <xdr:nvGraphicFramePr>
        <xdr:cNvPr id="1267706520" name="Chart 2"/>
        <xdr:cNvGraphicFramePr/>
      </xdr:nvGraphicFramePr>
      <xdr:xfrm>
        <a:off x="0" y="0"/>
        <a:ext cx="0" cy="0"/>
      </xdr:xfrm>
      <a:graphic>
        <a:graphicData uri="http://schemas.openxmlformats.org/drawingml/2006/chart">
          <c:chart r:id="rId2"/>
        </a:graphicData>
      </a:graphic>
    </xdr:graphicFrame>
    <xdr:clientData fLocksWithSheet="0"/>
  </xdr:oneCellAnchor>
  <xdr:oneCellAnchor>
    <xdr:from>
      <xdr:col>0</xdr:col>
      <xdr:colOff>123825</xdr:colOff>
      <xdr:row>40</xdr:row>
      <xdr:rowOff>47625</xdr:rowOff>
    </xdr:from>
    <xdr:ext cx="9820275" cy="3924300"/>
    <xdr:graphicFrame>
      <xdr:nvGraphicFramePr>
        <xdr:cNvPr id="166200753" name="Chart 3"/>
        <xdr:cNvGraphicFramePr/>
      </xdr:nvGraphicFramePr>
      <xdr:xfrm>
        <a:off x="0" y="0"/>
        <a:ext cx="0" cy="0"/>
      </xdr:xfrm>
      <a:graphic>
        <a:graphicData uri="http://schemas.openxmlformats.org/drawingml/2006/chart">
          <c:chart r:id="rId3"/>
        </a:graphicData>
      </a:graphic>
    </xdr:graphicFrame>
    <xdr:clientData fLocksWithSheet="0"/>
  </xdr:oneCellAnchor>
  <xdr:oneCellAnchor>
    <xdr:from>
      <xdr:col>1</xdr:col>
      <xdr:colOff>676275</xdr:colOff>
      <xdr:row>0</xdr:row>
      <xdr:rowOff>133350</xdr:rowOff>
    </xdr:from>
    <xdr:ext cx="390525" cy="542925"/>
    <xdr:pic>
      <xdr:nvPicPr>
        <xdr:cNvPr descr="Logo Original Universidad del Cauca.jpg" id="0" name="image1.jpg"/>
        <xdr:cNvPicPr preferRelativeResize="0"/>
      </xdr:nvPicPr>
      <xdr:blipFill>
        <a:blip cstate="print" r:embed="rId4"/>
        <a:stretch>
          <a:fillRect/>
        </a:stretch>
      </xdr:blipFill>
      <xdr:spPr>
        <a:prstGeom prst="rect">
          <a:avLst/>
        </a:prstGeom>
        <a:noFill/>
      </xdr:spPr>
    </xdr:pic>
    <xdr:clientData fLocksWithSheet="0"/>
  </xdr:oneCellAnchor>
</xdr:wsD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10</xdr:col>
      <xdr:colOff>28575</xdr:colOff>
      <xdr:row>20</xdr:row>
      <xdr:rowOff>266700</xdr:rowOff>
    </xdr:from>
    <xdr:ext cx="9334500" cy="3895725"/>
    <xdr:graphicFrame>
      <xdr:nvGraphicFramePr>
        <xdr:cNvPr id="767590249" name="Chart 4"/>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1</xdr:col>
      <xdr:colOff>609600</xdr:colOff>
      <xdr:row>0</xdr:row>
      <xdr:rowOff>133350</xdr:rowOff>
    </xdr:from>
    <xdr:ext cx="371475" cy="523875"/>
    <xdr:pic>
      <xdr:nvPicPr>
        <xdr:cNvPr descr="Logo Original Universidad del Cauca.jpg" id="0" name="image1.jpg"/>
        <xdr:cNvPicPr preferRelativeResize="0"/>
      </xdr:nvPicPr>
      <xdr:blipFill>
        <a:blip cstate="print" r:embed="rId2"/>
        <a:stretch>
          <a:fillRect/>
        </a:stretch>
      </xdr:blipFill>
      <xdr:spPr>
        <a:prstGeom prst="rect">
          <a:avLst/>
        </a:prstGeom>
        <a:noFill/>
      </xdr:spPr>
    </xdr:pic>
    <xdr:clientData fLocksWithSheet="0"/>
  </xdr:oneCellAnchor>
  <xdr:oneCellAnchor>
    <xdr:from>
      <xdr:col>7</xdr:col>
      <xdr:colOff>342900</xdr:colOff>
      <xdr:row>1</xdr:row>
      <xdr:rowOff>66675</xdr:rowOff>
    </xdr:from>
    <xdr:ext cx="876300" cy="361950"/>
    <xdr:pic>
      <xdr:nvPicPr>
        <xdr:cNvPr descr="SiGA.jpg" id="0" name="image2.jpg"/>
        <xdr:cNvPicPr preferRelativeResize="0"/>
      </xdr:nvPicPr>
      <xdr:blipFill>
        <a:blip cstate="print" r:embed="rId3"/>
        <a:stretch>
          <a:fillRect/>
        </a:stretch>
      </xdr:blipFill>
      <xdr:spPr>
        <a:prstGeom prst="rect">
          <a:avLst/>
        </a:prstGeom>
        <a:noFill/>
      </xdr:spPr>
    </xdr:pic>
    <xdr:clientData fLocksWithSheet="0"/>
  </xdr:oneCellAnchor>
</xdr:wsD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5</xdr:col>
      <xdr:colOff>533400</xdr:colOff>
      <xdr:row>31</xdr:row>
      <xdr:rowOff>0</xdr:rowOff>
    </xdr:from>
    <xdr:ext cx="323850" cy="257175"/>
    <xdr:sp>
      <xdr:nvSpPr>
        <xdr:cNvPr id="27" name="Shape 27"/>
        <xdr:cNvSpPr txBox="1"/>
      </xdr:nvSpPr>
      <xdr:spPr>
        <a:xfrm>
          <a:off x="5188838" y="3656175"/>
          <a:ext cx="314325" cy="2476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5</xdr:col>
      <xdr:colOff>533400</xdr:colOff>
      <xdr:row>31</xdr:row>
      <xdr:rowOff>0</xdr:rowOff>
    </xdr:from>
    <xdr:ext cx="323850" cy="257175"/>
    <xdr:sp>
      <xdr:nvSpPr>
        <xdr:cNvPr id="27" name="Shape 27"/>
        <xdr:cNvSpPr txBox="1"/>
      </xdr:nvSpPr>
      <xdr:spPr>
        <a:xfrm>
          <a:off x="5188838" y="3656175"/>
          <a:ext cx="314325" cy="2476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5</xdr:col>
      <xdr:colOff>533400</xdr:colOff>
      <xdr:row>31</xdr:row>
      <xdr:rowOff>0</xdr:rowOff>
    </xdr:from>
    <xdr:ext cx="323850" cy="257175"/>
    <xdr:sp>
      <xdr:nvSpPr>
        <xdr:cNvPr id="27" name="Shape 27"/>
        <xdr:cNvSpPr txBox="1"/>
      </xdr:nvSpPr>
      <xdr:spPr>
        <a:xfrm>
          <a:off x="5188838" y="3656175"/>
          <a:ext cx="314325" cy="2476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5</xdr:col>
      <xdr:colOff>533400</xdr:colOff>
      <xdr:row>31</xdr:row>
      <xdr:rowOff>0</xdr:rowOff>
    </xdr:from>
    <xdr:ext cx="323850" cy="257175"/>
    <xdr:sp>
      <xdr:nvSpPr>
        <xdr:cNvPr id="27" name="Shape 27"/>
        <xdr:cNvSpPr txBox="1"/>
      </xdr:nvSpPr>
      <xdr:spPr>
        <a:xfrm>
          <a:off x="5188838" y="3656175"/>
          <a:ext cx="314325" cy="2476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0</xdr:col>
      <xdr:colOff>0</xdr:colOff>
      <xdr:row>0</xdr:row>
      <xdr:rowOff>123825</xdr:rowOff>
    </xdr:from>
    <xdr:ext cx="409575" cy="590550"/>
    <xdr:pic>
      <xdr:nvPicPr>
        <xdr:cNvPr descr="Logo Original Universidad del Cauca.jpg" id="0" name="image1.jpg"/>
        <xdr:cNvPicPr preferRelativeResize="0"/>
      </xdr:nvPicPr>
      <xdr:blipFill>
        <a:blip cstate="print" r:embed="rId1"/>
        <a:stretch>
          <a:fillRect/>
        </a:stretch>
      </xdr:blipFill>
      <xdr:spPr>
        <a:prstGeom prst="rect">
          <a:avLst/>
        </a:prstGeom>
        <a:noFill/>
      </xdr:spPr>
    </xdr:pic>
    <xdr:clientData fLocksWithSheet="0"/>
  </xdr:oneCellAnchor>
  <xdr:oneCellAnchor>
    <xdr:from>
      <xdr:col>2</xdr:col>
      <xdr:colOff>2619375</xdr:colOff>
      <xdr:row>1</xdr:row>
      <xdr:rowOff>47625</xdr:rowOff>
    </xdr:from>
    <xdr:ext cx="723900" cy="400050"/>
    <xdr:pic>
      <xdr:nvPicPr>
        <xdr:cNvPr descr="SiGA.jpg" id="0" name="image2.jpg"/>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180975</xdr:colOff>
      <xdr:row>0</xdr:row>
      <xdr:rowOff>0</xdr:rowOff>
    </xdr:from>
    <xdr:ext cx="476250" cy="628650"/>
    <xdr:pic>
      <xdr:nvPicPr>
        <xdr:cNvPr descr="Logo Original Universidad del Cauca.jpg" id="0" name="image1.jpg"/>
        <xdr:cNvPicPr preferRelativeResize="0"/>
      </xdr:nvPicPr>
      <xdr:blipFill>
        <a:blip cstate="print" r:embed="rId1"/>
        <a:stretch>
          <a:fillRect/>
        </a:stretch>
      </xdr:blipFill>
      <xdr:spPr>
        <a:prstGeom prst="rect">
          <a:avLst/>
        </a:prstGeom>
        <a:noFill/>
      </xdr:spPr>
    </xdr:pic>
    <xdr:clientData fLocksWithSheet="0"/>
  </xdr:oneCellAnchor>
  <xdr:oneCellAnchor>
    <xdr:from>
      <xdr:col>8</xdr:col>
      <xdr:colOff>333375</xdr:colOff>
      <xdr:row>0</xdr:row>
      <xdr:rowOff>104775</xdr:rowOff>
    </xdr:from>
    <xdr:ext cx="838200" cy="466725"/>
    <xdr:pic>
      <xdr:nvPicPr>
        <xdr:cNvPr descr="SiGA.jpg" id="0" name="image2.jpg"/>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4</xdr:col>
      <xdr:colOff>0</xdr:colOff>
      <xdr:row>38</xdr:row>
      <xdr:rowOff>0</xdr:rowOff>
    </xdr:from>
    <xdr:ext cx="161925" cy="257175"/>
    <xdr:sp>
      <xdr:nvSpPr>
        <xdr:cNvPr id="28" name="Shape 28"/>
        <xdr:cNvSpPr txBox="1"/>
      </xdr:nvSpPr>
      <xdr:spPr>
        <a:xfrm>
          <a:off x="5269800" y="3656175"/>
          <a:ext cx="152400" cy="2476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4</xdr:col>
      <xdr:colOff>0</xdr:colOff>
      <xdr:row>38</xdr:row>
      <xdr:rowOff>0</xdr:rowOff>
    </xdr:from>
    <xdr:ext cx="161925" cy="257175"/>
    <xdr:sp>
      <xdr:nvSpPr>
        <xdr:cNvPr id="28" name="Shape 28"/>
        <xdr:cNvSpPr txBox="1"/>
      </xdr:nvSpPr>
      <xdr:spPr>
        <a:xfrm>
          <a:off x="5269800" y="3656175"/>
          <a:ext cx="152400" cy="2476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6</xdr:col>
      <xdr:colOff>104775</xdr:colOff>
      <xdr:row>62</xdr:row>
      <xdr:rowOff>438150</xdr:rowOff>
    </xdr:from>
    <xdr:ext cx="333375" cy="266700"/>
    <xdr:sp>
      <xdr:nvSpPr>
        <xdr:cNvPr id="29" name="Shape 29"/>
        <xdr:cNvSpPr txBox="1"/>
      </xdr:nvSpPr>
      <xdr:spPr>
        <a:xfrm>
          <a:off x="5184075" y="3651413"/>
          <a:ext cx="323850" cy="2571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5</xdr:col>
      <xdr:colOff>733425</xdr:colOff>
      <xdr:row>62</xdr:row>
      <xdr:rowOff>342900</xdr:rowOff>
    </xdr:from>
    <xdr:ext cx="447675" cy="266700"/>
    <xdr:sp>
      <xdr:nvSpPr>
        <xdr:cNvPr id="30" name="Shape 30"/>
        <xdr:cNvSpPr txBox="1"/>
      </xdr:nvSpPr>
      <xdr:spPr>
        <a:xfrm>
          <a:off x="5126925" y="3651413"/>
          <a:ext cx="438150" cy="2571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4</xdr:col>
      <xdr:colOff>0</xdr:colOff>
      <xdr:row>38</xdr:row>
      <xdr:rowOff>0</xdr:rowOff>
    </xdr:from>
    <xdr:ext cx="161925" cy="257175"/>
    <xdr:sp>
      <xdr:nvSpPr>
        <xdr:cNvPr id="28" name="Shape 28"/>
        <xdr:cNvSpPr txBox="1"/>
      </xdr:nvSpPr>
      <xdr:spPr>
        <a:xfrm>
          <a:off x="5269800" y="3656175"/>
          <a:ext cx="152400" cy="2476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4</xdr:col>
      <xdr:colOff>0</xdr:colOff>
      <xdr:row>38</xdr:row>
      <xdr:rowOff>0</xdr:rowOff>
    </xdr:from>
    <xdr:ext cx="161925" cy="257175"/>
    <xdr:sp>
      <xdr:nvSpPr>
        <xdr:cNvPr id="28" name="Shape 28"/>
        <xdr:cNvSpPr txBox="1"/>
      </xdr:nvSpPr>
      <xdr:spPr>
        <a:xfrm>
          <a:off x="5269800" y="3656175"/>
          <a:ext cx="152400" cy="2476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5</xdr:col>
      <xdr:colOff>571500</xdr:colOff>
      <xdr:row>62</xdr:row>
      <xdr:rowOff>400050</xdr:rowOff>
    </xdr:from>
    <xdr:ext cx="447675" cy="266700"/>
    <xdr:sp>
      <xdr:nvSpPr>
        <xdr:cNvPr id="30" name="Shape 30"/>
        <xdr:cNvSpPr txBox="1"/>
      </xdr:nvSpPr>
      <xdr:spPr>
        <a:xfrm>
          <a:off x="5126925" y="3651413"/>
          <a:ext cx="438150" cy="2571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5</xdr:col>
      <xdr:colOff>0</xdr:colOff>
      <xdr:row>38</xdr:row>
      <xdr:rowOff>0</xdr:rowOff>
    </xdr:from>
    <xdr:ext cx="161925" cy="257175"/>
    <xdr:sp>
      <xdr:nvSpPr>
        <xdr:cNvPr id="28" name="Shape 28"/>
        <xdr:cNvSpPr txBox="1"/>
      </xdr:nvSpPr>
      <xdr:spPr>
        <a:xfrm>
          <a:off x="5269800" y="3656175"/>
          <a:ext cx="152400" cy="2476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5</xdr:col>
      <xdr:colOff>0</xdr:colOff>
      <xdr:row>38</xdr:row>
      <xdr:rowOff>0</xdr:rowOff>
    </xdr:from>
    <xdr:ext cx="161925" cy="257175"/>
    <xdr:sp>
      <xdr:nvSpPr>
        <xdr:cNvPr id="28" name="Shape 28"/>
        <xdr:cNvSpPr txBox="1"/>
      </xdr:nvSpPr>
      <xdr:spPr>
        <a:xfrm>
          <a:off x="5269800" y="3656175"/>
          <a:ext cx="152400" cy="2476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5</xdr:col>
      <xdr:colOff>0</xdr:colOff>
      <xdr:row>38</xdr:row>
      <xdr:rowOff>0</xdr:rowOff>
    </xdr:from>
    <xdr:ext cx="161925" cy="257175"/>
    <xdr:sp>
      <xdr:nvSpPr>
        <xdr:cNvPr id="28" name="Shape 28"/>
        <xdr:cNvSpPr txBox="1"/>
      </xdr:nvSpPr>
      <xdr:spPr>
        <a:xfrm>
          <a:off x="5269800" y="3656175"/>
          <a:ext cx="152400" cy="2476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5</xdr:col>
      <xdr:colOff>0</xdr:colOff>
      <xdr:row>38</xdr:row>
      <xdr:rowOff>0</xdr:rowOff>
    </xdr:from>
    <xdr:ext cx="161925" cy="257175"/>
    <xdr:sp>
      <xdr:nvSpPr>
        <xdr:cNvPr id="28" name="Shape 28"/>
        <xdr:cNvSpPr txBox="1"/>
      </xdr:nvSpPr>
      <xdr:spPr>
        <a:xfrm>
          <a:off x="5269800" y="3656175"/>
          <a:ext cx="152400" cy="2476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6</xdr:col>
      <xdr:colOff>0</xdr:colOff>
      <xdr:row>38</xdr:row>
      <xdr:rowOff>0</xdr:rowOff>
    </xdr:from>
    <xdr:ext cx="161925" cy="257175"/>
    <xdr:sp>
      <xdr:nvSpPr>
        <xdr:cNvPr id="28" name="Shape 28"/>
        <xdr:cNvSpPr txBox="1"/>
      </xdr:nvSpPr>
      <xdr:spPr>
        <a:xfrm>
          <a:off x="5269800" y="3656175"/>
          <a:ext cx="152400" cy="2476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6</xdr:col>
      <xdr:colOff>0</xdr:colOff>
      <xdr:row>38</xdr:row>
      <xdr:rowOff>0</xdr:rowOff>
    </xdr:from>
    <xdr:ext cx="161925" cy="257175"/>
    <xdr:sp>
      <xdr:nvSpPr>
        <xdr:cNvPr id="28" name="Shape 28"/>
        <xdr:cNvSpPr txBox="1"/>
      </xdr:nvSpPr>
      <xdr:spPr>
        <a:xfrm>
          <a:off x="5269800" y="3656175"/>
          <a:ext cx="152400" cy="2476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6</xdr:col>
      <xdr:colOff>0</xdr:colOff>
      <xdr:row>38</xdr:row>
      <xdr:rowOff>0</xdr:rowOff>
    </xdr:from>
    <xdr:ext cx="161925" cy="257175"/>
    <xdr:sp>
      <xdr:nvSpPr>
        <xdr:cNvPr id="28" name="Shape 28"/>
        <xdr:cNvSpPr txBox="1"/>
      </xdr:nvSpPr>
      <xdr:spPr>
        <a:xfrm>
          <a:off x="5269800" y="3656175"/>
          <a:ext cx="152400" cy="2476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6</xdr:col>
      <xdr:colOff>0</xdr:colOff>
      <xdr:row>38</xdr:row>
      <xdr:rowOff>0</xdr:rowOff>
    </xdr:from>
    <xdr:ext cx="161925" cy="257175"/>
    <xdr:sp>
      <xdr:nvSpPr>
        <xdr:cNvPr id="28" name="Shape 28"/>
        <xdr:cNvSpPr txBox="1"/>
      </xdr:nvSpPr>
      <xdr:spPr>
        <a:xfrm>
          <a:off x="5269800" y="3656175"/>
          <a:ext cx="152400" cy="2476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7</xdr:col>
      <xdr:colOff>0</xdr:colOff>
      <xdr:row>38</xdr:row>
      <xdr:rowOff>0</xdr:rowOff>
    </xdr:from>
    <xdr:ext cx="161925" cy="257175"/>
    <xdr:sp>
      <xdr:nvSpPr>
        <xdr:cNvPr id="28" name="Shape 28"/>
        <xdr:cNvSpPr txBox="1"/>
      </xdr:nvSpPr>
      <xdr:spPr>
        <a:xfrm>
          <a:off x="5269800" y="3656175"/>
          <a:ext cx="152400" cy="2476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7</xdr:col>
      <xdr:colOff>0</xdr:colOff>
      <xdr:row>38</xdr:row>
      <xdr:rowOff>0</xdr:rowOff>
    </xdr:from>
    <xdr:ext cx="161925" cy="257175"/>
    <xdr:sp>
      <xdr:nvSpPr>
        <xdr:cNvPr id="28" name="Shape 28"/>
        <xdr:cNvSpPr txBox="1"/>
      </xdr:nvSpPr>
      <xdr:spPr>
        <a:xfrm>
          <a:off x="5269800" y="3656175"/>
          <a:ext cx="152400" cy="2476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7</xdr:col>
      <xdr:colOff>0</xdr:colOff>
      <xdr:row>38</xdr:row>
      <xdr:rowOff>0</xdr:rowOff>
    </xdr:from>
    <xdr:ext cx="161925" cy="257175"/>
    <xdr:sp>
      <xdr:nvSpPr>
        <xdr:cNvPr id="28" name="Shape 28"/>
        <xdr:cNvSpPr txBox="1"/>
      </xdr:nvSpPr>
      <xdr:spPr>
        <a:xfrm>
          <a:off x="5269800" y="3656175"/>
          <a:ext cx="152400" cy="2476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7</xdr:col>
      <xdr:colOff>0</xdr:colOff>
      <xdr:row>38</xdr:row>
      <xdr:rowOff>0</xdr:rowOff>
    </xdr:from>
    <xdr:ext cx="161925" cy="257175"/>
    <xdr:sp>
      <xdr:nvSpPr>
        <xdr:cNvPr id="28" name="Shape 28"/>
        <xdr:cNvSpPr txBox="1"/>
      </xdr:nvSpPr>
      <xdr:spPr>
        <a:xfrm>
          <a:off x="5269800" y="3656175"/>
          <a:ext cx="152400" cy="2476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8</xdr:col>
      <xdr:colOff>9525</xdr:colOff>
      <xdr:row>41</xdr:row>
      <xdr:rowOff>171450</xdr:rowOff>
    </xdr:from>
    <xdr:ext cx="161925" cy="257175"/>
    <xdr:sp>
      <xdr:nvSpPr>
        <xdr:cNvPr id="28" name="Shape 28"/>
        <xdr:cNvSpPr txBox="1"/>
      </xdr:nvSpPr>
      <xdr:spPr>
        <a:xfrm>
          <a:off x="5269800" y="3656175"/>
          <a:ext cx="152400" cy="2476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7</xdr:col>
      <xdr:colOff>609600</xdr:colOff>
      <xdr:row>41</xdr:row>
      <xdr:rowOff>276225</xdr:rowOff>
    </xdr:from>
    <xdr:ext cx="161925" cy="266700"/>
    <xdr:sp>
      <xdr:nvSpPr>
        <xdr:cNvPr id="31" name="Shape 31"/>
        <xdr:cNvSpPr txBox="1"/>
      </xdr:nvSpPr>
      <xdr:spPr>
        <a:xfrm>
          <a:off x="5269800" y="3651413"/>
          <a:ext cx="152400" cy="2571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8</xdr:col>
      <xdr:colOff>0</xdr:colOff>
      <xdr:row>39</xdr:row>
      <xdr:rowOff>409575</xdr:rowOff>
    </xdr:from>
    <xdr:ext cx="161925" cy="266700"/>
    <xdr:sp>
      <xdr:nvSpPr>
        <xdr:cNvPr id="31" name="Shape 31"/>
        <xdr:cNvSpPr txBox="1"/>
      </xdr:nvSpPr>
      <xdr:spPr>
        <a:xfrm>
          <a:off x="5269800" y="3651413"/>
          <a:ext cx="152400" cy="2571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7</xdr:col>
      <xdr:colOff>990600</xdr:colOff>
      <xdr:row>39</xdr:row>
      <xdr:rowOff>85725</xdr:rowOff>
    </xdr:from>
    <xdr:ext cx="323850" cy="257175"/>
    <xdr:sp>
      <xdr:nvSpPr>
        <xdr:cNvPr id="27" name="Shape 27"/>
        <xdr:cNvSpPr txBox="1"/>
      </xdr:nvSpPr>
      <xdr:spPr>
        <a:xfrm>
          <a:off x="5188838" y="3656175"/>
          <a:ext cx="314325" cy="2476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8</xdr:col>
      <xdr:colOff>1200150</xdr:colOff>
      <xdr:row>43</xdr:row>
      <xdr:rowOff>200025</xdr:rowOff>
    </xdr:from>
    <xdr:ext cx="161925" cy="257175"/>
    <xdr:sp>
      <xdr:nvSpPr>
        <xdr:cNvPr id="28" name="Shape 28"/>
        <xdr:cNvSpPr txBox="1"/>
      </xdr:nvSpPr>
      <xdr:spPr>
        <a:xfrm>
          <a:off x="5269800" y="3656175"/>
          <a:ext cx="152400" cy="2476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8</xdr:col>
      <xdr:colOff>1114425</xdr:colOff>
      <xdr:row>43</xdr:row>
      <xdr:rowOff>161925</xdr:rowOff>
    </xdr:from>
    <xdr:ext cx="161925" cy="257175"/>
    <xdr:sp>
      <xdr:nvSpPr>
        <xdr:cNvPr id="28" name="Shape 28"/>
        <xdr:cNvSpPr txBox="1"/>
      </xdr:nvSpPr>
      <xdr:spPr>
        <a:xfrm>
          <a:off x="5269800" y="3656175"/>
          <a:ext cx="152400" cy="2476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8</xdr:col>
      <xdr:colOff>1085850</xdr:colOff>
      <xdr:row>48</xdr:row>
      <xdr:rowOff>133350</xdr:rowOff>
    </xdr:from>
    <xdr:ext cx="161925" cy="257175"/>
    <xdr:sp>
      <xdr:nvSpPr>
        <xdr:cNvPr id="28" name="Shape 28"/>
        <xdr:cNvSpPr txBox="1"/>
      </xdr:nvSpPr>
      <xdr:spPr>
        <a:xfrm>
          <a:off x="5269800" y="3656175"/>
          <a:ext cx="152400" cy="2476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8</xdr:col>
      <xdr:colOff>1352550</xdr:colOff>
      <xdr:row>38</xdr:row>
      <xdr:rowOff>114300</xdr:rowOff>
    </xdr:from>
    <xdr:ext cx="381000" cy="257175"/>
    <xdr:sp>
      <xdr:nvSpPr>
        <xdr:cNvPr id="32" name="Shape 32"/>
        <xdr:cNvSpPr txBox="1"/>
      </xdr:nvSpPr>
      <xdr:spPr>
        <a:xfrm>
          <a:off x="5160263" y="3656175"/>
          <a:ext cx="371475" cy="2476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8</xdr:col>
      <xdr:colOff>1114425</xdr:colOff>
      <xdr:row>43</xdr:row>
      <xdr:rowOff>123825</xdr:rowOff>
    </xdr:from>
    <xdr:ext cx="161925" cy="266700"/>
    <xdr:sp>
      <xdr:nvSpPr>
        <xdr:cNvPr id="31" name="Shape 31"/>
        <xdr:cNvSpPr txBox="1"/>
      </xdr:nvSpPr>
      <xdr:spPr>
        <a:xfrm>
          <a:off x="5269800" y="3651413"/>
          <a:ext cx="152400" cy="2571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7</xdr:col>
      <xdr:colOff>609600</xdr:colOff>
      <xdr:row>43</xdr:row>
      <xdr:rowOff>276225</xdr:rowOff>
    </xdr:from>
    <xdr:ext cx="161925" cy="266700"/>
    <xdr:sp>
      <xdr:nvSpPr>
        <xdr:cNvPr id="31" name="Shape 31"/>
        <xdr:cNvSpPr txBox="1"/>
      </xdr:nvSpPr>
      <xdr:spPr>
        <a:xfrm>
          <a:off x="5269800" y="3651413"/>
          <a:ext cx="152400" cy="2571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7</xdr:col>
      <xdr:colOff>676275</xdr:colOff>
      <xdr:row>43</xdr:row>
      <xdr:rowOff>247650</xdr:rowOff>
    </xdr:from>
    <xdr:ext cx="161925" cy="266700"/>
    <xdr:sp>
      <xdr:nvSpPr>
        <xdr:cNvPr id="31" name="Shape 31"/>
        <xdr:cNvSpPr txBox="1"/>
      </xdr:nvSpPr>
      <xdr:spPr>
        <a:xfrm>
          <a:off x="5269800" y="3651413"/>
          <a:ext cx="152400" cy="2571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7</xdr:col>
      <xdr:colOff>609600</xdr:colOff>
      <xdr:row>44</xdr:row>
      <xdr:rowOff>276225</xdr:rowOff>
    </xdr:from>
    <xdr:ext cx="161925" cy="1333500"/>
    <xdr:sp>
      <xdr:nvSpPr>
        <xdr:cNvPr id="33" name="Shape 33"/>
        <xdr:cNvSpPr txBox="1"/>
      </xdr:nvSpPr>
      <xdr:spPr>
        <a:xfrm>
          <a:off x="5269800" y="3118013"/>
          <a:ext cx="152400" cy="13239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7</xdr:col>
      <xdr:colOff>609600</xdr:colOff>
      <xdr:row>47</xdr:row>
      <xdr:rowOff>276225</xdr:rowOff>
    </xdr:from>
    <xdr:ext cx="161925" cy="266700"/>
    <xdr:sp>
      <xdr:nvSpPr>
        <xdr:cNvPr id="31" name="Shape 31"/>
        <xdr:cNvSpPr txBox="1"/>
      </xdr:nvSpPr>
      <xdr:spPr>
        <a:xfrm>
          <a:off x="5269800" y="3651413"/>
          <a:ext cx="152400" cy="2571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7</xdr:col>
      <xdr:colOff>609600</xdr:colOff>
      <xdr:row>48</xdr:row>
      <xdr:rowOff>276225</xdr:rowOff>
    </xdr:from>
    <xdr:ext cx="161925" cy="266700"/>
    <xdr:sp>
      <xdr:nvSpPr>
        <xdr:cNvPr id="31" name="Shape 31"/>
        <xdr:cNvSpPr txBox="1"/>
      </xdr:nvSpPr>
      <xdr:spPr>
        <a:xfrm>
          <a:off x="5269800" y="3651413"/>
          <a:ext cx="152400" cy="2571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7</xdr:col>
      <xdr:colOff>609600</xdr:colOff>
      <xdr:row>49</xdr:row>
      <xdr:rowOff>276225</xdr:rowOff>
    </xdr:from>
    <xdr:ext cx="161925" cy="266700"/>
    <xdr:sp>
      <xdr:nvSpPr>
        <xdr:cNvPr id="31" name="Shape 31"/>
        <xdr:cNvSpPr txBox="1"/>
      </xdr:nvSpPr>
      <xdr:spPr>
        <a:xfrm>
          <a:off x="5269800" y="3651413"/>
          <a:ext cx="152400" cy="2571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7</xdr:col>
      <xdr:colOff>609600</xdr:colOff>
      <xdr:row>50</xdr:row>
      <xdr:rowOff>276225</xdr:rowOff>
    </xdr:from>
    <xdr:ext cx="161925" cy="266700"/>
    <xdr:sp>
      <xdr:nvSpPr>
        <xdr:cNvPr id="31" name="Shape 31"/>
        <xdr:cNvSpPr txBox="1"/>
      </xdr:nvSpPr>
      <xdr:spPr>
        <a:xfrm>
          <a:off x="5269800" y="3651413"/>
          <a:ext cx="152400" cy="2571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8</xdr:col>
      <xdr:colOff>9525</xdr:colOff>
      <xdr:row>42</xdr:row>
      <xdr:rowOff>171450</xdr:rowOff>
    </xdr:from>
    <xdr:ext cx="161925" cy="257175"/>
    <xdr:sp>
      <xdr:nvSpPr>
        <xdr:cNvPr id="28" name="Shape 28"/>
        <xdr:cNvSpPr txBox="1"/>
      </xdr:nvSpPr>
      <xdr:spPr>
        <a:xfrm>
          <a:off x="5269800" y="3656175"/>
          <a:ext cx="152400" cy="2476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8</xdr:col>
      <xdr:colOff>9525</xdr:colOff>
      <xdr:row>43</xdr:row>
      <xdr:rowOff>171450</xdr:rowOff>
    </xdr:from>
    <xdr:ext cx="161925" cy="257175"/>
    <xdr:sp>
      <xdr:nvSpPr>
        <xdr:cNvPr id="28" name="Shape 28"/>
        <xdr:cNvSpPr txBox="1"/>
      </xdr:nvSpPr>
      <xdr:spPr>
        <a:xfrm>
          <a:off x="5269800" y="3656175"/>
          <a:ext cx="152400" cy="2476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8</xdr:col>
      <xdr:colOff>9525</xdr:colOff>
      <xdr:row>44</xdr:row>
      <xdr:rowOff>171450</xdr:rowOff>
    </xdr:from>
    <xdr:ext cx="161925" cy="257175"/>
    <xdr:sp>
      <xdr:nvSpPr>
        <xdr:cNvPr id="28" name="Shape 28"/>
        <xdr:cNvSpPr txBox="1"/>
      </xdr:nvSpPr>
      <xdr:spPr>
        <a:xfrm>
          <a:off x="5269800" y="3656175"/>
          <a:ext cx="152400" cy="2476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8</xdr:col>
      <xdr:colOff>9525</xdr:colOff>
      <xdr:row>50</xdr:row>
      <xdr:rowOff>85725</xdr:rowOff>
    </xdr:from>
    <xdr:ext cx="161925" cy="257175"/>
    <xdr:sp>
      <xdr:nvSpPr>
        <xdr:cNvPr id="28" name="Shape 28"/>
        <xdr:cNvSpPr txBox="1"/>
      </xdr:nvSpPr>
      <xdr:spPr>
        <a:xfrm>
          <a:off x="5269800" y="3656175"/>
          <a:ext cx="152400" cy="2476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7</xdr:col>
      <xdr:colOff>609600</xdr:colOff>
      <xdr:row>47</xdr:row>
      <xdr:rowOff>276225</xdr:rowOff>
    </xdr:from>
    <xdr:ext cx="161925" cy="266700"/>
    <xdr:sp>
      <xdr:nvSpPr>
        <xdr:cNvPr id="31" name="Shape 31"/>
        <xdr:cNvSpPr txBox="1"/>
      </xdr:nvSpPr>
      <xdr:spPr>
        <a:xfrm>
          <a:off x="5269800" y="3651413"/>
          <a:ext cx="152400" cy="2571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7</xdr:col>
      <xdr:colOff>609600</xdr:colOff>
      <xdr:row>48</xdr:row>
      <xdr:rowOff>276225</xdr:rowOff>
    </xdr:from>
    <xdr:ext cx="161925" cy="266700"/>
    <xdr:sp>
      <xdr:nvSpPr>
        <xdr:cNvPr id="31" name="Shape 31"/>
        <xdr:cNvSpPr txBox="1"/>
      </xdr:nvSpPr>
      <xdr:spPr>
        <a:xfrm>
          <a:off x="5269800" y="3651413"/>
          <a:ext cx="152400" cy="2571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7</xdr:col>
      <xdr:colOff>609600</xdr:colOff>
      <xdr:row>48</xdr:row>
      <xdr:rowOff>276225</xdr:rowOff>
    </xdr:from>
    <xdr:ext cx="161925" cy="266700"/>
    <xdr:sp>
      <xdr:nvSpPr>
        <xdr:cNvPr id="31" name="Shape 31"/>
        <xdr:cNvSpPr txBox="1"/>
      </xdr:nvSpPr>
      <xdr:spPr>
        <a:xfrm>
          <a:off x="5269800" y="3651413"/>
          <a:ext cx="152400" cy="2571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7</xdr:col>
      <xdr:colOff>609600</xdr:colOff>
      <xdr:row>49</xdr:row>
      <xdr:rowOff>276225</xdr:rowOff>
    </xdr:from>
    <xdr:ext cx="161925" cy="266700"/>
    <xdr:sp>
      <xdr:nvSpPr>
        <xdr:cNvPr id="31" name="Shape 31"/>
        <xdr:cNvSpPr txBox="1"/>
      </xdr:nvSpPr>
      <xdr:spPr>
        <a:xfrm>
          <a:off x="5269800" y="3651413"/>
          <a:ext cx="152400" cy="2571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7</xdr:col>
      <xdr:colOff>609600</xdr:colOff>
      <xdr:row>49</xdr:row>
      <xdr:rowOff>276225</xdr:rowOff>
    </xdr:from>
    <xdr:ext cx="161925" cy="266700"/>
    <xdr:sp>
      <xdr:nvSpPr>
        <xdr:cNvPr id="31" name="Shape 31"/>
        <xdr:cNvSpPr txBox="1"/>
      </xdr:nvSpPr>
      <xdr:spPr>
        <a:xfrm>
          <a:off x="5269800" y="3651413"/>
          <a:ext cx="152400" cy="2571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7</xdr:col>
      <xdr:colOff>609600</xdr:colOff>
      <xdr:row>49</xdr:row>
      <xdr:rowOff>276225</xdr:rowOff>
    </xdr:from>
    <xdr:ext cx="161925" cy="266700"/>
    <xdr:sp>
      <xdr:nvSpPr>
        <xdr:cNvPr id="31" name="Shape 31"/>
        <xdr:cNvSpPr txBox="1"/>
      </xdr:nvSpPr>
      <xdr:spPr>
        <a:xfrm>
          <a:off x="5269800" y="3651413"/>
          <a:ext cx="152400" cy="2571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7</xdr:col>
      <xdr:colOff>609600</xdr:colOff>
      <xdr:row>50</xdr:row>
      <xdr:rowOff>276225</xdr:rowOff>
    </xdr:from>
    <xdr:ext cx="161925" cy="266700"/>
    <xdr:sp>
      <xdr:nvSpPr>
        <xdr:cNvPr id="31" name="Shape 31"/>
        <xdr:cNvSpPr txBox="1"/>
      </xdr:nvSpPr>
      <xdr:spPr>
        <a:xfrm>
          <a:off x="5269800" y="3651413"/>
          <a:ext cx="152400" cy="2571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7</xdr:col>
      <xdr:colOff>609600</xdr:colOff>
      <xdr:row>50</xdr:row>
      <xdr:rowOff>276225</xdr:rowOff>
    </xdr:from>
    <xdr:ext cx="161925" cy="266700"/>
    <xdr:sp>
      <xdr:nvSpPr>
        <xdr:cNvPr id="31" name="Shape 31"/>
        <xdr:cNvSpPr txBox="1"/>
      </xdr:nvSpPr>
      <xdr:spPr>
        <a:xfrm>
          <a:off x="5269800" y="3651413"/>
          <a:ext cx="152400" cy="2571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7</xdr:col>
      <xdr:colOff>609600</xdr:colOff>
      <xdr:row>50</xdr:row>
      <xdr:rowOff>276225</xdr:rowOff>
    </xdr:from>
    <xdr:ext cx="161925" cy="266700"/>
    <xdr:sp>
      <xdr:nvSpPr>
        <xdr:cNvPr id="31" name="Shape 31"/>
        <xdr:cNvSpPr txBox="1"/>
      </xdr:nvSpPr>
      <xdr:spPr>
        <a:xfrm>
          <a:off x="5269800" y="3651413"/>
          <a:ext cx="152400" cy="2571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7</xdr:col>
      <xdr:colOff>609600</xdr:colOff>
      <xdr:row>51</xdr:row>
      <xdr:rowOff>276225</xdr:rowOff>
    </xdr:from>
    <xdr:ext cx="161925" cy="266700"/>
    <xdr:sp>
      <xdr:nvSpPr>
        <xdr:cNvPr id="31" name="Shape 31"/>
        <xdr:cNvSpPr txBox="1"/>
      </xdr:nvSpPr>
      <xdr:spPr>
        <a:xfrm>
          <a:off x="5269800" y="3651413"/>
          <a:ext cx="152400" cy="2571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7</xdr:col>
      <xdr:colOff>609600</xdr:colOff>
      <xdr:row>51</xdr:row>
      <xdr:rowOff>276225</xdr:rowOff>
    </xdr:from>
    <xdr:ext cx="161925" cy="266700"/>
    <xdr:sp>
      <xdr:nvSpPr>
        <xdr:cNvPr id="31" name="Shape 31"/>
        <xdr:cNvSpPr txBox="1"/>
      </xdr:nvSpPr>
      <xdr:spPr>
        <a:xfrm>
          <a:off x="5269800" y="3651413"/>
          <a:ext cx="152400" cy="2571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7</xdr:col>
      <xdr:colOff>609600</xdr:colOff>
      <xdr:row>51</xdr:row>
      <xdr:rowOff>276225</xdr:rowOff>
    </xdr:from>
    <xdr:ext cx="161925" cy="266700"/>
    <xdr:sp>
      <xdr:nvSpPr>
        <xdr:cNvPr id="31" name="Shape 31"/>
        <xdr:cNvSpPr txBox="1"/>
      </xdr:nvSpPr>
      <xdr:spPr>
        <a:xfrm>
          <a:off x="5269800" y="3651413"/>
          <a:ext cx="152400" cy="2571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7</xdr:col>
      <xdr:colOff>609600</xdr:colOff>
      <xdr:row>52</xdr:row>
      <xdr:rowOff>276225</xdr:rowOff>
    </xdr:from>
    <xdr:ext cx="161925" cy="266700"/>
    <xdr:sp>
      <xdr:nvSpPr>
        <xdr:cNvPr id="31" name="Shape 31"/>
        <xdr:cNvSpPr txBox="1"/>
      </xdr:nvSpPr>
      <xdr:spPr>
        <a:xfrm>
          <a:off x="5269800" y="3651413"/>
          <a:ext cx="152400" cy="2571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7</xdr:col>
      <xdr:colOff>609600</xdr:colOff>
      <xdr:row>52</xdr:row>
      <xdr:rowOff>276225</xdr:rowOff>
    </xdr:from>
    <xdr:ext cx="161925" cy="266700"/>
    <xdr:sp>
      <xdr:nvSpPr>
        <xdr:cNvPr id="31" name="Shape 31"/>
        <xdr:cNvSpPr txBox="1"/>
      </xdr:nvSpPr>
      <xdr:spPr>
        <a:xfrm>
          <a:off x="5269800" y="3651413"/>
          <a:ext cx="152400" cy="2571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7</xdr:col>
      <xdr:colOff>609600</xdr:colOff>
      <xdr:row>52</xdr:row>
      <xdr:rowOff>276225</xdr:rowOff>
    </xdr:from>
    <xdr:ext cx="161925" cy="266700"/>
    <xdr:sp>
      <xdr:nvSpPr>
        <xdr:cNvPr id="31" name="Shape 31"/>
        <xdr:cNvSpPr txBox="1"/>
      </xdr:nvSpPr>
      <xdr:spPr>
        <a:xfrm>
          <a:off x="5269800" y="3651413"/>
          <a:ext cx="152400" cy="2571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7</xdr:col>
      <xdr:colOff>609600</xdr:colOff>
      <xdr:row>53</xdr:row>
      <xdr:rowOff>276225</xdr:rowOff>
    </xdr:from>
    <xdr:ext cx="161925" cy="266700"/>
    <xdr:sp>
      <xdr:nvSpPr>
        <xdr:cNvPr id="31" name="Shape 31"/>
        <xdr:cNvSpPr txBox="1"/>
      </xdr:nvSpPr>
      <xdr:spPr>
        <a:xfrm>
          <a:off x="5269800" y="3651413"/>
          <a:ext cx="152400" cy="2571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7</xdr:col>
      <xdr:colOff>609600</xdr:colOff>
      <xdr:row>53</xdr:row>
      <xdr:rowOff>276225</xdr:rowOff>
    </xdr:from>
    <xdr:ext cx="161925" cy="266700"/>
    <xdr:sp>
      <xdr:nvSpPr>
        <xdr:cNvPr id="31" name="Shape 31"/>
        <xdr:cNvSpPr txBox="1"/>
      </xdr:nvSpPr>
      <xdr:spPr>
        <a:xfrm>
          <a:off x="5269800" y="3651413"/>
          <a:ext cx="152400" cy="2571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7</xdr:col>
      <xdr:colOff>609600</xdr:colOff>
      <xdr:row>53</xdr:row>
      <xdr:rowOff>276225</xdr:rowOff>
    </xdr:from>
    <xdr:ext cx="161925" cy="266700"/>
    <xdr:sp>
      <xdr:nvSpPr>
        <xdr:cNvPr id="31" name="Shape 31"/>
        <xdr:cNvSpPr txBox="1"/>
      </xdr:nvSpPr>
      <xdr:spPr>
        <a:xfrm>
          <a:off x="5269800" y="3651413"/>
          <a:ext cx="152400" cy="2571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7</xdr:col>
      <xdr:colOff>609600</xdr:colOff>
      <xdr:row>54</xdr:row>
      <xdr:rowOff>276225</xdr:rowOff>
    </xdr:from>
    <xdr:ext cx="161925" cy="266700"/>
    <xdr:sp>
      <xdr:nvSpPr>
        <xdr:cNvPr id="31" name="Shape 31"/>
        <xdr:cNvSpPr txBox="1"/>
      </xdr:nvSpPr>
      <xdr:spPr>
        <a:xfrm>
          <a:off x="5269800" y="3651413"/>
          <a:ext cx="152400" cy="2571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7</xdr:col>
      <xdr:colOff>609600</xdr:colOff>
      <xdr:row>54</xdr:row>
      <xdr:rowOff>276225</xdr:rowOff>
    </xdr:from>
    <xdr:ext cx="161925" cy="266700"/>
    <xdr:sp>
      <xdr:nvSpPr>
        <xdr:cNvPr id="31" name="Shape 31"/>
        <xdr:cNvSpPr txBox="1"/>
      </xdr:nvSpPr>
      <xdr:spPr>
        <a:xfrm>
          <a:off x="5269800" y="3651413"/>
          <a:ext cx="152400" cy="2571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7</xdr:col>
      <xdr:colOff>609600</xdr:colOff>
      <xdr:row>55</xdr:row>
      <xdr:rowOff>276225</xdr:rowOff>
    </xdr:from>
    <xdr:ext cx="161925" cy="257175"/>
    <xdr:sp>
      <xdr:nvSpPr>
        <xdr:cNvPr id="28" name="Shape 28"/>
        <xdr:cNvSpPr txBox="1"/>
      </xdr:nvSpPr>
      <xdr:spPr>
        <a:xfrm>
          <a:off x="5269800" y="3656175"/>
          <a:ext cx="152400" cy="2476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7</xdr:col>
      <xdr:colOff>609600</xdr:colOff>
      <xdr:row>55</xdr:row>
      <xdr:rowOff>276225</xdr:rowOff>
    </xdr:from>
    <xdr:ext cx="161925" cy="257175"/>
    <xdr:sp>
      <xdr:nvSpPr>
        <xdr:cNvPr id="28" name="Shape 28"/>
        <xdr:cNvSpPr txBox="1"/>
      </xdr:nvSpPr>
      <xdr:spPr>
        <a:xfrm>
          <a:off x="5269800" y="3656175"/>
          <a:ext cx="152400" cy="2476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7</xdr:col>
      <xdr:colOff>628650</xdr:colOff>
      <xdr:row>56</xdr:row>
      <xdr:rowOff>-9525</xdr:rowOff>
    </xdr:from>
    <xdr:ext cx="152400" cy="85725"/>
    <xdr:sp>
      <xdr:nvSpPr>
        <xdr:cNvPr id="34" name="Shape 34"/>
        <xdr:cNvSpPr txBox="1"/>
      </xdr:nvSpPr>
      <xdr:spPr>
        <a:xfrm>
          <a:off x="5274563" y="3741900"/>
          <a:ext cx="142875" cy="76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7</xdr:col>
      <xdr:colOff>628650</xdr:colOff>
      <xdr:row>56</xdr:row>
      <xdr:rowOff>-9525</xdr:rowOff>
    </xdr:from>
    <xdr:ext cx="152400" cy="85725"/>
    <xdr:sp>
      <xdr:nvSpPr>
        <xdr:cNvPr id="34" name="Shape 34"/>
        <xdr:cNvSpPr txBox="1"/>
      </xdr:nvSpPr>
      <xdr:spPr>
        <a:xfrm>
          <a:off x="5274563" y="3741900"/>
          <a:ext cx="142875" cy="76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7</xdr:col>
      <xdr:colOff>609600</xdr:colOff>
      <xdr:row>56</xdr:row>
      <xdr:rowOff>276225</xdr:rowOff>
    </xdr:from>
    <xdr:ext cx="161925" cy="257175"/>
    <xdr:sp>
      <xdr:nvSpPr>
        <xdr:cNvPr id="28" name="Shape 28"/>
        <xdr:cNvSpPr txBox="1"/>
      </xdr:nvSpPr>
      <xdr:spPr>
        <a:xfrm>
          <a:off x="5269800" y="3656175"/>
          <a:ext cx="152400" cy="2476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7</xdr:col>
      <xdr:colOff>609600</xdr:colOff>
      <xdr:row>56</xdr:row>
      <xdr:rowOff>276225</xdr:rowOff>
    </xdr:from>
    <xdr:ext cx="161925" cy="257175"/>
    <xdr:sp>
      <xdr:nvSpPr>
        <xdr:cNvPr id="28" name="Shape 28"/>
        <xdr:cNvSpPr txBox="1"/>
      </xdr:nvSpPr>
      <xdr:spPr>
        <a:xfrm>
          <a:off x="5269800" y="3656175"/>
          <a:ext cx="152400" cy="2476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7</xdr:col>
      <xdr:colOff>609600</xdr:colOff>
      <xdr:row>56</xdr:row>
      <xdr:rowOff>276225</xdr:rowOff>
    </xdr:from>
    <xdr:ext cx="161925" cy="257175"/>
    <xdr:sp>
      <xdr:nvSpPr>
        <xdr:cNvPr id="28" name="Shape 28"/>
        <xdr:cNvSpPr txBox="1"/>
      </xdr:nvSpPr>
      <xdr:spPr>
        <a:xfrm>
          <a:off x="5269800" y="3656175"/>
          <a:ext cx="152400" cy="2476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7</xdr:col>
      <xdr:colOff>609600</xdr:colOff>
      <xdr:row>56</xdr:row>
      <xdr:rowOff>276225</xdr:rowOff>
    </xdr:from>
    <xdr:ext cx="161925" cy="257175"/>
    <xdr:sp>
      <xdr:nvSpPr>
        <xdr:cNvPr id="28" name="Shape 28"/>
        <xdr:cNvSpPr txBox="1"/>
      </xdr:nvSpPr>
      <xdr:spPr>
        <a:xfrm>
          <a:off x="5269800" y="3656175"/>
          <a:ext cx="152400" cy="2476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7</xdr:col>
      <xdr:colOff>628650</xdr:colOff>
      <xdr:row>57</xdr:row>
      <xdr:rowOff>-9525</xdr:rowOff>
    </xdr:from>
    <xdr:ext cx="152400" cy="85725"/>
    <xdr:sp>
      <xdr:nvSpPr>
        <xdr:cNvPr id="34" name="Shape 34"/>
        <xdr:cNvSpPr txBox="1"/>
      </xdr:nvSpPr>
      <xdr:spPr>
        <a:xfrm>
          <a:off x="5274563" y="3741900"/>
          <a:ext cx="142875" cy="76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7</xdr:col>
      <xdr:colOff>628650</xdr:colOff>
      <xdr:row>57</xdr:row>
      <xdr:rowOff>-9525</xdr:rowOff>
    </xdr:from>
    <xdr:ext cx="152400" cy="85725"/>
    <xdr:sp>
      <xdr:nvSpPr>
        <xdr:cNvPr id="34" name="Shape 34"/>
        <xdr:cNvSpPr txBox="1"/>
      </xdr:nvSpPr>
      <xdr:spPr>
        <a:xfrm>
          <a:off x="5274563" y="3741900"/>
          <a:ext cx="142875" cy="76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7</xdr:col>
      <xdr:colOff>628650</xdr:colOff>
      <xdr:row>57</xdr:row>
      <xdr:rowOff>-9525</xdr:rowOff>
    </xdr:from>
    <xdr:ext cx="152400" cy="85725"/>
    <xdr:sp>
      <xdr:nvSpPr>
        <xdr:cNvPr id="34" name="Shape 34"/>
        <xdr:cNvSpPr txBox="1"/>
      </xdr:nvSpPr>
      <xdr:spPr>
        <a:xfrm>
          <a:off x="5274563" y="3741900"/>
          <a:ext cx="142875" cy="76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7</xdr:col>
      <xdr:colOff>628650</xdr:colOff>
      <xdr:row>57</xdr:row>
      <xdr:rowOff>-9525</xdr:rowOff>
    </xdr:from>
    <xdr:ext cx="152400" cy="85725"/>
    <xdr:sp>
      <xdr:nvSpPr>
        <xdr:cNvPr id="34" name="Shape 34"/>
        <xdr:cNvSpPr txBox="1"/>
      </xdr:nvSpPr>
      <xdr:spPr>
        <a:xfrm>
          <a:off x="5274563" y="3741900"/>
          <a:ext cx="142875" cy="76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7</xdr:col>
      <xdr:colOff>609600</xdr:colOff>
      <xdr:row>57</xdr:row>
      <xdr:rowOff>276225</xdr:rowOff>
    </xdr:from>
    <xdr:ext cx="161925" cy="266700"/>
    <xdr:sp>
      <xdr:nvSpPr>
        <xdr:cNvPr id="31" name="Shape 31"/>
        <xdr:cNvSpPr txBox="1"/>
      </xdr:nvSpPr>
      <xdr:spPr>
        <a:xfrm>
          <a:off x="5269800" y="3651413"/>
          <a:ext cx="152400" cy="2571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7</xdr:col>
      <xdr:colOff>609600</xdr:colOff>
      <xdr:row>57</xdr:row>
      <xdr:rowOff>276225</xdr:rowOff>
    </xdr:from>
    <xdr:ext cx="161925" cy="266700"/>
    <xdr:sp>
      <xdr:nvSpPr>
        <xdr:cNvPr id="31" name="Shape 31"/>
        <xdr:cNvSpPr txBox="1"/>
      </xdr:nvSpPr>
      <xdr:spPr>
        <a:xfrm>
          <a:off x="5269800" y="3651413"/>
          <a:ext cx="152400" cy="2571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6</xdr:col>
      <xdr:colOff>104775</xdr:colOff>
      <xdr:row>63</xdr:row>
      <xdr:rowOff>438150</xdr:rowOff>
    </xdr:from>
    <xdr:ext cx="333375" cy="266700"/>
    <xdr:sp>
      <xdr:nvSpPr>
        <xdr:cNvPr id="29" name="Shape 29"/>
        <xdr:cNvSpPr txBox="1"/>
      </xdr:nvSpPr>
      <xdr:spPr>
        <a:xfrm>
          <a:off x="5184075" y="3651413"/>
          <a:ext cx="323850" cy="2571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5</xdr:col>
      <xdr:colOff>733425</xdr:colOff>
      <xdr:row>63</xdr:row>
      <xdr:rowOff>342900</xdr:rowOff>
    </xdr:from>
    <xdr:ext cx="447675" cy="266700"/>
    <xdr:sp>
      <xdr:nvSpPr>
        <xdr:cNvPr id="30" name="Shape 30"/>
        <xdr:cNvSpPr txBox="1"/>
      </xdr:nvSpPr>
      <xdr:spPr>
        <a:xfrm>
          <a:off x="5126925" y="3651413"/>
          <a:ext cx="438150" cy="2571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5</xdr:col>
      <xdr:colOff>571500</xdr:colOff>
      <xdr:row>63</xdr:row>
      <xdr:rowOff>400050</xdr:rowOff>
    </xdr:from>
    <xdr:ext cx="447675" cy="266700"/>
    <xdr:sp>
      <xdr:nvSpPr>
        <xdr:cNvPr id="30" name="Shape 30"/>
        <xdr:cNvSpPr txBox="1"/>
      </xdr:nvSpPr>
      <xdr:spPr>
        <a:xfrm>
          <a:off x="5126925" y="3651413"/>
          <a:ext cx="438150" cy="2571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1</xdr:col>
      <xdr:colOff>0</xdr:colOff>
      <xdr:row>0</xdr:row>
      <xdr:rowOff>76200</xdr:rowOff>
    </xdr:from>
    <xdr:ext cx="419100" cy="2095500"/>
    <xdr:pic>
      <xdr:nvPicPr>
        <xdr:cNvPr descr="Logo Original Universidad del Cauca.jpg" id="0" name="image1.jp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xdr:col>
      <xdr:colOff>95250</xdr:colOff>
      <xdr:row>22</xdr:row>
      <xdr:rowOff>9525</xdr:rowOff>
    </xdr:from>
    <xdr:ext cx="8258175" cy="3886200"/>
    <xdr:graphicFrame>
      <xdr:nvGraphicFramePr>
        <xdr:cNvPr id="335193892" name="Chart 5"/>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1</xdr:col>
      <xdr:colOff>742950</xdr:colOff>
      <xdr:row>0</xdr:row>
      <xdr:rowOff>142875</xdr:rowOff>
    </xdr:from>
    <xdr:ext cx="381000" cy="561975"/>
    <xdr:pic>
      <xdr:nvPicPr>
        <xdr:cNvPr descr="Logo Original Universidad del Cauca.jpg" id="0" name="image1.jpg"/>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942975</xdr:colOff>
      <xdr:row>0</xdr:row>
      <xdr:rowOff>85725</xdr:rowOff>
    </xdr:from>
    <xdr:ext cx="390525" cy="542925"/>
    <xdr:pic>
      <xdr:nvPicPr>
        <xdr:cNvPr descr="Logo Original Universidad del Cauca.jpg" id="0" name="image1.jpg"/>
        <xdr:cNvPicPr preferRelativeResize="0"/>
      </xdr:nvPicPr>
      <xdr:blipFill>
        <a:blip cstate="print" r:embed="rId1"/>
        <a:stretch>
          <a:fillRect/>
        </a:stretch>
      </xdr:blipFill>
      <xdr:spPr>
        <a:prstGeom prst="rect">
          <a:avLst/>
        </a:prstGeom>
        <a:noFill/>
      </xdr:spPr>
    </xdr:pic>
    <xdr:clientData fLocksWithSheet="0"/>
  </xdr:oneCellAnchor>
  <xdr:oneCellAnchor>
    <xdr:from>
      <xdr:col>4</xdr:col>
      <xdr:colOff>9525</xdr:colOff>
      <xdr:row>0</xdr:row>
      <xdr:rowOff>133350</xdr:rowOff>
    </xdr:from>
    <xdr:ext cx="638175" cy="352425"/>
    <xdr:pic>
      <xdr:nvPicPr>
        <xdr:cNvPr descr="SiGA.jpg" id="0" name="image2.jpg"/>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0</xdr:colOff>
      <xdr:row>0</xdr:row>
      <xdr:rowOff>85725</xdr:rowOff>
    </xdr:from>
    <xdr:ext cx="428625" cy="600075"/>
    <xdr:pic>
      <xdr:nvPicPr>
        <xdr:cNvPr descr="Logo Original Universidad del Cauca.jpg" id="0" name="image1.jpg"/>
        <xdr:cNvPicPr preferRelativeResize="0"/>
      </xdr:nvPicPr>
      <xdr:blipFill>
        <a:blip cstate="print" r:embed="rId1"/>
        <a:stretch>
          <a:fillRect/>
        </a:stretch>
      </xdr:blipFill>
      <xdr:spPr>
        <a:prstGeom prst="rect">
          <a:avLst/>
        </a:prstGeom>
        <a:noFill/>
      </xdr:spPr>
    </xdr:pic>
    <xdr:clientData fLocksWithSheet="0"/>
  </xdr:oneCellAnchor>
  <xdr:oneCellAnchor>
    <xdr:from>
      <xdr:col>2</xdr:col>
      <xdr:colOff>2800350</xdr:colOff>
      <xdr:row>1</xdr:row>
      <xdr:rowOff>38100</xdr:rowOff>
    </xdr:from>
    <xdr:ext cx="1133475" cy="400050"/>
    <xdr:pic>
      <xdr:nvPicPr>
        <xdr:cNvPr descr="SiGA.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2800350</xdr:colOff>
      <xdr:row>1</xdr:row>
      <xdr:rowOff>38100</xdr:rowOff>
    </xdr:from>
    <xdr:ext cx="1133475" cy="400050"/>
    <xdr:pic>
      <xdr:nvPicPr>
        <xdr:cNvPr descr="SiGA.jpg" id="0" name="image2.jpg"/>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266700</xdr:colOff>
      <xdr:row>0</xdr:row>
      <xdr:rowOff>95250</xdr:rowOff>
    </xdr:from>
    <xdr:ext cx="428625" cy="600075"/>
    <xdr:pic>
      <xdr:nvPicPr>
        <xdr:cNvPr descr="Logo Original Universidad del Cauca.jpg" id="0" name="image1.jpg"/>
        <xdr:cNvPicPr preferRelativeResize="0"/>
      </xdr:nvPicPr>
      <xdr:blipFill>
        <a:blip cstate="print" r:embed="rId1"/>
        <a:stretch>
          <a:fillRect/>
        </a:stretch>
      </xdr:blipFill>
      <xdr:spPr>
        <a:prstGeom prst="rect">
          <a:avLst/>
        </a:prstGeom>
        <a:noFill/>
      </xdr:spPr>
    </xdr:pic>
    <xdr:clientData fLocksWithSheet="0"/>
  </xdr:oneCellAnchor>
  <xdr:oneCellAnchor>
    <xdr:from>
      <xdr:col>4</xdr:col>
      <xdr:colOff>152400</xdr:colOff>
      <xdr:row>1</xdr:row>
      <xdr:rowOff>38100</xdr:rowOff>
    </xdr:from>
    <xdr:ext cx="781050" cy="400050"/>
    <xdr:pic>
      <xdr:nvPicPr>
        <xdr:cNvPr descr="SiGA.jpg" id="0" name="image2.jpg"/>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247650</xdr:colOff>
      <xdr:row>15</xdr:row>
      <xdr:rowOff>0</xdr:rowOff>
    </xdr:from>
    <xdr:ext cx="5229225" cy="2743200"/>
    <xdr:graphicFrame>
      <xdr:nvGraphicFramePr>
        <xdr:cNvPr id="1455819884" name="Chart 6"/>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5</xdr:col>
      <xdr:colOff>752475</xdr:colOff>
      <xdr:row>15</xdr:row>
      <xdr:rowOff>0</xdr:rowOff>
    </xdr:from>
    <xdr:ext cx="5257800" cy="2743200"/>
    <xdr:graphicFrame>
      <xdr:nvGraphicFramePr>
        <xdr:cNvPr id="725613687" name="Chart 7"/>
        <xdr:cNvGraphicFramePr/>
      </xdr:nvGraphicFramePr>
      <xdr:xfrm>
        <a:off x="0" y="0"/>
        <a:ext cx="0" cy="0"/>
      </xdr:xfrm>
      <a:graphic>
        <a:graphicData uri="http://schemas.openxmlformats.org/drawingml/2006/chart">
          <c:chart r:id="rId2"/>
        </a:graphicData>
      </a:graphic>
    </xdr:graphicFrame>
    <xdr:clientData fLocksWithSheet="0"/>
  </xdr:oneCellAnchor>
  <xdr:oneCellAnchor>
    <xdr:from>
      <xdr:col>0</xdr:col>
      <xdr:colOff>266700</xdr:colOff>
      <xdr:row>32</xdr:row>
      <xdr:rowOff>142875</xdr:rowOff>
    </xdr:from>
    <xdr:ext cx="5229225" cy="2743200"/>
    <xdr:graphicFrame>
      <xdr:nvGraphicFramePr>
        <xdr:cNvPr id="538629800" name="Chart 8"/>
        <xdr:cNvGraphicFramePr/>
      </xdr:nvGraphicFramePr>
      <xdr:xfrm>
        <a:off x="0" y="0"/>
        <a:ext cx="0" cy="0"/>
      </xdr:xfrm>
      <a:graphic>
        <a:graphicData uri="http://schemas.openxmlformats.org/drawingml/2006/chart">
          <c:chart r:id="rId3"/>
        </a:graphicData>
      </a:graphic>
    </xdr:graphicFrame>
    <xdr:clientData fLocksWithSheet="0"/>
  </xdr:oneCellAnchor>
  <xdr:oneCellAnchor>
    <xdr:from>
      <xdr:col>6</xdr:col>
      <xdr:colOff>0</xdr:colOff>
      <xdr:row>33</xdr:row>
      <xdr:rowOff>0</xdr:rowOff>
    </xdr:from>
    <xdr:ext cx="5257800" cy="2743200"/>
    <xdr:graphicFrame>
      <xdr:nvGraphicFramePr>
        <xdr:cNvPr id="1021692985" name="Chart 9"/>
        <xdr:cNvGraphicFramePr/>
      </xdr:nvGraphicFramePr>
      <xdr:xfrm>
        <a:off x="0" y="0"/>
        <a:ext cx="0" cy="0"/>
      </xdr:xfrm>
      <a:graphic>
        <a:graphicData uri="http://schemas.openxmlformats.org/drawingml/2006/chart">
          <c:chart r:id="rId4"/>
        </a:graphicData>
      </a:graphic>
    </xdr:graphicFrame>
    <xdr:clientData fLocksWithSheet="0"/>
  </xdr:oneCellAnchor>
</xdr:wsD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476250</xdr:colOff>
      <xdr:row>0</xdr:row>
      <xdr:rowOff>114300</xdr:rowOff>
    </xdr:from>
    <xdr:ext cx="409575" cy="600075"/>
    <xdr:pic>
      <xdr:nvPicPr>
        <xdr:cNvPr descr="Logo Original Universidad del Cauca.jpg" id="0" name="image1.jp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externalLinks/_rels/externalLink1.xml.rels><?xml version="1.0" encoding="UTF-8" standalone="yes"?><Relationships xmlns="http://schemas.openxmlformats.org/package/2006/relationships"><Relationship Id="rId1" Type="http://schemas.openxmlformats.org/officeDocument/2006/relationships/externalLinkPath" Target="/Users/UNICAUCA/Downloads/167.%20Consolidado-RC-AA%2006122023.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E:\Users\LENOVO\Downloads\57.%201075%20Consolidado-RC-AA%2004Abr2020%20(169)%20con%20act%20MEN.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Users/Viviana_Calidad/Downloads/101.%20Consolidado-RC-AA%2014Dic2021%20(162).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Users/Viviana_Calidad/Downloads/130.%20Consolidado-RC-AA%2030Dic2022%20(132).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Users/Viviana_Calidad/Downloads/131.%20Consolidado-RC-AA%2024Ene2023%20(132).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D:\BASE%20DE%20DATOS\142.%20Consolidado-RC-AA%2010Abr2023%20(128).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Users/piper/Desktop/Trabajo%20CGCAI/Dulce%20News/188.%20Consolidado-RC%20AAA%20%2015082025.xlsx" TargetMode="External"/></Relationships>
</file>

<file path=xl/externalLinks/externalLink1.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Menú"/>
      <sheetName val="Consolidado"/>
      <sheetName val="Visitas de Pares"/>
      <sheetName val="ProgramasRC"/>
      <sheetName val="Sintesis-Programas"/>
      <sheetName val="Rutas RRC"/>
      <sheetName val="Facultad-Ruta-RRC"/>
      <sheetName val="Ajuste Plan Mejora"/>
      <sheetName val="Acreditados"/>
      <sheetName val="Acreditables"/>
      <sheetName val="Acreditables a 2026"/>
      <sheetName val="En proceso"/>
      <sheetName val="Hoja1"/>
      <sheetName val="Periodo de transición RC"/>
      <sheetName val="Rutas AAC"/>
      <sheetName val="Facultad-Ruta-AAC"/>
      <sheetName val="Autoevaluación"/>
      <sheetName val="Regionalización"/>
      <sheetName val="Histórico Programas"/>
      <sheetName val="Proceso Interno"/>
      <sheetName val="Lista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Set>
  </externalBook>
</externalLink>
</file>

<file path=xl/externalLinks/externalLink2.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Menú"/>
      <sheetName val="Consolidado"/>
      <sheetName val="Visitas de Pares"/>
      <sheetName val="ProgramasRC"/>
      <sheetName val="Sintesis-Programas"/>
      <sheetName val="Rutas RRC"/>
      <sheetName val="Facultad-Ruta-RRC"/>
      <sheetName val="Acreditables"/>
      <sheetName val="Acreditados"/>
      <sheetName val="En proceso"/>
      <sheetName val="Rutas AAC"/>
      <sheetName val="Facultad-Ruta-AAC"/>
      <sheetName val="Autoevaluación"/>
      <sheetName val="Regionalización"/>
      <sheetName val="Histórico Programas"/>
      <sheetName val="Proceso Interno"/>
      <sheetName val="Listas"/>
      <sheetName val="Hoja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Set>
  </externalBook>
</externalLink>
</file>

<file path=xl/externalLinks/externalLink3.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Menú"/>
      <sheetName val="Consolidado"/>
      <sheetName val="Visitas de Pares"/>
      <sheetName val="ProgramasRC"/>
      <sheetName val="Sintesis-Programas"/>
      <sheetName val="Rutas RRC"/>
      <sheetName val="Facultad-Ruta-RRC"/>
      <sheetName val="Acreditables"/>
      <sheetName val="Acreditados"/>
      <sheetName val="En proceso"/>
      <sheetName val="Rutas AAC"/>
      <sheetName val="Facultad-Ruta-AAC"/>
      <sheetName val="Autoevaluación"/>
      <sheetName val="Regionalización"/>
      <sheetName val="Histórico Programas"/>
      <sheetName val="Proceso Interno"/>
      <sheetName val="Listas"/>
      <sheetName val="Hoja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Set>
  </externalBook>
</externalLink>
</file>

<file path=xl/externalLinks/externalLink4.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Menú"/>
      <sheetName val="Consolidado"/>
      <sheetName val="Visitas de Pares"/>
      <sheetName val="ProgramasRC"/>
      <sheetName val="Sintesis-Programas"/>
      <sheetName val="Rutas RRC"/>
      <sheetName val="Facultad-Ruta-RRC"/>
      <sheetName val="Acreditables"/>
      <sheetName val="Acreditados"/>
      <sheetName val="En proceso"/>
      <sheetName val="Rutas AAC"/>
      <sheetName val="Facultad-Ruta-AAC"/>
      <sheetName val="Autoevaluación"/>
      <sheetName val="Regionalización"/>
      <sheetName val="Histórico Programas"/>
      <sheetName val="Proceso Interno"/>
      <sheetName val="Listas"/>
      <sheetName val="Hoja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Set>
  </externalBook>
</externalLink>
</file>

<file path=xl/externalLinks/externalLink5.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Menú"/>
      <sheetName val="Consolidado"/>
      <sheetName val="Visitas de Pares"/>
      <sheetName val="ProgramasRC"/>
      <sheetName val="Sintesis-Programas"/>
      <sheetName val="Rutas RRC"/>
      <sheetName val="Facultad-Ruta-RRC"/>
      <sheetName val="Acreditables"/>
      <sheetName val="Acreditados"/>
      <sheetName val="En proceso"/>
      <sheetName val="Rutas AAC"/>
      <sheetName val="Facultad-Ruta-AAC"/>
      <sheetName val="Autoevaluación"/>
      <sheetName val="Regionalización"/>
      <sheetName val="Histórico Programas"/>
      <sheetName val="Proceso Interno"/>
      <sheetName val="Listas"/>
      <sheetName val="Hoja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Set>
  </externalBook>
</externalLink>
</file>

<file path=xl/externalLinks/externalLink6.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Menú"/>
      <sheetName val="Consolidado"/>
      <sheetName val="Visitas de Pares"/>
      <sheetName val="ProgramasRC"/>
      <sheetName val="Sintesis-Programas"/>
      <sheetName val="Rutas RRC"/>
      <sheetName val="Facultad-Ruta-RRC"/>
      <sheetName val="Acreditados"/>
      <sheetName val="Acreditables"/>
      <sheetName val="Acreditables a 2026"/>
      <sheetName val="En proceso"/>
      <sheetName val="Periodo de transición RC"/>
      <sheetName val="Rutas AAC"/>
      <sheetName val="Facultad-Ruta-AAC"/>
      <sheetName val="Autoevaluación"/>
      <sheetName val="Regionalización"/>
      <sheetName val="Histórico Programas"/>
      <sheetName val="Proceso Interno"/>
      <sheetName val="Listas"/>
      <sheetName val="Hoja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Set>
  </externalBook>
</externalLink>
</file>

<file path=xl/externalLinks/externalLink7.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Menú"/>
      <sheetName val="Consolidado"/>
      <sheetName val="Alerta de vencimiento"/>
      <sheetName val="Acreditados"/>
      <sheetName val="ProgramasRC"/>
      <sheetName val="Sintesis-Programas"/>
      <sheetName val="Visitas de Pares"/>
      <sheetName val="Ajuste Plan Mejora"/>
      <sheetName val="Periodo de transición RC"/>
      <sheetName val="Acreditables a 2023"/>
      <sheetName val="Acreditables a 2026"/>
      <sheetName val="Rutas AAC"/>
      <sheetName val="Facultad-Ruta-AAC"/>
      <sheetName val="En proceso "/>
      <sheetName val="Autoevaluación"/>
      <sheetName val="Regionalización"/>
      <sheetName val="Histórico Programas"/>
      <sheetName val="Proceso Interno"/>
      <sheetName val="Listas"/>
      <sheetName val="Listas (2)"/>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Set>
  </externalBook>
</externalLink>
</file>

<file path=xl/tables/table1.xml><?xml version="1.0" encoding="utf-8"?>
<table xmlns="http://schemas.openxmlformats.org/spreadsheetml/2006/main" ref="C7:I90" displayName="Table_1" name="Table_1" id="1">
  <tableColumns count="7">
    <tableColumn name="No." id="1"/>
    <tableColumn name="Facultad" id="2"/>
    <tableColumn name="Programa Acreditado" id="3"/>
    <tableColumn name="SNIES" id="4"/>
    <tableColumn name="Lugar de Desarrollo" id="5"/>
    <tableColumn name="Nivel Académico" id="6"/>
    <tableColumn name="Estado" id="7"/>
  </tableColumns>
  <tableStyleInfo name="Acreditables a 2026-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40" Type="http://schemas.openxmlformats.org/officeDocument/2006/relationships/hyperlink" Target="https://drive.google.com/file/d/1HRVcf8-8TvByNnl_QwO_FZ54RfC6uZ0W/view?usp=sharing" TargetMode="External"/><Relationship Id="rId190" Type="http://schemas.openxmlformats.org/officeDocument/2006/relationships/hyperlink" Target="https://drive.google.com/file/d/1xwWPmCFtzGIN3JSZnjOgv04ciW6l586l/view?usp=sharing" TargetMode="External"/><Relationship Id="rId42" Type="http://schemas.openxmlformats.org/officeDocument/2006/relationships/hyperlink" Target="https://drive.google.com/file/d/10X8-RgH2VjMk6-n-jqpAy0JK7a9TjxSA/view?usp=sharing" TargetMode="External"/><Relationship Id="rId41" Type="http://schemas.openxmlformats.org/officeDocument/2006/relationships/hyperlink" Target="https://drive.google.com/file/d/10X8-RgH2VjMk6-n-jqpAy0JK7a9TjxSA/view?usp=sharing" TargetMode="External"/><Relationship Id="rId44" Type="http://schemas.openxmlformats.org/officeDocument/2006/relationships/hyperlink" Target="https://drive.google.com/file/d/1cWbb_iRNB-aWDgTxXtmV2ImR19s5j9b2/view?usp=sharing" TargetMode="External"/><Relationship Id="rId194" Type="http://schemas.openxmlformats.org/officeDocument/2006/relationships/hyperlink" Target="https://drive.google.com/file/d/1o8y6Ix-LyGsAmuz2Dup-TDfpKFyScewb/view?usp=sharing" TargetMode="External"/><Relationship Id="rId43" Type="http://schemas.openxmlformats.org/officeDocument/2006/relationships/hyperlink" Target="https://drive.google.com/file/d/1mM2AL7zsCIQJ2NnEkDDDv7l2pO6gde1f/view?usp=drive_link" TargetMode="External"/><Relationship Id="rId193" Type="http://schemas.openxmlformats.org/officeDocument/2006/relationships/hyperlink" Target="https://drive.google.com/file/d/140o__XiFrtDPH_EV5__nlmcYuqJXB40f/view?usp=sharing" TargetMode="External"/><Relationship Id="rId46" Type="http://schemas.openxmlformats.org/officeDocument/2006/relationships/hyperlink" Target="https://drive.google.com/file/d/19bIIBidWMQzKXjANbfngXLUcOq2men0f/view?usp=sharing" TargetMode="External"/><Relationship Id="rId192" Type="http://schemas.openxmlformats.org/officeDocument/2006/relationships/hyperlink" Target="https://drive.google.com/file/d/118vyyxW4PH45Q0q_9Madd_Yo7rtPHG8T/view?usp=sharing" TargetMode="External"/><Relationship Id="rId45" Type="http://schemas.openxmlformats.org/officeDocument/2006/relationships/hyperlink" Target="https://drive.google.com/file/d/18I2yiCFvkRNQn5-3nlbQsQM01wKwKdBh/view?usp=sharing" TargetMode="External"/><Relationship Id="rId191" Type="http://schemas.openxmlformats.org/officeDocument/2006/relationships/hyperlink" Target="https://drive.google.com/file/d/1JQaUv26lb0TMxUzhivNNhBbtd-chxPKi/view?usp=sharing" TargetMode="External"/><Relationship Id="rId48" Type="http://schemas.openxmlformats.org/officeDocument/2006/relationships/hyperlink" Target="https://drive.google.com/file/d/1XGSA6Q5h-6a9TEEQtUTwQ-UpCg-3iIRn/view?usp=sharing" TargetMode="External"/><Relationship Id="rId187" Type="http://schemas.openxmlformats.org/officeDocument/2006/relationships/hyperlink" Target="https://drive.google.com/file/d/1m0MK_VQruZvYsITjMd8vTamqMHKI6Ajs/view?usp=sharing" TargetMode="External"/><Relationship Id="rId47" Type="http://schemas.openxmlformats.org/officeDocument/2006/relationships/hyperlink" Target="https://drive.google.com/file/d/1oWXTMpollUpfMHgH8ThagsW8go7NxzDB/view?usp=sharing" TargetMode="External"/><Relationship Id="rId186" Type="http://schemas.openxmlformats.org/officeDocument/2006/relationships/hyperlink" Target="https://drive.google.com/file/d/1zRxbiNwvvBGeyTpAawNZDy0EGERig1a9/view?usp=sharing" TargetMode="External"/><Relationship Id="rId185" Type="http://schemas.openxmlformats.org/officeDocument/2006/relationships/hyperlink" Target="https://drive.google.com/file/d/10HRD1nPEVEsevOVwXUo08gPGziAWgg53/view?usp=sharing" TargetMode="External"/><Relationship Id="rId49" Type="http://schemas.openxmlformats.org/officeDocument/2006/relationships/hyperlink" Target="https://drive.google.com/file/d/1gpzMRW8Hgf2eobUVfWnlITj3Xc0Alk2i/view?usp=sharing" TargetMode="External"/><Relationship Id="rId184" Type="http://schemas.openxmlformats.org/officeDocument/2006/relationships/hyperlink" Target="https://drive.google.com/file/d/1TyixIuTLk1FmaT3pY2vrsaDw08ms1Eva/view?usp=sharing" TargetMode="External"/><Relationship Id="rId189" Type="http://schemas.openxmlformats.org/officeDocument/2006/relationships/hyperlink" Target="https://drive.google.com/file/d/1vBnFxtSmtUuyXv6bU0WHF08wZzKWkqhe/view?usp=sharing" TargetMode="External"/><Relationship Id="rId188" Type="http://schemas.openxmlformats.org/officeDocument/2006/relationships/hyperlink" Target="https://drive.google.com/file/d/1m0MK_VQruZvYsITjMd8vTamqMHKI6Ajs/view?usp=sharing" TargetMode="External"/><Relationship Id="rId31" Type="http://schemas.openxmlformats.org/officeDocument/2006/relationships/hyperlink" Target="https://drive.google.com/file/d/1JfL4loDWH-mjqb-FpYKuSgnb9C7zOXmF/view?usp=sharing" TargetMode="External"/><Relationship Id="rId30" Type="http://schemas.openxmlformats.org/officeDocument/2006/relationships/hyperlink" Target="https://drive.google.com/file/d/1kjoAwgnMZTmxj_8k5wWWBGyCLx-hrY7e/view?usp=sharing" TargetMode="External"/><Relationship Id="rId33" Type="http://schemas.openxmlformats.org/officeDocument/2006/relationships/hyperlink" Target="https://drive.google.com/file/d/1A1ps5l0gQyOuTbsAUSpwjA1fmgd9nZ2E/view?usp=sharing" TargetMode="External"/><Relationship Id="rId183" Type="http://schemas.openxmlformats.org/officeDocument/2006/relationships/hyperlink" Target="https://drive.google.com/file/d/1WVlWr4BleQOGw-xw5a8gVSyi4Wf4RSvc/view?usp=sharing" TargetMode="External"/><Relationship Id="rId32" Type="http://schemas.openxmlformats.org/officeDocument/2006/relationships/hyperlink" Target="https://drive.google.com/file/d/15cvAKqKUYLNRfqNd5zWXxr_IonVRuKeM/view?usp=sharing" TargetMode="External"/><Relationship Id="rId182" Type="http://schemas.openxmlformats.org/officeDocument/2006/relationships/hyperlink" Target="https://drive.google.com/file/d/1UjuKqHzjN4ELfDcsSLqYvZLKHhGgmXfC/view?usp=sharing" TargetMode="External"/><Relationship Id="rId35" Type="http://schemas.openxmlformats.org/officeDocument/2006/relationships/hyperlink" Target="https://drive.google.com/file/d/10ZNsoPVDWXZX76Llnnv8xybelJXP_hiv/view?usp=sharing" TargetMode="External"/><Relationship Id="rId181" Type="http://schemas.openxmlformats.org/officeDocument/2006/relationships/hyperlink" Target="https://drive.google.com/file/d/1-0E9laVeqLifL2WZ-gYZ1sul4Mq69rXm/view?usp=sharing" TargetMode="External"/><Relationship Id="rId34" Type="http://schemas.openxmlformats.org/officeDocument/2006/relationships/hyperlink" Target="https://drive.google.com/file/d/1tjANTALb6QhoQ_11QB0AZq9vACixhBHl/view?usp=sharing" TargetMode="External"/><Relationship Id="rId180" Type="http://schemas.openxmlformats.org/officeDocument/2006/relationships/hyperlink" Target="https://drive.google.com/file/d/1-0E9laVeqLifL2WZ-gYZ1sul4Mq69rXm/view?usp=sharing" TargetMode="External"/><Relationship Id="rId37" Type="http://schemas.openxmlformats.org/officeDocument/2006/relationships/hyperlink" Target="https://drive.google.com/file/d/1RFy1ShchPQcLAmt9n3ALcqDJ3V6GJin3/view?usp=sharing" TargetMode="External"/><Relationship Id="rId176" Type="http://schemas.openxmlformats.org/officeDocument/2006/relationships/hyperlink" Target="https://drive.google.com/file/d/14BJfcErS9XOjR21oUJSK1fmWGjTFSxGt/view?usp=drive_link" TargetMode="External"/><Relationship Id="rId36" Type="http://schemas.openxmlformats.org/officeDocument/2006/relationships/hyperlink" Target="https://drive.google.com/file/d/1Hwr0ocsyMMU3i_Z7d5Xv4oIUwRHlIFiC/view?usp=sharing" TargetMode="External"/><Relationship Id="rId175" Type="http://schemas.openxmlformats.org/officeDocument/2006/relationships/hyperlink" Target="https://drive.google.com/file/d/1SmrRvoqLZ06vq9v-dfcCECKJq-41XITn/view?usp=sharing" TargetMode="External"/><Relationship Id="rId39" Type="http://schemas.openxmlformats.org/officeDocument/2006/relationships/hyperlink" Target="https://drive.google.com/file/d/1OEq77ob_d7NMLeL8gwKd_00pffnpVi_B/view?usp=sharing" TargetMode="External"/><Relationship Id="rId174" Type="http://schemas.openxmlformats.org/officeDocument/2006/relationships/hyperlink" Target="https://drive.google.com/file/d/14BJfcErS9XOjR21oUJSK1fmWGjTFSxGt/view?usp=drive_link" TargetMode="External"/><Relationship Id="rId38" Type="http://schemas.openxmlformats.org/officeDocument/2006/relationships/hyperlink" Target="https://drive.google.com/file/d/1jz5e0wsIV7pfdKmBKZZFtksaP7F8R0UY/view?usp=sharing" TargetMode="External"/><Relationship Id="rId173" Type="http://schemas.openxmlformats.org/officeDocument/2006/relationships/hyperlink" Target="https://drive.google.com/file/d/1CNaOFIn7ihnxUioMSp5PvIqVIGKQjICo/view?usp=drive_link" TargetMode="External"/><Relationship Id="rId179" Type="http://schemas.openxmlformats.org/officeDocument/2006/relationships/hyperlink" Target="https://drive.google.com/file/d/1fUAmC08yCyYxEyeKRwVHaUdq5-OuAcFz/view?usp=sharing" TargetMode="External"/><Relationship Id="rId178" Type="http://schemas.openxmlformats.org/officeDocument/2006/relationships/hyperlink" Target="https://drive.google.com/file/d/1_fxJ8wq3y8ea-nCy9wRooFXBIfRViACG/view?usp=sharing" TargetMode="External"/><Relationship Id="rId177" Type="http://schemas.openxmlformats.org/officeDocument/2006/relationships/hyperlink" Target="https://drive.google.com/file/d/1gD548wGMAA9DCb37z2KFzBXzDgZD91y3/view?usp=sharing" TargetMode="External"/><Relationship Id="rId20" Type="http://schemas.openxmlformats.org/officeDocument/2006/relationships/hyperlink" Target="https://drive.google.com/file/d/1WIN1m_QHT_qIylisf6xCRGNl5xvysT4b/view?usp=sharing" TargetMode="External"/><Relationship Id="rId22" Type="http://schemas.openxmlformats.org/officeDocument/2006/relationships/hyperlink" Target="https://drive.google.com/file/d/11n1VQA9skreNDWcIajY7YcyoJL1JoEkF/view?usp=sharing" TargetMode="External"/><Relationship Id="rId21" Type="http://schemas.openxmlformats.org/officeDocument/2006/relationships/hyperlink" Target="https://drive.google.com/file/d/1WHtMNi5BqFDPfDDOHcXI34Bd9zMoVrqE/view?usp=sharing" TargetMode="External"/><Relationship Id="rId24" Type="http://schemas.openxmlformats.org/officeDocument/2006/relationships/hyperlink" Target="https://drive.google.com/file/d/1umHQRHZVmnQd5LPUTRAzahKbwMBD0DYd/view?usp=sharing" TargetMode="External"/><Relationship Id="rId23" Type="http://schemas.openxmlformats.org/officeDocument/2006/relationships/hyperlink" Target="https://drive.google.com/file/d/1lRKh_kaqj8NKeiqRtHDzzUhHN-G_iRQy/view?usp=sharing" TargetMode="External"/><Relationship Id="rId26" Type="http://schemas.openxmlformats.org/officeDocument/2006/relationships/hyperlink" Target="https://drive.google.com/file/d/1NAbwHaTH7Zowhp8YYbQn1T5BfNC6Vsbt/view?usp=sharing" TargetMode="External"/><Relationship Id="rId25" Type="http://schemas.openxmlformats.org/officeDocument/2006/relationships/hyperlink" Target="https://drive.google.com/file/d/1An6M4VXkoC7qz6ldt2vh6iwiU6sGXd1x/view?usp=sharing" TargetMode="External"/><Relationship Id="rId28" Type="http://schemas.openxmlformats.org/officeDocument/2006/relationships/hyperlink" Target="https://drive.google.com/file/d/1Qvbr2SnLleVtPacmPFlPjZ4N8rW1KZtQ/view?usp=drive_link" TargetMode="External"/><Relationship Id="rId27" Type="http://schemas.openxmlformats.org/officeDocument/2006/relationships/hyperlink" Target="https://drive.google.com/file/d/1NAbwHaTH7Zowhp8YYbQn1T5BfNC6Vsbt/view?usp=sharing" TargetMode="External"/><Relationship Id="rId29" Type="http://schemas.openxmlformats.org/officeDocument/2006/relationships/hyperlink" Target="https://drive.google.com/file/d/13mIejXPHyzfgUv8FYk2PFQ3WevNdpXRi/view?usp=sharing" TargetMode="External"/><Relationship Id="rId11" Type="http://schemas.openxmlformats.org/officeDocument/2006/relationships/hyperlink" Target="https://drive.google.com/file/d/1CW30rKSC0upEKGyM2mB9gW7xMwr1C0r5/view?usp=sharing" TargetMode="External"/><Relationship Id="rId10" Type="http://schemas.openxmlformats.org/officeDocument/2006/relationships/hyperlink" Target="https://drive.google.com/file/d/1-9MbcdHyFR6XU4ADrdl2iybOP0cK-IZb/view?usp=sharing" TargetMode="External"/><Relationship Id="rId13" Type="http://schemas.openxmlformats.org/officeDocument/2006/relationships/hyperlink" Target="https://drive.google.com/file/d/1nknSA9n3HdjaS1UC6zvQNO37zh_3p4Rk/view?usp=sharing" TargetMode="External"/><Relationship Id="rId12" Type="http://schemas.openxmlformats.org/officeDocument/2006/relationships/hyperlink" Target="https://drive.google.com/file/d/1_kZScKmhKbLhPtV2oy7KnArQHeNkLBiD/view?usp=sharing" TargetMode="External"/><Relationship Id="rId15" Type="http://schemas.openxmlformats.org/officeDocument/2006/relationships/hyperlink" Target="https://drive.google.com/file/d/1SC2uCVy7fF1PKcjtSUbKwWyjX95eAPPB/view?usp=sharing" TargetMode="External"/><Relationship Id="rId198" Type="http://schemas.openxmlformats.org/officeDocument/2006/relationships/hyperlink" Target="https://drive.google.com/file/d/1O-Wlj618hY0e_sW-i24tYlbTEa4DBxws/view?usp=sharing" TargetMode="External"/><Relationship Id="rId14" Type="http://schemas.openxmlformats.org/officeDocument/2006/relationships/hyperlink" Target="https://drive.google.com/file/d/1nknSA9n3HdjaS1UC6zvQNO37zh_3p4Rk/view?usp=sharing" TargetMode="External"/><Relationship Id="rId197" Type="http://schemas.openxmlformats.org/officeDocument/2006/relationships/hyperlink" Target="https://drive.google.com/file/d/101bixCFhFR7SfTJPFkmMZNnYtjEVCiSq/view?usp=sharing" TargetMode="External"/><Relationship Id="rId17" Type="http://schemas.openxmlformats.org/officeDocument/2006/relationships/hyperlink" Target="https://drive.google.com/file/d/1oAA14bm9WJ6aPrv4wrsdkiBrFfRqV2vY/view?usp=drive_link" TargetMode="External"/><Relationship Id="rId196" Type="http://schemas.openxmlformats.org/officeDocument/2006/relationships/hyperlink" Target="https://drive.google.com/file/d/14b8vFcS4NbUzLyB5l5cUBWsXaeNIjODB/view?usp=sharing" TargetMode="External"/><Relationship Id="rId16" Type="http://schemas.openxmlformats.org/officeDocument/2006/relationships/hyperlink" Target="https://drive.google.com/file/d/1SC2uCVy7fF1PKcjtSUbKwWyjX95eAPPB/view?usp=sharing" TargetMode="External"/><Relationship Id="rId195" Type="http://schemas.openxmlformats.org/officeDocument/2006/relationships/hyperlink" Target="https://drive.google.com/file/d/1QkqrJ2okZ2mm9HJWMQKOgJD3kUujXYUy/view?usp=sharing" TargetMode="External"/><Relationship Id="rId19" Type="http://schemas.openxmlformats.org/officeDocument/2006/relationships/hyperlink" Target="https://drive.google.com/file/d/1xcQCbpsUOSgdbPEhVL9IA-Zl193moNgW/view?usp=sharing" TargetMode="External"/><Relationship Id="rId18" Type="http://schemas.openxmlformats.org/officeDocument/2006/relationships/hyperlink" Target="https://drive.google.com/file/d/1G2cMOwFRgRQObU1pl4b_alJHDvk-Ok_W/view?usp=sharing" TargetMode="External"/><Relationship Id="rId199" Type="http://schemas.openxmlformats.org/officeDocument/2006/relationships/hyperlink" Target="https://drive.google.com/file/d/1O-Wlj618hY0e_sW-i24tYlbTEa4DBxws/view?usp=sharing" TargetMode="External"/><Relationship Id="rId84" Type="http://schemas.openxmlformats.org/officeDocument/2006/relationships/hyperlink" Target="https://drive.google.com/file/d/1mjE0K8WELFPu2eVioyasr4wOU1oDH0Gr/view?usp=sharing" TargetMode="External"/><Relationship Id="rId83" Type="http://schemas.openxmlformats.org/officeDocument/2006/relationships/hyperlink" Target="https://drive.google.com/file/d/1dFn6c7guLiukg-cbB0CHvIEAYTFO6X1q/view?usp=drive_link" TargetMode="External"/><Relationship Id="rId86" Type="http://schemas.openxmlformats.org/officeDocument/2006/relationships/hyperlink" Target="https://drive.google.com/file/d/1MwGuF5cc0GeV0oL1Wt6P0YAcyEr4VhOj/view?usp=drive_link" TargetMode="External"/><Relationship Id="rId85" Type="http://schemas.openxmlformats.org/officeDocument/2006/relationships/hyperlink" Target="https://drive.google.com/file/d/1mjE0K8WELFPu2eVioyasr4wOU1oDH0Gr/view?usp=sharing" TargetMode="External"/><Relationship Id="rId88" Type="http://schemas.openxmlformats.org/officeDocument/2006/relationships/hyperlink" Target="https://drive.google.com/file/d/1EC78Wn3-sIdsRDW806urYateHQPWzuz3/view?usp=drive_link" TargetMode="External"/><Relationship Id="rId150" Type="http://schemas.openxmlformats.org/officeDocument/2006/relationships/hyperlink" Target="https://drive.google.com/file/d/1XK5GmHflHx_PBynkcgGiVFwA5Cmh060c/view?usp=sharing" TargetMode="External"/><Relationship Id="rId87" Type="http://schemas.openxmlformats.org/officeDocument/2006/relationships/hyperlink" Target="https://drive.google.com/file/d/19VJPVnQG4VvKtdr4PfTMHWzhi3WERYgz/view?usp=sharing" TargetMode="External"/><Relationship Id="rId89" Type="http://schemas.openxmlformats.org/officeDocument/2006/relationships/hyperlink" Target="https://drive.google.com/file/d/1cRm4Z6u144SssfWKlOAbHeapHVcMKLOM/view?usp=sharing" TargetMode="External"/><Relationship Id="rId80" Type="http://schemas.openxmlformats.org/officeDocument/2006/relationships/hyperlink" Target="https://drive.google.com/file/d/1fbW6lWkxbvsQfpQbpplA7C6SSDfw8dto/view?usp=sharing" TargetMode="External"/><Relationship Id="rId82" Type="http://schemas.openxmlformats.org/officeDocument/2006/relationships/hyperlink" Target="https://drive.google.com/file/d/1mKgqy6O0UDf9BaG6-MMjGHa_jAsu2X3g/view?usp=drive_link" TargetMode="External"/><Relationship Id="rId81" Type="http://schemas.openxmlformats.org/officeDocument/2006/relationships/hyperlink" Target="https://drive.google.com/file/d/1mKgqy6O0UDf9BaG6-MMjGHa_jAsu2X3g/view" TargetMode="External"/><Relationship Id="rId1" Type="http://schemas.openxmlformats.org/officeDocument/2006/relationships/comments" Target="../comments1.xml"/><Relationship Id="rId2" Type="http://schemas.openxmlformats.org/officeDocument/2006/relationships/hyperlink" Target="https://drive.google.com/file/d/1M0UbT7uIg6yflz1KZLo_iTX2GeLgnOHg/view?usp=sharing" TargetMode="External"/><Relationship Id="rId3" Type="http://schemas.openxmlformats.org/officeDocument/2006/relationships/hyperlink" Target="https://drive.google.com/file/d/1xPgxqbaxP6yMKKIbchArpGfdTYw24k_x/view?usp=sharing" TargetMode="External"/><Relationship Id="rId149" Type="http://schemas.openxmlformats.org/officeDocument/2006/relationships/hyperlink" Target="https://drive.google.com/file/d/1rIG2rCeeW9JhjtJKHd3E0nLpNDpGf-FC/view?usp=sharing" TargetMode="External"/><Relationship Id="rId4" Type="http://schemas.openxmlformats.org/officeDocument/2006/relationships/hyperlink" Target="https://drive.google.com/file/d/1vcl3xC-k79sx0UvbnFPQNbHYBVz_sw6-/view?usp=sharing" TargetMode="External"/><Relationship Id="rId148" Type="http://schemas.openxmlformats.org/officeDocument/2006/relationships/hyperlink" Target="https://drive.google.com/file/d/1I1lfQ4sC9SPnIYkAgwy2HtTn34_5gtYD/view?usp=sharing" TargetMode="External"/><Relationship Id="rId9" Type="http://schemas.openxmlformats.org/officeDocument/2006/relationships/hyperlink" Target="https://drive.google.com/file/d/1-9MbcdHyFR6XU4ADrdl2iybOP0cK-IZb/view?usp=sharing" TargetMode="External"/><Relationship Id="rId143" Type="http://schemas.openxmlformats.org/officeDocument/2006/relationships/hyperlink" Target="https://drive.google.com/file/d/1EaOFrXLDHzqg1t7Mq_ei9HtgVPD0heCb/view?usp=sharing" TargetMode="External"/><Relationship Id="rId142" Type="http://schemas.openxmlformats.org/officeDocument/2006/relationships/hyperlink" Target="https://drive.google.com/file/d/1Es0BeJL9PyjaqJdHNgLrQubnke-InII5/view?usp=sharing" TargetMode="External"/><Relationship Id="rId141" Type="http://schemas.openxmlformats.org/officeDocument/2006/relationships/hyperlink" Target="https://drive.google.com/file/d/13hCnnTLEx9B2WyWSajxKJ_m95lLL_raa/view?usp=sharing" TargetMode="External"/><Relationship Id="rId140" Type="http://schemas.openxmlformats.org/officeDocument/2006/relationships/hyperlink" Target="https://drive.google.com/file/d/1dnN0m2oPYjsH_GoMh6Hu3PZxtYL-76tN/view?usp=drive_link" TargetMode="External"/><Relationship Id="rId5" Type="http://schemas.openxmlformats.org/officeDocument/2006/relationships/hyperlink" Target="https://drive.google.com/file/d/1xE8jUNNbcqHH-1r6_lMBDLp-Q60PEz3o/view?usp=sharing" TargetMode="External"/><Relationship Id="rId147" Type="http://schemas.openxmlformats.org/officeDocument/2006/relationships/hyperlink" Target="https://drive.google.com/file/d/1qsfHt9FtJxjHLZcLG5ND1tqPRYb-SHQ7/view?usp=sharing" TargetMode="External"/><Relationship Id="rId6" Type="http://schemas.openxmlformats.org/officeDocument/2006/relationships/hyperlink" Target="https://drive.google.com/file/d/1HXkLXaF60oyZk9MV9iLe8OyPzShEdcB4/view?usp=sharing" TargetMode="External"/><Relationship Id="rId146" Type="http://schemas.openxmlformats.org/officeDocument/2006/relationships/hyperlink" Target="https://drive.google.com/file/d/1Fwmg6E5hXBuP8RX4HET__FxgMsYFcwlQ/view?usp=sharing" TargetMode="External"/><Relationship Id="rId7" Type="http://schemas.openxmlformats.org/officeDocument/2006/relationships/hyperlink" Target="https://drive.google.com/file/d/1HXkLXaF60oyZk9MV9iLe8OyPzShEdcB4/view?usp=sharing" TargetMode="External"/><Relationship Id="rId145" Type="http://schemas.openxmlformats.org/officeDocument/2006/relationships/hyperlink" Target="https://drive.google.com/file/d/1aehUnOyJ2DqWJ2p6nPvZPwWL23PpQPTb/view?usp=drive_link" TargetMode="External"/><Relationship Id="rId8" Type="http://schemas.openxmlformats.org/officeDocument/2006/relationships/hyperlink" Target="https://drive.google.com/file/d/14KbpH5Gbsub9SegM8hnjEpE4alXyZmCi/view?usp=sharing" TargetMode="External"/><Relationship Id="rId144" Type="http://schemas.openxmlformats.org/officeDocument/2006/relationships/hyperlink" Target="https://drive.google.com/file/d/1d3bkO2C6td602kqhTqPbXv3xVntIgJv-/view?usp=sharing" TargetMode="External"/><Relationship Id="rId73" Type="http://schemas.openxmlformats.org/officeDocument/2006/relationships/hyperlink" Target="https://drive.google.com/file/d/1waQ-eBp5piFNZv0KLybwXZ2MSlweqOdq/view?usp=sharing" TargetMode="External"/><Relationship Id="rId72" Type="http://schemas.openxmlformats.org/officeDocument/2006/relationships/hyperlink" Target="https://drive.google.com/file/d/1waQ-eBp5piFNZv0KLybwXZ2MSlweqOdq/view?usp=sharing" TargetMode="External"/><Relationship Id="rId75" Type="http://schemas.openxmlformats.org/officeDocument/2006/relationships/hyperlink" Target="https://drive.google.com/file/d/1hjCDDa0-C4R3CNkm9cFFcAyNwJ9Geftu/view?usp=sharing" TargetMode="External"/><Relationship Id="rId74" Type="http://schemas.openxmlformats.org/officeDocument/2006/relationships/hyperlink" Target="https://drive.google.com/file/d/1S-6KzzdwCd-644-GsNhL9cF3e-CCC4pj/view?usp=sharing" TargetMode="External"/><Relationship Id="rId77" Type="http://schemas.openxmlformats.org/officeDocument/2006/relationships/hyperlink" Target="https://drive.google.com/file/d/11BwpYtkb-ZrO9qQiWeKSRfV60vNQCNpd/view?usp=sharing" TargetMode="External"/><Relationship Id="rId76" Type="http://schemas.openxmlformats.org/officeDocument/2006/relationships/hyperlink" Target="https://drive.google.com/file/d/1hjCDDa0-C4R3CNkm9cFFcAyNwJ9Geftu/view?usp=sharing" TargetMode="External"/><Relationship Id="rId79" Type="http://schemas.openxmlformats.org/officeDocument/2006/relationships/hyperlink" Target="https://drive.google.com/file/d/1nUw7kg_yFSTUSr1rWWT5h0SxqRDjMAZ4/view?usp=sharing" TargetMode="External"/><Relationship Id="rId78" Type="http://schemas.openxmlformats.org/officeDocument/2006/relationships/hyperlink" Target="https://drive.google.com/file/d/1BmFzn5otNhpNiTPCQg0HoOB97Mby-H6l/view?usp=sharing" TargetMode="External"/><Relationship Id="rId71" Type="http://schemas.openxmlformats.org/officeDocument/2006/relationships/hyperlink" Target="https://drive.google.com/file/d/1sIB8pKQbvgPPtq61k09dBb7e5YxWInJf/view?usp=sharing" TargetMode="External"/><Relationship Id="rId70" Type="http://schemas.openxmlformats.org/officeDocument/2006/relationships/hyperlink" Target="https://drive.google.com/file/d/1Fzo5IJt-kPaSvV2vfg_GOvFHXCnxLmgO/view?usp=sharing" TargetMode="External"/><Relationship Id="rId139" Type="http://schemas.openxmlformats.org/officeDocument/2006/relationships/hyperlink" Target="https://drive.google.com/file/d/1dnN0m2oPYjsH_GoMh6Hu3PZxtYL-76tN/view?usp=drive_link" TargetMode="External"/><Relationship Id="rId138" Type="http://schemas.openxmlformats.org/officeDocument/2006/relationships/hyperlink" Target="https://drive.google.com/file/d/1ndVhgXSZ-ouailXtrjyBrhsSJ8gT3Q2g/view?usp=sharing" TargetMode="External"/><Relationship Id="rId137" Type="http://schemas.openxmlformats.org/officeDocument/2006/relationships/hyperlink" Target="https://drive.google.com/file/d/1BvJSuctBFASwo_jBi5OfvEJZWRpaDfxN/view?usp=sharing" TargetMode="External"/><Relationship Id="rId132" Type="http://schemas.openxmlformats.org/officeDocument/2006/relationships/hyperlink" Target="https://drive.google.com/file/d/1IkZ43eS_MKMxgqfjhZXgAM9e0jZGBtHx/view?usp=sharing" TargetMode="External"/><Relationship Id="rId131" Type="http://schemas.openxmlformats.org/officeDocument/2006/relationships/hyperlink" Target="https://drive.google.com/file/d/1odU_73wPJvSMvGonRKea4PRmYogzBlQ7/view?usp=sharing" TargetMode="External"/><Relationship Id="rId130" Type="http://schemas.openxmlformats.org/officeDocument/2006/relationships/hyperlink" Target="https://drive.google.com/file/d/1ZuXV_jNVjCmw5CG8k9fe0u4xrT7Hag4W/view?usp=sharing" TargetMode="External"/><Relationship Id="rId136" Type="http://schemas.openxmlformats.org/officeDocument/2006/relationships/hyperlink" Target="https://drive.google.com/file/d/1BvJSuctBFASwo_jBi5OfvEJZWRpaDfxN/view?usp=sharing" TargetMode="External"/><Relationship Id="rId135" Type="http://schemas.openxmlformats.org/officeDocument/2006/relationships/hyperlink" Target="https://drive.google.com/file/d/17DgtSJ4SXCJeLseDJadXbkqNQUsRrm6y/view?usp=sharing" TargetMode="External"/><Relationship Id="rId134" Type="http://schemas.openxmlformats.org/officeDocument/2006/relationships/hyperlink" Target="https://drive.google.com/file/d/16DmQloklE9C4TU6II-u9FzsxZuO3TON5/view?usp=drive_link" TargetMode="External"/><Relationship Id="rId133" Type="http://schemas.openxmlformats.org/officeDocument/2006/relationships/hyperlink" Target="https://drive.google.com/file/d/12hVe9RTyjeCuv0rw-rkq8-0TVK7s96dL/view?usp=sharing" TargetMode="External"/><Relationship Id="rId62" Type="http://schemas.openxmlformats.org/officeDocument/2006/relationships/hyperlink" Target="https://drive.google.com/file/d/13_l2xb4ogJY99Uv5VrlpsQfDx0JxD09P/view?usp=sharing" TargetMode="External"/><Relationship Id="rId61" Type="http://schemas.openxmlformats.org/officeDocument/2006/relationships/hyperlink" Target="https://drive.google.com/file/d/1qp6Sa_LnI1O9RyPjwXaedm6RiFhNQBUC/view?usp=sharing" TargetMode="External"/><Relationship Id="rId64" Type="http://schemas.openxmlformats.org/officeDocument/2006/relationships/hyperlink" Target="https://drive.google.com/file/d/1BIxOCHyX_GKxFrMV2JWPfNDhrzmgNjmB/view?usp=sharing" TargetMode="External"/><Relationship Id="rId63" Type="http://schemas.openxmlformats.org/officeDocument/2006/relationships/hyperlink" Target="https://drive.google.com/file/d/11-aYjXpbOVv5fROAIZs0kYPmOhhWyyNQ/view?usp=sharing" TargetMode="External"/><Relationship Id="rId66" Type="http://schemas.openxmlformats.org/officeDocument/2006/relationships/hyperlink" Target="https://drive.google.com/file/d/1xBeq-lWMQl3nPdQJWXRGvdM1-hEHGKW9/view?usp=sharing" TargetMode="External"/><Relationship Id="rId172" Type="http://schemas.openxmlformats.org/officeDocument/2006/relationships/hyperlink" Target="https://drive.google.com/file/d/1rHUhnF6p74C5ufkRZ_CYUw_PHrqJy_P_/view?usp=sharing" TargetMode="External"/><Relationship Id="rId65" Type="http://schemas.openxmlformats.org/officeDocument/2006/relationships/hyperlink" Target="https://drive.google.com/file/d/1gurVL0SU5VKlXr8Kna-mYjCl-gcsXgE5/view?usp=sharing" TargetMode="External"/><Relationship Id="rId171" Type="http://schemas.openxmlformats.org/officeDocument/2006/relationships/hyperlink" Target="https://drive.google.com/file/d/1rHUhnF6p74C5ufkRZ_CYUw_PHrqJy_P_/view?usp=sharing" TargetMode="External"/><Relationship Id="rId68" Type="http://schemas.openxmlformats.org/officeDocument/2006/relationships/hyperlink" Target="https://drive.google.com/file/d/1bsC0UUlAPogCp7A1zu6OcqdvQC2mxnRW/view?usp=sharing" TargetMode="External"/><Relationship Id="rId170" Type="http://schemas.openxmlformats.org/officeDocument/2006/relationships/hyperlink" Target="https://drive.google.com/file/d/1AZj8sbfn81bpcjLRZEZ0iADtOUsCP6BI/view?usp=sharing" TargetMode="External"/><Relationship Id="rId67" Type="http://schemas.openxmlformats.org/officeDocument/2006/relationships/hyperlink" Target="https://drive.google.com/file/d/1Q8LSSQttgu813aly4musPnCMBt9OVJBC/view?usp=sharing" TargetMode="External"/><Relationship Id="rId60" Type="http://schemas.openxmlformats.org/officeDocument/2006/relationships/hyperlink" Target="https://drive.google.com/file/d/1UMQUZrBiOCRZbcT0zinaNaWVT5fSFdeF/view?usp=sharing" TargetMode="External"/><Relationship Id="rId165" Type="http://schemas.openxmlformats.org/officeDocument/2006/relationships/hyperlink" Target="https://drive.google.com/file/d/1ZbCWOwjMy5TeoeFzdYwYfwl3splKX7VF/view?usp=sharing" TargetMode="External"/><Relationship Id="rId69" Type="http://schemas.openxmlformats.org/officeDocument/2006/relationships/hyperlink" Target="https://drive.google.com/file/d/19UiM0nFJAKTm4Ki4A-Xa1ykNpGle4XrS/view?usp=sharing" TargetMode="External"/><Relationship Id="rId164" Type="http://schemas.openxmlformats.org/officeDocument/2006/relationships/hyperlink" Target="https://drive.google.com/file/d/1Py9R6OCo89H_IwpQfsT-kIeN0U9wVFwX/view?usp=sharing" TargetMode="External"/><Relationship Id="rId163" Type="http://schemas.openxmlformats.org/officeDocument/2006/relationships/hyperlink" Target="https://drive.google.com/file/d/1jggpZ5SKoWXqMmEhfmx-lReP8J8iaf9p/view?usp=sharing" TargetMode="External"/><Relationship Id="rId162" Type="http://schemas.openxmlformats.org/officeDocument/2006/relationships/hyperlink" Target="https://drive.google.com/file/d/18CpogV4ZcbIRpF6vABFMM6jK8go3NUaV/view?usp=sharing" TargetMode="External"/><Relationship Id="rId169" Type="http://schemas.openxmlformats.org/officeDocument/2006/relationships/hyperlink" Target="https://drive.google.com/file/d/1UExlkyAU7g6it_Mh3gVW5wTqQ2ZJ_3JD/view?usp=sharing" TargetMode="External"/><Relationship Id="rId168" Type="http://schemas.openxmlformats.org/officeDocument/2006/relationships/hyperlink" Target="https://drive.google.com/file/d/1OyH_CmesTgm83AQM84pS5zYbyrPFvY7I/view?usp=drive_link" TargetMode="External"/><Relationship Id="rId167" Type="http://schemas.openxmlformats.org/officeDocument/2006/relationships/hyperlink" Target="https://drive.google.com/file/d/1Mv54dGfcSUkFY3HD-tLYO8JGxkE_ZGcz/view?usp=drive_link" TargetMode="External"/><Relationship Id="rId166" Type="http://schemas.openxmlformats.org/officeDocument/2006/relationships/hyperlink" Target="https://drive.google.com/file/d/1PF8BQ0f-8o5Wl4kFTJQJ06YkLTIsx17P/view?usp=sharing" TargetMode="External"/><Relationship Id="rId51" Type="http://schemas.openxmlformats.org/officeDocument/2006/relationships/hyperlink" Target="https://drive.google.com/file/d/1jqfo9I4pJ51X-l-gueer0UWcI82jE5Pn/view?usp=drive_link" TargetMode="External"/><Relationship Id="rId50" Type="http://schemas.openxmlformats.org/officeDocument/2006/relationships/hyperlink" Target="https://drive.google.com/file/d/1hsmYE3r1SwV0PVX-hHU1EZTfdPrx6P6_/view?usp=sharing" TargetMode="External"/><Relationship Id="rId53" Type="http://schemas.openxmlformats.org/officeDocument/2006/relationships/hyperlink" Target="https://drive.google.com/file/d/13CQaoroICLz9rHN_ZuoiaUN_yKniCPiz/view?usp=sharing" TargetMode="External"/><Relationship Id="rId52" Type="http://schemas.openxmlformats.org/officeDocument/2006/relationships/hyperlink" Target="https://drive.google.com/file/d/1jqfo9I4pJ51X-l-gueer0UWcI82jE5Pn/view?usp=drive_link" TargetMode="External"/><Relationship Id="rId55" Type="http://schemas.openxmlformats.org/officeDocument/2006/relationships/hyperlink" Target="https://drive.google.com/file/d/1Ftsx3TJahW7j_imEm3VBZ7HzEZ-HI_oN/view?usp=drive_link" TargetMode="External"/><Relationship Id="rId161" Type="http://schemas.openxmlformats.org/officeDocument/2006/relationships/hyperlink" Target="https://drive.google.com/file/d/1iKRey3OnqA1EVsy0S05DRWFlGXp3cdfQ/view?usp=sharing" TargetMode="External"/><Relationship Id="rId54" Type="http://schemas.openxmlformats.org/officeDocument/2006/relationships/hyperlink" Target="https://drive.google.com/file/d/1X8DpocQjSaf8Cj6Mr8gJCvRVMOhu26GH/view?usp=drive_link" TargetMode="External"/><Relationship Id="rId160" Type="http://schemas.openxmlformats.org/officeDocument/2006/relationships/hyperlink" Target="https://drive.google.com/file/d/1eUjLJVgsAj6tAxvyxO_WFdx1J9m0jVu_/view?usp=sharing" TargetMode="External"/><Relationship Id="rId57" Type="http://schemas.openxmlformats.org/officeDocument/2006/relationships/hyperlink" Target="https://drive.google.com/file/d/1L93Cyy1h1HzAOHYAy1UXOk_WQG8G0wIk/view?usp=sharing" TargetMode="External"/><Relationship Id="rId56" Type="http://schemas.openxmlformats.org/officeDocument/2006/relationships/hyperlink" Target="https://drive.google.com/file/d/1L93Cyy1h1HzAOHYAy1UXOk_WQG8G0wIk/view?usp=sharing" TargetMode="External"/><Relationship Id="rId159" Type="http://schemas.openxmlformats.org/officeDocument/2006/relationships/hyperlink" Target="https://drive.google.com/file/d/1nfUvEzuPuJgSmYkIZrPKP8vib-vZz4m8/view?usp=drive_link" TargetMode="External"/><Relationship Id="rId59" Type="http://schemas.openxmlformats.org/officeDocument/2006/relationships/hyperlink" Target="https://drive.google.com/file/d/1xCN-5YjiUmt2lVQCj_a6rJJkrAm8AG0O/view?usp=drive_link" TargetMode="External"/><Relationship Id="rId154" Type="http://schemas.openxmlformats.org/officeDocument/2006/relationships/hyperlink" Target="https://drive.google.com/file/d/1RAY0Yc2SfOs5hca0Kn3JWOIxixuO1tEo/view?usp=sharing" TargetMode="External"/><Relationship Id="rId58" Type="http://schemas.openxmlformats.org/officeDocument/2006/relationships/hyperlink" Target="https://drive.google.com/file/d/1PoHiSDoXSjHBo42UTSvcH1vBiVOUgHVm/view?usp=drive_link" TargetMode="External"/><Relationship Id="rId153" Type="http://schemas.openxmlformats.org/officeDocument/2006/relationships/hyperlink" Target="https://drive.google.com/file/d/1YShSc3AESoKYMNiKVvbXw_7XgaDxtuP4/view?usp=sharing" TargetMode="External"/><Relationship Id="rId152" Type="http://schemas.openxmlformats.org/officeDocument/2006/relationships/hyperlink" Target="https://drive.google.com/file/d/1RXxG9yO7_rl7XyrGHCcRGcJX8kH7Y-n3/view?usp=sharing" TargetMode="External"/><Relationship Id="rId151" Type="http://schemas.openxmlformats.org/officeDocument/2006/relationships/hyperlink" Target="https://drive.google.com/file/d/1p4HAh5sr0V4P5DzDwYE8MXelHEOchisX/view?usp=drive_link" TargetMode="External"/><Relationship Id="rId158" Type="http://schemas.openxmlformats.org/officeDocument/2006/relationships/hyperlink" Target="https://drive.google.com/file/d/1adMinDMci8YMWoGu72pfJd84dnBDmOA_/view?usp=sharing" TargetMode="External"/><Relationship Id="rId157" Type="http://schemas.openxmlformats.org/officeDocument/2006/relationships/hyperlink" Target="https://drive.google.com/file/d/19jqx3Z20XtpUnWXVG4SbqVFWPqrEN4AK/view?usp=sharing" TargetMode="External"/><Relationship Id="rId156" Type="http://schemas.openxmlformats.org/officeDocument/2006/relationships/hyperlink" Target="https://drive.google.com/file/d/1hxTVbhrNcIBsesYVkthChgW2mbAeihJN/view?usp=sharing" TargetMode="External"/><Relationship Id="rId155" Type="http://schemas.openxmlformats.org/officeDocument/2006/relationships/hyperlink" Target="https://drive.google.com/file/d/1eHEje98Ho0nreb8HdwMq_45jlBQDRnf8/view?usp=drive_link" TargetMode="External"/><Relationship Id="rId107" Type="http://schemas.openxmlformats.org/officeDocument/2006/relationships/hyperlink" Target="https://drive.google.com/file/d/1HFXAzyzaoEMBV89eNkPHbluu_ErOooZY/view?usp=sharing" TargetMode="External"/><Relationship Id="rId106" Type="http://schemas.openxmlformats.org/officeDocument/2006/relationships/hyperlink" Target="https://drive.google.com/file/d/12Q3myBQ3xqU1vJkrLFLggS9Pl9E1K57y/view?usp=sharing" TargetMode="External"/><Relationship Id="rId105" Type="http://schemas.openxmlformats.org/officeDocument/2006/relationships/hyperlink" Target="https://drive.google.com/file/d/18DITHOpJweXc6aYIx9Hw9sMSViCP3Tzb/view?usp=sharing" TargetMode="External"/><Relationship Id="rId104" Type="http://schemas.openxmlformats.org/officeDocument/2006/relationships/hyperlink" Target="https://drive.google.com/file/d/1KY3Lofkakb2AS2W5Kz9on0V0nbDnxB4d/view?usp=sharing" TargetMode="External"/><Relationship Id="rId109" Type="http://schemas.openxmlformats.org/officeDocument/2006/relationships/hyperlink" Target="https://drive.google.com/file/d/1Jml8eI81GXDeZxghbwEQcU3ZZrxUt_Jt/view?usp=sharing" TargetMode="External"/><Relationship Id="rId108" Type="http://schemas.openxmlformats.org/officeDocument/2006/relationships/hyperlink" Target="https://drive.google.com/file/d/16kc3ZoHTEcaAtnjpvWet8fDuuzdfvqr4/view?usp=sharing" TargetMode="External"/><Relationship Id="rId103" Type="http://schemas.openxmlformats.org/officeDocument/2006/relationships/hyperlink" Target="https://drive.google.com/file/d/1WQNLYz5swaVbV7UrOoOw9alearg7aiUb/view?usp=sharing" TargetMode="External"/><Relationship Id="rId102" Type="http://schemas.openxmlformats.org/officeDocument/2006/relationships/hyperlink" Target="https://drive.google.com/file/d/1FlEjTt0VKSStOzWXzY_MLawiHUh5Wm3G/view?usp=sharing" TargetMode="External"/><Relationship Id="rId101" Type="http://schemas.openxmlformats.org/officeDocument/2006/relationships/hyperlink" Target="https://drive.google.com/file/d/11P_92t0ScX93mZJmH6ibE3J_l3SKD6zJ/view?usp=sharing" TargetMode="External"/><Relationship Id="rId100" Type="http://schemas.openxmlformats.org/officeDocument/2006/relationships/hyperlink" Target="https://drive.google.com/file/d/1vND1zWGhZ-a4w354BC3dAkdabAiipHCJ/view?usp=sharing" TargetMode="External"/><Relationship Id="rId129" Type="http://schemas.openxmlformats.org/officeDocument/2006/relationships/hyperlink" Target="https://drive.google.com/file/d/1ttIi9nWZhWaBRfbg-y_tJkXEb6xDrNnE/view?usp=sharing" TargetMode="External"/><Relationship Id="rId128" Type="http://schemas.openxmlformats.org/officeDocument/2006/relationships/hyperlink" Target="https://drive.google.com/file/d/1ttIi9nWZhWaBRfbg-y_tJkXEb6xDrNnE/view?usp=sharing" TargetMode="External"/><Relationship Id="rId127" Type="http://schemas.openxmlformats.org/officeDocument/2006/relationships/hyperlink" Target="https://drive.google.com/file/d/1Zir13D7-kN53GAhQ-A5rfWslMu7kr4IG/view?usp=drive_link" TargetMode="External"/><Relationship Id="rId126" Type="http://schemas.openxmlformats.org/officeDocument/2006/relationships/hyperlink" Target="https://drive.google.com/file/d/1NwckPjOsuWUoPvqAOrb9CCOgQFyMBAUi/view?usp=sharing" TargetMode="External"/><Relationship Id="rId121" Type="http://schemas.openxmlformats.org/officeDocument/2006/relationships/hyperlink" Target="https://drive.google.com/file/d/1oO1xdbPxRx5v3ceauPtBomtC8HhUXsfQ/view?usp=sharing" TargetMode="External"/><Relationship Id="rId120" Type="http://schemas.openxmlformats.org/officeDocument/2006/relationships/hyperlink" Target="https://drive.google.com/file/d/1DxV6am2__r7Tw9QtzLclNelY8DSPef9x/view?usp=sharing" TargetMode="External"/><Relationship Id="rId125" Type="http://schemas.openxmlformats.org/officeDocument/2006/relationships/hyperlink" Target="https://drive.google.com/file/d/1CzgmLIRUspzidjOIYO3MWDLV4Hkty8Z7/view?usp=sharing" TargetMode="External"/><Relationship Id="rId124" Type="http://schemas.openxmlformats.org/officeDocument/2006/relationships/hyperlink" Target="https://drive.google.com/file/d/1CzgmLIRUspzidjOIYO3MWDLV4Hkty8Z7/view?usp=sharing" TargetMode="External"/><Relationship Id="rId123" Type="http://schemas.openxmlformats.org/officeDocument/2006/relationships/hyperlink" Target="https://drive.google.com/file/d/11DoYLY6kOsZR1AlEg-5QF5EQ2tkQOq_8/view?usp=sharing" TargetMode="External"/><Relationship Id="rId122" Type="http://schemas.openxmlformats.org/officeDocument/2006/relationships/hyperlink" Target="https://drive.google.com/file/d/1oO1xdbPxRx5v3ceauPtBomtC8HhUXsfQ/view?usp=sharing" TargetMode="External"/><Relationship Id="rId95" Type="http://schemas.openxmlformats.org/officeDocument/2006/relationships/hyperlink" Target="https://drive.google.com/file/d/1VfMiIQlDTAmqUXVqQff0ErC6wYUeHpFP/view?usp=sharing" TargetMode="External"/><Relationship Id="rId94" Type="http://schemas.openxmlformats.org/officeDocument/2006/relationships/hyperlink" Target="https://drive.google.com/file/d/1a9Y4JcXv-HBMCToli82DKVaAzhdciUBO/view?usp=sharing" TargetMode="External"/><Relationship Id="rId97" Type="http://schemas.openxmlformats.org/officeDocument/2006/relationships/hyperlink" Target="https://drive.google.com/file/d/1EHmBsXmOxsH6OT7qXw7zbBUdSJTnwqPb/view?usp=sharing" TargetMode="External"/><Relationship Id="rId96" Type="http://schemas.openxmlformats.org/officeDocument/2006/relationships/hyperlink" Target="https://drive.google.com/file/d/1nAY9NSDLD9gvfOKe0trAs4vqjtUiTFtD/view?usp=sharing" TargetMode="External"/><Relationship Id="rId99" Type="http://schemas.openxmlformats.org/officeDocument/2006/relationships/hyperlink" Target="https://drive.google.com/file/d/1FqO8KI4ypRFeEtlKpOxiW9JteYt7v5Qy/view?usp=sharing" TargetMode="External"/><Relationship Id="rId98" Type="http://schemas.openxmlformats.org/officeDocument/2006/relationships/hyperlink" Target="https://drive.google.com/file/d/1lsp8iJzuYL6t1MLTure7VzRB4udqClbL/view?usp=sharing" TargetMode="External"/><Relationship Id="rId91" Type="http://schemas.openxmlformats.org/officeDocument/2006/relationships/hyperlink" Target="https://drive.google.com/file/d/1XAbIWl3XtB6xxmnc1PELR05SvckIYBsF/view?usp=sharing" TargetMode="External"/><Relationship Id="rId90" Type="http://schemas.openxmlformats.org/officeDocument/2006/relationships/hyperlink" Target="https://drive.google.com/file/d/17uAOVG_vHs8SuhwW9k4hhlI2tGIxDWk6/view?usp=sharing" TargetMode="External"/><Relationship Id="rId93" Type="http://schemas.openxmlformats.org/officeDocument/2006/relationships/hyperlink" Target="https://drive.google.com/file/d/1YBBHZeKPNFhCwL3h4immUZD-q0HDgD0y/view?usp=sharing" TargetMode="External"/><Relationship Id="rId92" Type="http://schemas.openxmlformats.org/officeDocument/2006/relationships/hyperlink" Target="https://drive.google.com/file/d/1XWt2C9S0uqtNxgLJrMB8gJTByl3aUyOv/view?usp=sharing" TargetMode="External"/><Relationship Id="rId118" Type="http://schemas.openxmlformats.org/officeDocument/2006/relationships/hyperlink" Target="https://drive.google.com/file/d/1OXOGFkuCy1EeugKcez-WMsukHnk2pLxY/view?usp=sharing" TargetMode="External"/><Relationship Id="rId117" Type="http://schemas.openxmlformats.org/officeDocument/2006/relationships/hyperlink" Target="https://drive.google.com/file/d/1z1Ua7naD473_TmRhsGEFH6waFKKpjpbC/view?usp=sharing" TargetMode="External"/><Relationship Id="rId116" Type="http://schemas.openxmlformats.org/officeDocument/2006/relationships/hyperlink" Target="https://drive.google.com/file/d/1z1Ua7naD473_TmRhsGEFH6waFKKpjpbC/view?usp=sharing" TargetMode="External"/><Relationship Id="rId115" Type="http://schemas.openxmlformats.org/officeDocument/2006/relationships/hyperlink" Target="https://drive.google.com/file/d/1fIi7GxjKxP-LjRE45rDAZxRvYJHll1qW/view?usp=sharing" TargetMode="External"/><Relationship Id="rId119" Type="http://schemas.openxmlformats.org/officeDocument/2006/relationships/hyperlink" Target="https://drive.google.com/file/d/15Mam1b97gbHrOCQL4fLLr6vRReIuWsl5/view?usp=sharing" TargetMode="External"/><Relationship Id="rId110" Type="http://schemas.openxmlformats.org/officeDocument/2006/relationships/hyperlink" Target="https://drive.google.com/file/d/1TfkyEVEtOTQGAc9HgotpNVgXnQt4XVAv/view?usp=sharing" TargetMode="External"/><Relationship Id="rId114" Type="http://schemas.openxmlformats.org/officeDocument/2006/relationships/hyperlink" Target="https://drive.google.com/file/d/1Lb1yNAFIZufWegAFiX2Mreq1sawJEbZr/view?usp=sharing" TargetMode="External"/><Relationship Id="rId113" Type="http://schemas.openxmlformats.org/officeDocument/2006/relationships/hyperlink" Target="https://drive.google.com/file/d/1Lb1yNAFIZufWegAFiX2Mreq1sawJEbZr/view?usp=sharing" TargetMode="External"/><Relationship Id="rId112" Type="http://schemas.openxmlformats.org/officeDocument/2006/relationships/hyperlink" Target="https://drive.google.com/file/d/1zZjz5AUKakzNzTAyrXiKNALnsnfEeoMl/view?usp=sharing" TargetMode="External"/><Relationship Id="rId111" Type="http://schemas.openxmlformats.org/officeDocument/2006/relationships/hyperlink" Target="https://drive.google.com/file/d/1rjwsl5nyGFJX9ce-yIgVKg1UQeSvBiZ9/view?usp=sharing" TargetMode="External"/><Relationship Id="rId206" Type="http://schemas.openxmlformats.org/officeDocument/2006/relationships/vmlDrawing" Target="../drawings/vmlDrawing1.vml"/><Relationship Id="rId205" Type="http://schemas.openxmlformats.org/officeDocument/2006/relationships/drawing" Target="../drawings/drawing2.xml"/><Relationship Id="rId204" Type="http://schemas.openxmlformats.org/officeDocument/2006/relationships/hyperlink" Target="https://drive.google.com/file/d/1E7_yAi19Sj2IQOSWu7SEARhBMKK-6B6f/view?usp=sharing" TargetMode="External"/><Relationship Id="rId203" Type="http://schemas.openxmlformats.org/officeDocument/2006/relationships/hyperlink" Target="https://drive.google.com/file/d/1OAjOJs21iU4pfl2DVNggLFYV2XAiT8cS/view?usp=sharing" TargetMode="External"/><Relationship Id="rId202" Type="http://schemas.openxmlformats.org/officeDocument/2006/relationships/hyperlink" Target="https://drive.google.com/file/d/1OAjOJs21iU4pfl2DVNggLFYV2XAiT8cS/view?usp=sharing" TargetMode="External"/><Relationship Id="rId201" Type="http://schemas.openxmlformats.org/officeDocument/2006/relationships/hyperlink" Target="https://drive.google.com/file/d/1ccJBsJmM8uAXhSvUWbEo_VPOzeXJBGRU/view?usp=drive_link" TargetMode="External"/><Relationship Id="rId200" Type="http://schemas.openxmlformats.org/officeDocument/2006/relationships/hyperlink" Target="https://drive.google.com/file/d/15anhnJZ5_EthGwLIrlTzKSbRYuUa69z9/view?usp=sharing" TargetMode="Externa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1" Type="http://schemas.openxmlformats.org/officeDocument/2006/relationships/drawing" Target="../drawings/drawing5.xml"/><Relationship Id="rId10" Type="http://schemas.openxmlformats.org/officeDocument/2006/relationships/hyperlink" Target="https://drive.google.com/file/d/1HbOg3sOSi19k7aU1SZrXpyycsG-chbiJ/view?usp=drive_link" TargetMode="External"/><Relationship Id="rId1" Type="http://schemas.openxmlformats.org/officeDocument/2006/relationships/hyperlink" Target="https://drive.google.com/file/d/1AgLIF3GpyLXnVw7iJzBR38KID22oK56t/view?usp=drive_link" TargetMode="External"/><Relationship Id="rId2" Type="http://schemas.openxmlformats.org/officeDocument/2006/relationships/hyperlink" Target="https://drive.google.com/file/d/1AgLIF3GpyLXnVw7iJzBR38KID22oK56t/view?usp=drive_link" TargetMode="External"/><Relationship Id="rId3" Type="http://schemas.openxmlformats.org/officeDocument/2006/relationships/hyperlink" Target="https://drive.google.com/file/d/1dFn6c7guLiukg-cbB0CHvIEAYTFO6X1q/view?usp=drive_link" TargetMode="External"/><Relationship Id="rId4" Type="http://schemas.openxmlformats.org/officeDocument/2006/relationships/hyperlink" Target="https://drive.google.com/file/d/1AgLIF3GpyLXnVw7iJzBR38KID22oK56t/view?usp=drive_link" TargetMode="External"/><Relationship Id="rId9" Type="http://schemas.openxmlformats.org/officeDocument/2006/relationships/hyperlink" Target="https://drive.google.com/file/d/1pWwzdt37b01vOAqlBfHw8ZnteVwGqycN/view?usp=drive_link" TargetMode="External"/><Relationship Id="rId5" Type="http://schemas.openxmlformats.org/officeDocument/2006/relationships/hyperlink" Target="https://drive.google.com/file/d/153i-vi5Fij9WKKjqD2bN37r21Y-1Q5CG/view?usp=drive_link" TargetMode="External"/><Relationship Id="rId6" Type="http://schemas.openxmlformats.org/officeDocument/2006/relationships/hyperlink" Target="https://drive.google.com/file/d/1aehUnOyJ2DqWJ2p6nPvZPwWL23PpQPTb/view?usp=drive_link" TargetMode="External"/><Relationship Id="rId7" Type="http://schemas.openxmlformats.org/officeDocument/2006/relationships/hyperlink" Target="https://drive.google.com/file/d/1AgLIF3GpyLXnVw7iJzBR38KID22oK56t/view?usp=drive_link" TargetMode="External"/><Relationship Id="rId8" Type="http://schemas.openxmlformats.org/officeDocument/2006/relationships/hyperlink" Target="https://drive.google.com/file/d/1eHEje98Ho0nreb8HdwMq_45jlBQDRnf8/view?usp=drive_link" TargetMode="Externa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31" Type="http://schemas.openxmlformats.org/officeDocument/2006/relationships/hyperlink" Target="https://drive.google.com/file/d/1ccJBsJmM8uAXhSvUWbEo_VPOzeXJBGRU/view?usp=drive_link" TargetMode="External"/><Relationship Id="rId30" Type="http://schemas.openxmlformats.org/officeDocument/2006/relationships/hyperlink" Target="https://drive.google.com/file/d/1TyixIuTLk1FmaT3pY2vrsaDw08ms1Eva/view?usp=sharing" TargetMode="External"/><Relationship Id="rId33" Type="http://schemas.openxmlformats.org/officeDocument/2006/relationships/hyperlink" Target="https://drive.google.com/file/d/1xwWPmCFtzGIN3JSZnjOgv04ciW6l586l/view?usp=sharing" TargetMode="External"/><Relationship Id="rId32" Type="http://schemas.openxmlformats.org/officeDocument/2006/relationships/hyperlink" Target="https://drive.google.com/file/d/1o8y6Ix-LyGsAmuz2Dup-TDfpKFyScewb/view?usp=sharing" TargetMode="External"/><Relationship Id="rId35" Type="http://schemas.openxmlformats.org/officeDocument/2006/relationships/hyperlink" Target="https://drive.google.com/file/d/1O-Wlj618hY0e_sW-i24tYlbTEa4DBxws/view?usp=sharing" TargetMode="External"/><Relationship Id="rId34" Type="http://schemas.openxmlformats.org/officeDocument/2006/relationships/hyperlink" Target="https://drive.google.com/file/d/1QXhf4jol7i5tPgFAjxQ69NQiTYN2UTyV/view?usp=drive_link" TargetMode="External"/><Relationship Id="rId37" Type="http://schemas.openxmlformats.org/officeDocument/2006/relationships/vmlDrawing" Target="../drawings/vmlDrawing2.vml"/><Relationship Id="rId36" Type="http://schemas.openxmlformats.org/officeDocument/2006/relationships/drawing" Target="../drawings/drawing7.xml"/><Relationship Id="rId20" Type="http://schemas.openxmlformats.org/officeDocument/2006/relationships/hyperlink" Target="https://drive.google.com/file/d/1Lb1yNAFIZufWegAFiX2Mreq1sawJEbZr/view?usp=sharing" TargetMode="External"/><Relationship Id="rId22" Type="http://schemas.openxmlformats.org/officeDocument/2006/relationships/hyperlink" Target="https://drive.google.com/file/d/1CzgmLIRUspzidjOIYO3MWDLV4Hkty8Z7/view?usp=sharing" TargetMode="External"/><Relationship Id="rId21" Type="http://schemas.openxmlformats.org/officeDocument/2006/relationships/hyperlink" Target="https://drive.google.com/file/d/1z1Ua7naD473_TmRhsGEFH6waFKKpjpbC/view?usp=sharing" TargetMode="External"/><Relationship Id="rId24" Type="http://schemas.openxmlformats.org/officeDocument/2006/relationships/hyperlink" Target="https://drive.google.com/file/d/1uOdy1BQs6e1hfnMy-7ntEuEjvG6IgCU6/view?usp=drive_link" TargetMode="External"/><Relationship Id="rId23" Type="http://schemas.openxmlformats.org/officeDocument/2006/relationships/hyperlink" Target="https://drive.google.com/file/d/16DmQloklE9C4TU6II-u9FzsxZuO3TON5/view?usp=drive_link" TargetMode="External"/><Relationship Id="rId26" Type="http://schemas.openxmlformats.org/officeDocument/2006/relationships/hyperlink" Target="https://drive.google.com/file/d/1BvJSuctBFASwo_jBi5OfvEJZWRpaDfxN/view?usp=sharing" TargetMode="External"/><Relationship Id="rId25" Type="http://schemas.openxmlformats.org/officeDocument/2006/relationships/hyperlink" Target="https://drive.google.com/file/d/1dnN0m2oPYjsH_GoMh6Hu3PZxtYL-76tN/view?usp=drive_link" TargetMode="External"/><Relationship Id="rId28" Type="http://schemas.openxmlformats.org/officeDocument/2006/relationships/hyperlink" Target="https://drive.google.com/file/d/1m0MK_VQruZvYsITjMd8vTamqMHKI6Ajs/view?usp=sharing" TargetMode="External"/><Relationship Id="rId27" Type="http://schemas.openxmlformats.org/officeDocument/2006/relationships/hyperlink" Target="https://drive.google.com/file/d/1rHUhnF6p74C5ufkRZ_CYUw_PHrqJy_P_/view?usp=sharing" TargetMode="External"/><Relationship Id="rId29" Type="http://schemas.openxmlformats.org/officeDocument/2006/relationships/hyperlink" Target="https://drive.google.com/file/d/1-0E9laVeqLifL2WZ-gYZ1sul4Mq69rXm/view?usp=sharing" TargetMode="External"/><Relationship Id="rId11" Type="http://schemas.openxmlformats.org/officeDocument/2006/relationships/hyperlink" Target="https://drive.google.com/file/d/1jqfo9I4pJ51X-l-gueer0UWcI82jE5Pn/view?usp=drive_link" TargetMode="External"/><Relationship Id="rId10" Type="http://schemas.openxmlformats.org/officeDocument/2006/relationships/hyperlink" Target="https://drive.google.com/file/d/1L93Cyy1h1HzAOHYAy1UXOk_WQG8G0wIk/view?usp=sharing" TargetMode="External"/><Relationship Id="rId13" Type="http://schemas.openxmlformats.org/officeDocument/2006/relationships/hyperlink" Target="https://drive.google.com/file/d/1hjCDDa0-C4R3CNkm9cFFcAyNwJ9Geftu/view?usp=sharing" TargetMode="External"/><Relationship Id="rId12" Type="http://schemas.openxmlformats.org/officeDocument/2006/relationships/hyperlink" Target="https://drive.google.com/file/d/1waQ-eBp5piFNZv0KLybwXZ2MSlweqOdq/view?usp=sharing" TargetMode="External"/><Relationship Id="rId15" Type="http://schemas.openxmlformats.org/officeDocument/2006/relationships/hyperlink" Target="https://drive.google.com/file/d/1mjE0K8WELFPu2eVioyasr4wOU1oDH0Gr/view?usp=sharing" TargetMode="External"/><Relationship Id="rId14" Type="http://schemas.openxmlformats.org/officeDocument/2006/relationships/hyperlink" Target="https://drive.google.com/file/d/1mKgqy6O0UDf9BaG6-MMjGHa_jAsu2X3g/view?usp=drive_link" TargetMode="External"/><Relationship Id="rId17" Type="http://schemas.openxmlformats.org/officeDocument/2006/relationships/hyperlink" Target="https://drive.google.com/file/d/1Jml8eI81GXDeZxghbwEQcU3ZZrxUt_Jt/view?usp=sharing" TargetMode="External"/><Relationship Id="rId16" Type="http://schemas.openxmlformats.org/officeDocument/2006/relationships/hyperlink" Target="https://drive.google.com/file/d/18DITHOpJweXc6aYIx9Hw9sMSViCP3Tzb/view?usp=sharing" TargetMode="External"/><Relationship Id="rId19" Type="http://schemas.openxmlformats.org/officeDocument/2006/relationships/hyperlink" Target="https://drive.google.com/file/d/1oO1xdbPxRx5v3ceauPtBomtC8HhUXsfQ/view?usp=sharing" TargetMode="External"/><Relationship Id="rId18" Type="http://schemas.openxmlformats.org/officeDocument/2006/relationships/hyperlink" Target="https://drive.google.com/file/d/1nAY9NSDLD9gvfOKe0trAs4vqjtUiTFtD/view?usp=sharing" TargetMode="External"/><Relationship Id="rId1" Type="http://schemas.openxmlformats.org/officeDocument/2006/relationships/comments" Target="../comments2.xml"/><Relationship Id="rId2" Type="http://schemas.openxmlformats.org/officeDocument/2006/relationships/hyperlink" Target="https://drive.google.com/file/d/1SC2uCVy7fF1PKcjtSUbKwWyjX95eAPPB/view?usp=sharing" TargetMode="External"/><Relationship Id="rId3" Type="http://schemas.openxmlformats.org/officeDocument/2006/relationships/hyperlink" Target="https://drive.google.com/file/d/1HGqETTNvErwubQXSMgmZ4T1gkDkKyvae/view?usp=sharing" TargetMode="External"/><Relationship Id="rId4" Type="http://schemas.openxmlformats.org/officeDocument/2006/relationships/hyperlink" Target="https://drive.google.com/file/d/1lYxyVEb34NuH_rJJy9O_qnvaoK1hP0-s/view?usp=sharing" TargetMode="External"/><Relationship Id="rId9" Type="http://schemas.openxmlformats.org/officeDocument/2006/relationships/hyperlink" Target="https://drive.google.com/file/d/19bZ9A6HCxIYoZ3m-nS5607hmWuqrXOfP/view?usp=sharing" TargetMode="External"/><Relationship Id="rId5" Type="http://schemas.openxmlformats.org/officeDocument/2006/relationships/hyperlink" Target="https://drive.google.com/file/d/1nknSA9n3HdjaS1UC6zvQNO37zh_3p4Rk/view?usp=sharing" TargetMode="External"/><Relationship Id="rId6" Type="http://schemas.openxmlformats.org/officeDocument/2006/relationships/hyperlink" Target="https://drive.google.com/file/d/1xcQCbpsUOSgdbPEhVL9IA-Zl193moNgW/view?usp=sharing" TargetMode="External"/><Relationship Id="rId7" Type="http://schemas.openxmlformats.org/officeDocument/2006/relationships/hyperlink" Target="https://drive.google.com/file/d/1LF9bbuBujRrqyPtlOLUN4vACZZmn_zy_/view?usp=sharing" TargetMode="External"/><Relationship Id="rId8" Type="http://schemas.openxmlformats.org/officeDocument/2006/relationships/hyperlink" Target="https://drive.google.com/file/d/10X8-RgH2VjMk6-n-jqpAy0JK7a9TjxSA/view?usp=sharing" TargetMode="Externa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comments" Target="../comments3.xml"/><Relationship Id="rId2" Type="http://schemas.openxmlformats.org/officeDocument/2006/relationships/drawing" Target="../drawings/drawing9.xml"/><Relationship Id="rId3" Type="http://schemas.openxmlformats.org/officeDocument/2006/relationships/vmlDrawing" Target="../drawings/vmlDrawing3.vml"/></Relationships>
</file>

<file path=xl/worksheets/_rels/sheet10.xml.rels><?xml version="1.0" encoding="UTF-8" standalone="yes"?><Relationships xmlns="http://schemas.openxmlformats.org/package/2006/relationships"><Relationship Id="rId40" Type="http://schemas.openxmlformats.org/officeDocument/2006/relationships/hyperlink" Target="https://drive.google.com/file/d/1ccJBsJmM8uAXhSvUWbEo_VPOzeXJBGRU/view?usp=drive_link" TargetMode="External"/><Relationship Id="rId42" Type="http://schemas.openxmlformats.org/officeDocument/2006/relationships/hyperlink" Target="https://drive.google.com/file/d/1QXhf4jol7i5tPgFAjxQ69NQiTYN2UTyV/view?usp=drive_link" TargetMode="External"/><Relationship Id="rId41" Type="http://schemas.openxmlformats.org/officeDocument/2006/relationships/hyperlink" Target="https://drive.google.com/file/d/1O-Wlj618hY0e_sW-i24tYlbTEa4DBxws/view?usp=sharing" TargetMode="External"/><Relationship Id="rId44" Type="http://schemas.openxmlformats.org/officeDocument/2006/relationships/hyperlink" Target="https://drive.google.com/file/d/1ccJBsJmM8uAXhSvUWbEo_VPOzeXJBGRU/view?usp=sharing" TargetMode="External"/><Relationship Id="rId43" Type="http://schemas.openxmlformats.org/officeDocument/2006/relationships/hyperlink" Target="https://drive.google.com/file/d/16DmQloklE9C4TU6II-u9FzsxZuO3TON5/view?usp=drive_link" TargetMode="External"/><Relationship Id="rId46" Type="http://schemas.openxmlformats.org/officeDocument/2006/relationships/drawing" Target="../drawings/drawing10.xml"/><Relationship Id="rId45" Type="http://schemas.openxmlformats.org/officeDocument/2006/relationships/hyperlink" Target="https://drive.google.com/file/d/1dnN0m2oPYjsH_GoMh6Hu3PZxtYL-76tN/view?usp=drive_link" TargetMode="External"/><Relationship Id="rId31" Type="http://schemas.openxmlformats.org/officeDocument/2006/relationships/hyperlink" Target="https://drive.google.com/file/d/1hjCDDa0-C4R3CNkm9cFFcAyNwJ9Geftu/view?usp=sharing" TargetMode="External"/><Relationship Id="rId30" Type="http://schemas.openxmlformats.org/officeDocument/2006/relationships/hyperlink" Target="https://drive.google.com/file/d/1nknSA9n3HdjaS1UC6zvQNO37zh_3p4Rk/view?usp=sharing" TargetMode="External"/><Relationship Id="rId33" Type="http://schemas.openxmlformats.org/officeDocument/2006/relationships/hyperlink" Target="https://drive.google.com/file/d/1mjE0K8WELFPu2eVioyasr4wOU1oDH0Gr/view?usp=sharing" TargetMode="External"/><Relationship Id="rId32" Type="http://schemas.openxmlformats.org/officeDocument/2006/relationships/hyperlink" Target="https://drive.google.com/file/d/1waQ-eBp5piFNZv0KLybwXZ2MSlweqOdq/view?usp=sharing" TargetMode="External"/><Relationship Id="rId35" Type="http://schemas.openxmlformats.org/officeDocument/2006/relationships/hyperlink" Target="https://drive.google.com/file/d/1L93Cyy1h1HzAOHYAy1UXOk_WQG8G0wIk/view?usp=sharing" TargetMode="External"/><Relationship Id="rId34" Type="http://schemas.openxmlformats.org/officeDocument/2006/relationships/hyperlink" Target="https://docs.google.com/spreadsheets/d/1cO6BHpvO78yJy5lBDXgxzqKcrwdQfcPN/edit?usp=drive_link&amp;ouid=116061753976140637023&amp;rtpof=true&amp;sd=true" TargetMode="External"/><Relationship Id="rId37" Type="http://schemas.openxmlformats.org/officeDocument/2006/relationships/hyperlink" Target="https://docs.google.com/spreadsheets/d/1NjaHgQwnodaruPdm7JSzH1SWp1j7Q2xg/edit?usp=drive_link&amp;ouid=116061753976140637023&amp;rtpof=true&amp;sd=true" TargetMode="External"/><Relationship Id="rId36" Type="http://schemas.openxmlformats.org/officeDocument/2006/relationships/hyperlink" Target="https://drive.google.com/file/d/1jqfo9I4pJ51X-l-gueer0UWcI82jE5Pn/view?usp=drive_link" TargetMode="External"/><Relationship Id="rId39" Type="http://schemas.openxmlformats.org/officeDocument/2006/relationships/hyperlink" Target="https://drive.google.com/file/d/1uOdy1BQs6e1hfnMy-7ntEuEjvG6IgCU6/view?usp=drive_link" TargetMode="External"/><Relationship Id="rId38" Type="http://schemas.openxmlformats.org/officeDocument/2006/relationships/hyperlink" Target="https://drive.google.com/file/d/1mKgqy6O0UDf9BaG6-MMjGHa_jAsu2X3g/view?usp=drive_link" TargetMode="External"/><Relationship Id="rId20" Type="http://schemas.openxmlformats.org/officeDocument/2006/relationships/hyperlink" Target="https://drive.google.com/file/d/1waQ-eBp5piFNZv0KLybwXZ2MSlweqOdq/view?usp=sharing" TargetMode="External"/><Relationship Id="rId22" Type="http://schemas.openxmlformats.org/officeDocument/2006/relationships/hyperlink" Target="https://docs.google.com/spreadsheets/d/1CVLMQ22DcGXahs_BZ3EpLyL7RaDlAEXX/edit?usp=drive_link&amp;ouid=116061753976140637023&amp;rtpof=true&amp;sd=true" TargetMode="External"/><Relationship Id="rId21" Type="http://schemas.openxmlformats.org/officeDocument/2006/relationships/hyperlink" Target="https://drive.google.com/file/d/1nknSA9n3HdjaS1UC6zvQNO37zh_3p4Rk/view?usp=sharing" TargetMode="External"/><Relationship Id="rId24" Type="http://schemas.openxmlformats.org/officeDocument/2006/relationships/hyperlink" Target="https://drive.google.com/file/d/1SC2uCVy7fF1PKcjtSUbKwWyjX95eAPPB/view?usp=sharing" TargetMode="External"/><Relationship Id="rId23" Type="http://schemas.openxmlformats.org/officeDocument/2006/relationships/hyperlink" Target="https://drive.google.com/file/d/1hjCDDa0-C4R3CNkm9cFFcAyNwJ9Geftu/view?usp=sharing" TargetMode="External"/><Relationship Id="rId26" Type="http://schemas.openxmlformats.org/officeDocument/2006/relationships/hyperlink" Target="https://drive.google.com/file/d/1oO1xdbPxRx5v3ceauPtBomtC8HhUXsfQ/view?usp=sharing" TargetMode="External"/><Relationship Id="rId25" Type="http://schemas.openxmlformats.org/officeDocument/2006/relationships/hyperlink" Target="https://docs.google.com/spreadsheets/d/18YxwfWOyAdGM-GkjXwn5ytJ1MoWORObq/edit?usp=drive_link&amp;ouid=116061753976140637023&amp;rtpof=true&amp;sd=true" TargetMode="External"/><Relationship Id="rId28" Type="http://schemas.openxmlformats.org/officeDocument/2006/relationships/hyperlink" Target="https://drive.google.com/file/d/1rHUhnF6p74C5ufkRZ_CYUw_PHrqJy_P_/view?usp=sharing" TargetMode="External"/><Relationship Id="rId27" Type="http://schemas.openxmlformats.org/officeDocument/2006/relationships/hyperlink" Target="https://drive.google.com/file/d/10X8-RgH2VjMk6-n-jqpAy0JK7a9TjxSA/view?usp=sharing" TargetMode="External"/><Relationship Id="rId29" Type="http://schemas.openxmlformats.org/officeDocument/2006/relationships/hyperlink" Target="https://drive.google.com/file/d/1SC2uCVy7fF1PKcjtSUbKwWyjX95eAPPB/view?usp=sharing" TargetMode="External"/><Relationship Id="rId11" Type="http://schemas.openxmlformats.org/officeDocument/2006/relationships/hyperlink" Target="https://docs.google.com/spreadsheets/d/1G0EAx1pgpoYrNCIPMN8KEIrMMAmclq5d/edit?usp=drive_link&amp;ouid=116061753976140637023&amp;rtpof=true&amp;sd=true" TargetMode="External"/><Relationship Id="rId10" Type="http://schemas.openxmlformats.org/officeDocument/2006/relationships/hyperlink" Target="https://drive.google.com/file/d/1LF9bbuBujRrqyPtlOLUN4vACZZmn_zy_/view?usp=sharing" TargetMode="External"/><Relationship Id="rId13" Type="http://schemas.openxmlformats.org/officeDocument/2006/relationships/hyperlink" Target="https://docs.google.com/spreadsheets/d/1yq8qdHFwiZ6e8AgE0A6JnJOgxNmQo4RY/edit?usp=drive_link&amp;ouid=116061753976140637023&amp;rtpof=true&amp;sd=true" TargetMode="External"/><Relationship Id="rId12" Type="http://schemas.openxmlformats.org/officeDocument/2006/relationships/hyperlink" Target="https://drive.google.com/file/d/1Jml8eI81GXDeZxghbwEQcU3ZZrxUt_Jt/view?usp=sharing" TargetMode="External"/><Relationship Id="rId15" Type="http://schemas.openxmlformats.org/officeDocument/2006/relationships/hyperlink" Target="https://drive.google.com/file/d/1z1Ua7naD473_TmRhsGEFH6waFKKpjpbC/view?usp=sharing" TargetMode="External"/><Relationship Id="rId14" Type="http://schemas.openxmlformats.org/officeDocument/2006/relationships/hyperlink" Target="https://drive.google.com/file/d/1Lb1yNAFIZufWegAFiX2Mreq1sawJEbZr/view?usp=sharing" TargetMode="External"/><Relationship Id="rId17" Type="http://schemas.openxmlformats.org/officeDocument/2006/relationships/hyperlink" Target="https://docs.google.com/spreadsheets/d/1AS49jo4RCGJ4IeQ5YTKkT7OETb2Ib1lX/edit?usp=drive_link&amp;ouid=116061753976140637023&amp;rtpof=true&amp;sd=true" TargetMode="External"/><Relationship Id="rId16" Type="http://schemas.openxmlformats.org/officeDocument/2006/relationships/hyperlink" Target="https://drive.google.com/file/d/1HGqETTNvErwubQXSMgmZ4T1gkDkKyvae/view?usp=sharing" TargetMode="External"/><Relationship Id="rId19" Type="http://schemas.openxmlformats.org/officeDocument/2006/relationships/hyperlink" Target="https://docs.google.com/spreadsheets/d/1_vj5RxsflzIWoqedYgpkyahtmz7IlNrD/edit?usp=drive_link&amp;ouid=116061753976140637023&amp;rtpof=true&amp;sd=true" TargetMode="External"/><Relationship Id="rId18" Type="http://schemas.openxmlformats.org/officeDocument/2006/relationships/hyperlink" Target="https://drive.google.com/file/d/1lYxyVEb34NuH_rJJy9O_qnvaoK1hP0-s/view?usp=sharing" TargetMode="External"/><Relationship Id="rId1" Type="http://schemas.openxmlformats.org/officeDocument/2006/relationships/hyperlink" Target="https://drive.google.com/file/d/1GRbzsdO9lhog-lnPy3jKj0X2QQFR6L0f/view?usp=sharing" TargetMode="External"/><Relationship Id="rId2" Type="http://schemas.openxmlformats.org/officeDocument/2006/relationships/hyperlink" Target="https://drive.google.com/file/d/1nAY9NSDLD9gvfOKe0trAs4vqjtUiTFtD/view?usp=sharing" TargetMode="External"/><Relationship Id="rId3" Type="http://schemas.openxmlformats.org/officeDocument/2006/relationships/hyperlink" Target="https://docs.google.com/spreadsheets/d/18VDj_7to40NEwqfC8YoB2gWDmO6yRObe/edit?usp=drive_link&amp;ouid=116061753976140637023&amp;rtpof=true&amp;sd=true" TargetMode="External"/><Relationship Id="rId4" Type="http://schemas.openxmlformats.org/officeDocument/2006/relationships/hyperlink" Target="https://drive.google.com/file/d/1o8y6Ix-LyGsAmuz2Dup-TDfpKFyScewb/view?usp=sharing" TargetMode="External"/><Relationship Id="rId9" Type="http://schemas.openxmlformats.org/officeDocument/2006/relationships/hyperlink" Target="https://docs.google.com/spreadsheets/d/1xYsskG8HOkktB9bq5h2wBvigFpVlohQu/edit?usp=drive_link&amp;ouid=116061753976140637023&amp;rtpof=true&amp;sd=true" TargetMode="External"/><Relationship Id="rId5" Type="http://schemas.openxmlformats.org/officeDocument/2006/relationships/hyperlink" Target="https://docs.google.com/spreadsheets/d/154nzN8IYWvRRxNj6Nqpg3WgMnY214hP8/edit?usp=drive_link&amp;ouid=116061753976140637023&amp;rtpof=true&amp;sd=true" TargetMode="External"/><Relationship Id="rId6" Type="http://schemas.openxmlformats.org/officeDocument/2006/relationships/hyperlink" Target="https://drive.google.com/file/d/19bZ9A6HCxIYoZ3m-nS5607hmWuqrXOfP/view?usp=sharing" TargetMode="External"/><Relationship Id="rId7" Type="http://schemas.openxmlformats.org/officeDocument/2006/relationships/hyperlink" Target="https://docs.google.com/spreadsheets/d/1rPYW7alsxJ9iztBC9SpgwbBlF3AEaXd4/edit?usp=drive_link&amp;ouid=116061753976140637023&amp;rtpof=true&amp;sd=true" TargetMode="External"/><Relationship Id="rId8" Type="http://schemas.openxmlformats.org/officeDocument/2006/relationships/hyperlink" Target="https://drive.google.com/file/d/18DITHOpJweXc6aYIx9Hw9sMSViCP3Tzb/view?usp=sharing" TargetMode="External"/></Relationships>
</file>

<file path=xl/worksheets/_rels/sheet11.xml.rels><?xml version="1.0" encoding="UTF-8" standalone="yes"?><Relationships xmlns="http://schemas.openxmlformats.org/package/2006/relationships"><Relationship Id="rId1" Type="http://schemas.openxmlformats.org/officeDocument/2006/relationships/comments" Target="../comments4.xml"/><Relationship Id="rId2" Type="http://schemas.openxmlformats.org/officeDocument/2006/relationships/drawing" Target="../drawings/drawing11.xml"/><Relationship Id="rId3" Type="http://schemas.openxmlformats.org/officeDocument/2006/relationships/vmlDrawing" Target="../drawings/vmlDrawing4.vml"/></Relationships>
</file>

<file path=xl/worksheets/_rels/sheet12.xml.rels><?xml version="1.0" encoding="UTF-8" standalone="yes"?><Relationships xmlns="http://schemas.openxmlformats.org/package/2006/relationships"><Relationship Id="rId1" Type="http://schemas.openxmlformats.org/officeDocument/2006/relationships/comments" Target="../comments5.xml"/><Relationship Id="rId2" Type="http://schemas.openxmlformats.org/officeDocument/2006/relationships/drawing" Target="../drawings/drawing12.xml"/><Relationship Id="rId3" Type="http://schemas.openxmlformats.org/officeDocument/2006/relationships/vmlDrawing" Target="../drawings/vmlDrawing5.vml"/><Relationship Id="rId5" Type="http://schemas.openxmlformats.org/officeDocument/2006/relationships/table" Target="../tables/table1.xml"/></Relationships>
</file>

<file path=xl/worksheets/_rels/sheet13.xml.rels><?xml version="1.0" encoding="UTF-8" standalone="yes"?><Relationships xmlns="http://schemas.openxmlformats.org/package/2006/relationships"><Relationship Id="rId1" Type="http://schemas.openxmlformats.org/officeDocument/2006/relationships/comments" Target="../comments6.xml"/><Relationship Id="rId2" Type="http://schemas.openxmlformats.org/officeDocument/2006/relationships/drawing" Target="../drawings/drawing13.xml"/><Relationship Id="rId3" Type="http://schemas.openxmlformats.org/officeDocument/2006/relationships/vmlDrawing" Target="../drawings/vmlDrawing6.v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1" Type="http://schemas.openxmlformats.org/officeDocument/2006/relationships/drawing" Target="../drawings/drawing15.xml"/><Relationship Id="rId10" Type="http://schemas.openxmlformats.org/officeDocument/2006/relationships/hyperlink" Target="https://drive.google.com/file/d/1L93Cyy1h1HzAOHYAy1UXOk_WQG8G0wIk/view?usp=sharing" TargetMode="External"/><Relationship Id="rId1" Type="http://schemas.openxmlformats.org/officeDocument/2006/relationships/hyperlink" Target="https://drive.google.com/file/d/1ILnW6cYSv1MPTHfJnDzOGhS0ZLuYHjzd/view?usp=sharing" TargetMode="External"/><Relationship Id="rId2" Type="http://schemas.openxmlformats.org/officeDocument/2006/relationships/hyperlink" Target="https://drive.google.com/file/d/1iZhMiTvV09CZM8HjCax_FTcDcPDZBdTr/view?usp=sharing" TargetMode="External"/><Relationship Id="rId3" Type="http://schemas.openxmlformats.org/officeDocument/2006/relationships/hyperlink" Target="https://drive.google.com/file/d/10NW-CU4vBLsvOGD4LiDCbvErk5YhRlRq/view?usp=sharing" TargetMode="External"/><Relationship Id="rId4" Type="http://schemas.openxmlformats.org/officeDocument/2006/relationships/hyperlink" Target="https://drive.google.com/file/d/12eK-oXltDcIKXs20wWNISrJ8JLwBz2n0/view?usp=sharing" TargetMode="External"/><Relationship Id="rId9" Type="http://schemas.openxmlformats.org/officeDocument/2006/relationships/hyperlink" Target="https://drive.google.com/file/d/1aWMZgB02N54iWHvvMmhtv4A0rzVirzir/view?usp=sharing" TargetMode="External"/><Relationship Id="rId5" Type="http://schemas.openxmlformats.org/officeDocument/2006/relationships/hyperlink" Target="https://drive.google.com/file/d/1a4AInOLJgjfMJ7XDABdxXWY1kAI22Zgd/view?usp=sharing" TargetMode="External"/><Relationship Id="rId6" Type="http://schemas.openxmlformats.org/officeDocument/2006/relationships/hyperlink" Target="https://drive.google.com/file/d/1aWMZgB02N54iWHvvMmhtv4A0rzVirzir/view?usp=sharing" TargetMode="External"/><Relationship Id="rId7" Type="http://schemas.openxmlformats.org/officeDocument/2006/relationships/hyperlink" Target="https://drive.google.com/file/d/1aWMZgB02N54iWHvvMmhtv4A0rzVirzir/view?usp=sharing" TargetMode="External"/><Relationship Id="rId8" Type="http://schemas.openxmlformats.org/officeDocument/2006/relationships/hyperlink" Target="https://drive.google.com/file/d/1aWMZgB02N54iWHvvMmhtv4A0rzVirzir/view?usp=sharing" TargetMode="External"/></Relationships>
</file>

<file path=xl/worksheets/_rels/sheet16.xml.rels><?xml version="1.0" encoding="UTF-8" standalone="yes"?><Relationships xmlns="http://schemas.openxmlformats.org/package/2006/relationships"><Relationship Id="rId1" Type="http://schemas.openxmlformats.org/officeDocument/2006/relationships/comments" Target="../comments7.xml"/><Relationship Id="rId2" Type="http://schemas.openxmlformats.org/officeDocument/2006/relationships/drawing" Target="../drawings/drawing16.xml"/><Relationship Id="rId3" Type="http://schemas.openxmlformats.org/officeDocument/2006/relationships/vmlDrawing" Target="../drawings/vmlDrawing7.v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comments" Target="../comments8.xml"/><Relationship Id="rId2" Type="http://schemas.openxmlformats.org/officeDocument/2006/relationships/drawing" Target="../drawings/drawing18.xml"/><Relationship Id="rId3" Type="http://schemas.openxmlformats.org/officeDocument/2006/relationships/vmlDrawing" Target="../drawings/vmlDrawing8.v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theme="0"/>
    <pageSetUpPr/>
  </sheetPr>
  <sheetViews>
    <sheetView workbookViewId="0"/>
  </sheetViews>
  <sheetFormatPr customHeight="1" defaultColWidth="12.63" defaultRowHeight="15.0"/>
  <cols>
    <col customWidth="1" min="1" max="1" width="45.88"/>
    <col customWidth="1" min="2" max="2" width="10.63"/>
    <col customWidth="1" min="3" max="3" width="15.75"/>
    <col customWidth="1" min="4" max="4" width="14.38"/>
    <col customWidth="1" min="5" max="5" width="13.38"/>
    <col customWidth="1" min="6" max="6" width="14.75"/>
    <col customWidth="1" min="7" max="7" width="14.38"/>
    <col customWidth="1" min="8" max="8" width="15.88"/>
    <col customWidth="1" min="9" max="9" width="16.0"/>
    <col customWidth="1" min="10" max="10" width="13.25"/>
    <col customWidth="1" min="11" max="11" width="10.63"/>
    <col customWidth="1" min="12" max="30" width="11.38"/>
  </cols>
  <sheetData>
    <row r="13" ht="12.0" customHeight="1">
      <c r="E13" s="1" t="s">
        <v>0</v>
      </c>
      <c r="H13" s="2"/>
    </row>
    <row r="14" ht="12.0" customHeight="1">
      <c r="E14" s="3" t="s">
        <v>1</v>
      </c>
      <c r="F14" s="4"/>
      <c r="G14" s="4"/>
      <c r="H14" s="4"/>
    </row>
    <row r="15" ht="12.0" customHeight="1">
      <c r="E15" s="5"/>
      <c r="F15" s="6" t="s">
        <v>2</v>
      </c>
      <c r="G15" s="7"/>
      <c r="H15" s="5"/>
    </row>
    <row r="17" ht="12.75" customHeight="1">
      <c r="B17" s="8"/>
      <c r="C17" s="9" t="s">
        <v>3</v>
      </c>
      <c r="D17" s="10" t="s">
        <v>4</v>
      </c>
      <c r="E17" s="11" t="s">
        <v>5</v>
      </c>
      <c r="F17" s="10" t="s">
        <v>6</v>
      </c>
      <c r="G17" s="11" t="s">
        <v>7</v>
      </c>
      <c r="H17" s="10" t="s">
        <v>8</v>
      </c>
      <c r="I17" s="11" t="s">
        <v>9</v>
      </c>
      <c r="J17" s="10" t="s">
        <v>10</v>
      </c>
      <c r="K17" s="12"/>
    </row>
    <row r="18" ht="12.75" customHeight="1">
      <c r="B18" s="13"/>
      <c r="C18" s="14"/>
      <c r="D18" s="14"/>
      <c r="E18" s="14"/>
      <c r="F18" s="14"/>
      <c r="G18" s="14"/>
      <c r="H18" s="14"/>
      <c r="I18" s="14"/>
      <c r="J18" s="14"/>
      <c r="K18" s="15"/>
    </row>
    <row r="19" ht="12.75" customHeight="1">
      <c r="B19" s="13"/>
      <c r="C19" s="14"/>
      <c r="D19" s="14"/>
      <c r="E19" s="14"/>
      <c r="F19" s="14"/>
      <c r="G19" s="14"/>
      <c r="H19" s="14"/>
      <c r="I19" s="14"/>
      <c r="J19" s="14"/>
      <c r="K19" s="15"/>
    </row>
    <row r="20" ht="12.75" customHeight="1">
      <c r="B20" s="13"/>
      <c r="C20" s="14"/>
      <c r="D20" s="14"/>
      <c r="E20" s="14"/>
      <c r="F20" s="14"/>
      <c r="G20" s="14"/>
      <c r="H20" s="14"/>
      <c r="I20" s="14"/>
      <c r="J20" s="14"/>
      <c r="K20" s="15"/>
    </row>
    <row r="21" ht="12.75" customHeight="1">
      <c r="B21" s="13"/>
      <c r="C21" s="14"/>
      <c r="D21" s="14"/>
      <c r="E21" s="14"/>
      <c r="F21" s="14"/>
      <c r="G21" s="14"/>
      <c r="H21" s="14"/>
      <c r="I21" s="14"/>
      <c r="J21" s="14"/>
      <c r="K21" s="15"/>
    </row>
    <row r="22" ht="12.0" customHeight="1">
      <c r="B22" s="16"/>
      <c r="C22" s="4"/>
      <c r="D22" s="4"/>
      <c r="E22" s="4"/>
      <c r="F22" s="4"/>
      <c r="G22" s="4"/>
      <c r="H22" s="4"/>
      <c r="I22" s="4"/>
      <c r="J22" s="4"/>
      <c r="K22" s="17"/>
    </row>
    <row r="23" ht="12.0" customHeight="1">
      <c r="B23" s="18"/>
      <c r="C23" s="19" t="s">
        <v>11</v>
      </c>
      <c r="D23" s="20"/>
      <c r="E23" s="20" t="s">
        <v>12</v>
      </c>
      <c r="F23" s="20"/>
      <c r="G23" s="5"/>
      <c r="H23" s="5"/>
      <c r="I23" s="5"/>
      <c r="J23" s="5"/>
      <c r="K23" s="21"/>
    </row>
    <row r="24" ht="12.0" customHeight="1">
      <c r="B24" s="22"/>
      <c r="C24" s="23"/>
      <c r="D24" s="24"/>
      <c r="E24" s="24"/>
      <c r="F24" s="24"/>
      <c r="G24" s="24"/>
      <c r="H24" s="24"/>
      <c r="I24" s="24"/>
      <c r="J24" s="24"/>
      <c r="K24" s="25"/>
    </row>
    <row r="25" ht="12.0" customHeight="1">
      <c r="B25" s="26"/>
      <c r="C25" s="26"/>
      <c r="D25" s="26"/>
      <c r="E25" s="26"/>
      <c r="F25" s="26"/>
      <c r="G25" s="26"/>
      <c r="H25" s="26"/>
      <c r="I25" s="26"/>
      <c r="J25" s="26"/>
      <c r="K25" s="26"/>
    </row>
    <row r="26" ht="12.0" customHeight="1">
      <c r="B26" s="27" t="s">
        <v>13</v>
      </c>
      <c r="C26" s="28"/>
      <c r="D26" s="26"/>
      <c r="E26" s="26"/>
      <c r="F26" s="26"/>
      <c r="G26" s="26"/>
      <c r="H26" s="26"/>
      <c r="I26" s="26"/>
      <c r="J26" s="26"/>
      <c r="K26" s="26"/>
    </row>
  </sheetData>
  <mergeCells count="14">
    <mergeCell ref="F17:F21"/>
    <mergeCell ref="G17:G21"/>
    <mergeCell ref="H17:H21"/>
    <mergeCell ref="I17:I21"/>
    <mergeCell ref="J17:J21"/>
    <mergeCell ref="K17:K21"/>
    <mergeCell ref="E13:H13"/>
    <mergeCell ref="E14:H14"/>
    <mergeCell ref="F15:G15"/>
    <mergeCell ref="B17:B21"/>
    <mergeCell ref="C17:C21"/>
    <mergeCell ref="D17:D21"/>
    <mergeCell ref="E17:E21"/>
    <mergeCell ref="B22:K22"/>
  </mergeCells>
  <printOptions/>
  <pageMargins bottom="0.75" footer="0.0" header="0.0" left="0.7" right="0.7" top="0.75"/>
  <pageSetup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theme="0"/>
    <pageSetUpPr/>
  </sheetPr>
  <sheetViews>
    <sheetView showGridLines="0" workbookViewId="0">
      <pane ySplit="6.0" topLeftCell="A7" activePane="bottomLeft" state="frozen"/>
      <selection activeCell="B8" sqref="B8" pane="bottomLeft"/>
    </sheetView>
  </sheetViews>
  <sheetFormatPr customHeight="1" defaultColWidth="12.63" defaultRowHeight="15.0"/>
  <cols>
    <col customWidth="1" min="1" max="1" width="7.0"/>
    <col customWidth="1" min="2" max="2" width="11.63"/>
    <col customWidth="1" min="3" max="3" width="41.5"/>
    <col customWidth="1" min="4" max="4" width="38.0"/>
    <col customWidth="1" min="5" max="5" width="17.0"/>
    <col customWidth="1" min="6" max="6" width="24.13"/>
    <col customWidth="1" min="7" max="7" width="9.88"/>
    <col customWidth="1" min="8" max="8" width="17.75"/>
    <col customWidth="1" min="9" max="9" width="15.0"/>
    <col customWidth="1" min="10" max="10" width="13.88"/>
    <col customWidth="1" min="11" max="11" width="15.13"/>
    <col customWidth="1" min="12" max="12" width="10.0"/>
    <col customWidth="1" min="13" max="13" width="14.75"/>
    <col customWidth="1" min="14" max="14" width="15.13"/>
    <col customWidth="1" min="15" max="15" width="11.63"/>
    <col customWidth="1" min="16" max="16" width="15.38"/>
    <col customWidth="1" min="17" max="17" width="11.88"/>
    <col customWidth="1" min="18" max="18" width="17.0"/>
    <col customWidth="1" min="19" max="19" width="12.25"/>
    <col customWidth="1" min="20" max="20" width="12.75"/>
    <col customWidth="1" min="21" max="21" width="13.0"/>
    <col customWidth="1" min="22" max="22" width="19.75"/>
    <col customWidth="1" min="23" max="23" width="15.63"/>
    <col customWidth="1" min="24" max="24" width="14.88"/>
    <col customWidth="1" min="25" max="25" width="23.0"/>
    <col customWidth="1" min="26" max="26" width="24.88"/>
    <col customWidth="1" min="27" max="28" width="19.75"/>
    <col customWidth="1" min="29" max="29" width="20.0"/>
    <col customWidth="1" min="30" max="30" width="19.0"/>
    <col customWidth="1" min="31" max="31" width="20.38"/>
    <col customWidth="1" min="32" max="32" width="15.75"/>
    <col customWidth="1" min="33" max="33" width="15.63"/>
    <col customWidth="1" min="34" max="34" width="18.13"/>
    <col customWidth="1" min="35" max="35" width="14.0"/>
    <col customWidth="1" min="36" max="36" width="14.88"/>
    <col customWidth="1" min="37" max="38" width="19.38"/>
    <col customWidth="1" min="39" max="39" width="57.88"/>
    <col customWidth="1" min="40" max="40" width="15.38"/>
    <col customWidth="1" min="41" max="41" width="17.75"/>
    <col customWidth="1" min="42" max="42" width="37.38"/>
    <col customWidth="1" min="43" max="43" width="13.38"/>
    <col customWidth="1" min="44" max="44" width="14.0"/>
    <col customWidth="1" min="45" max="45" width="13.75"/>
    <col customWidth="1" min="46" max="46" width="16.38"/>
    <col customWidth="1" min="47" max="47" width="18.38"/>
    <col customWidth="1" min="48" max="48" width="13.25"/>
    <col customWidth="1" min="49" max="49" width="12.38"/>
    <col customWidth="1" min="50" max="50" width="17.25"/>
    <col customWidth="1" min="51" max="51" width="22.13"/>
    <col customWidth="1" min="52" max="53" width="18.38"/>
    <col customWidth="1" min="54" max="54" width="31.25"/>
    <col customWidth="1" min="55" max="55" width="8.38"/>
    <col customWidth="1" min="56" max="57" width="19.38"/>
    <col customWidth="1" min="58" max="58" width="42.88"/>
    <col customWidth="1" min="59" max="59" width="21.75"/>
  </cols>
  <sheetData>
    <row r="1" ht="26.25" customHeight="1">
      <c r="A1" s="29" t="s">
        <v>14</v>
      </c>
      <c r="BG1" s="30"/>
    </row>
    <row r="2" ht="24.75" customHeight="1">
      <c r="A2" s="31"/>
      <c r="C2" s="32" t="s">
        <v>0</v>
      </c>
      <c r="AB2" s="33"/>
      <c r="AD2" s="34"/>
      <c r="AE2" s="35"/>
      <c r="AF2" s="35"/>
      <c r="AG2" s="35"/>
      <c r="AH2" s="35"/>
      <c r="AL2" s="36"/>
      <c r="AV2" s="37"/>
      <c r="BC2" s="30"/>
      <c r="BF2" s="30"/>
      <c r="BG2" s="30"/>
    </row>
    <row r="3" ht="17.25" customHeight="1">
      <c r="A3" s="31"/>
      <c r="B3" s="38"/>
      <c r="C3" s="32" t="s">
        <v>15</v>
      </c>
      <c r="D3" s="38"/>
      <c r="E3" s="38"/>
      <c r="F3" s="38"/>
      <c r="G3" s="38"/>
      <c r="H3" s="38"/>
      <c r="I3" s="38"/>
      <c r="J3" s="38"/>
      <c r="K3" s="38"/>
      <c r="L3" s="38"/>
      <c r="M3" s="38"/>
      <c r="N3" s="38"/>
      <c r="O3" s="38"/>
      <c r="P3" s="38"/>
      <c r="Q3" s="38"/>
      <c r="R3" s="38"/>
      <c r="S3" s="38"/>
      <c r="T3" s="38"/>
      <c r="U3" s="38"/>
      <c r="V3" s="38"/>
      <c r="W3" s="38"/>
      <c r="X3" s="38"/>
      <c r="Y3" s="38"/>
      <c r="Z3" s="38"/>
      <c r="AA3" s="38"/>
      <c r="AB3" s="39"/>
      <c r="AC3" s="38"/>
      <c r="AD3" s="32"/>
      <c r="AE3" s="35"/>
      <c r="AF3" s="35"/>
      <c r="AG3" s="35"/>
      <c r="AH3" s="35"/>
      <c r="AL3" s="36"/>
      <c r="AV3" s="37"/>
      <c r="BC3" s="30"/>
      <c r="BF3" s="30"/>
      <c r="BG3" s="30"/>
    </row>
    <row r="4" ht="20.25" customHeight="1">
      <c r="A4" s="31"/>
      <c r="C4" s="40" t="s">
        <v>16</v>
      </c>
      <c r="AB4" s="33"/>
      <c r="AD4" s="34"/>
      <c r="AE4" s="38"/>
      <c r="AF4" s="41"/>
      <c r="AG4" s="41"/>
      <c r="AH4" s="32"/>
      <c r="AI4" s="38"/>
      <c r="AJ4" s="38"/>
      <c r="AK4" s="38"/>
      <c r="AL4" s="38"/>
      <c r="AM4" s="38"/>
      <c r="AN4" s="38"/>
      <c r="AO4" s="38"/>
      <c r="AP4" s="38"/>
      <c r="AQ4" s="38"/>
      <c r="AR4" s="38"/>
      <c r="AS4" s="38"/>
      <c r="AT4" s="38"/>
      <c r="AU4" s="38"/>
      <c r="AV4" s="42"/>
      <c r="AW4" s="38"/>
      <c r="AX4" s="38"/>
      <c r="AY4" s="38"/>
      <c r="AZ4" s="38"/>
      <c r="BA4" s="38"/>
      <c r="BB4" s="38"/>
      <c r="BC4" s="32"/>
      <c r="BD4" s="38"/>
      <c r="BE4" s="38"/>
      <c r="BF4" s="32"/>
      <c r="BG4" s="30"/>
    </row>
    <row r="5" ht="14.25" customHeight="1">
      <c r="A5" s="31"/>
      <c r="B5" s="43"/>
      <c r="C5" s="43"/>
      <c r="D5" s="43"/>
      <c r="E5" s="43"/>
      <c r="F5" s="43"/>
      <c r="G5" s="43"/>
      <c r="H5" s="43"/>
      <c r="I5" s="43"/>
      <c r="J5" s="43"/>
      <c r="K5" s="43"/>
      <c r="L5" s="43"/>
      <c r="M5" s="43"/>
      <c r="N5" s="30"/>
      <c r="O5" s="30"/>
      <c r="P5" s="30"/>
      <c r="Q5" s="30"/>
      <c r="R5" s="30"/>
      <c r="S5" s="30"/>
      <c r="T5" s="30"/>
      <c r="U5" s="30"/>
      <c r="V5" s="30"/>
      <c r="W5" s="30"/>
      <c r="X5" s="30"/>
      <c r="Y5" s="30"/>
      <c r="Z5" s="30"/>
      <c r="AA5" s="30"/>
      <c r="AB5" s="44"/>
      <c r="AC5" s="30"/>
      <c r="AD5" s="30"/>
      <c r="AE5" s="45"/>
      <c r="AF5" s="45"/>
      <c r="AG5" s="45"/>
      <c r="AH5" s="45"/>
      <c r="AI5" s="43"/>
      <c r="AJ5" s="43"/>
      <c r="AK5" s="43"/>
      <c r="AL5" s="43"/>
      <c r="AM5" s="43"/>
      <c r="AN5" s="43"/>
      <c r="AO5" s="43"/>
      <c r="AP5" s="43"/>
      <c r="AQ5" s="43"/>
      <c r="AR5" s="43"/>
      <c r="AS5" s="43"/>
      <c r="AT5" s="43"/>
      <c r="AU5" s="43"/>
      <c r="AV5" s="46"/>
      <c r="AW5" s="43"/>
      <c r="AX5" s="43"/>
      <c r="AY5" s="43"/>
      <c r="AZ5" s="43"/>
      <c r="BA5" s="43"/>
      <c r="BB5" s="36"/>
      <c r="BG5" s="30"/>
    </row>
    <row r="6" ht="36.75" customHeight="1">
      <c r="A6" s="47" t="s">
        <v>17</v>
      </c>
      <c r="B6" s="47" t="s">
        <v>18</v>
      </c>
      <c r="C6" s="47" t="s">
        <v>19</v>
      </c>
      <c r="D6" s="47" t="s">
        <v>20</v>
      </c>
      <c r="E6" s="47" t="s">
        <v>21</v>
      </c>
      <c r="F6" s="48" t="s">
        <v>22</v>
      </c>
      <c r="G6" s="47" t="s">
        <v>23</v>
      </c>
      <c r="H6" s="47" t="s">
        <v>24</v>
      </c>
      <c r="I6" s="47" t="s">
        <v>25</v>
      </c>
      <c r="J6" s="47" t="s">
        <v>26</v>
      </c>
      <c r="K6" s="47" t="s">
        <v>27</v>
      </c>
      <c r="L6" s="47" t="s">
        <v>28</v>
      </c>
      <c r="M6" s="47" t="s">
        <v>29</v>
      </c>
      <c r="N6" s="47" t="s">
        <v>30</v>
      </c>
      <c r="O6" s="47" t="s">
        <v>31</v>
      </c>
      <c r="P6" s="49" t="s">
        <v>32</v>
      </c>
      <c r="Q6" s="47" t="s">
        <v>33</v>
      </c>
      <c r="R6" s="47" t="s">
        <v>34</v>
      </c>
      <c r="S6" s="47" t="s">
        <v>35</v>
      </c>
      <c r="T6" s="47" t="s">
        <v>36</v>
      </c>
      <c r="U6" s="47" t="s">
        <v>37</v>
      </c>
      <c r="V6" s="47" t="s">
        <v>38</v>
      </c>
      <c r="W6" s="47" t="s">
        <v>39</v>
      </c>
      <c r="X6" s="47" t="s">
        <v>40</v>
      </c>
      <c r="Y6" s="50" t="s">
        <v>41</v>
      </c>
      <c r="Z6" s="50" t="s">
        <v>42</v>
      </c>
      <c r="AA6" s="50" t="s">
        <v>43</v>
      </c>
      <c r="AB6" s="51" t="s">
        <v>44</v>
      </c>
      <c r="AC6" s="52" t="s">
        <v>45</v>
      </c>
      <c r="AD6" s="53" t="s">
        <v>46</v>
      </c>
      <c r="AE6" s="53" t="s">
        <v>46</v>
      </c>
      <c r="AF6" s="54" t="s">
        <v>47</v>
      </c>
      <c r="AG6" s="55" t="s">
        <v>48</v>
      </c>
      <c r="AH6" s="56" t="s">
        <v>49</v>
      </c>
      <c r="AI6" s="57" t="s">
        <v>50</v>
      </c>
      <c r="AJ6" s="54" t="s">
        <v>51</v>
      </c>
      <c r="AK6" s="54" t="s">
        <v>52</v>
      </c>
      <c r="AL6" s="54" t="s">
        <v>53</v>
      </c>
      <c r="AM6" s="47" t="s">
        <v>54</v>
      </c>
      <c r="AN6" s="47" t="s">
        <v>55</v>
      </c>
      <c r="AO6" s="47" t="s">
        <v>56</v>
      </c>
      <c r="AP6" s="47" t="s">
        <v>57</v>
      </c>
      <c r="AQ6" s="47" t="s">
        <v>58</v>
      </c>
      <c r="AR6" s="47" t="s">
        <v>59</v>
      </c>
      <c r="AS6" s="47" t="s">
        <v>60</v>
      </c>
      <c r="AT6" s="53" t="s">
        <v>61</v>
      </c>
      <c r="AU6" s="53" t="s">
        <v>62</v>
      </c>
      <c r="AV6" s="58" t="s">
        <v>63</v>
      </c>
      <c r="AW6" s="53" t="s">
        <v>48</v>
      </c>
      <c r="AX6" s="59" t="s">
        <v>64</v>
      </c>
      <c r="AY6" s="60" t="s">
        <v>65</v>
      </c>
      <c r="AZ6" s="53" t="s">
        <v>66</v>
      </c>
      <c r="BA6" s="53" t="s">
        <v>67</v>
      </c>
      <c r="BB6" s="47" t="s">
        <v>68</v>
      </c>
      <c r="BC6" s="47" t="s">
        <v>69</v>
      </c>
      <c r="BD6" s="47" t="s">
        <v>70</v>
      </c>
      <c r="BE6" s="61" t="s">
        <v>71</v>
      </c>
      <c r="BF6" s="62" t="s">
        <v>72</v>
      </c>
      <c r="BG6" s="63" t="s">
        <v>73</v>
      </c>
    </row>
    <row r="7" ht="47.25" customHeight="1">
      <c r="A7" s="64">
        <v>1.0</v>
      </c>
      <c r="B7" s="65">
        <v>29672.0</v>
      </c>
      <c r="C7" s="66" t="s">
        <v>74</v>
      </c>
      <c r="D7" s="66" t="s">
        <v>75</v>
      </c>
      <c r="E7" s="66" t="s">
        <v>76</v>
      </c>
      <c r="F7" s="67" t="s">
        <v>77</v>
      </c>
      <c r="G7" s="65">
        <v>224.0</v>
      </c>
      <c r="H7" s="65"/>
      <c r="I7" s="65" t="s">
        <v>78</v>
      </c>
      <c r="J7" s="65" t="s">
        <v>79</v>
      </c>
      <c r="K7" s="65"/>
      <c r="L7" s="65"/>
      <c r="M7" s="65"/>
      <c r="N7" s="66" t="s">
        <v>80</v>
      </c>
      <c r="O7" s="65" t="s">
        <v>81</v>
      </c>
      <c r="P7" s="68" t="s">
        <v>82</v>
      </c>
      <c r="Q7" s="66" t="s">
        <v>83</v>
      </c>
      <c r="R7" s="66" t="s">
        <v>84</v>
      </c>
      <c r="S7" s="65" t="s">
        <v>85</v>
      </c>
      <c r="T7" s="65" t="s">
        <v>86</v>
      </c>
      <c r="U7" s="65" t="s">
        <v>86</v>
      </c>
      <c r="V7" s="65" t="s">
        <v>86</v>
      </c>
      <c r="W7" s="65">
        <v>158.0</v>
      </c>
      <c r="X7" s="65" t="s">
        <v>87</v>
      </c>
      <c r="Y7" s="69"/>
      <c r="Z7" s="69"/>
      <c r="AA7" s="69"/>
      <c r="AB7" s="70">
        <v>0.35</v>
      </c>
      <c r="AC7" s="71" t="str">
        <f t="shared" ref="AC7:AC15" si="1">IF(AJ7&gt;TODAY(),"Si","No")</f>
        <v>Si</v>
      </c>
      <c r="AD7" s="72">
        <v>19202.0</v>
      </c>
      <c r="AE7" s="73">
        <v>19202.0</v>
      </c>
      <c r="AF7" s="74">
        <v>44480.0</v>
      </c>
      <c r="AG7" s="73">
        <v>7.0</v>
      </c>
      <c r="AH7" s="75">
        <f t="shared" ref="AH7:AH15" si="2">EDATE(AF7,(AG7*12)-14)</f>
        <v>46610</v>
      </c>
      <c r="AI7" s="74">
        <f t="shared" ref="AI7:AI15" si="3">EDATE(AF7,(AG7*12)-12)</f>
        <v>46671</v>
      </c>
      <c r="AJ7" s="74">
        <f t="shared" ref="AJ7:AJ15" si="4">EDATE(AF7,AG7*12)</f>
        <v>47037</v>
      </c>
      <c r="AK7" s="74"/>
      <c r="AL7" s="74"/>
      <c r="AM7" s="76" t="s">
        <v>88</v>
      </c>
      <c r="AN7" s="76">
        <v>3.0</v>
      </c>
      <c r="AO7" s="76"/>
      <c r="AP7" s="76"/>
      <c r="AQ7" s="76"/>
      <c r="AR7" s="65" t="s">
        <v>89</v>
      </c>
      <c r="AS7" s="65"/>
      <c r="AT7" s="65" t="str">
        <f>'Rutas AAC'!AE7</f>
        <v> </v>
      </c>
      <c r="AU7" s="77"/>
      <c r="AV7" s="78"/>
      <c r="AW7" s="79"/>
      <c r="AX7" s="80"/>
      <c r="AY7" s="81"/>
      <c r="AZ7" s="81"/>
      <c r="BA7" s="81"/>
      <c r="BB7" s="76"/>
      <c r="BC7" s="76"/>
      <c r="BD7" s="76"/>
      <c r="BE7" s="76"/>
      <c r="BF7" s="82"/>
      <c r="BG7" s="83"/>
    </row>
    <row r="8" ht="48.75" customHeight="1">
      <c r="A8" s="64">
        <v>2.0</v>
      </c>
      <c r="B8" s="65">
        <v>34954.0</v>
      </c>
      <c r="C8" s="66" t="s">
        <v>74</v>
      </c>
      <c r="D8" s="66" t="s">
        <v>90</v>
      </c>
      <c r="E8" s="66" t="s">
        <v>91</v>
      </c>
      <c r="F8" s="67" t="s">
        <v>92</v>
      </c>
      <c r="G8" s="65">
        <v>104526.0</v>
      </c>
      <c r="H8" s="65"/>
      <c r="I8" s="65" t="s">
        <v>93</v>
      </c>
      <c r="J8" s="65" t="s">
        <v>94</v>
      </c>
      <c r="K8" s="65"/>
      <c r="L8" s="65"/>
      <c r="M8" s="65"/>
      <c r="N8" s="66" t="s">
        <v>80</v>
      </c>
      <c r="O8" s="65" t="s">
        <v>81</v>
      </c>
      <c r="P8" s="68" t="s">
        <v>82</v>
      </c>
      <c r="Q8" s="66" t="s">
        <v>95</v>
      </c>
      <c r="R8" s="66" t="s">
        <v>96</v>
      </c>
      <c r="S8" s="65" t="s">
        <v>85</v>
      </c>
      <c r="T8" s="65" t="s">
        <v>97</v>
      </c>
      <c r="U8" s="65"/>
      <c r="V8" s="65">
        <v>41.0</v>
      </c>
      <c r="W8" s="65">
        <v>41.0</v>
      </c>
      <c r="X8" s="65" t="s">
        <v>98</v>
      </c>
      <c r="Y8" s="69"/>
      <c r="Z8" s="69"/>
      <c r="AA8" s="69"/>
      <c r="AB8" s="70" t="s">
        <v>99</v>
      </c>
      <c r="AC8" s="71" t="str">
        <f t="shared" si="1"/>
        <v>Si</v>
      </c>
      <c r="AD8" s="72">
        <v>19204.0</v>
      </c>
      <c r="AE8" s="73">
        <v>19204.0</v>
      </c>
      <c r="AF8" s="74">
        <v>44480.0</v>
      </c>
      <c r="AG8" s="73">
        <v>7.0</v>
      </c>
      <c r="AH8" s="75">
        <f t="shared" si="2"/>
        <v>46610</v>
      </c>
      <c r="AI8" s="74">
        <f t="shared" si="3"/>
        <v>46671</v>
      </c>
      <c r="AJ8" s="74">
        <f t="shared" si="4"/>
        <v>47037</v>
      </c>
      <c r="AK8" s="74"/>
      <c r="AL8" s="74"/>
      <c r="AM8" s="76" t="s">
        <v>100</v>
      </c>
      <c r="AN8" s="76">
        <v>2.0</v>
      </c>
      <c r="AO8" s="76"/>
      <c r="AP8" s="76"/>
      <c r="AQ8" s="76"/>
      <c r="AR8" s="65" t="s">
        <v>82</v>
      </c>
      <c r="AS8" s="65"/>
      <c r="AT8" s="65" t="str">
        <f>'Rutas AAC'!AE12</f>
        <v> </v>
      </c>
      <c r="AU8" s="77"/>
      <c r="AV8" s="78"/>
      <c r="AW8" s="79"/>
      <c r="AX8" s="80"/>
      <c r="AY8" s="84"/>
      <c r="AZ8" s="79"/>
      <c r="BA8" s="84"/>
      <c r="BB8" s="85"/>
      <c r="BC8" s="86"/>
      <c r="BD8" s="86"/>
      <c r="BE8" s="76"/>
      <c r="BF8" s="87"/>
      <c r="BG8" s="83"/>
    </row>
    <row r="9" ht="51.0" customHeight="1">
      <c r="A9" s="64">
        <v>3.0</v>
      </c>
      <c r="B9" s="88">
        <v>13119.0</v>
      </c>
      <c r="C9" s="66" t="s">
        <v>74</v>
      </c>
      <c r="D9" s="66" t="s">
        <v>101</v>
      </c>
      <c r="E9" s="66" t="s">
        <v>102</v>
      </c>
      <c r="F9" s="67" t="s">
        <v>103</v>
      </c>
      <c r="G9" s="88">
        <v>225.0</v>
      </c>
      <c r="H9" s="88"/>
      <c r="I9" s="88" t="s">
        <v>104</v>
      </c>
      <c r="J9" s="88" t="s">
        <v>79</v>
      </c>
      <c r="K9" s="65"/>
      <c r="L9" s="65"/>
      <c r="M9" s="88"/>
      <c r="N9" s="66" t="s">
        <v>80</v>
      </c>
      <c r="O9" s="65" t="s">
        <v>81</v>
      </c>
      <c r="P9" s="68" t="s">
        <v>82</v>
      </c>
      <c r="Q9" s="66" t="s">
        <v>83</v>
      </c>
      <c r="R9" s="66" t="s">
        <v>84</v>
      </c>
      <c r="S9" s="65" t="s">
        <v>85</v>
      </c>
      <c r="T9" s="65" t="s">
        <v>86</v>
      </c>
      <c r="U9" s="65" t="s">
        <v>86</v>
      </c>
      <c r="V9" s="65" t="s">
        <v>86</v>
      </c>
      <c r="W9" s="65">
        <v>164.0</v>
      </c>
      <c r="X9" s="65" t="s">
        <v>87</v>
      </c>
      <c r="Y9" s="89" t="s">
        <v>105</v>
      </c>
      <c r="Z9" s="69"/>
      <c r="AA9" s="89" t="s">
        <v>106</v>
      </c>
      <c r="AB9" s="70">
        <v>0.07</v>
      </c>
      <c r="AC9" s="71" t="str">
        <f t="shared" si="1"/>
        <v>Si</v>
      </c>
      <c r="AD9" s="72">
        <v>1042.0</v>
      </c>
      <c r="AE9" s="73">
        <v>1042.0</v>
      </c>
      <c r="AF9" s="74">
        <v>44960.0</v>
      </c>
      <c r="AG9" s="73">
        <v>7.0</v>
      </c>
      <c r="AH9" s="75">
        <f t="shared" si="2"/>
        <v>47090</v>
      </c>
      <c r="AI9" s="74">
        <f t="shared" si="3"/>
        <v>47152</v>
      </c>
      <c r="AJ9" s="74">
        <f t="shared" si="4"/>
        <v>47517</v>
      </c>
      <c r="AK9" s="74"/>
      <c r="AL9" s="74"/>
      <c r="AM9" s="76" t="s">
        <v>107</v>
      </c>
      <c r="AN9" s="76">
        <v>4.0</v>
      </c>
      <c r="AO9" s="76"/>
      <c r="AP9" s="76"/>
      <c r="AQ9" s="76"/>
      <c r="AR9" s="65" t="s">
        <v>89</v>
      </c>
      <c r="AS9" s="65" t="s">
        <v>89</v>
      </c>
      <c r="AT9" s="65" t="str">
        <f>'Rutas AAC'!AE8</f>
        <v> </v>
      </c>
      <c r="AU9" s="72">
        <v>1042.0</v>
      </c>
      <c r="AV9" s="90">
        <v>44960.0</v>
      </c>
      <c r="AW9" s="91">
        <v>6.0</v>
      </c>
      <c r="AX9" s="80">
        <f t="shared" ref="AX9:AX13" si="5">EDATE(AV9,(AW9*12)-14)</f>
        <v>46724</v>
      </c>
      <c r="AY9" s="84">
        <f t="shared" ref="AY9:AY13" si="6">EDATE(AV9,(AW9*12)-12)</f>
        <v>46786</v>
      </c>
      <c r="AZ9" s="84">
        <f t="shared" ref="AZ9:AZ13" si="7">EDATE(AV9,(AW9*12))</f>
        <v>47152</v>
      </c>
      <c r="BA9" s="84">
        <f t="shared" ref="BA9:BA13" si="8">EDATE(AV9,((AW9/2)*12))</f>
        <v>46056</v>
      </c>
      <c r="BB9" s="85" t="s">
        <v>108</v>
      </c>
      <c r="BC9" s="86">
        <v>2.0</v>
      </c>
      <c r="BD9" s="86"/>
      <c r="BE9" s="76"/>
      <c r="BF9" s="82"/>
      <c r="BG9" s="83"/>
    </row>
    <row r="10" ht="51.0" customHeight="1">
      <c r="A10" s="64">
        <v>4.0</v>
      </c>
      <c r="B10" s="65">
        <v>31470.0</v>
      </c>
      <c r="C10" s="66" t="s">
        <v>74</v>
      </c>
      <c r="D10" s="66" t="s">
        <v>109</v>
      </c>
      <c r="E10" s="66" t="s">
        <v>110</v>
      </c>
      <c r="F10" s="67" t="s">
        <v>111</v>
      </c>
      <c r="G10" s="65">
        <v>54801.0</v>
      </c>
      <c r="H10" s="65"/>
      <c r="I10" s="65" t="s">
        <v>112</v>
      </c>
      <c r="J10" s="65" t="s">
        <v>113</v>
      </c>
      <c r="K10" s="65"/>
      <c r="L10" s="65"/>
      <c r="M10" s="65"/>
      <c r="N10" s="66" t="s">
        <v>80</v>
      </c>
      <c r="O10" s="65" t="s">
        <v>81</v>
      </c>
      <c r="P10" s="68" t="s">
        <v>82</v>
      </c>
      <c r="Q10" s="66" t="s">
        <v>83</v>
      </c>
      <c r="R10" s="66" t="s">
        <v>84</v>
      </c>
      <c r="S10" s="65" t="s">
        <v>85</v>
      </c>
      <c r="T10" s="65" t="s">
        <v>86</v>
      </c>
      <c r="U10" s="65" t="s">
        <v>86</v>
      </c>
      <c r="V10" s="65" t="s">
        <v>86</v>
      </c>
      <c r="W10" s="65">
        <v>182.0</v>
      </c>
      <c r="X10" s="65" t="s">
        <v>114</v>
      </c>
      <c r="Y10" s="89" t="s">
        <v>115</v>
      </c>
      <c r="Z10" s="69"/>
      <c r="AA10" s="69"/>
      <c r="AB10" s="70" t="s">
        <v>99</v>
      </c>
      <c r="AC10" s="71" t="str">
        <f t="shared" si="1"/>
        <v>Si</v>
      </c>
      <c r="AD10" s="72">
        <v>1037.0</v>
      </c>
      <c r="AE10" s="73">
        <v>1037.0</v>
      </c>
      <c r="AF10" s="74">
        <v>44960.0</v>
      </c>
      <c r="AG10" s="73">
        <v>7.0</v>
      </c>
      <c r="AH10" s="75">
        <f t="shared" si="2"/>
        <v>47090</v>
      </c>
      <c r="AI10" s="74">
        <f t="shared" si="3"/>
        <v>47152</v>
      </c>
      <c r="AJ10" s="74">
        <f t="shared" si="4"/>
        <v>47517</v>
      </c>
      <c r="AK10" s="74"/>
      <c r="AL10" s="74"/>
      <c r="AM10" s="76" t="s">
        <v>116</v>
      </c>
      <c r="AN10" s="76">
        <v>4.0</v>
      </c>
      <c r="AO10" s="76"/>
      <c r="AP10" s="76"/>
      <c r="AQ10" s="76"/>
      <c r="AR10" s="65" t="s">
        <v>89</v>
      </c>
      <c r="AS10" s="65" t="s">
        <v>89</v>
      </c>
      <c r="AT10" s="65" t="str">
        <f>'Rutas AAC'!AE11</f>
        <v> </v>
      </c>
      <c r="AU10" s="72">
        <v>1037.0</v>
      </c>
      <c r="AV10" s="90">
        <v>44960.0</v>
      </c>
      <c r="AW10" s="91">
        <v>6.0</v>
      </c>
      <c r="AX10" s="80">
        <f t="shared" si="5"/>
        <v>46724</v>
      </c>
      <c r="AY10" s="84">
        <f t="shared" si="6"/>
        <v>46786</v>
      </c>
      <c r="AZ10" s="84">
        <f t="shared" si="7"/>
        <v>47152</v>
      </c>
      <c r="BA10" s="84">
        <f t="shared" si="8"/>
        <v>46056</v>
      </c>
      <c r="BB10" s="92"/>
      <c r="BC10" s="86">
        <v>1.0</v>
      </c>
      <c r="BD10" s="92"/>
      <c r="BE10" s="76">
        <v>2013.0</v>
      </c>
      <c r="BF10" s="87"/>
      <c r="BG10" s="83"/>
    </row>
    <row r="11" ht="61.5" customHeight="1">
      <c r="A11" s="64">
        <v>5.0</v>
      </c>
      <c r="B11" s="88">
        <v>31015.0</v>
      </c>
      <c r="C11" s="66" t="s">
        <v>74</v>
      </c>
      <c r="D11" s="66" t="s">
        <v>117</v>
      </c>
      <c r="E11" s="66" t="s">
        <v>118</v>
      </c>
      <c r="F11" s="67" t="s">
        <v>119</v>
      </c>
      <c r="G11" s="65">
        <v>4963.0</v>
      </c>
      <c r="H11" s="65"/>
      <c r="I11" s="65" t="s">
        <v>120</v>
      </c>
      <c r="J11" s="65" t="s">
        <v>79</v>
      </c>
      <c r="K11" s="65"/>
      <c r="L11" s="93"/>
      <c r="M11" s="66"/>
      <c r="N11" s="66" t="s">
        <v>80</v>
      </c>
      <c r="O11" s="65" t="s">
        <v>81</v>
      </c>
      <c r="P11" s="68" t="s">
        <v>82</v>
      </c>
      <c r="Q11" s="66" t="s">
        <v>83</v>
      </c>
      <c r="R11" s="66" t="s">
        <v>84</v>
      </c>
      <c r="S11" s="65" t="s">
        <v>85</v>
      </c>
      <c r="T11" s="65" t="s">
        <v>86</v>
      </c>
      <c r="U11" s="65" t="s">
        <v>86</v>
      </c>
      <c r="V11" s="65" t="s">
        <v>86</v>
      </c>
      <c r="W11" s="65">
        <v>149.0</v>
      </c>
      <c r="X11" s="65" t="s">
        <v>121</v>
      </c>
      <c r="Y11" s="89" t="s">
        <v>122</v>
      </c>
      <c r="Z11" s="69"/>
      <c r="AA11" s="89" t="s">
        <v>123</v>
      </c>
      <c r="AB11" s="70" t="s">
        <v>99</v>
      </c>
      <c r="AC11" s="71" t="str">
        <f t="shared" si="1"/>
        <v>Si</v>
      </c>
      <c r="AD11" s="72">
        <v>6400.0</v>
      </c>
      <c r="AE11" s="73">
        <v>6400.0</v>
      </c>
      <c r="AF11" s="74">
        <v>45036.0</v>
      </c>
      <c r="AG11" s="73">
        <v>7.0</v>
      </c>
      <c r="AH11" s="75">
        <f t="shared" si="2"/>
        <v>47169</v>
      </c>
      <c r="AI11" s="74">
        <f t="shared" si="3"/>
        <v>47228</v>
      </c>
      <c r="AJ11" s="74">
        <f t="shared" si="4"/>
        <v>47593</v>
      </c>
      <c r="AK11" s="74"/>
      <c r="AL11" s="74"/>
      <c r="AM11" s="76" t="s">
        <v>124</v>
      </c>
      <c r="AN11" s="76">
        <v>5.0</v>
      </c>
      <c r="AO11" s="76"/>
      <c r="AP11" s="76"/>
      <c r="AQ11" s="76"/>
      <c r="AR11" s="65" t="s">
        <v>89</v>
      </c>
      <c r="AS11" s="65" t="s">
        <v>89</v>
      </c>
      <c r="AT11" s="65" t="str">
        <f>'Rutas AAC'!AE9</f>
        <v> </v>
      </c>
      <c r="AU11" s="72">
        <v>6400.0</v>
      </c>
      <c r="AV11" s="90">
        <v>45036.0</v>
      </c>
      <c r="AW11" s="91">
        <v>6.0</v>
      </c>
      <c r="AX11" s="80">
        <f t="shared" si="5"/>
        <v>46803</v>
      </c>
      <c r="AY11" s="84">
        <f t="shared" si="6"/>
        <v>46863</v>
      </c>
      <c r="AZ11" s="84">
        <f t="shared" si="7"/>
        <v>47228</v>
      </c>
      <c r="BA11" s="84">
        <f t="shared" si="8"/>
        <v>46132</v>
      </c>
      <c r="BB11" s="94"/>
      <c r="BC11" s="94" t="s">
        <v>125</v>
      </c>
      <c r="BD11" s="94"/>
      <c r="BE11" s="76"/>
      <c r="BF11" s="95"/>
      <c r="BG11" s="96"/>
    </row>
    <row r="12" ht="42.0" customHeight="1">
      <c r="A12" s="64">
        <v>6.0</v>
      </c>
      <c r="B12" s="88">
        <v>31214.0</v>
      </c>
      <c r="C12" s="66" t="s">
        <v>74</v>
      </c>
      <c r="D12" s="66" t="s">
        <v>126</v>
      </c>
      <c r="E12" s="66" t="s">
        <v>127</v>
      </c>
      <c r="F12" s="67" t="s">
        <v>128</v>
      </c>
      <c r="G12" s="65">
        <v>11067.0</v>
      </c>
      <c r="H12" s="65"/>
      <c r="I12" s="65" t="s">
        <v>78</v>
      </c>
      <c r="J12" s="65" t="s">
        <v>94</v>
      </c>
      <c r="K12" s="65"/>
      <c r="L12" s="65"/>
      <c r="M12" s="93"/>
      <c r="N12" s="66" t="s">
        <v>80</v>
      </c>
      <c r="O12" s="65" t="s">
        <v>81</v>
      </c>
      <c r="P12" s="68" t="s">
        <v>82</v>
      </c>
      <c r="Q12" s="66" t="s">
        <v>83</v>
      </c>
      <c r="R12" s="66" t="s">
        <v>84</v>
      </c>
      <c r="S12" s="65" t="s">
        <v>85</v>
      </c>
      <c r="T12" s="65" t="s">
        <v>86</v>
      </c>
      <c r="U12" s="65" t="s">
        <v>86</v>
      </c>
      <c r="V12" s="65" t="s">
        <v>86</v>
      </c>
      <c r="W12" s="65">
        <v>170.0</v>
      </c>
      <c r="X12" s="65" t="s">
        <v>87</v>
      </c>
      <c r="Y12" s="69"/>
      <c r="Z12" s="69"/>
      <c r="AA12" s="69"/>
      <c r="AB12" s="70" t="s">
        <v>99</v>
      </c>
      <c r="AC12" s="71" t="str">
        <f t="shared" si="1"/>
        <v>Si</v>
      </c>
      <c r="AD12" s="72">
        <v>6402.0</v>
      </c>
      <c r="AE12" s="73">
        <v>6402.0</v>
      </c>
      <c r="AF12" s="74">
        <v>45036.0</v>
      </c>
      <c r="AG12" s="73">
        <v>7.0</v>
      </c>
      <c r="AH12" s="75">
        <f t="shared" si="2"/>
        <v>47169</v>
      </c>
      <c r="AI12" s="74">
        <f t="shared" si="3"/>
        <v>47228</v>
      </c>
      <c r="AJ12" s="74">
        <f t="shared" si="4"/>
        <v>47593</v>
      </c>
      <c r="AK12" s="74"/>
      <c r="AL12" s="74"/>
      <c r="AM12" s="76" t="s">
        <v>129</v>
      </c>
      <c r="AN12" s="76">
        <v>4.0</v>
      </c>
      <c r="AO12" s="76"/>
      <c r="AP12" s="76"/>
      <c r="AQ12" s="76"/>
      <c r="AR12" s="65" t="s">
        <v>89</v>
      </c>
      <c r="AS12" s="65" t="s">
        <v>89</v>
      </c>
      <c r="AT12" s="65" t="str">
        <f>'Rutas AAC'!AE10</f>
        <v> </v>
      </c>
      <c r="AU12" s="72">
        <v>6402.0</v>
      </c>
      <c r="AV12" s="90">
        <v>45036.0</v>
      </c>
      <c r="AW12" s="91">
        <v>4.0</v>
      </c>
      <c r="AX12" s="80">
        <f t="shared" si="5"/>
        <v>46073</v>
      </c>
      <c r="AY12" s="84">
        <f t="shared" si="6"/>
        <v>46132</v>
      </c>
      <c r="AZ12" s="84">
        <f t="shared" si="7"/>
        <v>46497</v>
      </c>
      <c r="BA12" s="84">
        <f t="shared" si="8"/>
        <v>45767</v>
      </c>
      <c r="BB12" s="85"/>
      <c r="BC12" s="86">
        <v>1.0</v>
      </c>
      <c r="BD12" s="86"/>
      <c r="BE12" s="76"/>
      <c r="BF12" s="82"/>
      <c r="BG12" s="83"/>
    </row>
    <row r="13" ht="60.0" customHeight="1">
      <c r="A13" s="97">
        <v>7.0</v>
      </c>
      <c r="B13" s="65">
        <v>21442.0</v>
      </c>
      <c r="C13" s="66" t="s">
        <v>130</v>
      </c>
      <c r="D13" s="66" t="s">
        <v>131</v>
      </c>
      <c r="E13" s="66" t="s">
        <v>132</v>
      </c>
      <c r="F13" s="67" t="s">
        <v>133</v>
      </c>
      <c r="G13" s="65">
        <v>3833.0</v>
      </c>
      <c r="H13" s="65"/>
      <c r="I13" s="65" t="s">
        <v>134</v>
      </c>
      <c r="J13" s="65" t="s">
        <v>79</v>
      </c>
      <c r="K13" s="65"/>
      <c r="L13" s="65"/>
      <c r="M13" s="65"/>
      <c r="N13" s="98" t="s">
        <v>135</v>
      </c>
      <c r="O13" s="65" t="s">
        <v>81</v>
      </c>
      <c r="P13" s="68" t="s">
        <v>136</v>
      </c>
      <c r="Q13" s="66" t="s">
        <v>83</v>
      </c>
      <c r="R13" s="66" t="s">
        <v>84</v>
      </c>
      <c r="S13" s="65" t="s">
        <v>85</v>
      </c>
      <c r="T13" s="65" t="s">
        <v>86</v>
      </c>
      <c r="U13" s="65" t="s">
        <v>86</v>
      </c>
      <c r="V13" s="65" t="s">
        <v>86</v>
      </c>
      <c r="W13" s="65">
        <v>166.0</v>
      </c>
      <c r="X13" s="65" t="s">
        <v>87</v>
      </c>
      <c r="Y13" s="69" t="s">
        <v>137</v>
      </c>
      <c r="Z13" s="99"/>
      <c r="AA13" s="69"/>
      <c r="AB13" s="70" t="s">
        <v>99</v>
      </c>
      <c r="AC13" s="71" t="str">
        <f t="shared" si="1"/>
        <v>Si</v>
      </c>
      <c r="AD13" s="72" t="s">
        <v>138</v>
      </c>
      <c r="AE13" s="73">
        <v>13200.0</v>
      </c>
      <c r="AF13" s="74">
        <v>44029.0</v>
      </c>
      <c r="AG13" s="73">
        <v>7.0</v>
      </c>
      <c r="AH13" s="75">
        <f t="shared" si="2"/>
        <v>46159</v>
      </c>
      <c r="AI13" s="74">
        <f t="shared" si="3"/>
        <v>46220</v>
      </c>
      <c r="AJ13" s="74">
        <f t="shared" si="4"/>
        <v>46585</v>
      </c>
      <c r="AK13" s="74"/>
      <c r="AL13" s="74"/>
      <c r="AM13" s="76" t="s">
        <v>139</v>
      </c>
      <c r="AN13" s="76">
        <v>4.0</v>
      </c>
      <c r="AO13" s="76"/>
      <c r="AP13" s="76"/>
      <c r="AQ13" s="76"/>
      <c r="AR13" s="65" t="s">
        <v>89</v>
      </c>
      <c r="AS13" s="65" t="s">
        <v>89</v>
      </c>
      <c r="AT13" s="65" t="str">
        <f>'Rutas AAC'!AE14</f>
        <v> </v>
      </c>
      <c r="AU13" s="72">
        <v>13200.0</v>
      </c>
      <c r="AV13" s="90">
        <v>44029.0</v>
      </c>
      <c r="AW13" s="91">
        <v>6.0</v>
      </c>
      <c r="AX13" s="80">
        <f t="shared" si="5"/>
        <v>45794</v>
      </c>
      <c r="AY13" s="84">
        <f t="shared" si="6"/>
        <v>45855</v>
      </c>
      <c r="AZ13" s="84">
        <f t="shared" si="7"/>
        <v>46220</v>
      </c>
      <c r="BA13" s="84">
        <f t="shared" si="8"/>
        <v>45124</v>
      </c>
      <c r="BB13" s="85" t="s">
        <v>140</v>
      </c>
      <c r="BC13" s="86">
        <v>1.0</v>
      </c>
      <c r="BD13" s="86"/>
      <c r="BE13" s="76">
        <v>2013.0</v>
      </c>
      <c r="BF13" s="100" t="s">
        <v>141</v>
      </c>
      <c r="BG13" s="83"/>
    </row>
    <row r="14" ht="42.0" customHeight="1">
      <c r="A14" s="97">
        <v>8.0</v>
      </c>
      <c r="B14" s="65">
        <v>32096.0</v>
      </c>
      <c r="C14" s="101" t="s">
        <v>142</v>
      </c>
      <c r="D14" s="66" t="s">
        <v>143</v>
      </c>
      <c r="E14" s="66" t="s">
        <v>144</v>
      </c>
      <c r="F14" s="67" t="s">
        <v>145</v>
      </c>
      <c r="G14" s="65">
        <v>103292.0</v>
      </c>
      <c r="H14" s="65"/>
      <c r="I14" s="65" t="s">
        <v>146</v>
      </c>
      <c r="J14" s="65" t="s">
        <v>79</v>
      </c>
      <c r="K14" s="65"/>
      <c r="L14" s="65"/>
      <c r="M14" s="102"/>
      <c r="N14" s="66" t="s">
        <v>80</v>
      </c>
      <c r="O14" s="65" t="s">
        <v>147</v>
      </c>
      <c r="P14" s="68" t="s">
        <v>82</v>
      </c>
      <c r="Q14" s="66" t="s">
        <v>148</v>
      </c>
      <c r="R14" s="66" t="s">
        <v>96</v>
      </c>
      <c r="S14" s="65" t="s">
        <v>85</v>
      </c>
      <c r="T14" s="65" t="s">
        <v>97</v>
      </c>
      <c r="U14" s="65" t="s">
        <v>86</v>
      </c>
      <c r="V14" s="65">
        <v>27.0</v>
      </c>
      <c r="W14" s="65">
        <v>27.0</v>
      </c>
      <c r="X14" s="65" t="s">
        <v>149</v>
      </c>
      <c r="Y14" s="69"/>
      <c r="Z14" s="69"/>
      <c r="AA14" s="69"/>
      <c r="AB14" s="70">
        <v>0.25</v>
      </c>
      <c r="AC14" s="71" t="str">
        <f t="shared" si="1"/>
        <v>Si</v>
      </c>
      <c r="AD14" s="72">
        <v>3293.0</v>
      </c>
      <c r="AE14" s="73">
        <v>3293.0</v>
      </c>
      <c r="AF14" s="74">
        <v>44258.0</v>
      </c>
      <c r="AG14" s="73">
        <v>7.0</v>
      </c>
      <c r="AH14" s="75">
        <f t="shared" si="2"/>
        <v>46390</v>
      </c>
      <c r="AI14" s="74">
        <f t="shared" si="3"/>
        <v>46449</v>
      </c>
      <c r="AJ14" s="74">
        <f t="shared" si="4"/>
        <v>46815</v>
      </c>
      <c r="AK14" s="74"/>
      <c r="AL14" s="74"/>
      <c r="AM14" s="76" t="s">
        <v>150</v>
      </c>
      <c r="AN14" s="76">
        <v>2.0</v>
      </c>
      <c r="AO14" s="76"/>
      <c r="AP14" s="76"/>
      <c r="AQ14" s="76"/>
      <c r="AR14" s="65" t="s">
        <v>86</v>
      </c>
      <c r="AS14" s="65"/>
      <c r="AT14" s="65" t="str">
        <f>'Rutas AAC'!AE19</f>
        <v> </v>
      </c>
      <c r="AU14" s="77" t="s">
        <v>86</v>
      </c>
      <c r="AV14" s="78" t="s">
        <v>86</v>
      </c>
      <c r="AW14" s="79" t="s">
        <v>86</v>
      </c>
      <c r="AX14" s="103" t="s">
        <v>86</v>
      </c>
      <c r="AY14" s="79" t="s">
        <v>86</v>
      </c>
      <c r="AZ14" s="79" t="s">
        <v>86</v>
      </c>
      <c r="BA14" s="84"/>
      <c r="BB14" s="85"/>
      <c r="BC14" s="86"/>
      <c r="BD14" s="86"/>
      <c r="BE14" s="76"/>
      <c r="BF14" s="82"/>
      <c r="BG14" s="83"/>
    </row>
    <row r="15" ht="42.0" customHeight="1">
      <c r="A15" s="97">
        <v>9.0</v>
      </c>
      <c r="B15" s="65">
        <v>35059.0</v>
      </c>
      <c r="C15" s="66" t="s">
        <v>130</v>
      </c>
      <c r="D15" s="66" t="s">
        <v>151</v>
      </c>
      <c r="E15" s="104" t="s">
        <v>152</v>
      </c>
      <c r="F15" s="65" t="s">
        <v>153</v>
      </c>
      <c r="G15" s="65">
        <v>104846.0</v>
      </c>
      <c r="H15" s="65"/>
      <c r="I15" s="65" t="s">
        <v>154</v>
      </c>
      <c r="J15" s="65" t="s">
        <v>79</v>
      </c>
      <c r="K15" s="65"/>
      <c r="L15" s="65"/>
      <c r="M15" s="65"/>
      <c r="N15" s="66" t="s">
        <v>80</v>
      </c>
      <c r="O15" s="65" t="s">
        <v>155</v>
      </c>
      <c r="P15" s="68" t="s">
        <v>82</v>
      </c>
      <c r="Q15" s="66" t="s">
        <v>148</v>
      </c>
      <c r="R15" s="66" t="s">
        <v>96</v>
      </c>
      <c r="S15" s="65" t="s">
        <v>85</v>
      </c>
      <c r="T15" s="65" t="s">
        <v>97</v>
      </c>
      <c r="U15" s="65" t="s">
        <v>86</v>
      </c>
      <c r="V15" s="65">
        <v>27.0</v>
      </c>
      <c r="W15" s="65">
        <v>27.0</v>
      </c>
      <c r="X15" s="65" t="s">
        <v>156</v>
      </c>
      <c r="Y15" s="69"/>
      <c r="Z15" s="69"/>
      <c r="AA15" s="69"/>
      <c r="AB15" s="70">
        <v>0.25</v>
      </c>
      <c r="AC15" s="71" t="str">
        <f t="shared" si="1"/>
        <v>Si</v>
      </c>
      <c r="AD15" s="72">
        <v>2116.0</v>
      </c>
      <c r="AE15" s="73">
        <v>2116.0</v>
      </c>
      <c r="AF15" s="74">
        <v>44617.0</v>
      </c>
      <c r="AG15" s="73">
        <v>7.0</v>
      </c>
      <c r="AH15" s="75">
        <f t="shared" si="2"/>
        <v>46746</v>
      </c>
      <c r="AI15" s="74">
        <f t="shared" si="3"/>
        <v>46808</v>
      </c>
      <c r="AJ15" s="74">
        <f t="shared" si="4"/>
        <v>47174</v>
      </c>
      <c r="AK15" s="74"/>
      <c r="AL15" s="74"/>
      <c r="AM15" s="76" t="s">
        <v>157</v>
      </c>
      <c r="AN15" s="76">
        <v>2.0</v>
      </c>
      <c r="AO15" s="76"/>
      <c r="AP15" s="76"/>
      <c r="AQ15" s="76"/>
      <c r="AR15" s="65" t="s">
        <v>86</v>
      </c>
      <c r="AS15" s="65"/>
      <c r="AT15" s="65" t="str">
        <f>'Rutas AAC'!AE25</f>
        <v> </v>
      </c>
      <c r="AU15" s="77" t="s">
        <v>86</v>
      </c>
      <c r="AV15" s="78" t="s">
        <v>86</v>
      </c>
      <c r="AW15" s="79" t="s">
        <v>86</v>
      </c>
      <c r="AX15" s="103" t="s">
        <v>86</v>
      </c>
      <c r="AY15" s="79" t="s">
        <v>86</v>
      </c>
      <c r="AZ15" s="79" t="s">
        <v>86</v>
      </c>
      <c r="BA15" s="84"/>
      <c r="BB15" s="105"/>
      <c r="BC15" s="86"/>
      <c r="BD15" s="86"/>
      <c r="BE15" s="76"/>
      <c r="BF15" s="106"/>
      <c r="BG15" s="83"/>
    </row>
    <row r="16" ht="42.0" customHeight="1">
      <c r="A16" s="97"/>
      <c r="B16" s="65"/>
      <c r="C16" s="66"/>
      <c r="D16" s="66"/>
      <c r="E16" s="66"/>
      <c r="F16" s="67"/>
      <c r="G16" s="65"/>
      <c r="H16" s="65"/>
      <c r="I16" s="65"/>
      <c r="J16" s="65"/>
      <c r="K16" s="65"/>
      <c r="L16" s="65"/>
      <c r="M16" s="65"/>
      <c r="N16" s="66"/>
      <c r="O16" s="65"/>
      <c r="P16" s="68"/>
      <c r="Q16" s="66"/>
      <c r="R16" s="66"/>
      <c r="S16" s="65"/>
      <c r="T16" s="65"/>
      <c r="U16" s="65"/>
      <c r="V16" s="65"/>
      <c r="W16" s="65"/>
      <c r="X16" s="65"/>
      <c r="Y16" s="107"/>
      <c r="Z16" s="69"/>
      <c r="AA16" s="69"/>
      <c r="AB16" s="70"/>
      <c r="AC16" s="71"/>
      <c r="AD16" s="108"/>
      <c r="AE16" s="73"/>
      <c r="AF16" s="74"/>
      <c r="AG16" s="73"/>
      <c r="AH16" s="75"/>
      <c r="AI16" s="74"/>
      <c r="AJ16" s="74"/>
      <c r="AK16" s="74"/>
      <c r="AL16" s="74"/>
      <c r="AM16" s="76"/>
      <c r="AN16" s="76"/>
      <c r="AO16" s="76"/>
      <c r="AP16" s="76"/>
      <c r="AQ16" s="76"/>
      <c r="AR16" s="65"/>
      <c r="AS16" s="65"/>
      <c r="AT16" s="65"/>
      <c r="AU16" s="108"/>
      <c r="AV16" s="90"/>
      <c r="AW16" s="91"/>
      <c r="AX16" s="80"/>
      <c r="AY16" s="84"/>
      <c r="AZ16" s="84"/>
      <c r="BA16" s="84"/>
      <c r="BB16" s="85"/>
      <c r="BC16" s="86"/>
      <c r="BD16" s="86"/>
      <c r="BE16" s="76"/>
      <c r="BF16" s="109"/>
      <c r="BG16" s="83"/>
    </row>
    <row r="17" ht="42.0" customHeight="1">
      <c r="A17" s="97">
        <v>11.0</v>
      </c>
      <c r="B17" s="65">
        <v>35717.0</v>
      </c>
      <c r="C17" s="66" t="s">
        <v>130</v>
      </c>
      <c r="D17" s="66" t="s">
        <v>158</v>
      </c>
      <c r="E17" s="66" t="s">
        <v>159</v>
      </c>
      <c r="F17" s="67" t="s">
        <v>160</v>
      </c>
      <c r="G17" s="65">
        <v>104677.0</v>
      </c>
      <c r="H17" s="65"/>
      <c r="I17" s="65" t="s">
        <v>161</v>
      </c>
      <c r="J17" s="65" t="s">
        <v>94</v>
      </c>
      <c r="K17" s="65"/>
      <c r="L17" s="65"/>
      <c r="M17" s="65"/>
      <c r="N17" s="66" t="s">
        <v>80</v>
      </c>
      <c r="O17" s="65" t="s">
        <v>147</v>
      </c>
      <c r="P17" s="68" t="s">
        <v>82</v>
      </c>
      <c r="Q17" s="66" t="s">
        <v>95</v>
      </c>
      <c r="R17" s="66" t="s">
        <v>96</v>
      </c>
      <c r="S17" s="65" t="s">
        <v>85</v>
      </c>
      <c r="T17" s="65" t="s">
        <v>162</v>
      </c>
      <c r="U17" s="65">
        <v>52.0</v>
      </c>
      <c r="V17" s="65" t="s">
        <v>86</v>
      </c>
      <c r="W17" s="65">
        <v>52.0</v>
      </c>
      <c r="X17" s="65" t="s">
        <v>163</v>
      </c>
      <c r="Y17" s="69"/>
      <c r="Z17" s="69"/>
      <c r="AA17" s="69"/>
      <c r="AB17" s="70">
        <v>0.25</v>
      </c>
      <c r="AC17" s="71" t="str">
        <f t="shared" ref="AC17:AC27" si="9">IF(AJ17&gt;TODAY(),"Si","No")</f>
        <v>Si</v>
      </c>
      <c r="AD17" s="72">
        <v>9952.0</v>
      </c>
      <c r="AE17" s="73">
        <v>9952.0</v>
      </c>
      <c r="AF17" s="74">
        <v>44715.0</v>
      </c>
      <c r="AG17" s="73">
        <v>7.0</v>
      </c>
      <c r="AH17" s="75">
        <f t="shared" ref="AH17:AH19" si="10">EDATE(AF17,(AG17*12)-14)</f>
        <v>46846</v>
      </c>
      <c r="AI17" s="74">
        <f t="shared" ref="AI17:AI19" si="11">EDATE(AF17,(AG17*12)-12)</f>
        <v>46907</v>
      </c>
      <c r="AJ17" s="74">
        <f t="shared" ref="AJ17:AJ58" si="12">EDATE(AF17,AG17*12)</f>
        <v>47272</v>
      </c>
      <c r="AK17" s="74"/>
      <c r="AL17" s="74"/>
      <c r="AM17" s="76" t="s">
        <v>164</v>
      </c>
      <c r="AN17" s="76">
        <v>2.0</v>
      </c>
      <c r="AO17" s="76"/>
      <c r="AP17" s="76"/>
      <c r="AQ17" s="76"/>
      <c r="AR17" s="65" t="s">
        <v>82</v>
      </c>
      <c r="AS17" s="65"/>
      <c r="AT17" s="65" t="str">
        <f>'Rutas AAC'!AE23</f>
        <v> </v>
      </c>
      <c r="AU17" s="77"/>
      <c r="AV17" s="78"/>
      <c r="AW17" s="79"/>
      <c r="AX17" s="110"/>
      <c r="AY17" s="81"/>
      <c r="AZ17" s="111"/>
      <c r="BA17" s="84"/>
      <c r="BB17" s="85"/>
      <c r="BC17" s="86"/>
      <c r="BD17" s="86"/>
      <c r="BE17" s="76"/>
      <c r="BF17" s="87"/>
      <c r="BG17" s="83"/>
    </row>
    <row r="18" ht="42.0" customHeight="1">
      <c r="A18" s="97">
        <v>12.0</v>
      </c>
      <c r="B18" s="65">
        <v>29057.0</v>
      </c>
      <c r="C18" s="66" t="s">
        <v>130</v>
      </c>
      <c r="D18" s="66" t="s">
        <v>165</v>
      </c>
      <c r="E18" s="66" t="s">
        <v>166</v>
      </c>
      <c r="F18" s="67" t="s">
        <v>167</v>
      </c>
      <c r="G18" s="65">
        <v>103231.0</v>
      </c>
      <c r="H18" s="65"/>
      <c r="I18" s="65" t="s">
        <v>168</v>
      </c>
      <c r="J18" s="65" t="s">
        <v>94</v>
      </c>
      <c r="K18" s="65"/>
      <c r="L18" s="65"/>
      <c r="M18" s="65"/>
      <c r="N18" s="66" t="s">
        <v>80</v>
      </c>
      <c r="O18" s="65" t="s">
        <v>147</v>
      </c>
      <c r="P18" s="68" t="s">
        <v>82</v>
      </c>
      <c r="Q18" s="66" t="s">
        <v>169</v>
      </c>
      <c r="R18" s="66" t="s">
        <v>96</v>
      </c>
      <c r="S18" s="65" t="s">
        <v>85</v>
      </c>
      <c r="T18" s="65" t="s">
        <v>162</v>
      </c>
      <c r="U18" s="65">
        <v>130.0</v>
      </c>
      <c r="V18" s="65" t="s">
        <v>86</v>
      </c>
      <c r="W18" s="65">
        <v>130.0</v>
      </c>
      <c r="X18" s="65" t="s">
        <v>170</v>
      </c>
      <c r="Y18" s="69"/>
      <c r="Z18" s="69"/>
      <c r="AA18" s="69"/>
      <c r="AB18" s="70">
        <v>0.25</v>
      </c>
      <c r="AC18" s="71" t="str">
        <f t="shared" si="9"/>
        <v>Si</v>
      </c>
      <c r="AD18" s="72">
        <v>12973.0</v>
      </c>
      <c r="AE18" s="73">
        <v>12973.0</v>
      </c>
      <c r="AF18" s="74">
        <v>44748.0</v>
      </c>
      <c r="AG18" s="73">
        <v>7.0</v>
      </c>
      <c r="AH18" s="75">
        <f t="shared" si="10"/>
        <v>46879</v>
      </c>
      <c r="AI18" s="74">
        <f t="shared" si="11"/>
        <v>46940</v>
      </c>
      <c r="AJ18" s="74">
        <f t="shared" si="12"/>
        <v>47305</v>
      </c>
      <c r="AK18" s="74"/>
      <c r="AL18" s="74"/>
      <c r="AM18" s="76" t="s">
        <v>171</v>
      </c>
      <c r="AN18" s="76">
        <v>3.0</v>
      </c>
      <c r="AO18" s="76"/>
      <c r="AP18" s="76"/>
      <c r="AQ18" s="76"/>
      <c r="AR18" s="65" t="s">
        <v>82</v>
      </c>
      <c r="AS18" s="65"/>
      <c r="AT18" s="65" t="str">
        <f>'Rutas AAC'!AE18</f>
        <v> </v>
      </c>
      <c r="AU18" s="77"/>
      <c r="AV18" s="78"/>
      <c r="AW18" s="79"/>
      <c r="AX18" s="110"/>
      <c r="AY18" s="81"/>
      <c r="AZ18" s="111"/>
      <c r="BA18" s="84"/>
      <c r="BB18" s="85"/>
      <c r="BC18" s="86"/>
      <c r="BD18" s="86"/>
      <c r="BE18" s="76"/>
      <c r="BF18" s="87"/>
      <c r="BG18" s="83"/>
    </row>
    <row r="19" ht="42.0" customHeight="1">
      <c r="A19" s="97">
        <v>13.0</v>
      </c>
      <c r="B19" s="65">
        <v>21910.0</v>
      </c>
      <c r="C19" s="66" t="s">
        <v>130</v>
      </c>
      <c r="D19" s="66" t="s">
        <v>172</v>
      </c>
      <c r="E19" s="66" t="s">
        <v>173</v>
      </c>
      <c r="F19" s="67" t="s">
        <v>174</v>
      </c>
      <c r="G19" s="65">
        <v>9833.0</v>
      </c>
      <c r="H19" s="65"/>
      <c r="I19" s="65" t="s">
        <v>175</v>
      </c>
      <c r="J19" s="65" t="s">
        <v>79</v>
      </c>
      <c r="K19" s="65"/>
      <c r="L19" s="65"/>
      <c r="M19" s="65"/>
      <c r="N19" s="66" t="s">
        <v>80</v>
      </c>
      <c r="O19" s="65" t="s">
        <v>81</v>
      </c>
      <c r="P19" s="68" t="s">
        <v>82</v>
      </c>
      <c r="Q19" s="66" t="s">
        <v>83</v>
      </c>
      <c r="R19" s="66" t="s">
        <v>84</v>
      </c>
      <c r="S19" s="65" t="s">
        <v>85</v>
      </c>
      <c r="T19" s="65" t="s">
        <v>86</v>
      </c>
      <c r="U19" s="65" t="s">
        <v>86</v>
      </c>
      <c r="V19" s="65" t="s">
        <v>86</v>
      </c>
      <c r="W19" s="65">
        <v>157.0</v>
      </c>
      <c r="X19" s="65" t="s">
        <v>87</v>
      </c>
      <c r="Y19" s="69" t="s">
        <v>176</v>
      </c>
      <c r="Z19" s="69"/>
      <c r="AA19" s="89" t="s">
        <v>177</v>
      </c>
      <c r="AB19" s="70">
        <v>0.2</v>
      </c>
      <c r="AC19" s="71" t="str">
        <f t="shared" si="9"/>
        <v>Si</v>
      </c>
      <c r="AD19" s="112">
        <v>8482.0</v>
      </c>
      <c r="AE19" s="113">
        <f>AD19</f>
        <v>8482</v>
      </c>
      <c r="AF19" s="74">
        <v>45771.0</v>
      </c>
      <c r="AG19" s="73">
        <v>7.0</v>
      </c>
      <c r="AH19" s="75">
        <f t="shared" si="10"/>
        <v>47903</v>
      </c>
      <c r="AI19" s="74">
        <f t="shared" si="11"/>
        <v>47962</v>
      </c>
      <c r="AJ19" s="74">
        <f t="shared" si="12"/>
        <v>48328</v>
      </c>
      <c r="AK19" s="74"/>
      <c r="AL19" s="74"/>
      <c r="AM19" s="76" t="s">
        <v>178</v>
      </c>
      <c r="AN19" s="76">
        <v>3.0</v>
      </c>
      <c r="AO19" s="76"/>
      <c r="AP19" s="76"/>
      <c r="AQ19" s="76"/>
      <c r="AR19" s="65" t="s">
        <v>89</v>
      </c>
      <c r="AS19" s="114" t="s">
        <v>179</v>
      </c>
      <c r="AT19" s="65" t="str">
        <f>'Rutas AAC'!AE16</f>
        <v> </v>
      </c>
      <c r="AU19" s="112">
        <v>8482.0</v>
      </c>
      <c r="AV19" s="90">
        <v>45771.0</v>
      </c>
      <c r="AW19" s="91">
        <v>6.0</v>
      </c>
      <c r="AX19" s="80">
        <f>EDATE(AV19,(AW19*12)-14)</f>
        <v>47538</v>
      </c>
      <c r="AY19" s="84">
        <f>EDATE(AV19,(AW19*12)-12)</f>
        <v>47597</v>
      </c>
      <c r="AZ19" s="84">
        <f>EDATE(AV19,(AW19*12))</f>
        <v>47962</v>
      </c>
      <c r="BA19" s="84">
        <f>EDATE(AV19,((AW19/2)*12))</f>
        <v>46867</v>
      </c>
      <c r="BB19" s="92"/>
      <c r="BC19" s="92">
        <v>1.0</v>
      </c>
      <c r="BD19" s="92"/>
      <c r="BE19" s="76">
        <v>2018.0</v>
      </c>
      <c r="BF19" s="82" t="s">
        <v>180</v>
      </c>
      <c r="BG19" s="83" t="s">
        <v>181</v>
      </c>
    </row>
    <row r="20" ht="89.25" customHeight="1">
      <c r="A20" s="115">
        <v>14.0</v>
      </c>
      <c r="B20" s="116">
        <v>22635.0</v>
      </c>
      <c r="C20" s="66" t="s">
        <v>182</v>
      </c>
      <c r="D20" s="66" t="s">
        <v>183</v>
      </c>
      <c r="E20" s="66" t="s">
        <v>184</v>
      </c>
      <c r="F20" s="67" t="s">
        <v>185</v>
      </c>
      <c r="G20" s="65">
        <v>235.0</v>
      </c>
      <c r="H20" s="65"/>
      <c r="I20" s="65" t="s">
        <v>186</v>
      </c>
      <c r="J20" s="65" t="s">
        <v>79</v>
      </c>
      <c r="K20" s="65"/>
      <c r="L20" s="65"/>
      <c r="M20" s="65"/>
      <c r="N20" s="66" t="s">
        <v>80</v>
      </c>
      <c r="O20" s="65" t="s">
        <v>187</v>
      </c>
      <c r="P20" s="68" t="s">
        <v>82</v>
      </c>
      <c r="Q20" s="66" t="s">
        <v>83</v>
      </c>
      <c r="R20" s="66" t="s">
        <v>84</v>
      </c>
      <c r="S20" s="65" t="s">
        <v>85</v>
      </c>
      <c r="T20" s="65" t="s">
        <v>86</v>
      </c>
      <c r="U20" s="65" t="s">
        <v>86</v>
      </c>
      <c r="V20" s="65" t="s">
        <v>86</v>
      </c>
      <c r="W20" s="65">
        <v>160.0</v>
      </c>
      <c r="X20" s="65" t="s">
        <v>87</v>
      </c>
      <c r="Y20" s="117" t="s">
        <v>188</v>
      </c>
      <c r="Z20" s="69"/>
      <c r="AA20" s="69" t="s">
        <v>189</v>
      </c>
      <c r="AB20" s="118">
        <v>0.0375</v>
      </c>
      <c r="AC20" s="71" t="str">
        <f t="shared" si="9"/>
        <v>Si</v>
      </c>
      <c r="AD20" s="119">
        <v>23503.0</v>
      </c>
      <c r="AE20" s="73">
        <v>23503.0</v>
      </c>
      <c r="AF20" s="120">
        <v>45989.0</v>
      </c>
      <c r="AG20" s="73">
        <v>7.0</v>
      </c>
      <c r="AH20" s="75">
        <f>EDATE(AJ20,-14)</f>
        <v>48119</v>
      </c>
      <c r="AI20" s="74">
        <f>EDATE(AJ20,-12)</f>
        <v>48180</v>
      </c>
      <c r="AJ20" s="74">
        <f t="shared" si="12"/>
        <v>48546</v>
      </c>
      <c r="AK20" s="74"/>
      <c r="AL20" s="74">
        <v>46022.0</v>
      </c>
      <c r="AM20" s="116" t="s">
        <v>190</v>
      </c>
      <c r="AN20" s="116">
        <v>8.0</v>
      </c>
      <c r="AO20" s="76" t="s">
        <v>89</v>
      </c>
      <c r="AP20" s="76"/>
      <c r="AQ20" s="76"/>
      <c r="AR20" s="65" t="s">
        <v>89</v>
      </c>
      <c r="AS20" s="65" t="s">
        <v>82</v>
      </c>
      <c r="AT20" s="65" t="str">
        <f>'Rutas AAC'!AE29</f>
        <v> </v>
      </c>
      <c r="AU20" s="72"/>
      <c r="AV20" s="90"/>
      <c r="AW20" s="91"/>
      <c r="AX20" s="80"/>
      <c r="AY20" s="84"/>
      <c r="AZ20" s="84"/>
      <c r="BA20" s="84"/>
      <c r="BB20" s="76" t="s">
        <v>191</v>
      </c>
      <c r="BC20" s="76">
        <v>3.0</v>
      </c>
      <c r="BD20" s="76"/>
      <c r="BE20" s="76"/>
      <c r="BF20" s="87"/>
      <c r="BG20" s="83"/>
    </row>
    <row r="21" ht="42.0" customHeight="1">
      <c r="A21" s="121">
        <v>15.0</v>
      </c>
      <c r="B21" s="65">
        <v>26485.0</v>
      </c>
      <c r="C21" s="66" t="s">
        <v>182</v>
      </c>
      <c r="D21" s="66" t="s">
        <v>192</v>
      </c>
      <c r="E21" s="66" t="s">
        <v>193</v>
      </c>
      <c r="F21" s="67" t="s">
        <v>194</v>
      </c>
      <c r="G21" s="65">
        <v>2970.0</v>
      </c>
      <c r="H21" s="65"/>
      <c r="I21" s="65" t="s">
        <v>195</v>
      </c>
      <c r="J21" s="65" t="s">
        <v>79</v>
      </c>
      <c r="K21" s="65"/>
      <c r="L21" s="65"/>
      <c r="M21" s="65"/>
      <c r="N21" s="66" t="s">
        <v>80</v>
      </c>
      <c r="O21" s="65" t="s">
        <v>81</v>
      </c>
      <c r="P21" s="68" t="s">
        <v>82</v>
      </c>
      <c r="Q21" s="66" t="s">
        <v>148</v>
      </c>
      <c r="R21" s="66" t="s">
        <v>96</v>
      </c>
      <c r="S21" s="65" t="s">
        <v>85</v>
      </c>
      <c r="T21" s="65" t="s">
        <v>97</v>
      </c>
      <c r="U21" s="65" t="s">
        <v>86</v>
      </c>
      <c r="V21" s="65">
        <v>26.0</v>
      </c>
      <c r="W21" s="65">
        <v>26.0</v>
      </c>
      <c r="X21" s="65" t="s">
        <v>196</v>
      </c>
      <c r="Y21" s="69"/>
      <c r="Z21" s="69"/>
      <c r="AA21" s="69"/>
      <c r="AB21" s="70" t="s">
        <v>99</v>
      </c>
      <c r="AC21" s="71" t="str">
        <f t="shared" si="9"/>
        <v>Si</v>
      </c>
      <c r="AD21" s="122">
        <v>16033.0</v>
      </c>
      <c r="AE21" s="73">
        <v>16033.0</v>
      </c>
      <c r="AF21" s="74">
        <v>43817.0</v>
      </c>
      <c r="AG21" s="73">
        <v>7.0</v>
      </c>
      <c r="AH21" s="75">
        <f t="shared" ref="AH21:AH58" si="13">EDATE(AF21,(AG21*12)-14)</f>
        <v>45948</v>
      </c>
      <c r="AI21" s="74">
        <f t="shared" ref="AI21:AI30" si="14">EDATE(AF21,(AG21*12)-12)</f>
        <v>46009</v>
      </c>
      <c r="AJ21" s="74">
        <f t="shared" si="12"/>
        <v>46374</v>
      </c>
      <c r="AK21" s="74"/>
      <c r="AL21" s="74"/>
      <c r="AM21" s="76" t="s">
        <v>197</v>
      </c>
      <c r="AN21" s="76">
        <v>3.0</v>
      </c>
      <c r="AO21" s="76"/>
      <c r="AP21" s="76"/>
      <c r="AQ21" s="76"/>
      <c r="AR21" s="65" t="s">
        <v>86</v>
      </c>
      <c r="AS21" s="65"/>
      <c r="AT21" s="65" t="str">
        <f>'Rutas AAC'!AE30</f>
        <v> </v>
      </c>
      <c r="AU21" s="77" t="s">
        <v>86</v>
      </c>
      <c r="AV21" s="78" t="s">
        <v>86</v>
      </c>
      <c r="AW21" s="79" t="s">
        <v>86</v>
      </c>
      <c r="AX21" s="103" t="s">
        <v>86</v>
      </c>
      <c r="AY21" s="79" t="s">
        <v>86</v>
      </c>
      <c r="AZ21" s="79" t="s">
        <v>86</v>
      </c>
      <c r="BA21" s="84"/>
      <c r="BB21" s="85"/>
      <c r="BC21" s="86"/>
      <c r="BD21" s="86"/>
      <c r="BE21" s="76"/>
      <c r="BF21" s="82"/>
      <c r="BG21" s="83"/>
    </row>
    <row r="22" ht="42.0" customHeight="1">
      <c r="A22" s="115">
        <v>16.0</v>
      </c>
      <c r="B22" s="65">
        <v>26543.0</v>
      </c>
      <c r="C22" s="66" t="s">
        <v>182</v>
      </c>
      <c r="D22" s="66" t="s">
        <v>198</v>
      </c>
      <c r="E22" s="66" t="s">
        <v>199</v>
      </c>
      <c r="F22" s="67" t="s">
        <v>200</v>
      </c>
      <c r="G22" s="65">
        <v>15924.0</v>
      </c>
      <c r="H22" s="65"/>
      <c r="I22" s="65" t="s">
        <v>201</v>
      </c>
      <c r="J22" s="65" t="s">
        <v>79</v>
      </c>
      <c r="K22" s="65"/>
      <c r="L22" s="65"/>
      <c r="M22" s="65"/>
      <c r="N22" s="66" t="s">
        <v>80</v>
      </c>
      <c r="O22" s="65" t="s">
        <v>81</v>
      </c>
      <c r="P22" s="68" t="s">
        <v>82</v>
      </c>
      <c r="Q22" s="66" t="s">
        <v>148</v>
      </c>
      <c r="R22" s="66" t="s">
        <v>96</v>
      </c>
      <c r="S22" s="65" t="s">
        <v>85</v>
      </c>
      <c r="T22" s="65" t="s">
        <v>97</v>
      </c>
      <c r="U22" s="65" t="s">
        <v>86</v>
      </c>
      <c r="V22" s="65">
        <v>28.0</v>
      </c>
      <c r="W22" s="65">
        <v>28.0</v>
      </c>
      <c r="X22" s="65" t="s">
        <v>196</v>
      </c>
      <c r="Y22" s="69"/>
      <c r="Z22" s="69"/>
      <c r="AA22" s="69"/>
      <c r="AB22" s="70">
        <v>0.25</v>
      </c>
      <c r="AC22" s="71" t="str">
        <f t="shared" si="9"/>
        <v>Si</v>
      </c>
      <c r="AD22" s="72">
        <v>16039.0</v>
      </c>
      <c r="AE22" s="73">
        <v>16039.0</v>
      </c>
      <c r="AF22" s="74">
        <v>43817.0</v>
      </c>
      <c r="AG22" s="73">
        <v>7.0</v>
      </c>
      <c r="AH22" s="75">
        <f t="shared" si="13"/>
        <v>45948</v>
      </c>
      <c r="AI22" s="74">
        <f t="shared" si="14"/>
        <v>46009</v>
      </c>
      <c r="AJ22" s="74">
        <f t="shared" si="12"/>
        <v>46374</v>
      </c>
      <c r="AK22" s="74"/>
      <c r="AL22" s="74"/>
      <c r="AM22" s="76" t="s">
        <v>202</v>
      </c>
      <c r="AN22" s="76">
        <v>3.0</v>
      </c>
      <c r="AO22" s="76"/>
      <c r="AP22" s="76"/>
      <c r="AQ22" s="76"/>
      <c r="AR22" s="65" t="s">
        <v>86</v>
      </c>
      <c r="AS22" s="65"/>
      <c r="AT22" s="65" t="str">
        <f>'Rutas AAC'!AE34</f>
        <v> </v>
      </c>
      <c r="AU22" s="77" t="s">
        <v>86</v>
      </c>
      <c r="AV22" s="78" t="s">
        <v>86</v>
      </c>
      <c r="AW22" s="79" t="s">
        <v>86</v>
      </c>
      <c r="AX22" s="103" t="s">
        <v>86</v>
      </c>
      <c r="AY22" s="79" t="s">
        <v>86</v>
      </c>
      <c r="AZ22" s="79" t="s">
        <v>86</v>
      </c>
      <c r="BA22" s="84"/>
      <c r="BB22" s="85"/>
      <c r="BC22" s="86"/>
      <c r="BD22" s="86"/>
      <c r="BE22" s="76"/>
      <c r="BF22" s="123"/>
      <c r="BG22" s="83"/>
    </row>
    <row r="23" ht="42.0" customHeight="1">
      <c r="A23" s="121">
        <v>17.0</v>
      </c>
      <c r="B23" s="65">
        <v>25378.0</v>
      </c>
      <c r="C23" s="66" t="s">
        <v>182</v>
      </c>
      <c r="D23" s="66" t="s">
        <v>203</v>
      </c>
      <c r="E23" s="66" t="s">
        <v>204</v>
      </c>
      <c r="F23" s="67" t="s">
        <v>205</v>
      </c>
      <c r="G23" s="65">
        <v>102109.0</v>
      </c>
      <c r="H23" s="65"/>
      <c r="I23" s="65" t="s">
        <v>201</v>
      </c>
      <c r="J23" s="65" t="s">
        <v>94</v>
      </c>
      <c r="K23" s="65" t="s">
        <v>89</v>
      </c>
      <c r="L23" s="65" t="s">
        <v>206</v>
      </c>
      <c r="M23" s="65"/>
      <c r="N23" s="66" t="s">
        <v>207</v>
      </c>
      <c r="O23" s="65" t="s">
        <v>155</v>
      </c>
      <c r="P23" s="68" t="s">
        <v>89</v>
      </c>
      <c r="Q23" s="66" t="s">
        <v>148</v>
      </c>
      <c r="R23" s="66" t="s">
        <v>96</v>
      </c>
      <c r="S23" s="65" t="s">
        <v>85</v>
      </c>
      <c r="T23" s="65" t="s">
        <v>97</v>
      </c>
      <c r="U23" s="65" t="s">
        <v>86</v>
      </c>
      <c r="V23" s="65">
        <v>30.0</v>
      </c>
      <c r="W23" s="65">
        <v>30.0</v>
      </c>
      <c r="X23" s="65" t="s">
        <v>196</v>
      </c>
      <c r="Y23" s="69"/>
      <c r="Z23" s="69"/>
      <c r="AA23" s="69"/>
      <c r="AB23" s="70" t="s">
        <v>99</v>
      </c>
      <c r="AC23" s="71" t="str">
        <f t="shared" si="9"/>
        <v>Si</v>
      </c>
      <c r="AD23" s="112">
        <v>16018.0</v>
      </c>
      <c r="AE23" s="73">
        <v>16018.0</v>
      </c>
      <c r="AF23" s="74">
        <v>43817.0</v>
      </c>
      <c r="AG23" s="73">
        <v>7.0</v>
      </c>
      <c r="AH23" s="75">
        <f t="shared" si="13"/>
        <v>45948</v>
      </c>
      <c r="AI23" s="74">
        <f t="shared" si="14"/>
        <v>46009</v>
      </c>
      <c r="AJ23" s="74">
        <f t="shared" si="12"/>
        <v>46374</v>
      </c>
      <c r="AK23" s="74"/>
      <c r="AL23" s="74"/>
      <c r="AM23" s="76" t="s">
        <v>208</v>
      </c>
      <c r="AN23" s="76">
        <v>2.0</v>
      </c>
      <c r="AO23" s="76"/>
      <c r="AP23" s="76"/>
      <c r="AQ23" s="76"/>
      <c r="AR23" s="65" t="s">
        <v>86</v>
      </c>
      <c r="AS23" s="65"/>
      <c r="AT23" s="65" t="str">
        <f>'Rutas AAC'!AE37</f>
        <v> </v>
      </c>
      <c r="AU23" s="77" t="s">
        <v>86</v>
      </c>
      <c r="AV23" s="78" t="s">
        <v>86</v>
      </c>
      <c r="AW23" s="79" t="s">
        <v>86</v>
      </c>
      <c r="AX23" s="103" t="s">
        <v>86</v>
      </c>
      <c r="AY23" s="79" t="s">
        <v>86</v>
      </c>
      <c r="AZ23" s="79" t="s">
        <v>86</v>
      </c>
      <c r="BA23" s="84"/>
      <c r="BB23" s="85"/>
      <c r="BC23" s="86"/>
      <c r="BD23" s="86"/>
      <c r="BE23" s="76"/>
      <c r="BF23" s="82"/>
      <c r="BG23" s="83"/>
    </row>
    <row r="24" ht="42.0" customHeight="1">
      <c r="A24" s="115">
        <v>18.0</v>
      </c>
      <c r="B24" s="65">
        <v>28223.0</v>
      </c>
      <c r="C24" s="66" t="s">
        <v>182</v>
      </c>
      <c r="D24" s="66" t="s">
        <v>209</v>
      </c>
      <c r="E24" s="66" t="s">
        <v>210</v>
      </c>
      <c r="F24" s="67" t="s">
        <v>211</v>
      </c>
      <c r="G24" s="65">
        <v>15358.0</v>
      </c>
      <c r="H24" s="65"/>
      <c r="I24" s="65" t="s">
        <v>120</v>
      </c>
      <c r="J24" s="65" t="s">
        <v>79</v>
      </c>
      <c r="K24" s="65"/>
      <c r="L24" s="65"/>
      <c r="M24" s="65"/>
      <c r="N24" s="66" t="s">
        <v>80</v>
      </c>
      <c r="O24" s="65" t="s">
        <v>81</v>
      </c>
      <c r="P24" s="68" t="s">
        <v>82</v>
      </c>
      <c r="Q24" s="66" t="s">
        <v>148</v>
      </c>
      <c r="R24" s="66" t="s">
        <v>96</v>
      </c>
      <c r="S24" s="65" t="s">
        <v>85</v>
      </c>
      <c r="T24" s="65" t="s">
        <v>97</v>
      </c>
      <c r="U24" s="65" t="s">
        <v>86</v>
      </c>
      <c r="V24" s="65">
        <v>19.0</v>
      </c>
      <c r="W24" s="65">
        <v>19.0</v>
      </c>
      <c r="X24" s="65" t="s">
        <v>196</v>
      </c>
      <c r="Y24" s="69"/>
      <c r="Z24" s="69"/>
      <c r="AA24" s="69"/>
      <c r="AB24" s="70" t="s">
        <v>99</v>
      </c>
      <c r="AC24" s="71" t="str">
        <f t="shared" si="9"/>
        <v>Si</v>
      </c>
      <c r="AD24" s="72">
        <v>8266.0</v>
      </c>
      <c r="AE24" s="73">
        <v>8266.0</v>
      </c>
      <c r="AF24" s="74">
        <v>43978.0</v>
      </c>
      <c r="AG24" s="73">
        <v>7.0</v>
      </c>
      <c r="AH24" s="75">
        <f t="shared" si="13"/>
        <v>46108</v>
      </c>
      <c r="AI24" s="74">
        <f t="shared" si="14"/>
        <v>46169</v>
      </c>
      <c r="AJ24" s="74">
        <f t="shared" si="12"/>
        <v>46534</v>
      </c>
      <c r="AK24" s="74"/>
      <c r="AL24" s="74"/>
      <c r="AM24" s="76" t="s">
        <v>212</v>
      </c>
      <c r="AN24" s="76">
        <v>3.0</v>
      </c>
      <c r="AO24" s="76"/>
      <c r="AP24" s="76"/>
      <c r="AQ24" s="76"/>
      <c r="AR24" s="65" t="s">
        <v>86</v>
      </c>
      <c r="AS24" s="65"/>
      <c r="AT24" s="65" t="str">
        <f>'Rutas AAC'!AE33</f>
        <v> </v>
      </c>
      <c r="AU24" s="77" t="s">
        <v>86</v>
      </c>
      <c r="AV24" s="78" t="s">
        <v>86</v>
      </c>
      <c r="AW24" s="79" t="s">
        <v>86</v>
      </c>
      <c r="AX24" s="103" t="s">
        <v>86</v>
      </c>
      <c r="AY24" s="79" t="s">
        <v>86</v>
      </c>
      <c r="AZ24" s="79" t="s">
        <v>86</v>
      </c>
      <c r="BA24" s="84"/>
      <c r="BB24" s="85"/>
      <c r="BC24" s="86"/>
      <c r="BD24" s="86"/>
      <c r="BE24" s="76"/>
      <c r="BF24" s="123"/>
      <c r="BG24" s="83"/>
    </row>
    <row r="25" ht="42.0" customHeight="1">
      <c r="A25" s="121">
        <v>19.0</v>
      </c>
      <c r="B25" s="65">
        <v>26454.0</v>
      </c>
      <c r="C25" s="66" t="s">
        <v>182</v>
      </c>
      <c r="D25" s="66" t="s">
        <v>203</v>
      </c>
      <c r="E25" s="66" t="s">
        <v>204</v>
      </c>
      <c r="F25" s="67" t="s">
        <v>213</v>
      </c>
      <c r="G25" s="65">
        <v>3613.0</v>
      </c>
      <c r="H25" s="65"/>
      <c r="I25" s="65" t="s">
        <v>214</v>
      </c>
      <c r="J25" s="65" t="s">
        <v>215</v>
      </c>
      <c r="K25" s="65"/>
      <c r="L25" s="65"/>
      <c r="M25" s="65"/>
      <c r="N25" s="66" t="s">
        <v>80</v>
      </c>
      <c r="O25" s="65" t="s">
        <v>155</v>
      </c>
      <c r="P25" s="68" t="s">
        <v>82</v>
      </c>
      <c r="Q25" s="66" t="s">
        <v>148</v>
      </c>
      <c r="R25" s="66" t="s">
        <v>96</v>
      </c>
      <c r="S25" s="65" t="s">
        <v>85</v>
      </c>
      <c r="T25" s="65" t="s">
        <v>97</v>
      </c>
      <c r="U25" s="65" t="s">
        <v>86</v>
      </c>
      <c r="V25" s="65">
        <v>30.0</v>
      </c>
      <c r="W25" s="65">
        <v>30.0</v>
      </c>
      <c r="X25" s="65" t="s">
        <v>196</v>
      </c>
      <c r="Y25" s="69"/>
      <c r="Z25" s="69"/>
      <c r="AA25" s="69"/>
      <c r="AB25" s="70" t="s">
        <v>99</v>
      </c>
      <c r="AC25" s="71" t="str">
        <f t="shared" si="9"/>
        <v>Si</v>
      </c>
      <c r="AD25" s="112">
        <v>11104.0</v>
      </c>
      <c r="AE25" s="73">
        <v>11104.0</v>
      </c>
      <c r="AF25" s="74">
        <v>44012.0</v>
      </c>
      <c r="AG25" s="73">
        <v>7.0</v>
      </c>
      <c r="AH25" s="75">
        <f t="shared" si="13"/>
        <v>46142</v>
      </c>
      <c r="AI25" s="74">
        <f t="shared" si="14"/>
        <v>46203</v>
      </c>
      <c r="AJ25" s="74">
        <f t="shared" si="12"/>
        <v>46568</v>
      </c>
      <c r="AK25" s="74"/>
      <c r="AL25" s="74"/>
      <c r="AM25" s="76" t="s">
        <v>216</v>
      </c>
      <c r="AN25" s="76">
        <v>3.0</v>
      </c>
      <c r="AO25" s="76"/>
      <c r="AP25" s="76"/>
      <c r="AQ25" s="76"/>
      <c r="AR25" s="65" t="s">
        <v>86</v>
      </c>
      <c r="AS25" s="65"/>
      <c r="AT25" s="65" t="str">
        <f>'[2]Rutas AAC'!AE45</f>
        <v>#REF!</v>
      </c>
      <c r="AU25" s="77" t="s">
        <v>86</v>
      </c>
      <c r="AV25" s="78" t="s">
        <v>86</v>
      </c>
      <c r="AW25" s="79" t="s">
        <v>86</v>
      </c>
      <c r="AX25" s="103" t="s">
        <v>86</v>
      </c>
      <c r="AY25" s="79" t="s">
        <v>86</v>
      </c>
      <c r="AZ25" s="79" t="s">
        <v>86</v>
      </c>
      <c r="BA25" s="84"/>
      <c r="BB25" s="85"/>
      <c r="BC25" s="86"/>
      <c r="BD25" s="86"/>
      <c r="BE25" s="76"/>
      <c r="BF25" s="82"/>
      <c r="BG25" s="83"/>
    </row>
    <row r="26" ht="42.0" customHeight="1">
      <c r="A26" s="115">
        <v>20.0</v>
      </c>
      <c r="B26" s="65">
        <v>26638.0</v>
      </c>
      <c r="C26" s="66" t="s">
        <v>182</v>
      </c>
      <c r="D26" s="66" t="s">
        <v>217</v>
      </c>
      <c r="E26" s="66" t="s">
        <v>218</v>
      </c>
      <c r="F26" s="67" t="s">
        <v>219</v>
      </c>
      <c r="G26" s="65">
        <v>234.0</v>
      </c>
      <c r="H26" s="65"/>
      <c r="I26" s="65" t="s">
        <v>220</v>
      </c>
      <c r="J26" s="65" t="s">
        <v>79</v>
      </c>
      <c r="K26" s="65"/>
      <c r="L26" s="65"/>
      <c r="M26" s="65"/>
      <c r="N26" s="66" t="s">
        <v>80</v>
      </c>
      <c r="O26" s="65" t="s">
        <v>81</v>
      </c>
      <c r="P26" s="68" t="s">
        <v>82</v>
      </c>
      <c r="Q26" s="66" t="s">
        <v>83</v>
      </c>
      <c r="R26" s="66" t="s">
        <v>84</v>
      </c>
      <c r="S26" s="65" t="s">
        <v>85</v>
      </c>
      <c r="T26" s="65" t="s">
        <v>86</v>
      </c>
      <c r="U26" s="65" t="s">
        <v>86</v>
      </c>
      <c r="V26" s="65" t="s">
        <v>86</v>
      </c>
      <c r="W26" s="65">
        <v>164.0</v>
      </c>
      <c r="X26" s="65" t="s">
        <v>87</v>
      </c>
      <c r="Y26" s="89" t="s">
        <v>221</v>
      </c>
      <c r="Z26" s="69"/>
      <c r="AA26" s="89" t="s">
        <v>222</v>
      </c>
      <c r="AB26" s="70" t="s">
        <v>99</v>
      </c>
      <c r="AC26" s="71" t="str">
        <f t="shared" si="9"/>
        <v>Si</v>
      </c>
      <c r="AD26" s="72">
        <v>18046.0</v>
      </c>
      <c r="AE26" s="73">
        <v>18046.0</v>
      </c>
      <c r="AF26" s="84">
        <v>44102.0</v>
      </c>
      <c r="AG26" s="73">
        <v>7.0</v>
      </c>
      <c r="AH26" s="75">
        <f t="shared" si="13"/>
        <v>46231</v>
      </c>
      <c r="AI26" s="74">
        <f t="shared" si="14"/>
        <v>46293</v>
      </c>
      <c r="AJ26" s="74">
        <f t="shared" si="12"/>
        <v>46658</v>
      </c>
      <c r="AK26" s="74"/>
      <c r="AL26" s="74"/>
      <c r="AM26" s="76" t="s">
        <v>223</v>
      </c>
      <c r="AN26" s="76">
        <v>3.0</v>
      </c>
      <c r="AO26" s="76"/>
      <c r="AP26" s="76"/>
      <c r="AQ26" s="76"/>
      <c r="AR26" s="65" t="s">
        <v>89</v>
      </c>
      <c r="AS26" s="65" t="s">
        <v>82</v>
      </c>
      <c r="AT26" s="65" t="str">
        <f>'Rutas AAC'!AE28</f>
        <v> </v>
      </c>
      <c r="AU26" s="72"/>
      <c r="AV26" s="90"/>
      <c r="AW26" s="91"/>
      <c r="AX26" s="80"/>
      <c r="AY26" s="84"/>
      <c r="AZ26" s="84"/>
      <c r="BA26" s="84"/>
      <c r="BB26" s="76" t="s">
        <v>224</v>
      </c>
      <c r="BC26" s="76">
        <v>3.0</v>
      </c>
      <c r="BD26" s="76"/>
      <c r="BE26" s="76">
        <v>2013.0</v>
      </c>
      <c r="BF26" s="87"/>
      <c r="BG26" s="83"/>
    </row>
    <row r="27" ht="42.0" customHeight="1">
      <c r="A27" s="121">
        <v>21.0</v>
      </c>
      <c r="B27" s="65">
        <v>32323.0</v>
      </c>
      <c r="C27" s="66" t="s">
        <v>182</v>
      </c>
      <c r="D27" s="66" t="s">
        <v>225</v>
      </c>
      <c r="E27" s="66" t="s">
        <v>226</v>
      </c>
      <c r="F27" s="67" t="s">
        <v>227</v>
      </c>
      <c r="G27" s="65">
        <v>103477.0</v>
      </c>
      <c r="H27" s="65"/>
      <c r="I27" s="65" t="s">
        <v>228</v>
      </c>
      <c r="J27" s="65" t="s">
        <v>94</v>
      </c>
      <c r="K27" s="65"/>
      <c r="L27" s="65"/>
      <c r="M27" s="65"/>
      <c r="N27" s="66" t="s">
        <v>80</v>
      </c>
      <c r="O27" s="65" t="s">
        <v>155</v>
      </c>
      <c r="P27" s="68" t="s">
        <v>82</v>
      </c>
      <c r="Q27" s="66" t="s">
        <v>95</v>
      </c>
      <c r="R27" s="66" t="s">
        <v>96</v>
      </c>
      <c r="S27" s="65" t="s">
        <v>85</v>
      </c>
      <c r="T27" s="65" t="s">
        <v>162</v>
      </c>
      <c r="U27" s="65">
        <v>54.0</v>
      </c>
      <c r="V27" s="65" t="s">
        <v>86</v>
      </c>
      <c r="W27" s="65">
        <v>54.0</v>
      </c>
      <c r="X27" s="65" t="s">
        <v>98</v>
      </c>
      <c r="Y27" s="69"/>
      <c r="Z27" s="69"/>
      <c r="AA27" s="69"/>
      <c r="AB27" s="70">
        <v>0.25</v>
      </c>
      <c r="AC27" s="71" t="str">
        <f t="shared" si="9"/>
        <v>Si</v>
      </c>
      <c r="AD27" s="112">
        <v>2583.0</v>
      </c>
      <c r="AE27" s="73">
        <v>2583.0</v>
      </c>
      <c r="AF27" s="74">
        <v>44246.0</v>
      </c>
      <c r="AG27" s="73">
        <v>7.0</v>
      </c>
      <c r="AH27" s="75">
        <f t="shared" si="13"/>
        <v>46375</v>
      </c>
      <c r="AI27" s="74">
        <f t="shared" si="14"/>
        <v>46437</v>
      </c>
      <c r="AJ27" s="74">
        <f t="shared" si="12"/>
        <v>46802</v>
      </c>
      <c r="AK27" s="74"/>
      <c r="AL27" s="74"/>
      <c r="AM27" s="76" t="s">
        <v>229</v>
      </c>
      <c r="AN27" s="76">
        <v>2.0</v>
      </c>
      <c r="AO27" s="76"/>
      <c r="AP27" s="76"/>
      <c r="AQ27" s="76"/>
      <c r="AR27" s="65" t="s">
        <v>82</v>
      </c>
      <c r="AS27" s="65"/>
      <c r="AT27" s="65" t="str">
        <f>'Rutas AAC'!AE38</f>
        <v> </v>
      </c>
      <c r="AU27" s="77"/>
      <c r="AV27" s="78"/>
      <c r="AW27" s="79"/>
      <c r="AX27" s="110"/>
      <c r="AY27" s="81"/>
      <c r="AZ27" s="124"/>
      <c r="BA27" s="84"/>
      <c r="BB27" s="85"/>
      <c r="BC27" s="86"/>
      <c r="BD27" s="86"/>
      <c r="BE27" s="76"/>
      <c r="BF27" s="123"/>
      <c r="BG27" s="83"/>
    </row>
    <row r="28" ht="42.0" customHeight="1">
      <c r="A28" s="115">
        <v>22.0</v>
      </c>
      <c r="B28" s="65">
        <v>57747.0</v>
      </c>
      <c r="C28" s="66" t="s">
        <v>182</v>
      </c>
      <c r="D28" s="66" t="s">
        <v>230</v>
      </c>
      <c r="E28" s="66" t="s">
        <v>231</v>
      </c>
      <c r="F28" s="67" t="s">
        <v>232</v>
      </c>
      <c r="G28" s="65">
        <v>110924.0</v>
      </c>
      <c r="H28" s="65"/>
      <c r="I28" s="65" t="s">
        <v>161</v>
      </c>
      <c r="J28" s="65" t="s">
        <v>94</v>
      </c>
      <c r="K28" s="65"/>
      <c r="L28" s="65"/>
      <c r="M28" s="65"/>
      <c r="N28" s="66" t="s">
        <v>80</v>
      </c>
      <c r="O28" s="65" t="s">
        <v>155</v>
      </c>
      <c r="P28" s="125" t="s">
        <v>82</v>
      </c>
      <c r="Q28" s="66" t="s">
        <v>95</v>
      </c>
      <c r="R28" s="66" t="s">
        <v>96</v>
      </c>
      <c r="S28" s="65" t="s">
        <v>85</v>
      </c>
      <c r="T28" s="65" t="s">
        <v>162</v>
      </c>
      <c r="U28" s="65">
        <v>56.0</v>
      </c>
      <c r="V28" s="65" t="s">
        <v>86</v>
      </c>
      <c r="W28" s="65">
        <v>56.0</v>
      </c>
      <c r="X28" s="65" t="s">
        <v>233</v>
      </c>
      <c r="Y28" s="69"/>
      <c r="Z28" s="69"/>
      <c r="AA28" s="69"/>
      <c r="AB28" s="70" t="s">
        <v>99</v>
      </c>
      <c r="AC28" s="71" t="s">
        <v>89</v>
      </c>
      <c r="AD28" s="112">
        <v>2117.0</v>
      </c>
      <c r="AE28" s="73">
        <v>2117.0</v>
      </c>
      <c r="AF28" s="74">
        <v>44617.0</v>
      </c>
      <c r="AG28" s="73">
        <v>7.0</v>
      </c>
      <c r="AH28" s="75">
        <f t="shared" si="13"/>
        <v>46746</v>
      </c>
      <c r="AI28" s="74">
        <f t="shared" si="14"/>
        <v>46808</v>
      </c>
      <c r="AJ28" s="74">
        <f t="shared" si="12"/>
        <v>47174</v>
      </c>
      <c r="AK28" s="74"/>
      <c r="AL28" s="74"/>
      <c r="AM28" s="76"/>
      <c r="AN28" s="76">
        <v>1.0</v>
      </c>
      <c r="AO28" s="76"/>
      <c r="AP28" s="76"/>
      <c r="AQ28" s="76"/>
      <c r="AR28" s="65" t="s">
        <v>82</v>
      </c>
      <c r="AS28" s="126"/>
      <c r="AT28" s="126"/>
      <c r="AU28" s="127"/>
      <c r="AV28" s="128"/>
      <c r="AW28" s="129"/>
      <c r="AX28" s="130"/>
      <c r="AY28" s="129"/>
      <c r="AZ28" s="129"/>
      <c r="BA28" s="84"/>
      <c r="BB28" s="131"/>
      <c r="BC28" s="132"/>
      <c r="BD28" s="132"/>
      <c r="BE28" s="76"/>
      <c r="BF28" s="133"/>
      <c r="BG28" s="134"/>
    </row>
    <row r="29" ht="42.0" customHeight="1">
      <c r="A29" s="121">
        <v>23.0</v>
      </c>
      <c r="B29" s="65">
        <v>57748.0</v>
      </c>
      <c r="C29" s="66" t="s">
        <v>182</v>
      </c>
      <c r="D29" s="66" t="s">
        <v>234</v>
      </c>
      <c r="E29" s="66" t="s">
        <v>235</v>
      </c>
      <c r="F29" s="67" t="s">
        <v>236</v>
      </c>
      <c r="G29" s="65">
        <v>111151.0</v>
      </c>
      <c r="H29" s="65"/>
      <c r="I29" s="65" t="s">
        <v>161</v>
      </c>
      <c r="J29" s="65" t="s">
        <v>94</v>
      </c>
      <c r="K29" s="65"/>
      <c r="L29" s="65"/>
      <c r="M29" s="65"/>
      <c r="N29" s="66" t="s">
        <v>80</v>
      </c>
      <c r="O29" s="65" t="s">
        <v>81</v>
      </c>
      <c r="P29" s="68" t="s">
        <v>82</v>
      </c>
      <c r="Q29" s="66" t="s">
        <v>95</v>
      </c>
      <c r="R29" s="66" t="s">
        <v>96</v>
      </c>
      <c r="S29" s="65" t="s">
        <v>85</v>
      </c>
      <c r="T29" s="65" t="s">
        <v>162</v>
      </c>
      <c r="U29" s="65">
        <v>48.0</v>
      </c>
      <c r="V29" s="65" t="s">
        <v>86</v>
      </c>
      <c r="W29" s="65">
        <v>48.0</v>
      </c>
      <c r="X29" s="65" t="s">
        <v>233</v>
      </c>
      <c r="Y29" s="69"/>
      <c r="Z29" s="69"/>
      <c r="AA29" s="69"/>
      <c r="AB29" s="70" t="s">
        <v>99</v>
      </c>
      <c r="AC29" s="71" t="s">
        <v>89</v>
      </c>
      <c r="AD29" s="112">
        <v>7139.0</v>
      </c>
      <c r="AE29" s="73">
        <v>7139.0</v>
      </c>
      <c r="AF29" s="74">
        <v>44678.0</v>
      </c>
      <c r="AG29" s="73">
        <v>7.0</v>
      </c>
      <c r="AH29" s="75">
        <f t="shared" si="13"/>
        <v>46810</v>
      </c>
      <c r="AI29" s="74">
        <f t="shared" si="14"/>
        <v>46870</v>
      </c>
      <c r="AJ29" s="74">
        <f t="shared" si="12"/>
        <v>47235</v>
      </c>
      <c r="AK29" s="74"/>
      <c r="AL29" s="74"/>
      <c r="AM29" s="76"/>
      <c r="AN29" s="76">
        <v>1.0</v>
      </c>
      <c r="AO29" s="76"/>
      <c r="AP29" s="76"/>
      <c r="AQ29" s="76"/>
      <c r="AR29" s="65" t="s">
        <v>82</v>
      </c>
      <c r="AS29" s="65"/>
      <c r="AT29" s="65"/>
      <c r="AU29" s="77"/>
      <c r="AV29" s="78"/>
      <c r="AW29" s="79"/>
      <c r="AX29" s="103"/>
      <c r="AY29" s="79"/>
      <c r="AZ29" s="79"/>
      <c r="BA29" s="84"/>
      <c r="BB29" s="85"/>
      <c r="BC29" s="86"/>
      <c r="BD29" s="86"/>
      <c r="BE29" s="76"/>
      <c r="BF29" s="82"/>
      <c r="BG29" s="83"/>
    </row>
    <row r="30" ht="42.0" customHeight="1">
      <c r="A30" s="115">
        <v>24.0</v>
      </c>
      <c r="B30" s="65">
        <v>26448.0</v>
      </c>
      <c r="C30" s="66" t="s">
        <v>182</v>
      </c>
      <c r="D30" s="66" t="s">
        <v>237</v>
      </c>
      <c r="E30" s="66" t="s">
        <v>238</v>
      </c>
      <c r="F30" s="67" t="s">
        <v>239</v>
      </c>
      <c r="G30" s="65">
        <v>8441.0</v>
      </c>
      <c r="H30" s="65"/>
      <c r="I30" s="65" t="s">
        <v>240</v>
      </c>
      <c r="J30" s="65" t="s">
        <v>79</v>
      </c>
      <c r="K30" s="65"/>
      <c r="L30" s="65"/>
      <c r="M30" s="65"/>
      <c r="N30" s="66" t="s">
        <v>80</v>
      </c>
      <c r="O30" s="65" t="s">
        <v>81</v>
      </c>
      <c r="P30" s="68" t="s">
        <v>82</v>
      </c>
      <c r="Q30" s="66" t="s">
        <v>83</v>
      </c>
      <c r="R30" s="66" t="s">
        <v>84</v>
      </c>
      <c r="S30" s="65" t="s">
        <v>85</v>
      </c>
      <c r="T30" s="65" t="s">
        <v>86</v>
      </c>
      <c r="U30" s="65" t="s">
        <v>86</v>
      </c>
      <c r="V30" s="65" t="s">
        <v>86</v>
      </c>
      <c r="W30" s="65">
        <v>176.0</v>
      </c>
      <c r="X30" s="65" t="s">
        <v>87</v>
      </c>
      <c r="Y30" s="89" t="s">
        <v>241</v>
      </c>
      <c r="Z30" s="69"/>
      <c r="AA30" s="69"/>
      <c r="AB30" s="70" t="s">
        <v>99</v>
      </c>
      <c r="AC30" s="71" t="str">
        <f t="shared" ref="AC30:AC32" si="15">IF(AJ30&gt;TODAY(),"Si","No")</f>
        <v>Si</v>
      </c>
      <c r="AD30" s="72">
        <v>8576.0</v>
      </c>
      <c r="AE30" s="73">
        <v>8576.0</v>
      </c>
      <c r="AF30" s="74">
        <v>45071.0</v>
      </c>
      <c r="AG30" s="73">
        <v>7.0</v>
      </c>
      <c r="AH30" s="75">
        <f t="shared" si="13"/>
        <v>47202</v>
      </c>
      <c r="AI30" s="74">
        <f t="shared" si="14"/>
        <v>47263</v>
      </c>
      <c r="AJ30" s="74">
        <f t="shared" si="12"/>
        <v>47628</v>
      </c>
      <c r="AK30" s="74"/>
      <c r="AL30" s="74"/>
      <c r="AM30" s="76" t="s">
        <v>242</v>
      </c>
      <c r="AN30" s="76">
        <v>4.0</v>
      </c>
      <c r="AO30" s="76"/>
      <c r="AP30" s="76"/>
      <c r="AQ30" s="76"/>
      <c r="AR30" s="65" t="s">
        <v>89</v>
      </c>
      <c r="AS30" s="65" t="s">
        <v>89</v>
      </c>
      <c r="AT30" s="65" t="str">
        <f>'Rutas AAC'!AE32</f>
        <v> </v>
      </c>
      <c r="AU30" s="72">
        <v>8576.0</v>
      </c>
      <c r="AV30" s="90">
        <v>45071.0</v>
      </c>
      <c r="AW30" s="91">
        <v>4.0</v>
      </c>
      <c r="AX30" s="80">
        <f>EDATE(AV30,(AW30*12)-14)</f>
        <v>46106</v>
      </c>
      <c r="AY30" s="84">
        <f>EDATE(AV30,(AW30*12)-12)</f>
        <v>46167</v>
      </c>
      <c r="AZ30" s="84">
        <f>EDATE(AV30,(AW30*12))</f>
        <v>46532</v>
      </c>
      <c r="BA30" s="84">
        <f>EDATE(AV30,((AW30/2)*12))</f>
        <v>45802</v>
      </c>
      <c r="BB30" s="135" t="s">
        <v>243</v>
      </c>
      <c r="BC30" s="76">
        <v>2.0</v>
      </c>
      <c r="BD30" s="76"/>
      <c r="BE30" s="76"/>
      <c r="BF30" s="87"/>
      <c r="BG30" s="83"/>
    </row>
    <row r="31" ht="42.0" customHeight="1">
      <c r="A31" s="121">
        <v>25.0</v>
      </c>
      <c r="B31" s="65">
        <v>38549.0</v>
      </c>
      <c r="C31" s="66" t="s">
        <v>182</v>
      </c>
      <c r="D31" s="66" t="s">
        <v>244</v>
      </c>
      <c r="E31" s="66" t="s">
        <v>245</v>
      </c>
      <c r="F31" s="67" t="s">
        <v>246</v>
      </c>
      <c r="G31" s="65">
        <v>55045.0</v>
      </c>
      <c r="H31" s="65"/>
      <c r="I31" s="65" t="s">
        <v>247</v>
      </c>
      <c r="J31" s="65" t="s">
        <v>94</v>
      </c>
      <c r="K31" s="65"/>
      <c r="L31" s="65"/>
      <c r="M31" s="65"/>
      <c r="N31" s="66" t="s">
        <v>80</v>
      </c>
      <c r="O31" s="65" t="s">
        <v>147</v>
      </c>
      <c r="P31" s="68" t="s">
        <v>82</v>
      </c>
      <c r="Q31" s="66" t="s">
        <v>95</v>
      </c>
      <c r="R31" s="66" t="s">
        <v>96</v>
      </c>
      <c r="S31" s="65" t="s">
        <v>85</v>
      </c>
      <c r="T31" s="65" t="s">
        <v>97</v>
      </c>
      <c r="U31" s="65" t="s">
        <v>86</v>
      </c>
      <c r="V31" s="65">
        <v>46.0</v>
      </c>
      <c r="W31" s="65">
        <v>46.0</v>
      </c>
      <c r="X31" s="65" t="s">
        <v>98</v>
      </c>
      <c r="Y31" s="69"/>
      <c r="Z31" s="69"/>
      <c r="AA31" s="69"/>
      <c r="AB31" s="70">
        <v>0.3</v>
      </c>
      <c r="AC31" s="71" t="str">
        <f t="shared" si="15"/>
        <v>Si</v>
      </c>
      <c r="AD31" s="112">
        <v>16177.0</v>
      </c>
      <c r="AE31" s="73">
        <v>16177.0</v>
      </c>
      <c r="AF31" s="74">
        <v>45174.0</v>
      </c>
      <c r="AG31" s="73">
        <v>7.0</v>
      </c>
      <c r="AH31" s="75">
        <f t="shared" si="13"/>
        <v>47304</v>
      </c>
      <c r="AI31" s="74">
        <f>EDATE(AJ31,-12)</f>
        <v>47366</v>
      </c>
      <c r="AJ31" s="74">
        <f t="shared" si="12"/>
        <v>47731</v>
      </c>
      <c r="AK31" s="74"/>
      <c r="AL31" s="74">
        <v>45838.0</v>
      </c>
      <c r="AM31" s="76" t="s">
        <v>248</v>
      </c>
      <c r="AN31" s="76">
        <v>2.0</v>
      </c>
      <c r="AO31" s="76"/>
      <c r="AP31" s="76" t="s">
        <v>249</v>
      </c>
      <c r="AQ31" s="76">
        <v>34.0</v>
      </c>
      <c r="AR31" s="65" t="s">
        <v>89</v>
      </c>
      <c r="AS31" s="65"/>
      <c r="AT31" s="65">
        <f>'Rutas AAC'!AE36</f>
        <v>2</v>
      </c>
      <c r="AU31" s="77"/>
      <c r="AV31" s="78"/>
      <c r="AW31" s="79"/>
      <c r="AX31" s="110"/>
      <c r="AY31" s="81"/>
      <c r="AZ31" s="79"/>
      <c r="BA31" s="84"/>
      <c r="BB31" s="85"/>
      <c r="BC31" s="86"/>
      <c r="BD31" s="86"/>
      <c r="BE31" s="76"/>
      <c r="BF31" s="82"/>
      <c r="BG31" s="83"/>
    </row>
    <row r="32" ht="42.0" customHeight="1">
      <c r="A32" s="115">
        <v>26.0</v>
      </c>
      <c r="B32" s="65">
        <v>23122.0</v>
      </c>
      <c r="C32" s="66" t="s">
        <v>182</v>
      </c>
      <c r="D32" s="66" t="s">
        <v>250</v>
      </c>
      <c r="E32" s="66" t="s">
        <v>251</v>
      </c>
      <c r="F32" s="67" t="s">
        <v>252</v>
      </c>
      <c r="G32" s="65">
        <v>18679.0</v>
      </c>
      <c r="H32" s="65"/>
      <c r="I32" s="65" t="s">
        <v>253</v>
      </c>
      <c r="J32" s="65" t="s">
        <v>79</v>
      </c>
      <c r="K32" s="65"/>
      <c r="L32" s="65"/>
      <c r="M32" s="65"/>
      <c r="N32" s="66" t="s">
        <v>80</v>
      </c>
      <c r="O32" s="65" t="s">
        <v>155</v>
      </c>
      <c r="P32" s="68" t="s">
        <v>82</v>
      </c>
      <c r="Q32" s="66" t="s">
        <v>83</v>
      </c>
      <c r="R32" s="66" t="s">
        <v>84</v>
      </c>
      <c r="S32" s="65" t="s">
        <v>85</v>
      </c>
      <c r="T32" s="65" t="s">
        <v>86</v>
      </c>
      <c r="U32" s="65" t="s">
        <v>86</v>
      </c>
      <c r="V32" s="65" t="s">
        <v>86</v>
      </c>
      <c r="W32" s="65">
        <v>177.0</v>
      </c>
      <c r="X32" s="65" t="s">
        <v>87</v>
      </c>
      <c r="Y32" s="69"/>
      <c r="Z32" s="69"/>
      <c r="AA32" s="69"/>
      <c r="AB32" s="70">
        <v>0.2</v>
      </c>
      <c r="AC32" s="71" t="str">
        <f t="shared" si="15"/>
        <v>Si</v>
      </c>
      <c r="AD32" s="72">
        <v>11924.0</v>
      </c>
      <c r="AE32" s="73">
        <v>11924.0</v>
      </c>
      <c r="AF32" s="74">
        <v>45820.0</v>
      </c>
      <c r="AG32" s="73">
        <v>7.0</v>
      </c>
      <c r="AH32" s="75">
        <f t="shared" si="13"/>
        <v>47950</v>
      </c>
      <c r="AI32" s="74">
        <f t="shared" ref="AI32:AI43" si="16">EDATE(AF32,(AG32*12)-12)</f>
        <v>48011</v>
      </c>
      <c r="AJ32" s="74">
        <f t="shared" si="12"/>
        <v>48377</v>
      </c>
      <c r="AK32" s="74"/>
      <c r="AL32" s="74"/>
      <c r="AM32" s="76" t="s">
        <v>254</v>
      </c>
      <c r="AN32" s="76">
        <v>3.0</v>
      </c>
      <c r="AO32" s="76"/>
      <c r="AP32" s="76"/>
      <c r="AQ32" s="76"/>
      <c r="AR32" s="65" t="s">
        <v>82</v>
      </c>
      <c r="AS32" s="65"/>
      <c r="AT32" s="65" t="str">
        <f>'Rutas AAC'!AE35</f>
        <v> </v>
      </c>
      <c r="AU32" s="77"/>
      <c r="AV32" s="78"/>
      <c r="AW32" s="79"/>
      <c r="AX32" s="110"/>
      <c r="AY32" s="81"/>
      <c r="AZ32" s="79"/>
      <c r="BA32" s="84"/>
      <c r="BB32" s="136"/>
      <c r="BC32" s="136"/>
      <c r="BD32" s="136"/>
      <c r="BE32" s="76">
        <v>2013.0</v>
      </c>
      <c r="BF32" s="82"/>
      <c r="BG32" s="83"/>
    </row>
    <row r="33" ht="41.25" customHeight="1">
      <c r="A33" s="137">
        <v>27.0</v>
      </c>
      <c r="B33" s="65">
        <v>52824.0</v>
      </c>
      <c r="C33" s="66" t="s">
        <v>255</v>
      </c>
      <c r="D33" s="66" t="s">
        <v>256</v>
      </c>
      <c r="E33" s="66" t="s">
        <v>257</v>
      </c>
      <c r="F33" s="67" t="s">
        <v>258</v>
      </c>
      <c r="G33" s="65">
        <v>110739.0</v>
      </c>
      <c r="H33" s="65"/>
      <c r="I33" s="65" t="s">
        <v>78</v>
      </c>
      <c r="J33" s="65" t="s">
        <v>259</v>
      </c>
      <c r="K33" s="65"/>
      <c r="L33" s="65"/>
      <c r="M33" s="65"/>
      <c r="N33" s="66" t="s">
        <v>80</v>
      </c>
      <c r="O33" s="65" t="s">
        <v>81</v>
      </c>
      <c r="P33" s="68" t="s">
        <v>82</v>
      </c>
      <c r="Q33" s="66" t="s">
        <v>95</v>
      </c>
      <c r="R33" s="66" t="s">
        <v>96</v>
      </c>
      <c r="S33" s="65" t="s">
        <v>85</v>
      </c>
      <c r="T33" s="65" t="s">
        <v>162</v>
      </c>
      <c r="U33" s="65">
        <v>40.0</v>
      </c>
      <c r="V33" s="65" t="s">
        <v>86</v>
      </c>
      <c r="W33" s="65">
        <v>40.0</v>
      </c>
      <c r="X33" s="65" t="s">
        <v>98</v>
      </c>
      <c r="Y33" s="69"/>
      <c r="Z33" s="69"/>
      <c r="AA33" s="69"/>
      <c r="AB33" s="70">
        <v>0.5</v>
      </c>
      <c r="AC33" s="71" t="s">
        <v>89</v>
      </c>
      <c r="AD33" s="112">
        <v>19531.0</v>
      </c>
      <c r="AE33" s="73">
        <v>19531.0</v>
      </c>
      <c r="AF33" s="74">
        <v>44488.0</v>
      </c>
      <c r="AG33" s="73">
        <v>7.0</v>
      </c>
      <c r="AH33" s="75">
        <f t="shared" si="13"/>
        <v>46618</v>
      </c>
      <c r="AI33" s="74">
        <f t="shared" si="16"/>
        <v>46679</v>
      </c>
      <c r="AJ33" s="74">
        <f t="shared" si="12"/>
        <v>47045</v>
      </c>
      <c r="AK33" s="74"/>
      <c r="AL33" s="74"/>
      <c r="AM33" s="76"/>
      <c r="AN33" s="76">
        <v>1.0</v>
      </c>
      <c r="AO33" s="76"/>
      <c r="AP33" s="76"/>
      <c r="AQ33" s="76"/>
      <c r="AR33" s="65" t="s">
        <v>82</v>
      </c>
      <c r="AS33" s="65"/>
      <c r="AT33" s="65"/>
      <c r="AU33" s="77"/>
      <c r="AV33" s="78"/>
      <c r="AW33" s="79"/>
      <c r="AX33" s="103"/>
      <c r="AY33" s="79"/>
      <c r="AZ33" s="79"/>
      <c r="BA33" s="84"/>
      <c r="BB33" s="85"/>
      <c r="BC33" s="86"/>
      <c r="BD33" s="86"/>
      <c r="BE33" s="76"/>
      <c r="BF33" s="82"/>
      <c r="BG33" s="83"/>
    </row>
    <row r="34" ht="42.0" customHeight="1">
      <c r="A34" s="137">
        <v>28.0</v>
      </c>
      <c r="B34" s="65">
        <v>28918.0</v>
      </c>
      <c r="C34" s="66" t="s">
        <v>255</v>
      </c>
      <c r="D34" s="66" t="s">
        <v>260</v>
      </c>
      <c r="E34" s="66" t="s">
        <v>261</v>
      </c>
      <c r="F34" s="67" t="s">
        <v>262</v>
      </c>
      <c r="G34" s="65">
        <v>5268.0</v>
      </c>
      <c r="H34" s="65"/>
      <c r="I34" s="65" t="s">
        <v>263</v>
      </c>
      <c r="J34" s="65" t="s">
        <v>79</v>
      </c>
      <c r="K34" s="65"/>
      <c r="L34" s="65"/>
      <c r="M34" s="65"/>
      <c r="N34" s="66" t="s">
        <v>80</v>
      </c>
      <c r="O34" s="65" t="s">
        <v>81</v>
      </c>
      <c r="P34" s="68" t="s">
        <v>82</v>
      </c>
      <c r="Q34" s="66" t="s">
        <v>83</v>
      </c>
      <c r="R34" s="66" t="s">
        <v>84</v>
      </c>
      <c r="S34" s="65" t="s">
        <v>85</v>
      </c>
      <c r="T34" s="65" t="s">
        <v>86</v>
      </c>
      <c r="U34" s="65" t="s">
        <v>86</v>
      </c>
      <c r="V34" s="65" t="s">
        <v>86</v>
      </c>
      <c r="W34" s="65">
        <v>174.0</v>
      </c>
      <c r="X34" s="65" t="s">
        <v>87</v>
      </c>
      <c r="Y34" s="69"/>
      <c r="Z34" s="69"/>
      <c r="AA34" s="138" t="s">
        <v>264</v>
      </c>
      <c r="AB34" s="70" t="s">
        <v>99</v>
      </c>
      <c r="AC34" s="71" t="str">
        <f t="shared" ref="AC34:AC36" si="17">IF(AJ34&gt;TODAY(),"Si","No")</f>
        <v>Si</v>
      </c>
      <c r="AD34" s="112">
        <v>12529.0</v>
      </c>
      <c r="AE34" s="73">
        <v>12529.0</v>
      </c>
      <c r="AF34" s="74">
        <v>44742.0</v>
      </c>
      <c r="AG34" s="73">
        <v>7.0</v>
      </c>
      <c r="AH34" s="75">
        <f t="shared" si="13"/>
        <v>46873</v>
      </c>
      <c r="AI34" s="74">
        <f t="shared" si="16"/>
        <v>46934</v>
      </c>
      <c r="AJ34" s="74">
        <f t="shared" si="12"/>
        <v>47299</v>
      </c>
      <c r="AK34" s="74"/>
      <c r="AL34" s="74"/>
      <c r="AM34" s="76" t="s">
        <v>265</v>
      </c>
      <c r="AN34" s="76">
        <v>4.0</v>
      </c>
      <c r="AO34" s="76"/>
      <c r="AP34" s="76"/>
      <c r="AQ34" s="76"/>
      <c r="AR34" s="65" t="s">
        <v>89</v>
      </c>
      <c r="AS34" s="65" t="s">
        <v>89</v>
      </c>
      <c r="AT34" s="91">
        <f>'Rutas AAC'!AE55</f>
        <v>13</v>
      </c>
      <c r="AU34" s="139"/>
      <c r="AV34" s="90"/>
      <c r="AW34" s="91"/>
      <c r="AX34" s="80"/>
      <c r="AY34" s="84"/>
      <c r="AZ34" s="84"/>
      <c r="BA34" s="84"/>
      <c r="BB34" s="140"/>
      <c r="BC34" s="76"/>
      <c r="BD34" s="76"/>
      <c r="BE34" s="76">
        <v>2013.0</v>
      </c>
      <c r="BF34" s="82"/>
      <c r="BG34" s="83"/>
    </row>
    <row r="35" ht="42.0" customHeight="1">
      <c r="A35" s="137">
        <v>29.0</v>
      </c>
      <c r="B35" s="65">
        <v>29652.0</v>
      </c>
      <c r="C35" s="66" t="s">
        <v>255</v>
      </c>
      <c r="D35" s="66" t="s">
        <v>266</v>
      </c>
      <c r="E35" s="66" t="s">
        <v>267</v>
      </c>
      <c r="F35" s="67">
        <v>1977.0</v>
      </c>
      <c r="G35" s="65">
        <v>240.0</v>
      </c>
      <c r="H35" s="65"/>
      <c r="I35" s="65" t="s">
        <v>268</v>
      </c>
      <c r="J35" s="65" t="s">
        <v>94</v>
      </c>
      <c r="K35" s="65"/>
      <c r="L35" s="65"/>
      <c r="M35" s="65"/>
      <c r="N35" s="66" t="s">
        <v>80</v>
      </c>
      <c r="O35" s="65" t="s">
        <v>81</v>
      </c>
      <c r="P35" s="68" t="s">
        <v>82</v>
      </c>
      <c r="Q35" s="66" t="s">
        <v>148</v>
      </c>
      <c r="R35" s="66" t="s">
        <v>96</v>
      </c>
      <c r="S35" s="65" t="s">
        <v>85</v>
      </c>
      <c r="T35" s="65" t="s">
        <v>97</v>
      </c>
      <c r="U35" s="65" t="s">
        <v>86</v>
      </c>
      <c r="V35" s="65">
        <v>185.0</v>
      </c>
      <c r="W35" s="65">
        <v>185.0</v>
      </c>
      <c r="X35" s="65" t="s">
        <v>269</v>
      </c>
      <c r="Y35" s="69"/>
      <c r="Z35" s="69"/>
      <c r="AA35" s="69"/>
      <c r="AB35" s="70">
        <v>0.18</v>
      </c>
      <c r="AC35" s="71" t="str">
        <f t="shared" si="17"/>
        <v>Si</v>
      </c>
      <c r="AD35" s="112">
        <v>15518.0</v>
      </c>
      <c r="AE35" s="73">
        <v>15518.0</v>
      </c>
      <c r="AF35" s="74">
        <v>44777.0</v>
      </c>
      <c r="AG35" s="73">
        <v>7.0</v>
      </c>
      <c r="AH35" s="75">
        <f t="shared" si="13"/>
        <v>46908</v>
      </c>
      <c r="AI35" s="74">
        <f t="shared" si="16"/>
        <v>46969</v>
      </c>
      <c r="AJ35" s="74">
        <f t="shared" si="12"/>
        <v>47334</v>
      </c>
      <c r="AK35" s="74"/>
      <c r="AL35" s="74"/>
      <c r="AM35" s="76" t="s">
        <v>270</v>
      </c>
      <c r="AN35" s="76">
        <v>3.0</v>
      </c>
      <c r="AO35" s="76"/>
      <c r="AP35" s="76"/>
      <c r="AQ35" s="76">
        <v>73.0</v>
      </c>
      <c r="AR35" s="65" t="s">
        <v>89</v>
      </c>
      <c r="AS35" s="65"/>
      <c r="AT35" s="65" t="str">
        <f>'[3]Rutas AAC'!AE46</f>
        <v>#REF!</v>
      </c>
      <c r="AU35" s="77"/>
      <c r="AV35" s="78"/>
      <c r="AW35" s="79"/>
      <c r="AX35" s="103"/>
      <c r="AY35" s="79"/>
      <c r="AZ35" s="79"/>
      <c r="BA35" s="84"/>
      <c r="BB35" s="85"/>
      <c r="BC35" s="86"/>
      <c r="BD35" s="86"/>
      <c r="BE35" s="76"/>
      <c r="BF35" s="141"/>
      <c r="BG35" s="83"/>
    </row>
    <row r="36" ht="42.0" customHeight="1">
      <c r="A36" s="137">
        <v>30.0</v>
      </c>
      <c r="B36" s="65">
        <v>29619.0</v>
      </c>
      <c r="C36" s="66" t="s">
        <v>255</v>
      </c>
      <c r="D36" s="66" t="s">
        <v>271</v>
      </c>
      <c r="E36" s="66" t="s">
        <v>272</v>
      </c>
      <c r="F36" s="67">
        <v>1975.0</v>
      </c>
      <c r="G36" s="65">
        <v>244.0</v>
      </c>
      <c r="H36" s="65"/>
      <c r="I36" s="65" t="s">
        <v>273</v>
      </c>
      <c r="J36" s="65" t="s">
        <v>94</v>
      </c>
      <c r="K36" s="65"/>
      <c r="L36" s="65"/>
      <c r="M36" s="65"/>
      <c r="N36" s="66" t="s">
        <v>80</v>
      </c>
      <c r="O36" s="65" t="s">
        <v>81</v>
      </c>
      <c r="P36" s="68" t="s">
        <v>82</v>
      </c>
      <c r="Q36" s="66" t="s">
        <v>148</v>
      </c>
      <c r="R36" s="66" t="s">
        <v>96</v>
      </c>
      <c r="S36" s="65" t="s">
        <v>85</v>
      </c>
      <c r="T36" s="65" t="s">
        <v>97</v>
      </c>
      <c r="U36" s="65" t="s">
        <v>86</v>
      </c>
      <c r="V36" s="65">
        <v>166.0</v>
      </c>
      <c r="W36" s="65">
        <v>166.0</v>
      </c>
      <c r="X36" s="65" t="s">
        <v>269</v>
      </c>
      <c r="Y36" s="69"/>
      <c r="Z36" s="69"/>
      <c r="AA36" s="69"/>
      <c r="AB36" s="70">
        <v>0.15</v>
      </c>
      <c r="AC36" s="71" t="str">
        <f t="shared" si="17"/>
        <v>Si</v>
      </c>
      <c r="AD36" s="112">
        <v>15502.0</v>
      </c>
      <c r="AE36" s="73">
        <v>15502.0</v>
      </c>
      <c r="AF36" s="74">
        <v>44777.0</v>
      </c>
      <c r="AG36" s="73">
        <v>7.0</v>
      </c>
      <c r="AH36" s="75">
        <f t="shared" si="13"/>
        <v>46908</v>
      </c>
      <c r="AI36" s="74">
        <f t="shared" si="16"/>
        <v>46969</v>
      </c>
      <c r="AJ36" s="74">
        <f t="shared" si="12"/>
        <v>47334</v>
      </c>
      <c r="AK36" s="74"/>
      <c r="AL36" s="74"/>
      <c r="AM36" s="76" t="s">
        <v>274</v>
      </c>
      <c r="AN36" s="76">
        <v>3.0</v>
      </c>
      <c r="AO36" s="76"/>
      <c r="AP36" s="76"/>
      <c r="AQ36" s="76">
        <v>112.0</v>
      </c>
      <c r="AR36" s="65" t="s">
        <v>89</v>
      </c>
      <c r="AS36" s="65"/>
      <c r="AT36" s="65" t="str">
        <f>'[3]Rutas AAC'!AE50</f>
        <v>#REF!</v>
      </c>
      <c r="AU36" s="77"/>
      <c r="AV36" s="78"/>
      <c r="AW36" s="79"/>
      <c r="AX36" s="103"/>
      <c r="AY36" s="79"/>
      <c r="AZ36" s="79"/>
      <c r="BA36" s="84"/>
      <c r="BB36" s="85"/>
      <c r="BC36" s="86"/>
      <c r="BD36" s="86"/>
      <c r="BE36" s="76"/>
      <c r="BF36" s="82"/>
      <c r="BG36" s="83"/>
    </row>
    <row r="37" ht="42.0" customHeight="1">
      <c r="A37" s="137">
        <v>31.0</v>
      </c>
      <c r="B37" s="65">
        <v>29249.0</v>
      </c>
      <c r="C37" s="66" t="s">
        <v>255</v>
      </c>
      <c r="D37" s="66" t="s">
        <v>275</v>
      </c>
      <c r="E37" s="66" t="s">
        <v>276</v>
      </c>
      <c r="F37" s="67">
        <v>1975.0</v>
      </c>
      <c r="G37" s="65">
        <v>242.0</v>
      </c>
      <c r="H37" s="65"/>
      <c r="I37" s="65" t="s">
        <v>277</v>
      </c>
      <c r="J37" s="65" t="s">
        <v>94</v>
      </c>
      <c r="K37" s="65"/>
      <c r="L37" s="65"/>
      <c r="M37" s="65"/>
      <c r="N37" s="66" t="s">
        <v>80</v>
      </c>
      <c r="O37" s="65" t="s">
        <v>81</v>
      </c>
      <c r="P37" s="68" t="s">
        <v>82</v>
      </c>
      <c r="Q37" s="66" t="s">
        <v>148</v>
      </c>
      <c r="R37" s="66" t="s">
        <v>96</v>
      </c>
      <c r="S37" s="65" t="s">
        <v>85</v>
      </c>
      <c r="T37" s="65" t="s">
        <v>97</v>
      </c>
      <c r="U37" s="65" t="s">
        <v>86</v>
      </c>
      <c r="V37" s="65">
        <v>185.0</v>
      </c>
      <c r="W37" s="65">
        <v>185.0</v>
      </c>
      <c r="X37" s="65" t="s">
        <v>269</v>
      </c>
      <c r="Y37" s="69"/>
      <c r="Z37" s="69"/>
      <c r="AA37" s="69"/>
      <c r="AB37" s="70">
        <v>0.15</v>
      </c>
      <c r="AC37" s="71" t="s">
        <v>89</v>
      </c>
      <c r="AD37" s="112">
        <v>3736.0</v>
      </c>
      <c r="AE37" s="73">
        <v>3736.0</v>
      </c>
      <c r="AF37" s="74">
        <v>44988.0</v>
      </c>
      <c r="AG37" s="73">
        <v>7.0</v>
      </c>
      <c r="AH37" s="75">
        <f t="shared" si="13"/>
        <v>47121</v>
      </c>
      <c r="AI37" s="74">
        <f t="shared" si="16"/>
        <v>47180</v>
      </c>
      <c r="AJ37" s="74">
        <f t="shared" si="12"/>
        <v>47545</v>
      </c>
      <c r="AK37" s="74"/>
      <c r="AL37" s="74"/>
      <c r="AM37" s="76" t="s">
        <v>278</v>
      </c>
      <c r="AN37" s="76">
        <v>5.0</v>
      </c>
      <c r="AO37" s="76"/>
      <c r="AP37" s="76"/>
      <c r="AQ37" s="76">
        <v>106.0</v>
      </c>
      <c r="AR37" s="65" t="s">
        <v>89</v>
      </c>
      <c r="AS37" s="65"/>
      <c r="AT37" s="65" t="s">
        <v>279</v>
      </c>
      <c r="AU37" s="77"/>
      <c r="AV37" s="78"/>
      <c r="AW37" s="79"/>
      <c r="AX37" s="103"/>
      <c r="AY37" s="79"/>
      <c r="AZ37" s="79"/>
      <c r="BA37" s="85"/>
      <c r="BB37" s="86"/>
      <c r="BC37" s="86"/>
      <c r="BD37" s="76"/>
      <c r="BE37" s="142"/>
      <c r="BF37" s="82"/>
      <c r="BG37" s="83"/>
    </row>
    <row r="38" ht="42.0" customHeight="1">
      <c r="A38" s="137">
        <v>32.0</v>
      </c>
      <c r="B38" s="65">
        <v>29653.0</v>
      </c>
      <c r="C38" s="66" t="s">
        <v>255</v>
      </c>
      <c r="D38" s="66" t="s">
        <v>280</v>
      </c>
      <c r="E38" s="66" t="s">
        <v>281</v>
      </c>
      <c r="F38" s="67">
        <v>1975.0</v>
      </c>
      <c r="G38" s="65">
        <v>241.0</v>
      </c>
      <c r="H38" s="65"/>
      <c r="I38" s="65" t="s">
        <v>282</v>
      </c>
      <c r="J38" s="65" t="s">
        <v>94</v>
      </c>
      <c r="K38" s="65"/>
      <c r="L38" s="65"/>
      <c r="M38" s="65"/>
      <c r="N38" s="66" t="s">
        <v>80</v>
      </c>
      <c r="O38" s="65" t="s">
        <v>81</v>
      </c>
      <c r="P38" s="68" t="s">
        <v>82</v>
      </c>
      <c r="Q38" s="66" t="s">
        <v>148</v>
      </c>
      <c r="R38" s="66" t="s">
        <v>96</v>
      </c>
      <c r="S38" s="65" t="s">
        <v>85</v>
      </c>
      <c r="T38" s="65" t="s">
        <v>97</v>
      </c>
      <c r="U38" s="65" t="s">
        <v>86</v>
      </c>
      <c r="V38" s="65">
        <v>194.0</v>
      </c>
      <c r="W38" s="65">
        <v>194.0</v>
      </c>
      <c r="X38" s="65" t="s">
        <v>283</v>
      </c>
      <c r="Y38" s="69"/>
      <c r="Z38" s="69"/>
      <c r="AA38" s="69"/>
      <c r="AB38" s="70">
        <v>0.2</v>
      </c>
      <c r="AC38" s="71" t="str">
        <f t="shared" ref="AC38:AC40" si="18">IF(AJ38&gt;TODAY(),"Si","No")</f>
        <v>Si</v>
      </c>
      <c r="AD38" s="112">
        <v>5523.0</v>
      </c>
      <c r="AE38" s="73">
        <v>5523.0</v>
      </c>
      <c r="AF38" s="74">
        <v>45021.0</v>
      </c>
      <c r="AG38" s="73">
        <v>7.0</v>
      </c>
      <c r="AH38" s="75">
        <f t="shared" si="13"/>
        <v>47154</v>
      </c>
      <c r="AI38" s="74">
        <f t="shared" si="16"/>
        <v>47213</v>
      </c>
      <c r="AJ38" s="74">
        <f t="shared" si="12"/>
        <v>47578</v>
      </c>
      <c r="AK38" s="143"/>
      <c r="AL38" s="143"/>
      <c r="AM38" s="76" t="s">
        <v>284</v>
      </c>
      <c r="AN38" s="76">
        <v>4.0</v>
      </c>
      <c r="AO38" s="76"/>
      <c r="AP38" s="76"/>
      <c r="AQ38" s="76">
        <v>46.0</v>
      </c>
      <c r="AR38" s="65" t="s">
        <v>89</v>
      </c>
      <c r="AS38" s="65"/>
      <c r="AT38" s="65" t="s">
        <v>279</v>
      </c>
      <c r="AU38" s="77"/>
      <c r="AV38" s="78"/>
      <c r="AW38" s="79"/>
      <c r="AX38" s="103"/>
      <c r="AY38" s="79"/>
      <c r="AZ38" s="79"/>
      <c r="BA38" s="85"/>
      <c r="BB38" s="86"/>
      <c r="BC38" s="86"/>
      <c r="BD38" s="76"/>
      <c r="BE38" s="109"/>
      <c r="BF38" s="82"/>
      <c r="BG38" s="83"/>
    </row>
    <row r="39" ht="42.0" customHeight="1">
      <c r="A39" s="137">
        <v>33.0</v>
      </c>
      <c r="B39" s="65">
        <v>34165.0</v>
      </c>
      <c r="C39" s="66" t="s">
        <v>255</v>
      </c>
      <c r="D39" s="66" t="s">
        <v>285</v>
      </c>
      <c r="E39" s="66" t="s">
        <v>286</v>
      </c>
      <c r="F39" s="67" t="s">
        <v>287</v>
      </c>
      <c r="G39" s="65">
        <v>230.0</v>
      </c>
      <c r="H39" s="65"/>
      <c r="I39" s="65" t="s">
        <v>288</v>
      </c>
      <c r="J39" s="65" t="s">
        <v>79</v>
      </c>
      <c r="K39" s="65"/>
      <c r="L39" s="65"/>
      <c r="M39" s="65"/>
      <c r="N39" s="66" t="s">
        <v>80</v>
      </c>
      <c r="O39" s="65" t="s">
        <v>81</v>
      </c>
      <c r="P39" s="68" t="s">
        <v>82</v>
      </c>
      <c r="Q39" s="66" t="s">
        <v>83</v>
      </c>
      <c r="R39" s="66" t="s">
        <v>84</v>
      </c>
      <c r="S39" s="65" t="s">
        <v>85</v>
      </c>
      <c r="T39" s="65" t="s">
        <v>86</v>
      </c>
      <c r="U39" s="65" t="s">
        <v>86</v>
      </c>
      <c r="V39" s="65" t="s">
        <v>86</v>
      </c>
      <c r="W39" s="65">
        <v>160.0</v>
      </c>
      <c r="X39" s="65" t="s">
        <v>87</v>
      </c>
      <c r="Y39" s="138" t="s">
        <v>289</v>
      </c>
      <c r="Z39" s="69"/>
      <c r="AA39" s="69"/>
      <c r="AB39" s="70">
        <v>0.15</v>
      </c>
      <c r="AC39" s="71" t="str">
        <f t="shared" si="18"/>
        <v>Si</v>
      </c>
      <c r="AD39" s="72">
        <v>14238.0</v>
      </c>
      <c r="AE39" s="73">
        <v>14238.0</v>
      </c>
      <c r="AF39" s="74">
        <v>45161.0</v>
      </c>
      <c r="AG39" s="73">
        <v>7.0</v>
      </c>
      <c r="AH39" s="75">
        <f t="shared" si="13"/>
        <v>47292</v>
      </c>
      <c r="AI39" s="74">
        <f t="shared" si="16"/>
        <v>47353</v>
      </c>
      <c r="AJ39" s="74">
        <f t="shared" si="12"/>
        <v>47718</v>
      </c>
      <c r="AK39" s="74"/>
      <c r="AL39" s="74"/>
      <c r="AM39" s="76" t="s">
        <v>290</v>
      </c>
      <c r="AN39" s="76">
        <v>6.0</v>
      </c>
      <c r="AO39" s="76"/>
      <c r="AP39" s="76"/>
      <c r="AQ39" s="76"/>
      <c r="AR39" s="65" t="s">
        <v>89</v>
      </c>
      <c r="AS39" s="65" t="s">
        <v>89</v>
      </c>
      <c r="AT39" s="65" t="str">
        <f>'Rutas AAC'!AE48</f>
        <v> </v>
      </c>
      <c r="AU39" s="72">
        <v>14238.0</v>
      </c>
      <c r="AV39" s="144">
        <v>45161.0</v>
      </c>
      <c r="AW39" s="145">
        <v>6.0</v>
      </c>
      <c r="AX39" s="80">
        <f>EDATE(AV39,(AW39*12)-14)</f>
        <v>46927</v>
      </c>
      <c r="AY39" s="84">
        <f>EDATE(AV39,(AW39*12)-12)</f>
        <v>46988</v>
      </c>
      <c r="AZ39" s="84">
        <f>EDATE(AV39,(AW39*12))</f>
        <v>47353</v>
      </c>
      <c r="BA39" s="84">
        <f>EDATE(AV39,((AW39/2)*12))</f>
        <v>46257</v>
      </c>
      <c r="BB39" s="76" t="s">
        <v>291</v>
      </c>
      <c r="BC39" s="76">
        <v>2.0</v>
      </c>
      <c r="BD39" s="76"/>
      <c r="BE39" s="76">
        <v>2013.0</v>
      </c>
      <c r="BF39" s="123"/>
      <c r="BG39" s="83"/>
    </row>
    <row r="40" ht="42.0" customHeight="1">
      <c r="A40" s="137">
        <v>34.0</v>
      </c>
      <c r="B40" s="65">
        <v>38315.0</v>
      </c>
      <c r="C40" s="66" t="s">
        <v>255</v>
      </c>
      <c r="D40" s="66" t="s">
        <v>292</v>
      </c>
      <c r="E40" s="66" t="s">
        <v>293</v>
      </c>
      <c r="F40" s="67" t="s">
        <v>294</v>
      </c>
      <c r="G40" s="65">
        <v>105964.0</v>
      </c>
      <c r="H40" s="65"/>
      <c r="I40" s="65" t="s">
        <v>104</v>
      </c>
      <c r="J40" s="65" t="s">
        <v>94</v>
      </c>
      <c r="K40" s="65"/>
      <c r="L40" s="65"/>
      <c r="M40" s="65"/>
      <c r="N40" s="66" t="s">
        <v>80</v>
      </c>
      <c r="O40" s="65" t="s">
        <v>81</v>
      </c>
      <c r="P40" s="68" t="s">
        <v>82</v>
      </c>
      <c r="Q40" s="66" t="s">
        <v>148</v>
      </c>
      <c r="R40" s="66" t="s">
        <v>96</v>
      </c>
      <c r="S40" s="65" t="s">
        <v>85</v>
      </c>
      <c r="T40" s="65" t="s">
        <v>97</v>
      </c>
      <c r="U40" s="65" t="s">
        <v>86</v>
      </c>
      <c r="V40" s="65">
        <v>24.0</v>
      </c>
      <c r="W40" s="65">
        <v>24.0</v>
      </c>
      <c r="X40" s="65" t="s">
        <v>149</v>
      </c>
      <c r="Y40" s="69"/>
      <c r="Z40" s="69"/>
      <c r="AA40" s="69"/>
      <c r="AB40" s="70">
        <v>0.25</v>
      </c>
      <c r="AC40" s="71" t="str">
        <f t="shared" si="18"/>
        <v>Si</v>
      </c>
      <c r="AD40" s="112">
        <v>9994.0</v>
      </c>
      <c r="AE40" s="73">
        <v>9994.0</v>
      </c>
      <c r="AF40" s="74">
        <v>45099.0</v>
      </c>
      <c r="AG40" s="73">
        <v>7.0</v>
      </c>
      <c r="AH40" s="75">
        <f t="shared" si="13"/>
        <v>47230</v>
      </c>
      <c r="AI40" s="74">
        <f t="shared" si="16"/>
        <v>47291</v>
      </c>
      <c r="AJ40" s="74">
        <f t="shared" si="12"/>
        <v>47656</v>
      </c>
      <c r="AK40" s="74"/>
      <c r="AL40" s="74"/>
      <c r="AM40" s="76" t="s">
        <v>295</v>
      </c>
      <c r="AN40" s="76">
        <v>2.0</v>
      </c>
      <c r="AO40" s="76"/>
      <c r="AP40" s="76"/>
      <c r="AQ40" s="76"/>
      <c r="AR40" s="65" t="s">
        <v>86</v>
      </c>
      <c r="AS40" s="65"/>
      <c r="AT40" s="65" t="str">
        <f>'Rutas AAC'!AE60</f>
        <v> </v>
      </c>
      <c r="AU40" s="77" t="s">
        <v>86</v>
      </c>
      <c r="AV40" s="78" t="s">
        <v>86</v>
      </c>
      <c r="AW40" s="79" t="s">
        <v>86</v>
      </c>
      <c r="AX40" s="103" t="s">
        <v>86</v>
      </c>
      <c r="AY40" s="79" t="s">
        <v>86</v>
      </c>
      <c r="AZ40" s="79" t="s">
        <v>86</v>
      </c>
      <c r="BA40" s="84"/>
      <c r="BB40" s="85"/>
      <c r="BC40" s="86"/>
      <c r="BD40" s="86"/>
      <c r="BE40" s="146"/>
      <c r="BF40" s="82"/>
      <c r="BG40" s="83"/>
    </row>
    <row r="41" ht="37.5" customHeight="1">
      <c r="A41" s="137">
        <v>35.0</v>
      </c>
      <c r="B41" s="65">
        <v>57546.0</v>
      </c>
      <c r="C41" s="66" t="s">
        <v>255</v>
      </c>
      <c r="D41" s="66" t="s">
        <v>296</v>
      </c>
      <c r="E41" s="66" t="s">
        <v>297</v>
      </c>
      <c r="F41" s="67">
        <v>1962.0</v>
      </c>
      <c r="G41" s="65">
        <v>243.0</v>
      </c>
      <c r="H41" s="65"/>
      <c r="I41" s="65" t="s">
        <v>282</v>
      </c>
      <c r="J41" s="65" t="s">
        <v>94</v>
      </c>
      <c r="K41" s="65"/>
      <c r="L41" s="65"/>
      <c r="M41" s="65"/>
      <c r="N41" s="66" t="s">
        <v>80</v>
      </c>
      <c r="O41" s="65" t="s">
        <v>81</v>
      </c>
      <c r="P41" s="68" t="s">
        <v>82</v>
      </c>
      <c r="Q41" s="66" t="s">
        <v>148</v>
      </c>
      <c r="R41" s="66" t="s">
        <v>96</v>
      </c>
      <c r="S41" s="65" t="s">
        <v>85</v>
      </c>
      <c r="T41" s="65" t="s">
        <v>97</v>
      </c>
      <c r="U41" s="65" t="s">
        <v>86</v>
      </c>
      <c r="V41" s="65">
        <v>185.0</v>
      </c>
      <c r="W41" s="65">
        <v>185.0</v>
      </c>
      <c r="X41" s="65" t="s">
        <v>298</v>
      </c>
      <c r="Y41" s="138" t="s">
        <v>299</v>
      </c>
      <c r="Z41" s="69"/>
      <c r="AA41" s="69"/>
      <c r="AB41" s="70">
        <v>0.2</v>
      </c>
      <c r="AC41" s="71" t="s">
        <v>300</v>
      </c>
      <c r="AD41" s="112">
        <v>10592.0</v>
      </c>
      <c r="AE41" s="73">
        <v>10592.0</v>
      </c>
      <c r="AF41" s="74">
        <v>45106.0</v>
      </c>
      <c r="AG41" s="73">
        <v>7.0</v>
      </c>
      <c r="AH41" s="75">
        <f t="shared" si="13"/>
        <v>47237</v>
      </c>
      <c r="AI41" s="74">
        <f t="shared" si="16"/>
        <v>47298</v>
      </c>
      <c r="AJ41" s="74">
        <f t="shared" si="12"/>
        <v>47663</v>
      </c>
      <c r="AK41" s="143"/>
      <c r="AL41" s="143"/>
      <c r="AM41" s="76" t="s">
        <v>301</v>
      </c>
      <c r="AN41" s="76">
        <v>2.0</v>
      </c>
      <c r="AO41" s="76"/>
      <c r="AP41" s="76"/>
      <c r="AQ41" s="76">
        <v>110.0</v>
      </c>
      <c r="AR41" s="65" t="s">
        <v>302</v>
      </c>
      <c r="AS41" s="65"/>
      <c r="AT41" s="65"/>
      <c r="AU41" s="77"/>
      <c r="AV41" s="78"/>
      <c r="AW41" s="79"/>
      <c r="AX41" s="103"/>
      <c r="AY41" s="79"/>
      <c r="AZ41" s="79"/>
      <c r="BA41" s="85"/>
      <c r="BB41" s="86"/>
      <c r="BC41" s="86"/>
      <c r="BD41" s="76"/>
      <c r="BE41" s="82"/>
      <c r="BF41" s="82"/>
      <c r="BG41" s="83"/>
    </row>
    <row r="42" ht="33.0" customHeight="1">
      <c r="A42" s="137">
        <v>36.0</v>
      </c>
      <c r="B42" s="65">
        <v>57547.0</v>
      </c>
      <c r="C42" s="66" t="s">
        <v>255</v>
      </c>
      <c r="D42" s="66" t="s">
        <v>303</v>
      </c>
      <c r="E42" s="66" t="s">
        <v>304</v>
      </c>
      <c r="F42" s="67" t="s">
        <v>305</v>
      </c>
      <c r="G42" s="65">
        <v>11546.0</v>
      </c>
      <c r="H42" s="65"/>
      <c r="I42" s="65" t="s">
        <v>306</v>
      </c>
      <c r="J42" s="65" t="s">
        <v>94</v>
      </c>
      <c r="K42" s="65"/>
      <c r="L42" s="65"/>
      <c r="M42" s="65"/>
      <c r="N42" s="66" t="s">
        <v>80</v>
      </c>
      <c r="O42" s="65" t="s">
        <v>81</v>
      </c>
      <c r="P42" s="68" t="s">
        <v>82</v>
      </c>
      <c r="Q42" s="66" t="s">
        <v>148</v>
      </c>
      <c r="R42" s="66" t="s">
        <v>96</v>
      </c>
      <c r="S42" s="65" t="s">
        <v>85</v>
      </c>
      <c r="T42" s="65" t="s">
        <v>97</v>
      </c>
      <c r="U42" s="65" t="s">
        <v>86</v>
      </c>
      <c r="V42" s="65">
        <v>147.0</v>
      </c>
      <c r="W42" s="65">
        <v>147.0</v>
      </c>
      <c r="X42" s="65" t="s">
        <v>298</v>
      </c>
      <c r="Y42" s="138" t="s">
        <v>307</v>
      </c>
      <c r="Z42" s="69"/>
      <c r="AA42" s="69"/>
      <c r="AB42" s="70" t="s">
        <v>99</v>
      </c>
      <c r="AC42" s="71" t="s">
        <v>179</v>
      </c>
      <c r="AD42" s="112">
        <v>10593.0</v>
      </c>
      <c r="AE42" s="73">
        <v>10593.0</v>
      </c>
      <c r="AF42" s="74">
        <v>45106.0</v>
      </c>
      <c r="AG42" s="73">
        <v>7.0</v>
      </c>
      <c r="AH42" s="75">
        <f t="shared" si="13"/>
        <v>47237</v>
      </c>
      <c r="AI42" s="74">
        <f t="shared" si="16"/>
        <v>47298</v>
      </c>
      <c r="AJ42" s="74">
        <f t="shared" si="12"/>
        <v>47663</v>
      </c>
      <c r="AK42" s="143"/>
      <c r="AL42" s="143"/>
      <c r="AM42" s="86" t="s">
        <v>308</v>
      </c>
      <c r="AN42" s="76">
        <v>2.0</v>
      </c>
      <c r="AO42" s="76"/>
      <c r="AP42" s="76" t="s">
        <v>309</v>
      </c>
      <c r="AQ42" s="76"/>
      <c r="AR42" s="65" t="s">
        <v>82</v>
      </c>
      <c r="AS42" s="65"/>
      <c r="AT42" s="65"/>
      <c r="AU42" s="77"/>
      <c r="AV42" s="78"/>
      <c r="AW42" s="79"/>
      <c r="AX42" s="103"/>
      <c r="AY42" s="79"/>
      <c r="AZ42" s="79"/>
      <c r="BA42" s="85"/>
      <c r="BB42" s="86"/>
      <c r="BC42" s="86"/>
      <c r="BD42" s="76"/>
      <c r="BE42" s="147"/>
      <c r="BF42" s="82"/>
      <c r="BG42" s="83"/>
    </row>
    <row r="43" ht="47.25" customHeight="1">
      <c r="A43" s="137">
        <v>37.0</v>
      </c>
      <c r="B43" s="65">
        <v>28934.0</v>
      </c>
      <c r="C43" s="66" t="s">
        <v>255</v>
      </c>
      <c r="D43" s="66" t="s">
        <v>310</v>
      </c>
      <c r="E43" s="66" t="s">
        <v>311</v>
      </c>
      <c r="F43" s="67" t="s">
        <v>312</v>
      </c>
      <c r="G43" s="65">
        <v>5269.0</v>
      </c>
      <c r="H43" s="65"/>
      <c r="I43" s="65" t="s">
        <v>313</v>
      </c>
      <c r="J43" s="65" t="s">
        <v>79</v>
      </c>
      <c r="K43" s="65"/>
      <c r="L43" s="65"/>
      <c r="M43" s="65"/>
      <c r="N43" s="66" t="s">
        <v>80</v>
      </c>
      <c r="O43" s="65" t="s">
        <v>81</v>
      </c>
      <c r="P43" s="68" t="s">
        <v>82</v>
      </c>
      <c r="Q43" s="66" t="s">
        <v>83</v>
      </c>
      <c r="R43" s="66" t="s">
        <v>84</v>
      </c>
      <c r="S43" s="65" t="s">
        <v>85</v>
      </c>
      <c r="T43" s="65" t="s">
        <v>86</v>
      </c>
      <c r="U43" s="65" t="s">
        <v>86</v>
      </c>
      <c r="V43" s="65" t="s">
        <v>86</v>
      </c>
      <c r="W43" s="65">
        <v>168.0</v>
      </c>
      <c r="X43" s="65" t="s">
        <v>87</v>
      </c>
      <c r="Y43" s="138" t="s">
        <v>314</v>
      </c>
      <c r="Z43" s="69"/>
      <c r="AA43" s="69"/>
      <c r="AB43" s="70">
        <v>0.2</v>
      </c>
      <c r="AC43" s="71" t="str">
        <f t="shared" ref="AC43:AC44" si="19">IF(AJ43&gt;TODAY(),"Si","No")</f>
        <v>Si</v>
      </c>
      <c r="AD43" s="112">
        <v>10687.0</v>
      </c>
      <c r="AE43" s="73">
        <v>10687.0</v>
      </c>
      <c r="AF43" s="74">
        <v>45112.0</v>
      </c>
      <c r="AG43" s="73">
        <v>7.0</v>
      </c>
      <c r="AH43" s="75">
        <f t="shared" si="13"/>
        <v>47243</v>
      </c>
      <c r="AI43" s="74">
        <f t="shared" si="16"/>
        <v>47304</v>
      </c>
      <c r="AJ43" s="74">
        <f t="shared" si="12"/>
        <v>47669</v>
      </c>
      <c r="AK43" s="74"/>
      <c r="AL43" s="74"/>
      <c r="AM43" s="76" t="s">
        <v>315</v>
      </c>
      <c r="AN43" s="76">
        <v>4.0</v>
      </c>
      <c r="AO43" s="76"/>
      <c r="AP43" s="76"/>
      <c r="AQ43" s="76"/>
      <c r="AR43" s="65" t="s">
        <v>89</v>
      </c>
      <c r="AS43" s="65" t="s">
        <v>89</v>
      </c>
      <c r="AT43" s="65"/>
      <c r="AU43" s="139">
        <v>10687.0</v>
      </c>
      <c r="AV43" s="90">
        <v>45112.0</v>
      </c>
      <c r="AW43" s="91">
        <v>6.0</v>
      </c>
      <c r="AX43" s="80">
        <f>EDATE(AV43,(AW43*12)-14)</f>
        <v>46878</v>
      </c>
      <c r="AY43" s="84">
        <f>EDATE(AV43,(AW43*12)-12)</f>
        <v>46939</v>
      </c>
      <c r="AZ43" s="84">
        <f>EDATE(AV43,(AW43*12))</f>
        <v>47304</v>
      </c>
      <c r="BA43" s="84">
        <f>EDATE(AV43,((AW43/2)*12))</f>
        <v>46208</v>
      </c>
      <c r="BB43" s="76" t="s">
        <v>316</v>
      </c>
      <c r="BC43" s="76">
        <v>3.0</v>
      </c>
      <c r="BD43" s="76"/>
      <c r="BE43" s="148"/>
      <c r="BF43" s="149" t="s">
        <v>317</v>
      </c>
      <c r="BG43" s="83"/>
    </row>
    <row r="44" ht="42.0" customHeight="1">
      <c r="A44" s="137">
        <v>38.0</v>
      </c>
      <c r="B44" s="65">
        <v>35650.0</v>
      </c>
      <c r="C44" s="66" t="s">
        <v>255</v>
      </c>
      <c r="D44" s="66" t="s">
        <v>318</v>
      </c>
      <c r="E44" s="66" t="s">
        <v>319</v>
      </c>
      <c r="F44" s="67" t="s">
        <v>320</v>
      </c>
      <c r="G44" s="65">
        <v>106126.0</v>
      </c>
      <c r="H44" s="65"/>
      <c r="I44" s="65" t="s">
        <v>321</v>
      </c>
      <c r="J44" s="65" t="s">
        <v>94</v>
      </c>
      <c r="K44" s="65"/>
      <c r="L44" s="65"/>
      <c r="M44" s="65"/>
      <c r="N44" s="66" t="s">
        <v>80</v>
      </c>
      <c r="O44" s="65" t="s">
        <v>322</v>
      </c>
      <c r="P44" s="68" t="s">
        <v>82</v>
      </c>
      <c r="Q44" s="66" t="s">
        <v>148</v>
      </c>
      <c r="R44" s="66" t="s">
        <v>96</v>
      </c>
      <c r="S44" s="65" t="s">
        <v>85</v>
      </c>
      <c r="T44" s="65" t="s">
        <v>97</v>
      </c>
      <c r="U44" s="65" t="s">
        <v>86</v>
      </c>
      <c r="V44" s="65">
        <v>30.0</v>
      </c>
      <c r="W44" s="65">
        <v>30.0</v>
      </c>
      <c r="X44" s="65" t="s">
        <v>149</v>
      </c>
      <c r="Y44" s="69"/>
      <c r="Z44" s="69"/>
      <c r="AA44" s="69"/>
      <c r="AB44" s="70">
        <v>0.25</v>
      </c>
      <c r="AC44" s="71" t="str">
        <f t="shared" si="19"/>
        <v>Si</v>
      </c>
      <c r="AD44" s="112">
        <v>16756.0</v>
      </c>
      <c r="AE44" s="73">
        <v>16756.0</v>
      </c>
      <c r="AF44" s="74">
        <v>45181.0</v>
      </c>
      <c r="AG44" s="73">
        <v>7.0</v>
      </c>
      <c r="AH44" s="75">
        <f t="shared" si="13"/>
        <v>47311</v>
      </c>
      <c r="AI44" s="74">
        <f t="shared" ref="AI44:AI45" si="20">EDATE(AJ44,-12)</f>
        <v>47373</v>
      </c>
      <c r="AJ44" s="74">
        <f t="shared" si="12"/>
        <v>47738</v>
      </c>
      <c r="AK44" s="74"/>
      <c r="AL44" s="150">
        <v>45930.0</v>
      </c>
      <c r="AM44" s="76" t="s">
        <v>323</v>
      </c>
      <c r="AN44" s="76"/>
      <c r="AO44" s="76"/>
      <c r="AP44" s="76"/>
      <c r="AQ44" s="76"/>
      <c r="AR44" s="65" t="s">
        <v>86</v>
      </c>
      <c r="AS44" s="65"/>
      <c r="AT44" s="65" t="str">
        <f>'Rutas AAC'!AE61</f>
        <v> </v>
      </c>
      <c r="AU44" s="77" t="s">
        <v>86</v>
      </c>
      <c r="AV44" s="78" t="s">
        <v>86</v>
      </c>
      <c r="AW44" s="79" t="s">
        <v>86</v>
      </c>
      <c r="AX44" s="103" t="s">
        <v>86</v>
      </c>
      <c r="AY44" s="79" t="s">
        <v>86</v>
      </c>
      <c r="AZ44" s="79" t="s">
        <v>86</v>
      </c>
      <c r="BA44" s="84"/>
      <c r="BB44" s="85"/>
      <c r="BC44" s="86"/>
      <c r="BD44" s="86"/>
      <c r="BE44" s="76"/>
      <c r="BF44" s="82"/>
      <c r="BG44" s="83"/>
    </row>
    <row r="45" ht="42.0" customHeight="1">
      <c r="A45" s="137">
        <v>39.0</v>
      </c>
      <c r="B45" s="151">
        <v>17546.0</v>
      </c>
      <c r="C45" s="66" t="s">
        <v>255</v>
      </c>
      <c r="D45" s="101" t="s">
        <v>324</v>
      </c>
      <c r="E45" s="66" t="s">
        <v>325</v>
      </c>
      <c r="F45" s="152" t="s">
        <v>326</v>
      </c>
      <c r="G45" s="151">
        <v>118436.0</v>
      </c>
      <c r="H45" s="153"/>
      <c r="I45" s="65" t="s">
        <v>327</v>
      </c>
      <c r="J45" s="65" t="s">
        <v>79</v>
      </c>
      <c r="K45" s="65"/>
      <c r="L45" s="65"/>
      <c r="M45" s="65"/>
      <c r="N45" s="66" t="s">
        <v>328</v>
      </c>
      <c r="O45" s="65"/>
      <c r="P45" s="68" t="s">
        <v>89</v>
      </c>
      <c r="Q45" s="66" t="s">
        <v>83</v>
      </c>
      <c r="R45" s="66" t="s">
        <v>84</v>
      </c>
      <c r="S45" s="65" t="s">
        <v>85</v>
      </c>
      <c r="T45" s="65" t="s">
        <v>86</v>
      </c>
      <c r="U45" s="65" t="s">
        <v>86</v>
      </c>
      <c r="V45" s="65" t="s">
        <v>86</v>
      </c>
      <c r="W45" s="65">
        <v>160.0</v>
      </c>
      <c r="X45" s="65" t="s">
        <v>329</v>
      </c>
      <c r="Y45" s="69"/>
      <c r="Z45" s="69"/>
      <c r="AA45" s="69"/>
      <c r="AB45" s="154">
        <v>0.2</v>
      </c>
      <c r="AC45" s="155" t="s">
        <v>89</v>
      </c>
      <c r="AD45" s="156">
        <v>23423.0</v>
      </c>
      <c r="AE45" s="73">
        <v>23423.0</v>
      </c>
      <c r="AF45" s="157">
        <v>45989.0</v>
      </c>
      <c r="AG45" s="73">
        <v>7.0</v>
      </c>
      <c r="AH45" s="75">
        <f t="shared" si="13"/>
        <v>48119</v>
      </c>
      <c r="AI45" s="74">
        <f t="shared" si="20"/>
        <v>48180</v>
      </c>
      <c r="AJ45" s="74">
        <f t="shared" si="12"/>
        <v>48546</v>
      </c>
      <c r="AK45" s="74"/>
      <c r="AL45" s="150"/>
      <c r="AM45" s="65" t="s">
        <v>330</v>
      </c>
      <c r="AN45" s="65">
        <v>1.0</v>
      </c>
      <c r="AO45" s="116" t="s">
        <v>331</v>
      </c>
      <c r="AP45" s="76"/>
      <c r="AQ45" s="76"/>
      <c r="AR45" s="116" t="s">
        <v>332</v>
      </c>
      <c r="AS45" s="65" t="s">
        <v>82</v>
      </c>
      <c r="AT45" s="65"/>
      <c r="AU45" s="77"/>
      <c r="AV45" s="78"/>
      <c r="AW45" s="79"/>
      <c r="AX45" s="103"/>
      <c r="AY45" s="79"/>
      <c r="AZ45" s="79"/>
      <c r="BA45" s="84"/>
      <c r="BB45" s="85"/>
      <c r="BC45" s="86"/>
      <c r="BD45" s="86"/>
      <c r="BE45" s="76"/>
      <c r="BF45" s="82"/>
      <c r="BG45" s="83"/>
    </row>
    <row r="46" ht="42.0" customHeight="1">
      <c r="A46" s="158">
        <v>40.0</v>
      </c>
      <c r="B46" s="65">
        <v>27477.0</v>
      </c>
      <c r="C46" s="66" t="s">
        <v>333</v>
      </c>
      <c r="D46" s="66" t="s">
        <v>334</v>
      </c>
      <c r="E46" s="66" t="s">
        <v>335</v>
      </c>
      <c r="F46" s="67" t="s">
        <v>336</v>
      </c>
      <c r="G46" s="65">
        <v>108963.0</v>
      </c>
      <c r="H46" s="65"/>
      <c r="I46" s="65" t="s">
        <v>201</v>
      </c>
      <c r="J46" s="65" t="s">
        <v>79</v>
      </c>
      <c r="K46" s="65"/>
      <c r="L46" s="65"/>
      <c r="M46" s="65"/>
      <c r="N46" s="66" t="s">
        <v>337</v>
      </c>
      <c r="O46" s="65" t="s">
        <v>81</v>
      </c>
      <c r="P46" s="68" t="s">
        <v>89</v>
      </c>
      <c r="Q46" s="66" t="s">
        <v>83</v>
      </c>
      <c r="R46" s="66" t="s">
        <v>84</v>
      </c>
      <c r="S46" s="65" t="s">
        <v>85</v>
      </c>
      <c r="T46" s="65" t="s">
        <v>86</v>
      </c>
      <c r="U46" s="65" t="s">
        <v>86</v>
      </c>
      <c r="V46" s="65" t="s">
        <v>86</v>
      </c>
      <c r="W46" s="65">
        <v>160.0</v>
      </c>
      <c r="X46" s="65" t="s">
        <v>87</v>
      </c>
      <c r="Y46" s="69"/>
      <c r="Z46" s="69"/>
      <c r="AA46" s="69"/>
      <c r="AB46" s="70">
        <v>0.3</v>
      </c>
      <c r="AC46" s="71" t="str">
        <f t="shared" ref="AC46:AC56" si="21">IF(AJ46&gt;TODAY(),"Si","No")</f>
        <v>Si</v>
      </c>
      <c r="AD46" s="112">
        <v>15917.0</v>
      </c>
      <c r="AE46" s="73">
        <v>15917.0</v>
      </c>
      <c r="AF46" s="74">
        <v>43817.0</v>
      </c>
      <c r="AG46" s="73">
        <v>7.0</v>
      </c>
      <c r="AH46" s="75">
        <f t="shared" si="13"/>
        <v>45948</v>
      </c>
      <c r="AI46" s="74">
        <f t="shared" ref="AI46:AI52" si="22">EDATE(AF46,(AG46*12)-12)</f>
        <v>46009</v>
      </c>
      <c r="AJ46" s="74">
        <f t="shared" si="12"/>
        <v>46374</v>
      </c>
      <c r="AK46" s="74"/>
      <c r="AL46" s="74"/>
      <c r="AM46" s="76" t="s">
        <v>338</v>
      </c>
      <c r="AN46" s="76">
        <v>1.0</v>
      </c>
      <c r="AO46" s="76"/>
      <c r="AP46" s="76"/>
      <c r="AQ46" s="76"/>
      <c r="AR46" s="65" t="s">
        <v>82</v>
      </c>
      <c r="AS46" s="65"/>
      <c r="AT46" s="65" t="str">
        <f>'Rutas AAC'!AE73</f>
        <v> </v>
      </c>
      <c r="AU46" s="77"/>
      <c r="AV46" s="78"/>
      <c r="AW46" s="79"/>
      <c r="AX46" s="110"/>
      <c r="AY46" s="81"/>
      <c r="AZ46" s="81"/>
      <c r="BA46" s="84"/>
      <c r="BB46" s="159"/>
      <c r="BC46" s="159"/>
      <c r="BD46" s="159"/>
      <c r="BE46" s="76"/>
      <c r="BF46" s="160"/>
      <c r="BG46" s="83"/>
    </row>
    <row r="47" ht="42.0" customHeight="1">
      <c r="A47" s="158">
        <v>41.0</v>
      </c>
      <c r="B47" s="65">
        <v>28586.0</v>
      </c>
      <c r="C47" s="66" t="s">
        <v>333</v>
      </c>
      <c r="D47" s="66" t="s">
        <v>339</v>
      </c>
      <c r="E47" s="66" t="s">
        <v>340</v>
      </c>
      <c r="F47" s="67" t="s">
        <v>341</v>
      </c>
      <c r="G47" s="65">
        <v>11967.0</v>
      </c>
      <c r="H47" s="65"/>
      <c r="I47" s="65" t="s">
        <v>342</v>
      </c>
      <c r="J47" s="65" t="s">
        <v>94</v>
      </c>
      <c r="K47" s="65"/>
      <c r="L47" s="65"/>
      <c r="M47" s="65"/>
      <c r="N47" s="66" t="s">
        <v>80</v>
      </c>
      <c r="O47" s="65" t="s">
        <v>81</v>
      </c>
      <c r="P47" s="68" t="s">
        <v>82</v>
      </c>
      <c r="Q47" s="66" t="s">
        <v>83</v>
      </c>
      <c r="R47" s="66" t="s">
        <v>84</v>
      </c>
      <c r="S47" s="65" t="s">
        <v>85</v>
      </c>
      <c r="T47" s="65" t="s">
        <v>86</v>
      </c>
      <c r="U47" s="65" t="s">
        <v>86</v>
      </c>
      <c r="V47" s="65" t="s">
        <v>86</v>
      </c>
      <c r="W47" s="65">
        <v>132.0</v>
      </c>
      <c r="X47" s="65" t="s">
        <v>343</v>
      </c>
      <c r="Y47" s="89" t="s">
        <v>344</v>
      </c>
      <c r="Z47" s="69"/>
      <c r="AA47" s="69"/>
      <c r="AB47" s="70">
        <v>0.3</v>
      </c>
      <c r="AC47" s="71" t="str">
        <f t="shared" si="21"/>
        <v>Si</v>
      </c>
      <c r="AD47" s="112">
        <v>8267.0</v>
      </c>
      <c r="AE47" s="73">
        <v>8267.0</v>
      </c>
      <c r="AF47" s="74">
        <v>43978.0</v>
      </c>
      <c r="AG47" s="73">
        <v>7.0</v>
      </c>
      <c r="AH47" s="75">
        <f t="shared" si="13"/>
        <v>46108</v>
      </c>
      <c r="AI47" s="74">
        <f t="shared" si="22"/>
        <v>46169</v>
      </c>
      <c r="AJ47" s="74">
        <f t="shared" si="12"/>
        <v>46534</v>
      </c>
      <c r="AK47" s="74"/>
      <c r="AL47" s="74"/>
      <c r="AM47" s="76" t="s">
        <v>345</v>
      </c>
      <c r="AN47" s="76">
        <v>3.0</v>
      </c>
      <c r="AO47" s="76"/>
      <c r="AP47" s="76"/>
      <c r="AQ47" s="76"/>
      <c r="AR47" s="65" t="s">
        <v>89</v>
      </c>
      <c r="AS47" s="65"/>
      <c r="AT47" s="65">
        <f>'Rutas AAC'!AE64</f>
        <v>13</v>
      </c>
      <c r="AU47" s="161"/>
      <c r="AV47" s="78"/>
      <c r="AW47" s="162"/>
      <c r="AX47" s="110"/>
      <c r="AY47" s="81"/>
      <c r="AZ47" s="124"/>
      <c r="BA47" s="84"/>
      <c r="BB47" s="92"/>
      <c r="BC47" s="92"/>
      <c r="BD47" s="92"/>
      <c r="BE47" s="76">
        <v>2013.0</v>
      </c>
      <c r="BF47" s="82"/>
      <c r="BG47" s="83"/>
    </row>
    <row r="48" ht="42.0" customHeight="1">
      <c r="A48" s="158">
        <v>42.0</v>
      </c>
      <c r="B48" s="65">
        <v>29520.0</v>
      </c>
      <c r="C48" s="66" t="s">
        <v>333</v>
      </c>
      <c r="D48" s="66" t="s">
        <v>346</v>
      </c>
      <c r="E48" s="66" t="s">
        <v>347</v>
      </c>
      <c r="F48" s="67" t="s">
        <v>348</v>
      </c>
      <c r="G48" s="65">
        <v>4493.0</v>
      </c>
      <c r="H48" s="65"/>
      <c r="I48" s="65" t="s">
        <v>120</v>
      </c>
      <c r="J48" s="65" t="s">
        <v>94</v>
      </c>
      <c r="K48" s="65"/>
      <c r="L48" s="65"/>
      <c r="M48" s="65"/>
      <c r="N48" s="66" t="s">
        <v>80</v>
      </c>
      <c r="O48" s="65" t="s">
        <v>81</v>
      </c>
      <c r="P48" s="68" t="s">
        <v>82</v>
      </c>
      <c r="Q48" s="66" t="s">
        <v>83</v>
      </c>
      <c r="R48" s="66" t="s">
        <v>84</v>
      </c>
      <c r="S48" s="65" t="s">
        <v>85</v>
      </c>
      <c r="T48" s="65" t="s">
        <v>86</v>
      </c>
      <c r="U48" s="65" t="s">
        <v>86</v>
      </c>
      <c r="V48" s="65" t="s">
        <v>86</v>
      </c>
      <c r="W48" s="65">
        <v>170.0</v>
      </c>
      <c r="X48" s="65" t="s">
        <v>87</v>
      </c>
      <c r="Y48" s="89" t="s">
        <v>349</v>
      </c>
      <c r="Z48" s="69"/>
      <c r="AA48" s="69"/>
      <c r="AB48" s="70">
        <v>0.25</v>
      </c>
      <c r="AC48" s="71" t="str">
        <f t="shared" si="21"/>
        <v>Si</v>
      </c>
      <c r="AD48" s="112">
        <v>11378.0</v>
      </c>
      <c r="AE48" s="73">
        <v>11378.0</v>
      </c>
      <c r="AF48" s="74">
        <v>44014.0</v>
      </c>
      <c r="AG48" s="73">
        <v>7.0</v>
      </c>
      <c r="AH48" s="75">
        <f t="shared" si="13"/>
        <v>46144</v>
      </c>
      <c r="AI48" s="74">
        <f t="shared" si="22"/>
        <v>46205</v>
      </c>
      <c r="AJ48" s="74">
        <f t="shared" si="12"/>
        <v>46570</v>
      </c>
      <c r="AK48" s="74"/>
      <c r="AL48" s="74"/>
      <c r="AM48" s="76" t="s">
        <v>350</v>
      </c>
      <c r="AN48" s="76">
        <v>2.0</v>
      </c>
      <c r="AO48" s="76"/>
      <c r="AP48" s="76"/>
      <c r="AQ48" s="76"/>
      <c r="AR48" s="65" t="s">
        <v>89</v>
      </c>
      <c r="AS48" s="65"/>
      <c r="AT48" s="65" t="str">
        <f>'Rutas AAC'!AE63</f>
        <v> </v>
      </c>
      <c r="AU48" s="161"/>
      <c r="AV48" s="78"/>
      <c r="AW48" s="162"/>
      <c r="AX48" s="110"/>
      <c r="AY48" s="81"/>
      <c r="AZ48" s="81"/>
      <c r="BA48" s="84"/>
      <c r="BB48" s="85"/>
      <c r="BC48" s="86"/>
      <c r="BD48" s="86"/>
      <c r="BE48" s="76"/>
      <c r="BF48" s="82"/>
      <c r="BG48" s="83"/>
    </row>
    <row r="49" ht="42.0" customHeight="1">
      <c r="A49" s="158">
        <v>43.0</v>
      </c>
      <c r="B49" s="65">
        <v>25190.0</v>
      </c>
      <c r="C49" s="66" t="s">
        <v>333</v>
      </c>
      <c r="D49" s="66" t="s">
        <v>351</v>
      </c>
      <c r="E49" s="66" t="s">
        <v>352</v>
      </c>
      <c r="F49" s="67" t="s">
        <v>353</v>
      </c>
      <c r="G49" s="65">
        <v>51767.0</v>
      </c>
      <c r="H49" s="65"/>
      <c r="I49" s="65" t="s">
        <v>354</v>
      </c>
      <c r="J49" s="65" t="s">
        <v>355</v>
      </c>
      <c r="K49" s="65"/>
      <c r="L49" s="65"/>
      <c r="M49" s="65"/>
      <c r="N49" s="66" t="s">
        <v>80</v>
      </c>
      <c r="O49" s="65" t="s">
        <v>81</v>
      </c>
      <c r="P49" s="68" t="s">
        <v>82</v>
      </c>
      <c r="Q49" s="66" t="s">
        <v>169</v>
      </c>
      <c r="R49" s="66" t="s">
        <v>96</v>
      </c>
      <c r="S49" s="65" t="s">
        <v>85</v>
      </c>
      <c r="T49" s="65" t="s">
        <v>162</v>
      </c>
      <c r="U49" s="65">
        <v>90.0</v>
      </c>
      <c r="V49" s="65" t="s">
        <v>86</v>
      </c>
      <c r="W49" s="65">
        <v>120.0</v>
      </c>
      <c r="X49" s="65" t="s">
        <v>170</v>
      </c>
      <c r="Y49" s="69"/>
      <c r="Z49" s="69"/>
      <c r="AA49" s="69"/>
      <c r="AB49" s="70">
        <v>0.2</v>
      </c>
      <c r="AC49" s="71" t="str">
        <f t="shared" si="21"/>
        <v>Si</v>
      </c>
      <c r="AD49" s="112">
        <v>15313.0</v>
      </c>
      <c r="AE49" s="73">
        <v>15313.0</v>
      </c>
      <c r="AF49" s="74">
        <v>44067.0</v>
      </c>
      <c r="AG49" s="73">
        <v>7.0</v>
      </c>
      <c r="AH49" s="75">
        <f t="shared" si="13"/>
        <v>46197</v>
      </c>
      <c r="AI49" s="74">
        <f t="shared" si="22"/>
        <v>46258</v>
      </c>
      <c r="AJ49" s="74">
        <f t="shared" si="12"/>
        <v>46623</v>
      </c>
      <c r="AK49" s="74"/>
      <c r="AL49" s="74"/>
      <c r="AM49" s="76" t="s">
        <v>356</v>
      </c>
      <c r="AN49" s="76">
        <v>2.0</v>
      </c>
      <c r="AO49" s="76"/>
      <c r="AP49" s="76"/>
      <c r="AQ49" s="76">
        <v>17.0</v>
      </c>
      <c r="AR49" s="65" t="s">
        <v>89</v>
      </c>
      <c r="AS49" s="65"/>
      <c r="AT49" s="65" t="str">
        <f>#REF!</f>
        <v>#REF!</v>
      </c>
      <c r="AU49" s="77"/>
      <c r="AV49" s="78"/>
      <c r="AW49" s="79"/>
      <c r="AX49" s="110"/>
      <c r="AY49" s="81"/>
      <c r="AZ49" s="79"/>
      <c r="BA49" s="84"/>
      <c r="BB49" s="85"/>
      <c r="BC49" s="86"/>
      <c r="BD49" s="86"/>
      <c r="BE49" s="76"/>
      <c r="BF49" s="163"/>
      <c r="BG49" s="83"/>
    </row>
    <row r="50" ht="42.0" customHeight="1">
      <c r="A50" s="158">
        <v>44.0</v>
      </c>
      <c r="B50" s="65">
        <v>37771.0</v>
      </c>
      <c r="C50" s="66" t="s">
        <v>333</v>
      </c>
      <c r="D50" s="66" t="s">
        <v>357</v>
      </c>
      <c r="E50" s="66" t="s">
        <v>358</v>
      </c>
      <c r="F50" s="67" t="s">
        <v>359</v>
      </c>
      <c r="G50" s="65">
        <v>54866.0</v>
      </c>
      <c r="H50" s="65"/>
      <c r="I50" s="65" t="s">
        <v>360</v>
      </c>
      <c r="J50" s="65" t="s">
        <v>259</v>
      </c>
      <c r="K50" s="65"/>
      <c r="L50" s="65"/>
      <c r="M50" s="65"/>
      <c r="N50" s="66" t="s">
        <v>80</v>
      </c>
      <c r="O50" s="65" t="s">
        <v>81</v>
      </c>
      <c r="P50" s="68" t="s">
        <v>82</v>
      </c>
      <c r="Q50" s="66" t="s">
        <v>95</v>
      </c>
      <c r="R50" s="66" t="s">
        <v>96</v>
      </c>
      <c r="S50" s="65" t="s">
        <v>85</v>
      </c>
      <c r="T50" s="65" t="s">
        <v>162</v>
      </c>
      <c r="U50" s="65">
        <v>50.0</v>
      </c>
      <c r="V50" s="65" t="s">
        <v>86</v>
      </c>
      <c r="W50" s="65">
        <v>50.0</v>
      </c>
      <c r="X50" s="65" t="s">
        <v>98</v>
      </c>
      <c r="Y50" s="69"/>
      <c r="Z50" s="69"/>
      <c r="AA50" s="69"/>
      <c r="AB50" s="70">
        <v>0.5</v>
      </c>
      <c r="AC50" s="71" t="str">
        <f t="shared" si="21"/>
        <v>Si</v>
      </c>
      <c r="AD50" s="112">
        <v>6493.0</v>
      </c>
      <c r="AE50" s="73">
        <v>6493.0</v>
      </c>
      <c r="AF50" s="74">
        <v>44676.0</v>
      </c>
      <c r="AG50" s="73">
        <v>7.0</v>
      </c>
      <c r="AH50" s="75">
        <f t="shared" si="13"/>
        <v>46808</v>
      </c>
      <c r="AI50" s="74">
        <f t="shared" si="22"/>
        <v>46868</v>
      </c>
      <c r="AJ50" s="74">
        <f t="shared" si="12"/>
        <v>47233</v>
      </c>
      <c r="AK50" s="74"/>
      <c r="AL50" s="74"/>
      <c r="AM50" s="76" t="s">
        <v>361</v>
      </c>
      <c r="AN50" s="76">
        <v>3.0</v>
      </c>
      <c r="AO50" s="76"/>
      <c r="AP50" s="76"/>
      <c r="AQ50" s="76"/>
      <c r="AR50" s="65" t="s">
        <v>82</v>
      </c>
      <c r="AS50" s="65"/>
      <c r="AT50" s="65" t="str">
        <f>'Rutas AAC'!AE70</f>
        <v> </v>
      </c>
      <c r="AU50" s="77"/>
      <c r="AV50" s="78"/>
      <c r="AW50" s="79"/>
      <c r="AX50" s="110"/>
      <c r="AY50" s="81"/>
      <c r="AZ50" s="164"/>
      <c r="BA50" s="84"/>
      <c r="BB50" s="85"/>
      <c r="BC50" s="86"/>
      <c r="BD50" s="86"/>
      <c r="BE50" s="76"/>
      <c r="BF50" s="87"/>
      <c r="BG50" s="83"/>
    </row>
    <row r="51" ht="42.0" customHeight="1">
      <c r="A51" s="158">
        <v>45.0</v>
      </c>
      <c r="B51" s="65">
        <v>34729.0</v>
      </c>
      <c r="C51" s="66" t="s">
        <v>333</v>
      </c>
      <c r="D51" s="66" t="s">
        <v>362</v>
      </c>
      <c r="E51" s="66" t="s">
        <v>363</v>
      </c>
      <c r="F51" s="67" t="s">
        <v>364</v>
      </c>
      <c r="G51" s="65">
        <v>104296.0</v>
      </c>
      <c r="H51" s="65"/>
      <c r="I51" s="65" t="s">
        <v>365</v>
      </c>
      <c r="J51" s="65" t="s">
        <v>94</v>
      </c>
      <c r="K51" s="65"/>
      <c r="L51" s="65"/>
      <c r="M51" s="65"/>
      <c r="N51" s="66" t="s">
        <v>80</v>
      </c>
      <c r="O51" s="65" t="s">
        <v>81</v>
      </c>
      <c r="P51" s="68" t="s">
        <v>82</v>
      </c>
      <c r="Q51" s="66" t="s">
        <v>95</v>
      </c>
      <c r="R51" s="66" t="s">
        <v>96</v>
      </c>
      <c r="S51" s="65" t="s">
        <v>85</v>
      </c>
      <c r="T51" s="65" t="s">
        <v>162</v>
      </c>
      <c r="U51" s="65">
        <v>50.0</v>
      </c>
      <c r="V51" s="65" t="s">
        <v>86</v>
      </c>
      <c r="W51" s="65">
        <v>50.0</v>
      </c>
      <c r="X51" s="65" t="s">
        <v>98</v>
      </c>
      <c r="Y51" s="69"/>
      <c r="Z51" s="69"/>
      <c r="AA51" s="69"/>
      <c r="AB51" s="70">
        <v>0.2</v>
      </c>
      <c r="AC51" s="71" t="str">
        <f t="shared" si="21"/>
        <v>Si</v>
      </c>
      <c r="AD51" s="112">
        <v>9951.0</v>
      </c>
      <c r="AE51" s="73">
        <v>9951.0</v>
      </c>
      <c r="AF51" s="74">
        <v>44715.0</v>
      </c>
      <c r="AG51" s="73">
        <v>7.0</v>
      </c>
      <c r="AH51" s="75">
        <f t="shared" si="13"/>
        <v>46846</v>
      </c>
      <c r="AI51" s="74">
        <f t="shared" si="22"/>
        <v>46907</v>
      </c>
      <c r="AJ51" s="74">
        <f t="shared" si="12"/>
        <v>47272</v>
      </c>
      <c r="AK51" s="74"/>
      <c r="AL51" s="74"/>
      <c r="AM51" s="76" t="s">
        <v>366</v>
      </c>
      <c r="AN51" s="76">
        <v>1.0</v>
      </c>
      <c r="AO51" s="76"/>
      <c r="AP51" s="76"/>
      <c r="AQ51" s="76"/>
      <c r="AR51" s="65" t="s">
        <v>82</v>
      </c>
      <c r="AS51" s="65"/>
      <c r="AT51" s="65" t="str">
        <f>'Rutas AAC'!AE76</f>
        <v> </v>
      </c>
      <c r="AU51" s="77"/>
      <c r="AV51" s="78"/>
      <c r="AW51" s="79"/>
      <c r="AX51" s="110"/>
      <c r="AY51" s="81"/>
      <c r="AZ51" s="124"/>
      <c r="BA51" s="84"/>
      <c r="BB51" s="85" t="s">
        <v>279</v>
      </c>
      <c r="BC51" s="86"/>
      <c r="BD51" s="86"/>
      <c r="BE51" s="76"/>
      <c r="BF51" s="87"/>
      <c r="BG51" s="83"/>
    </row>
    <row r="52" ht="42.0" customHeight="1">
      <c r="A52" s="158">
        <v>46.0</v>
      </c>
      <c r="B52" s="65">
        <v>36294.0</v>
      </c>
      <c r="C52" s="66" t="s">
        <v>333</v>
      </c>
      <c r="D52" s="66" t="s">
        <v>367</v>
      </c>
      <c r="E52" s="66" t="s">
        <v>368</v>
      </c>
      <c r="F52" s="67" t="s">
        <v>369</v>
      </c>
      <c r="G52" s="65">
        <v>105733.0</v>
      </c>
      <c r="H52" s="65"/>
      <c r="I52" s="65" t="s">
        <v>370</v>
      </c>
      <c r="J52" s="65" t="s">
        <v>94</v>
      </c>
      <c r="K52" s="65"/>
      <c r="L52" s="65"/>
      <c r="M52" s="65"/>
      <c r="N52" s="66" t="s">
        <v>80</v>
      </c>
      <c r="O52" s="65" t="s">
        <v>147</v>
      </c>
      <c r="P52" s="68" t="s">
        <v>82</v>
      </c>
      <c r="Q52" s="66" t="s">
        <v>169</v>
      </c>
      <c r="R52" s="66" t="s">
        <v>96</v>
      </c>
      <c r="S52" s="65" t="s">
        <v>85</v>
      </c>
      <c r="T52" s="65" t="s">
        <v>162</v>
      </c>
      <c r="U52" s="65">
        <v>118.0</v>
      </c>
      <c r="V52" s="65" t="s">
        <v>86</v>
      </c>
      <c r="W52" s="65">
        <v>118.0</v>
      </c>
      <c r="X52" s="65" t="s">
        <v>170</v>
      </c>
      <c r="Y52" s="69"/>
      <c r="Z52" s="69"/>
      <c r="AA52" s="69"/>
      <c r="AB52" s="70">
        <v>0.2</v>
      </c>
      <c r="AC52" s="71" t="str">
        <f t="shared" si="21"/>
        <v>Si</v>
      </c>
      <c r="AD52" s="112">
        <v>2585.0</v>
      </c>
      <c r="AE52" s="73">
        <v>2585.0</v>
      </c>
      <c r="AF52" s="74">
        <v>44978.0</v>
      </c>
      <c r="AG52" s="73">
        <v>7.0</v>
      </c>
      <c r="AH52" s="75">
        <f t="shared" si="13"/>
        <v>47108</v>
      </c>
      <c r="AI52" s="74">
        <f t="shared" si="22"/>
        <v>47170</v>
      </c>
      <c r="AJ52" s="74">
        <f t="shared" si="12"/>
        <v>47535</v>
      </c>
      <c r="AK52" s="74"/>
      <c r="AL52" s="74"/>
      <c r="AM52" s="76" t="s">
        <v>371</v>
      </c>
      <c r="AN52" s="76">
        <v>2.0</v>
      </c>
      <c r="AO52" s="76"/>
      <c r="AP52" s="76"/>
      <c r="AQ52" s="76"/>
      <c r="AR52" s="65" t="s">
        <v>82</v>
      </c>
      <c r="AS52" s="65"/>
      <c r="AT52" s="65" t="str">
        <f>'Rutas AAC'!AE82</f>
        <v> </v>
      </c>
      <c r="AU52" s="77"/>
      <c r="AV52" s="78"/>
      <c r="AW52" s="79"/>
      <c r="AX52" s="110"/>
      <c r="AY52" s="81"/>
      <c r="AZ52" s="124"/>
      <c r="BA52" s="84"/>
      <c r="BB52" s="85"/>
      <c r="BC52" s="86"/>
      <c r="BD52" s="86"/>
      <c r="BE52" s="76"/>
      <c r="BF52" s="82"/>
      <c r="BG52" s="83"/>
    </row>
    <row r="53" ht="42.0" customHeight="1">
      <c r="A53" s="158">
        <v>47.0</v>
      </c>
      <c r="B53" s="65">
        <v>13121.0</v>
      </c>
      <c r="C53" s="66" t="s">
        <v>333</v>
      </c>
      <c r="D53" s="66" t="s">
        <v>372</v>
      </c>
      <c r="E53" s="66" t="s">
        <v>373</v>
      </c>
      <c r="F53" s="67" t="s">
        <v>336</v>
      </c>
      <c r="G53" s="65">
        <v>106575.0</v>
      </c>
      <c r="H53" s="65"/>
      <c r="I53" s="65" t="s">
        <v>374</v>
      </c>
      <c r="J53" s="65" t="s">
        <v>94</v>
      </c>
      <c r="K53" s="65"/>
      <c r="L53" s="65"/>
      <c r="M53" s="65"/>
      <c r="N53" s="66" t="s">
        <v>80</v>
      </c>
      <c r="O53" s="65" t="s">
        <v>81</v>
      </c>
      <c r="P53" s="68" t="s">
        <v>82</v>
      </c>
      <c r="Q53" s="66" t="s">
        <v>83</v>
      </c>
      <c r="R53" s="66" t="s">
        <v>84</v>
      </c>
      <c r="S53" s="65" t="s">
        <v>85</v>
      </c>
      <c r="T53" s="65" t="s">
        <v>86</v>
      </c>
      <c r="U53" s="65" t="s">
        <v>86</v>
      </c>
      <c r="V53" s="65" t="s">
        <v>86</v>
      </c>
      <c r="W53" s="65">
        <v>162.0</v>
      </c>
      <c r="X53" s="65" t="s">
        <v>87</v>
      </c>
      <c r="Y53" s="89" t="s">
        <v>375</v>
      </c>
      <c r="Z53" s="89" t="s">
        <v>376</v>
      </c>
      <c r="AA53" s="89" t="s">
        <v>377</v>
      </c>
      <c r="AB53" s="70">
        <v>0.3</v>
      </c>
      <c r="AC53" s="71" t="str">
        <f t="shared" si="21"/>
        <v>Si</v>
      </c>
      <c r="AD53" s="112">
        <v>6405.0</v>
      </c>
      <c r="AE53" s="73">
        <v>6405.0</v>
      </c>
      <c r="AF53" s="74">
        <v>45036.0</v>
      </c>
      <c r="AG53" s="73">
        <v>7.0</v>
      </c>
      <c r="AH53" s="75">
        <f t="shared" si="13"/>
        <v>47169</v>
      </c>
      <c r="AI53" s="74">
        <f>EDATE(AJ53,-12)</f>
        <v>47228</v>
      </c>
      <c r="AJ53" s="74">
        <f t="shared" si="12"/>
        <v>47593</v>
      </c>
      <c r="AK53" s="74"/>
      <c r="AL53" s="165">
        <v>45930.0</v>
      </c>
      <c r="AM53" s="76" t="s">
        <v>378</v>
      </c>
      <c r="AN53" s="76">
        <v>4.0</v>
      </c>
      <c r="AO53" s="76"/>
      <c r="AP53" s="76"/>
      <c r="AQ53" s="76"/>
      <c r="AR53" s="65" t="s">
        <v>89</v>
      </c>
      <c r="AS53" s="65" t="s">
        <v>89</v>
      </c>
      <c r="AT53" s="65" t="str">
        <f>'Rutas AAC'!AE65</f>
        <v> </v>
      </c>
      <c r="AU53" s="72">
        <v>6405.0</v>
      </c>
      <c r="AV53" s="90">
        <v>45036.0</v>
      </c>
      <c r="AW53" s="91">
        <v>4.0</v>
      </c>
      <c r="AX53" s="80">
        <f t="shared" ref="AX53:AX54" si="23">EDATE(AV53,(AW53*12)-14)</f>
        <v>46073</v>
      </c>
      <c r="AY53" s="84">
        <f t="shared" ref="AY53:AY54" si="24">EDATE(AV53,(AW53*12)-12)</f>
        <v>46132</v>
      </c>
      <c r="AZ53" s="84">
        <f t="shared" ref="AZ53:AZ54" si="25">EDATE(AV53,(AW53*12))</f>
        <v>46497</v>
      </c>
      <c r="BA53" s="84">
        <f t="shared" ref="BA53:BA54" si="26">EDATE(AV53,((AW53/2)*12))</f>
        <v>45767</v>
      </c>
      <c r="BB53" s="76" t="s">
        <v>379</v>
      </c>
      <c r="BC53" s="76">
        <v>4.0</v>
      </c>
      <c r="BD53" s="76" t="s">
        <v>380</v>
      </c>
      <c r="BE53" s="76"/>
      <c r="BF53" s="123"/>
      <c r="BG53" s="83"/>
    </row>
    <row r="54" ht="42.0" customHeight="1">
      <c r="A54" s="158">
        <v>48.0</v>
      </c>
      <c r="B54" s="65">
        <v>31199.0</v>
      </c>
      <c r="C54" s="66" t="s">
        <v>333</v>
      </c>
      <c r="D54" s="66" t="s">
        <v>381</v>
      </c>
      <c r="E54" s="66" t="s">
        <v>382</v>
      </c>
      <c r="F54" s="67" t="s">
        <v>383</v>
      </c>
      <c r="G54" s="65">
        <v>13062.0</v>
      </c>
      <c r="H54" s="65"/>
      <c r="I54" s="65" t="s">
        <v>384</v>
      </c>
      <c r="J54" s="65" t="s">
        <v>94</v>
      </c>
      <c r="K54" s="65"/>
      <c r="L54" s="65"/>
      <c r="M54" s="65"/>
      <c r="N54" s="66" t="s">
        <v>80</v>
      </c>
      <c r="O54" s="65" t="s">
        <v>81</v>
      </c>
      <c r="P54" s="68" t="s">
        <v>82</v>
      </c>
      <c r="Q54" s="66" t="s">
        <v>83</v>
      </c>
      <c r="R54" s="66" t="s">
        <v>84</v>
      </c>
      <c r="S54" s="65" t="s">
        <v>85</v>
      </c>
      <c r="T54" s="65" t="s">
        <v>86</v>
      </c>
      <c r="U54" s="65" t="s">
        <v>86</v>
      </c>
      <c r="V54" s="65" t="s">
        <v>86</v>
      </c>
      <c r="W54" s="65">
        <v>134.0</v>
      </c>
      <c r="X54" s="65" t="s">
        <v>87</v>
      </c>
      <c r="Y54" s="89" t="s">
        <v>385</v>
      </c>
      <c r="Z54" s="69"/>
      <c r="AA54" s="69"/>
      <c r="AB54" s="70">
        <v>0.32</v>
      </c>
      <c r="AC54" s="71" t="str">
        <f t="shared" si="21"/>
        <v>Si</v>
      </c>
      <c r="AD54" s="112">
        <v>6404.0</v>
      </c>
      <c r="AE54" s="73">
        <v>6404.0</v>
      </c>
      <c r="AF54" s="74">
        <v>45036.0</v>
      </c>
      <c r="AG54" s="73">
        <v>7.0</v>
      </c>
      <c r="AH54" s="75">
        <f t="shared" si="13"/>
        <v>47169</v>
      </c>
      <c r="AI54" s="74">
        <f t="shared" ref="AI54:AI55" si="27">EDATE(AF54,(AG54*12)-12)</f>
        <v>47228</v>
      </c>
      <c r="AJ54" s="74">
        <f t="shared" si="12"/>
        <v>47593</v>
      </c>
      <c r="AK54" s="74"/>
      <c r="AL54" s="74"/>
      <c r="AM54" s="76" t="s">
        <v>386</v>
      </c>
      <c r="AN54" s="76">
        <v>4.0</v>
      </c>
      <c r="AO54" s="76"/>
      <c r="AP54" s="76"/>
      <c r="AQ54" s="76"/>
      <c r="AR54" s="65" t="s">
        <v>89</v>
      </c>
      <c r="AS54" s="65" t="s">
        <v>89</v>
      </c>
      <c r="AT54" s="65" t="str">
        <f>'Rutas AAC'!AE66</f>
        <v> </v>
      </c>
      <c r="AU54" s="72">
        <v>6404.0</v>
      </c>
      <c r="AV54" s="90">
        <v>45036.0</v>
      </c>
      <c r="AW54" s="91">
        <v>4.0</v>
      </c>
      <c r="AX54" s="80">
        <f t="shared" si="23"/>
        <v>46073</v>
      </c>
      <c r="AY54" s="84">
        <f t="shared" si="24"/>
        <v>46132</v>
      </c>
      <c r="AZ54" s="84">
        <f t="shared" si="25"/>
        <v>46497</v>
      </c>
      <c r="BA54" s="84">
        <f t="shared" si="26"/>
        <v>45767</v>
      </c>
      <c r="BB54" s="85"/>
      <c r="BC54" s="86">
        <v>1.0</v>
      </c>
      <c r="BD54" s="86"/>
      <c r="BE54" s="76">
        <v>2013.0</v>
      </c>
      <c r="BF54" s="82"/>
      <c r="BG54" s="83"/>
    </row>
    <row r="55" ht="42.0" customHeight="1">
      <c r="A55" s="158">
        <v>49.0</v>
      </c>
      <c r="B55" s="65">
        <v>33293.0</v>
      </c>
      <c r="C55" s="66" t="s">
        <v>333</v>
      </c>
      <c r="D55" s="66" t="s">
        <v>387</v>
      </c>
      <c r="E55" s="66" t="s">
        <v>388</v>
      </c>
      <c r="F55" s="67" t="s">
        <v>389</v>
      </c>
      <c r="G55" s="65">
        <v>104456.0</v>
      </c>
      <c r="H55" s="65"/>
      <c r="I55" s="65" t="s">
        <v>390</v>
      </c>
      <c r="J55" s="65" t="s">
        <v>94</v>
      </c>
      <c r="K55" s="65"/>
      <c r="L55" s="65"/>
      <c r="M55" s="65"/>
      <c r="N55" s="66" t="s">
        <v>80</v>
      </c>
      <c r="O55" s="65" t="s">
        <v>81</v>
      </c>
      <c r="P55" s="68" t="s">
        <v>82</v>
      </c>
      <c r="Q55" s="66" t="s">
        <v>95</v>
      </c>
      <c r="R55" s="66" t="s">
        <v>96</v>
      </c>
      <c r="S55" s="65" t="s">
        <v>85</v>
      </c>
      <c r="T55" s="65" t="s">
        <v>162</v>
      </c>
      <c r="U55" s="65">
        <v>44.0</v>
      </c>
      <c r="V55" s="65" t="s">
        <v>86</v>
      </c>
      <c r="W55" s="65">
        <v>44.0</v>
      </c>
      <c r="X55" s="65" t="s">
        <v>98</v>
      </c>
      <c r="Y55" s="69"/>
      <c r="Z55" s="69"/>
      <c r="AA55" s="69"/>
      <c r="AB55" s="70" t="s">
        <v>99</v>
      </c>
      <c r="AC55" s="71" t="str">
        <f t="shared" si="21"/>
        <v>Si</v>
      </c>
      <c r="AD55" s="112">
        <v>9732.0</v>
      </c>
      <c r="AE55" s="73">
        <v>9732.0</v>
      </c>
      <c r="AF55" s="74">
        <v>45093.0</v>
      </c>
      <c r="AG55" s="73">
        <v>7.0</v>
      </c>
      <c r="AH55" s="75">
        <f t="shared" si="13"/>
        <v>47224</v>
      </c>
      <c r="AI55" s="74">
        <f t="shared" si="27"/>
        <v>47285</v>
      </c>
      <c r="AJ55" s="74">
        <f t="shared" si="12"/>
        <v>47650</v>
      </c>
      <c r="AK55" s="74"/>
      <c r="AL55" s="74"/>
      <c r="AM55" s="76" t="s">
        <v>391</v>
      </c>
      <c r="AN55" s="76">
        <v>2.0</v>
      </c>
      <c r="AO55" s="76"/>
      <c r="AP55" s="76"/>
      <c r="AQ55" s="93"/>
      <c r="AR55" s="65" t="s">
        <v>82</v>
      </c>
      <c r="AS55" s="65"/>
      <c r="AT55" s="65" t="str">
        <f>'[4]Rutas AAC'!AE75</f>
        <v>#REF!</v>
      </c>
      <c r="AU55" s="77"/>
      <c r="AV55" s="78"/>
      <c r="AW55" s="79"/>
      <c r="AX55" s="110"/>
      <c r="AY55" s="81"/>
      <c r="AZ55" s="124"/>
      <c r="BA55" s="84"/>
      <c r="BB55" s="86"/>
      <c r="BC55" s="76"/>
      <c r="BD55" s="88"/>
      <c r="BE55" s="93"/>
      <c r="BF55" s="87"/>
      <c r="BG55" s="83"/>
    </row>
    <row r="56" ht="42.0" customHeight="1">
      <c r="A56" s="158">
        <v>50.0</v>
      </c>
      <c r="B56" s="65">
        <v>20597.0</v>
      </c>
      <c r="C56" s="66" t="s">
        <v>333</v>
      </c>
      <c r="D56" s="66" t="s">
        <v>392</v>
      </c>
      <c r="E56" s="66" t="s">
        <v>393</v>
      </c>
      <c r="F56" s="67" t="s">
        <v>394</v>
      </c>
      <c r="G56" s="65">
        <v>106604.0</v>
      </c>
      <c r="H56" s="65"/>
      <c r="I56" s="65" t="s">
        <v>395</v>
      </c>
      <c r="J56" s="65" t="s">
        <v>79</v>
      </c>
      <c r="K56" s="65"/>
      <c r="L56" s="65"/>
      <c r="M56" s="65"/>
      <c r="N56" s="66" t="s">
        <v>80</v>
      </c>
      <c r="O56" s="65" t="s">
        <v>81</v>
      </c>
      <c r="P56" s="68" t="s">
        <v>82</v>
      </c>
      <c r="Q56" s="66" t="s">
        <v>83</v>
      </c>
      <c r="R56" s="66" t="s">
        <v>84</v>
      </c>
      <c r="S56" s="65" t="s">
        <v>85</v>
      </c>
      <c r="T56" s="65" t="s">
        <v>86</v>
      </c>
      <c r="U56" s="65" t="s">
        <v>86</v>
      </c>
      <c r="V56" s="65" t="s">
        <v>86</v>
      </c>
      <c r="W56" s="65">
        <v>168.0</v>
      </c>
      <c r="X56" s="65" t="s">
        <v>87</v>
      </c>
      <c r="Y56" s="89" t="s">
        <v>396</v>
      </c>
      <c r="Z56" s="89" t="s">
        <v>397</v>
      </c>
      <c r="AA56" s="89" t="s">
        <v>398</v>
      </c>
      <c r="AB56" s="70">
        <v>0.2</v>
      </c>
      <c r="AC56" s="71" t="str">
        <f t="shared" si="21"/>
        <v>Si</v>
      </c>
      <c r="AD56" s="112">
        <v>14237.0</v>
      </c>
      <c r="AE56" s="73">
        <v>14237.0</v>
      </c>
      <c r="AF56" s="74">
        <v>45161.0</v>
      </c>
      <c r="AG56" s="73">
        <v>7.0</v>
      </c>
      <c r="AH56" s="75">
        <f t="shared" si="13"/>
        <v>47292</v>
      </c>
      <c r="AI56" s="74">
        <f t="shared" ref="AI56:AI57" si="28">EDATE(AJ56,-12)</f>
        <v>47353</v>
      </c>
      <c r="AJ56" s="74">
        <f t="shared" si="12"/>
        <v>47718</v>
      </c>
      <c r="AK56" s="74"/>
      <c r="AL56" s="165">
        <v>46022.0</v>
      </c>
      <c r="AM56" s="76" t="s">
        <v>399</v>
      </c>
      <c r="AN56" s="76">
        <v>3.0</v>
      </c>
      <c r="AO56" s="76"/>
      <c r="AP56" s="76"/>
      <c r="AQ56" s="76"/>
      <c r="AR56" s="65" t="s">
        <v>89</v>
      </c>
      <c r="AS56" s="65" t="s">
        <v>89</v>
      </c>
      <c r="AT56" s="65" t="str">
        <f>'Rutas AAC'!AE68</f>
        <v> </v>
      </c>
      <c r="AU56" s="72">
        <v>14237.0</v>
      </c>
      <c r="AV56" s="90">
        <v>45161.0</v>
      </c>
      <c r="AW56" s="91">
        <v>4.0</v>
      </c>
      <c r="AX56" s="80">
        <f>EDATE(AV56,(AW56*12)-14)</f>
        <v>46196</v>
      </c>
      <c r="AY56" s="84">
        <f>EDATE(AV56,(AW56*12)-12)</f>
        <v>46257</v>
      </c>
      <c r="AZ56" s="84">
        <f>EDATE(AV56,(AW56*12))</f>
        <v>46622</v>
      </c>
      <c r="BA56" s="84">
        <f>EDATE(AV56,((AW56/2)*12))</f>
        <v>45892</v>
      </c>
      <c r="BB56" s="76" t="s">
        <v>400</v>
      </c>
      <c r="BC56" s="76">
        <v>1.0</v>
      </c>
      <c r="BD56" s="76"/>
      <c r="BE56" s="76"/>
      <c r="BF56" s="123"/>
      <c r="BG56" s="83"/>
    </row>
    <row r="57" ht="100.5" customHeight="1">
      <c r="A57" s="158">
        <v>51.0</v>
      </c>
      <c r="B57" s="166"/>
      <c r="C57" s="167" t="s">
        <v>333</v>
      </c>
      <c r="D57" s="167" t="s">
        <v>401</v>
      </c>
      <c r="E57" s="167" t="s">
        <v>402</v>
      </c>
      <c r="F57" s="168" t="s">
        <v>403</v>
      </c>
      <c r="G57" s="166">
        <v>15440.0</v>
      </c>
      <c r="H57" s="169"/>
      <c r="I57" s="166" t="s">
        <v>404</v>
      </c>
      <c r="J57" s="166" t="s">
        <v>94</v>
      </c>
      <c r="K57" s="169"/>
      <c r="L57" s="169"/>
      <c r="M57" s="169"/>
      <c r="N57" s="167" t="s">
        <v>405</v>
      </c>
      <c r="O57" s="169"/>
      <c r="P57" s="170"/>
      <c r="Q57" s="167" t="s">
        <v>83</v>
      </c>
      <c r="R57" s="167" t="s">
        <v>84</v>
      </c>
      <c r="S57" s="166" t="s">
        <v>85</v>
      </c>
      <c r="T57" s="169"/>
      <c r="U57" s="169"/>
      <c r="V57" s="169"/>
      <c r="W57" s="166">
        <v>152.0</v>
      </c>
      <c r="X57" s="169" t="s">
        <v>329</v>
      </c>
      <c r="Y57" s="171"/>
      <c r="Z57" s="171"/>
      <c r="AA57" s="171"/>
      <c r="AB57" s="172"/>
      <c r="AC57" s="173" t="s">
        <v>89</v>
      </c>
      <c r="AD57" s="174" t="s">
        <v>406</v>
      </c>
      <c r="AE57" s="175">
        <v>24484.0</v>
      </c>
      <c r="AF57" s="176">
        <v>46008.0</v>
      </c>
      <c r="AG57" s="175">
        <v>7.0</v>
      </c>
      <c r="AH57" s="177">
        <f t="shared" si="13"/>
        <v>48138</v>
      </c>
      <c r="AI57" s="176">
        <f t="shared" si="28"/>
        <v>48199</v>
      </c>
      <c r="AJ57" s="176">
        <f t="shared" si="12"/>
        <v>48565</v>
      </c>
      <c r="AK57" s="178"/>
      <c r="AL57" s="178"/>
      <c r="AM57" s="179" t="s">
        <v>407</v>
      </c>
      <c r="AN57" s="180">
        <v>1.0</v>
      </c>
      <c r="AO57" s="181"/>
      <c r="AP57" s="181"/>
      <c r="AQ57" s="182"/>
      <c r="AR57" s="169"/>
      <c r="AS57" s="169"/>
      <c r="AT57" s="169"/>
      <c r="AU57" s="183"/>
      <c r="AV57" s="184"/>
      <c r="AW57" s="183"/>
      <c r="AX57" s="185"/>
      <c r="AY57" s="186"/>
      <c r="AZ57" s="186"/>
      <c r="BA57" s="186"/>
      <c r="BB57" s="181"/>
      <c r="BC57" s="181"/>
      <c r="BD57" s="182"/>
      <c r="BE57" s="182"/>
      <c r="BF57" s="187"/>
      <c r="BG57" s="188"/>
      <c r="BH57" s="189"/>
      <c r="BI57" s="189"/>
      <c r="BJ57" s="189"/>
      <c r="BK57" s="189"/>
      <c r="BL57" s="189"/>
      <c r="BM57" s="189"/>
      <c r="BN57" s="189"/>
    </row>
    <row r="58" ht="100.5" customHeight="1">
      <c r="A58" s="158">
        <v>52.0</v>
      </c>
      <c r="B58" s="65">
        <v>38555.0</v>
      </c>
      <c r="C58" s="66" t="s">
        <v>333</v>
      </c>
      <c r="D58" s="66" t="s">
        <v>408</v>
      </c>
      <c r="E58" s="66" t="s">
        <v>409</v>
      </c>
      <c r="F58" s="67" t="s">
        <v>410</v>
      </c>
      <c r="G58" s="65">
        <v>232.0</v>
      </c>
      <c r="H58" s="65"/>
      <c r="I58" s="65" t="s">
        <v>240</v>
      </c>
      <c r="J58" s="65" t="s">
        <v>94</v>
      </c>
      <c r="K58" s="65"/>
      <c r="L58" s="65"/>
      <c r="M58" s="65"/>
      <c r="N58" s="66" t="s">
        <v>80</v>
      </c>
      <c r="O58" s="65" t="s">
        <v>81</v>
      </c>
      <c r="P58" s="68" t="s">
        <v>82</v>
      </c>
      <c r="Q58" s="66" t="s">
        <v>83</v>
      </c>
      <c r="R58" s="66" t="s">
        <v>84</v>
      </c>
      <c r="S58" s="65" t="s">
        <v>85</v>
      </c>
      <c r="T58" s="65" t="s">
        <v>86</v>
      </c>
      <c r="U58" s="65" t="s">
        <v>86</v>
      </c>
      <c r="V58" s="65" t="s">
        <v>86</v>
      </c>
      <c r="W58" s="65">
        <v>160.0</v>
      </c>
      <c r="X58" s="65" t="s">
        <v>87</v>
      </c>
      <c r="Y58" s="69"/>
      <c r="Z58" s="69"/>
      <c r="AA58" s="69"/>
      <c r="AB58" s="70">
        <v>0.25</v>
      </c>
      <c r="AC58" s="71" t="str">
        <f>IF(AJ58&gt;TODAY(),"Si","No")</f>
        <v>Si</v>
      </c>
      <c r="AD58" s="112">
        <v>10048.0</v>
      </c>
      <c r="AE58" s="73">
        <v>10048.0</v>
      </c>
      <c r="AF58" s="74">
        <v>45100.0</v>
      </c>
      <c r="AG58" s="73">
        <v>8.0</v>
      </c>
      <c r="AH58" s="75">
        <f t="shared" si="13"/>
        <v>47596</v>
      </c>
      <c r="AI58" s="74">
        <f>EDATE(AF58,(AG58*12)-12)</f>
        <v>47657</v>
      </c>
      <c r="AJ58" s="74">
        <f t="shared" si="12"/>
        <v>48022</v>
      </c>
      <c r="AK58" s="74"/>
      <c r="AL58" s="74"/>
      <c r="AM58" s="76" t="s">
        <v>411</v>
      </c>
      <c r="AN58" s="76">
        <v>8.0</v>
      </c>
      <c r="AO58" s="76"/>
      <c r="AP58" s="76"/>
      <c r="AQ58" s="148"/>
      <c r="AR58" s="65" t="s">
        <v>89</v>
      </c>
      <c r="AS58" s="65" t="s">
        <v>89</v>
      </c>
      <c r="AT58" s="65" t="str">
        <f>'Rutas AAC'!AE62</f>
        <v> </v>
      </c>
      <c r="AU58" s="72">
        <v>10048.0</v>
      </c>
      <c r="AV58" s="90">
        <v>45100.0</v>
      </c>
      <c r="AW58" s="91">
        <v>8.0</v>
      </c>
      <c r="AX58" s="80">
        <f>EDATE(AV58,(AW58*12)-14)</f>
        <v>47596</v>
      </c>
      <c r="AY58" s="84">
        <f>EDATE(AV58,(AW58*12)-12)</f>
        <v>47657</v>
      </c>
      <c r="AZ58" s="84">
        <f>EDATE(AV58,(AW58*12))</f>
        <v>48022</v>
      </c>
      <c r="BA58" s="84">
        <f>EDATE(AV58,((AW58/2)*12))</f>
        <v>46561</v>
      </c>
      <c r="BB58" s="76" t="s">
        <v>412</v>
      </c>
      <c r="BC58" s="76">
        <v>4.0</v>
      </c>
      <c r="BD58" s="146"/>
      <c r="BE58" s="148"/>
      <c r="BF58" s="87"/>
      <c r="BG58" s="83"/>
    </row>
    <row r="59" ht="64.5" customHeight="1">
      <c r="A59" s="190">
        <v>53.0</v>
      </c>
      <c r="B59" s="65"/>
      <c r="C59" s="101" t="s">
        <v>413</v>
      </c>
      <c r="D59" s="191" t="s">
        <v>414</v>
      </c>
      <c r="E59" s="101" t="s">
        <v>415</v>
      </c>
      <c r="F59" s="192" t="s">
        <v>416</v>
      </c>
      <c r="G59" s="151">
        <v>12098.0</v>
      </c>
      <c r="H59" s="65"/>
      <c r="I59" s="151" t="s">
        <v>417</v>
      </c>
      <c r="J59" s="151" t="s">
        <v>418</v>
      </c>
      <c r="K59" s="65"/>
      <c r="L59" s="65"/>
      <c r="M59" s="65"/>
      <c r="N59" s="101" t="s">
        <v>80</v>
      </c>
      <c r="O59" s="151" t="s">
        <v>81</v>
      </c>
      <c r="P59" s="193" t="s">
        <v>82</v>
      </c>
      <c r="Q59" s="101" t="s">
        <v>148</v>
      </c>
      <c r="R59" s="101" t="s">
        <v>96</v>
      </c>
      <c r="S59" s="151" t="s">
        <v>85</v>
      </c>
      <c r="T59" s="151" t="s">
        <v>97</v>
      </c>
      <c r="U59" s="65"/>
      <c r="V59" s="65"/>
      <c r="W59" s="151">
        <v>25.0</v>
      </c>
      <c r="X59" s="151" t="s">
        <v>156</v>
      </c>
      <c r="Y59" s="69"/>
      <c r="Z59" s="69"/>
      <c r="AA59" s="107"/>
      <c r="AB59" s="194">
        <v>0.3</v>
      </c>
      <c r="AC59" s="155" t="s">
        <v>300</v>
      </c>
      <c r="AD59" s="195" t="s">
        <v>419</v>
      </c>
      <c r="AE59" s="196">
        <v>9133.0</v>
      </c>
      <c r="AF59" s="197">
        <v>46113.0</v>
      </c>
      <c r="AG59" s="196" t="s">
        <v>420</v>
      </c>
      <c r="AH59" s="75"/>
      <c r="AI59" s="74"/>
      <c r="AJ59" s="74"/>
      <c r="AK59" s="74"/>
      <c r="AL59" s="74"/>
      <c r="AM59" s="198" t="s">
        <v>421</v>
      </c>
      <c r="AN59" s="199">
        <v>1.0</v>
      </c>
      <c r="AO59" s="76"/>
      <c r="AP59" s="76"/>
      <c r="AQ59" s="200"/>
      <c r="AR59" s="65"/>
      <c r="AS59" s="65"/>
      <c r="AT59" s="65"/>
      <c r="AU59" s="108"/>
      <c r="AV59" s="90"/>
      <c r="AW59" s="91"/>
      <c r="AX59" s="80"/>
      <c r="AY59" s="84"/>
      <c r="AZ59" s="84"/>
      <c r="BA59" s="84"/>
      <c r="BB59" s="92"/>
      <c r="BC59" s="86"/>
      <c r="BD59" s="201"/>
      <c r="BE59" s="200"/>
      <c r="BF59" s="82"/>
      <c r="BG59" s="83"/>
    </row>
    <row r="60" ht="64.5" customHeight="1">
      <c r="A60" s="190">
        <v>54.0</v>
      </c>
      <c r="B60" s="65">
        <v>22431.0</v>
      </c>
      <c r="C60" s="66" t="s">
        <v>413</v>
      </c>
      <c r="D60" s="66" t="s">
        <v>422</v>
      </c>
      <c r="E60" s="66" t="s">
        <v>423</v>
      </c>
      <c r="F60" s="67" t="s">
        <v>424</v>
      </c>
      <c r="G60" s="65">
        <v>3636.0</v>
      </c>
      <c r="H60" s="65"/>
      <c r="I60" s="65" t="s">
        <v>425</v>
      </c>
      <c r="J60" s="65" t="s">
        <v>79</v>
      </c>
      <c r="K60" s="65"/>
      <c r="L60" s="65"/>
      <c r="M60" s="65"/>
      <c r="N60" s="66" t="s">
        <v>80</v>
      </c>
      <c r="O60" s="65" t="s">
        <v>81</v>
      </c>
      <c r="P60" s="68" t="s">
        <v>82</v>
      </c>
      <c r="Q60" s="66" t="s">
        <v>83</v>
      </c>
      <c r="R60" s="66" t="s">
        <v>84</v>
      </c>
      <c r="S60" s="65" t="s">
        <v>85</v>
      </c>
      <c r="T60" s="65" t="s">
        <v>86</v>
      </c>
      <c r="U60" s="65" t="s">
        <v>86</v>
      </c>
      <c r="V60" s="65" t="s">
        <v>86</v>
      </c>
      <c r="W60" s="65">
        <v>165.0</v>
      </c>
      <c r="X60" s="65" t="s">
        <v>87</v>
      </c>
      <c r="Y60" s="69" t="s">
        <v>426</v>
      </c>
      <c r="Z60" s="69"/>
      <c r="AA60" s="89" t="s">
        <v>427</v>
      </c>
      <c r="AB60" s="70">
        <v>0.3</v>
      </c>
      <c r="AC60" s="71" t="str">
        <f t="shared" ref="AC60:AC67" si="29">IF(AJ60&gt;TODAY(),"Si","No")</f>
        <v>Si</v>
      </c>
      <c r="AD60" s="202">
        <v>23384.0</v>
      </c>
      <c r="AE60" s="73">
        <v>23384.0</v>
      </c>
      <c r="AF60" s="74">
        <v>45989.0</v>
      </c>
      <c r="AG60" s="73">
        <v>7.0</v>
      </c>
      <c r="AH60" s="75">
        <f t="shared" ref="AH60:AH97" si="30">EDATE(AF60,(AG60*12)-14)</f>
        <v>48119</v>
      </c>
      <c r="AI60" s="74">
        <f t="shared" ref="AI60:AI97" si="31">EDATE(AF60,(AG60*12)-12)</f>
        <v>48180</v>
      </c>
      <c r="AJ60" s="74">
        <f t="shared" ref="AJ60:AJ97" si="32">EDATE(AF60,AG60*12)</f>
        <v>48546</v>
      </c>
      <c r="AK60" s="74"/>
      <c r="AL60" s="74"/>
      <c r="AM60" s="76" t="s">
        <v>428</v>
      </c>
      <c r="AN60" s="116">
        <v>5.0</v>
      </c>
      <c r="AO60" s="76"/>
      <c r="AP60" s="76"/>
      <c r="AQ60" s="76"/>
      <c r="AR60" s="65" t="s">
        <v>89</v>
      </c>
      <c r="AS60" s="65"/>
      <c r="AT60" s="65" t="str">
        <f>'Rutas AAC'!AE88</f>
        <v> </v>
      </c>
      <c r="AU60" s="72">
        <v>8333.0</v>
      </c>
      <c r="AV60" s="90">
        <v>43686.0</v>
      </c>
      <c r="AW60" s="91">
        <v>4.0</v>
      </c>
      <c r="AX60" s="80">
        <f t="shared" ref="AX60:AX64" si="33">EDATE(AV60,(AW60*12)-14)</f>
        <v>44721</v>
      </c>
      <c r="AY60" s="84">
        <f t="shared" ref="AY60:AY64" si="34">EDATE(AV60,(AW60*12)-12)</f>
        <v>44782</v>
      </c>
      <c r="AZ60" s="84">
        <f t="shared" ref="AZ60:AZ64" si="35">EDATE(AV60,(AW60*12))</f>
        <v>45147</v>
      </c>
      <c r="BA60" s="84">
        <f t="shared" ref="BA60:BA64" si="36">EDATE(AV60,((AW60/2)*12))</f>
        <v>44417</v>
      </c>
      <c r="BB60" s="92"/>
      <c r="BC60" s="86">
        <v>1.0</v>
      </c>
      <c r="BD60" s="92"/>
      <c r="BE60" s="76"/>
      <c r="BF60" s="82"/>
      <c r="BG60" s="83"/>
    </row>
    <row r="61" ht="50.25" customHeight="1">
      <c r="A61" s="190">
        <v>55.0</v>
      </c>
      <c r="B61" s="65">
        <v>32335.0</v>
      </c>
      <c r="C61" s="66" t="s">
        <v>413</v>
      </c>
      <c r="D61" s="66" t="s">
        <v>429</v>
      </c>
      <c r="E61" s="66" t="s">
        <v>430</v>
      </c>
      <c r="F61" s="67" t="s">
        <v>431</v>
      </c>
      <c r="G61" s="65">
        <v>103476.0</v>
      </c>
      <c r="H61" s="65"/>
      <c r="I61" s="65" t="s">
        <v>120</v>
      </c>
      <c r="J61" s="65" t="s">
        <v>259</v>
      </c>
      <c r="K61" s="65"/>
      <c r="L61" s="65"/>
      <c r="M61" s="65"/>
      <c r="N61" s="66" t="s">
        <v>80</v>
      </c>
      <c r="O61" s="65" t="s">
        <v>147</v>
      </c>
      <c r="P61" s="68" t="s">
        <v>82</v>
      </c>
      <c r="Q61" s="66" t="s">
        <v>95</v>
      </c>
      <c r="R61" s="66" t="s">
        <v>96</v>
      </c>
      <c r="S61" s="65" t="s">
        <v>85</v>
      </c>
      <c r="T61" s="65" t="s">
        <v>162</v>
      </c>
      <c r="U61" s="65">
        <v>45.0</v>
      </c>
      <c r="V61" s="65">
        <v>0.0</v>
      </c>
      <c r="W61" s="65">
        <v>45.0</v>
      </c>
      <c r="X61" s="65" t="s">
        <v>98</v>
      </c>
      <c r="Y61" s="69"/>
      <c r="Z61" s="69"/>
      <c r="AA61" s="69"/>
      <c r="AB61" s="70">
        <v>0.3</v>
      </c>
      <c r="AC61" s="71" t="str">
        <f t="shared" si="29"/>
        <v>Si</v>
      </c>
      <c r="AD61" s="112">
        <v>22115.0</v>
      </c>
      <c r="AE61" s="73">
        <v>22115.0</v>
      </c>
      <c r="AF61" s="74">
        <v>44160.0</v>
      </c>
      <c r="AG61" s="73">
        <v>7.0</v>
      </c>
      <c r="AH61" s="75">
        <f t="shared" si="30"/>
        <v>46290</v>
      </c>
      <c r="AI61" s="74">
        <f t="shared" si="31"/>
        <v>46351</v>
      </c>
      <c r="AJ61" s="74">
        <f t="shared" si="32"/>
        <v>46716</v>
      </c>
      <c r="AK61" s="74"/>
      <c r="AL61" s="74"/>
      <c r="AM61" s="76" t="s">
        <v>432</v>
      </c>
      <c r="AN61" s="76">
        <v>2.0</v>
      </c>
      <c r="AO61" s="76"/>
      <c r="AP61" s="76"/>
      <c r="AQ61" s="76"/>
      <c r="AR61" s="65" t="s">
        <v>82</v>
      </c>
      <c r="AS61" s="65"/>
      <c r="AT61" s="65" t="str">
        <f>'Rutas AAC'!AE101</f>
        <v> </v>
      </c>
      <c r="AU61" s="77"/>
      <c r="AV61" s="90"/>
      <c r="AW61" s="79"/>
      <c r="AX61" s="80" t="str">
        <f t="shared" si="33"/>
        <v>#NUM!</v>
      </c>
      <c r="AY61" s="84" t="str">
        <f t="shared" si="34"/>
        <v>#NUM!</v>
      </c>
      <c r="AZ61" s="84">
        <f t="shared" si="35"/>
        <v>0</v>
      </c>
      <c r="BA61" s="84">
        <f t="shared" si="36"/>
        <v>0</v>
      </c>
      <c r="BB61" s="85"/>
      <c r="BC61" s="86"/>
      <c r="BD61" s="86"/>
      <c r="BE61" s="76"/>
      <c r="BF61" s="82"/>
      <c r="BG61" s="83"/>
    </row>
    <row r="62" ht="73.5" customHeight="1">
      <c r="A62" s="190">
        <v>56.0</v>
      </c>
      <c r="B62" s="65">
        <v>32361.0</v>
      </c>
      <c r="C62" s="66" t="s">
        <v>413</v>
      </c>
      <c r="D62" s="66" t="s">
        <v>433</v>
      </c>
      <c r="E62" s="66" t="s">
        <v>430</v>
      </c>
      <c r="F62" s="67" t="s">
        <v>431</v>
      </c>
      <c r="G62" s="65">
        <v>103504.0</v>
      </c>
      <c r="H62" s="65"/>
      <c r="I62" s="65" t="s">
        <v>78</v>
      </c>
      <c r="J62" s="65" t="s">
        <v>259</v>
      </c>
      <c r="K62" s="65"/>
      <c r="L62" s="65"/>
      <c r="M62" s="65"/>
      <c r="N62" s="66" t="s">
        <v>337</v>
      </c>
      <c r="O62" s="65" t="s">
        <v>147</v>
      </c>
      <c r="P62" s="68" t="s">
        <v>89</v>
      </c>
      <c r="Q62" s="66" t="s">
        <v>95</v>
      </c>
      <c r="R62" s="66" t="s">
        <v>96</v>
      </c>
      <c r="S62" s="65" t="s">
        <v>85</v>
      </c>
      <c r="T62" s="65" t="s">
        <v>162</v>
      </c>
      <c r="U62" s="65">
        <v>45.0</v>
      </c>
      <c r="V62" s="65">
        <v>0.0</v>
      </c>
      <c r="W62" s="65">
        <v>45.0</v>
      </c>
      <c r="X62" s="65" t="s">
        <v>98</v>
      </c>
      <c r="Y62" s="69"/>
      <c r="Z62" s="69"/>
      <c r="AA62" s="69"/>
      <c r="AB62" s="70">
        <v>0.3</v>
      </c>
      <c r="AC62" s="71" t="str">
        <f t="shared" si="29"/>
        <v>Si</v>
      </c>
      <c r="AD62" s="112">
        <v>2559.0</v>
      </c>
      <c r="AE62" s="73">
        <v>2559.0</v>
      </c>
      <c r="AF62" s="74">
        <v>44246.0</v>
      </c>
      <c r="AG62" s="73">
        <v>7.0</v>
      </c>
      <c r="AH62" s="75">
        <f t="shared" si="30"/>
        <v>46375</v>
      </c>
      <c r="AI62" s="74">
        <f t="shared" si="31"/>
        <v>46437</v>
      </c>
      <c r="AJ62" s="74">
        <f t="shared" si="32"/>
        <v>46802</v>
      </c>
      <c r="AK62" s="74"/>
      <c r="AL62" s="74"/>
      <c r="AM62" s="76" t="s">
        <v>434</v>
      </c>
      <c r="AN62" s="76">
        <v>1.0</v>
      </c>
      <c r="AO62" s="76"/>
      <c r="AP62" s="76"/>
      <c r="AQ62" s="76"/>
      <c r="AR62" s="65" t="s">
        <v>82</v>
      </c>
      <c r="AS62" s="65"/>
      <c r="AT62" s="65" t="str">
        <f>'Rutas AAC'!AE102</f>
        <v> </v>
      </c>
      <c r="AU62" s="77"/>
      <c r="AV62" s="90"/>
      <c r="AW62" s="79"/>
      <c r="AX62" s="80" t="str">
        <f t="shared" si="33"/>
        <v>#NUM!</v>
      </c>
      <c r="AY62" s="84" t="str">
        <f t="shared" si="34"/>
        <v>#NUM!</v>
      </c>
      <c r="AZ62" s="84">
        <f t="shared" si="35"/>
        <v>0</v>
      </c>
      <c r="BA62" s="84">
        <f t="shared" si="36"/>
        <v>0</v>
      </c>
      <c r="BB62" s="85"/>
      <c r="BC62" s="86"/>
      <c r="BD62" s="86"/>
      <c r="BE62" s="76"/>
      <c r="BF62" s="82"/>
      <c r="BG62" s="83"/>
    </row>
    <row r="63" ht="42.0" customHeight="1">
      <c r="A63" s="190">
        <v>57.0</v>
      </c>
      <c r="B63" s="65">
        <v>33976.0</v>
      </c>
      <c r="C63" s="66" t="s">
        <v>413</v>
      </c>
      <c r="D63" s="66" t="s">
        <v>435</v>
      </c>
      <c r="E63" s="66" t="s">
        <v>436</v>
      </c>
      <c r="F63" s="67" t="s">
        <v>437</v>
      </c>
      <c r="G63" s="65">
        <v>53791.0</v>
      </c>
      <c r="H63" s="65"/>
      <c r="I63" s="65" t="s">
        <v>78</v>
      </c>
      <c r="J63" s="65" t="s">
        <v>259</v>
      </c>
      <c r="K63" s="65"/>
      <c r="L63" s="65"/>
      <c r="M63" s="65"/>
      <c r="N63" s="66" t="s">
        <v>80</v>
      </c>
      <c r="O63" s="65" t="s">
        <v>81</v>
      </c>
      <c r="P63" s="68" t="s">
        <v>82</v>
      </c>
      <c r="Q63" s="66" t="s">
        <v>95</v>
      </c>
      <c r="R63" s="66" t="s">
        <v>96</v>
      </c>
      <c r="S63" s="65" t="s">
        <v>85</v>
      </c>
      <c r="T63" s="65" t="s">
        <v>162</v>
      </c>
      <c r="U63" s="65">
        <v>48.0</v>
      </c>
      <c r="V63" s="65" t="s">
        <v>86</v>
      </c>
      <c r="W63" s="65">
        <v>48.0</v>
      </c>
      <c r="X63" s="65" t="s">
        <v>233</v>
      </c>
      <c r="Y63" s="69" t="s">
        <v>438</v>
      </c>
      <c r="Z63" s="69"/>
      <c r="AA63" s="69"/>
      <c r="AB63" s="70">
        <v>0.1</v>
      </c>
      <c r="AC63" s="71" t="str">
        <f t="shared" si="29"/>
        <v>Si</v>
      </c>
      <c r="AD63" s="112">
        <v>5619.0</v>
      </c>
      <c r="AE63" s="73">
        <v>5619.0</v>
      </c>
      <c r="AF63" s="74">
        <v>44285.0</v>
      </c>
      <c r="AG63" s="73">
        <v>7.0</v>
      </c>
      <c r="AH63" s="75">
        <f t="shared" si="30"/>
        <v>46417</v>
      </c>
      <c r="AI63" s="74">
        <f t="shared" si="31"/>
        <v>46476</v>
      </c>
      <c r="AJ63" s="74">
        <f t="shared" si="32"/>
        <v>46842</v>
      </c>
      <c r="AK63" s="74"/>
      <c r="AL63" s="74"/>
      <c r="AM63" s="76" t="s">
        <v>439</v>
      </c>
      <c r="AN63" s="76">
        <v>3.0</v>
      </c>
      <c r="AO63" s="76"/>
      <c r="AP63" s="76"/>
      <c r="AQ63" s="76">
        <v>63.0</v>
      </c>
      <c r="AR63" s="65" t="s">
        <v>89</v>
      </c>
      <c r="AS63" s="65"/>
      <c r="AT63" s="65" t="str">
        <f>'Rutas AAC'!AE97</f>
        <v> </v>
      </c>
      <c r="AU63" s="77"/>
      <c r="AV63" s="90"/>
      <c r="AW63" s="79"/>
      <c r="AX63" s="80" t="str">
        <f t="shared" si="33"/>
        <v>#NUM!</v>
      </c>
      <c r="AY63" s="84" t="str">
        <f t="shared" si="34"/>
        <v>#NUM!</v>
      </c>
      <c r="AZ63" s="84">
        <f t="shared" si="35"/>
        <v>0</v>
      </c>
      <c r="BA63" s="84">
        <f t="shared" si="36"/>
        <v>0</v>
      </c>
      <c r="BB63" s="92"/>
      <c r="BC63" s="92"/>
      <c r="BD63" s="92"/>
      <c r="BE63" s="76"/>
      <c r="BF63" s="123"/>
      <c r="BG63" s="83"/>
    </row>
    <row r="64" ht="42.0" customHeight="1">
      <c r="A64" s="190">
        <v>58.0</v>
      </c>
      <c r="B64" s="65">
        <v>23836.0</v>
      </c>
      <c r="C64" s="66" t="s">
        <v>413</v>
      </c>
      <c r="D64" s="66" t="s">
        <v>440</v>
      </c>
      <c r="E64" s="66" t="s">
        <v>441</v>
      </c>
      <c r="F64" s="67" t="s">
        <v>442</v>
      </c>
      <c r="G64" s="65">
        <v>3048.0</v>
      </c>
      <c r="H64" s="65"/>
      <c r="I64" s="65" t="s">
        <v>443</v>
      </c>
      <c r="J64" s="65" t="s">
        <v>79</v>
      </c>
      <c r="K64" s="65"/>
      <c r="L64" s="65"/>
      <c r="M64" s="65"/>
      <c r="N64" s="66" t="s">
        <v>80</v>
      </c>
      <c r="O64" s="65" t="s">
        <v>81</v>
      </c>
      <c r="P64" s="68" t="s">
        <v>82</v>
      </c>
      <c r="Q64" s="66" t="s">
        <v>83</v>
      </c>
      <c r="R64" s="66" t="s">
        <v>84</v>
      </c>
      <c r="S64" s="65" t="s">
        <v>85</v>
      </c>
      <c r="T64" s="65" t="s">
        <v>86</v>
      </c>
      <c r="U64" s="65" t="s">
        <v>86</v>
      </c>
      <c r="V64" s="65" t="s">
        <v>86</v>
      </c>
      <c r="W64" s="65">
        <v>159.0</v>
      </c>
      <c r="X64" s="65" t="s">
        <v>87</v>
      </c>
      <c r="Y64" s="89" t="s">
        <v>444</v>
      </c>
      <c r="Z64" s="69"/>
      <c r="AA64" s="89" t="s">
        <v>445</v>
      </c>
      <c r="AB64" s="70">
        <v>0.2</v>
      </c>
      <c r="AC64" s="71" t="str">
        <f t="shared" si="29"/>
        <v>Si</v>
      </c>
      <c r="AD64" s="112">
        <v>7456.0</v>
      </c>
      <c r="AE64" s="73">
        <v>7456.0</v>
      </c>
      <c r="AF64" s="74">
        <v>44316.0</v>
      </c>
      <c r="AG64" s="91">
        <v>7.0</v>
      </c>
      <c r="AH64" s="75">
        <f t="shared" si="30"/>
        <v>46446</v>
      </c>
      <c r="AI64" s="74">
        <f t="shared" si="31"/>
        <v>46507</v>
      </c>
      <c r="AJ64" s="74">
        <f t="shared" si="32"/>
        <v>46873</v>
      </c>
      <c r="AK64" s="74"/>
      <c r="AL64" s="74"/>
      <c r="AM64" s="76" t="s">
        <v>446</v>
      </c>
      <c r="AN64" s="76">
        <v>3.0</v>
      </c>
      <c r="AO64" s="76" t="s">
        <v>89</v>
      </c>
      <c r="AP64" s="76"/>
      <c r="AQ64" s="76"/>
      <c r="AR64" s="65" t="s">
        <v>89</v>
      </c>
      <c r="AS64" s="65" t="s">
        <v>89</v>
      </c>
      <c r="AT64" s="65">
        <f>'Rutas AAC'!AE87</f>
        <v>14</v>
      </c>
      <c r="AU64" s="72">
        <v>7456.0</v>
      </c>
      <c r="AV64" s="90">
        <v>44316.0</v>
      </c>
      <c r="AW64" s="91">
        <v>6.0</v>
      </c>
      <c r="AX64" s="80">
        <f t="shared" si="33"/>
        <v>46081</v>
      </c>
      <c r="AY64" s="84">
        <f t="shared" si="34"/>
        <v>46142</v>
      </c>
      <c r="AZ64" s="84">
        <f t="shared" si="35"/>
        <v>46507</v>
      </c>
      <c r="BA64" s="84">
        <f t="shared" si="36"/>
        <v>45412</v>
      </c>
      <c r="BB64" s="85" t="s">
        <v>447</v>
      </c>
      <c r="BC64" s="86">
        <v>2.0</v>
      </c>
      <c r="BD64" s="86"/>
      <c r="BE64" s="76">
        <v>2013.0</v>
      </c>
      <c r="BF64" s="203"/>
      <c r="BG64" s="83"/>
    </row>
    <row r="65" ht="42.0" customHeight="1">
      <c r="A65" s="190">
        <v>59.0</v>
      </c>
      <c r="B65" s="65">
        <v>32826.0</v>
      </c>
      <c r="C65" s="66" t="s">
        <v>413</v>
      </c>
      <c r="D65" s="66" t="s">
        <v>448</v>
      </c>
      <c r="E65" s="66" t="s">
        <v>449</v>
      </c>
      <c r="F65" s="67" t="s">
        <v>450</v>
      </c>
      <c r="G65" s="65">
        <v>53504.0</v>
      </c>
      <c r="H65" s="65"/>
      <c r="I65" s="65" t="s">
        <v>451</v>
      </c>
      <c r="J65" s="65" t="s">
        <v>94</v>
      </c>
      <c r="K65" s="65"/>
      <c r="L65" s="65"/>
      <c r="M65" s="65"/>
      <c r="N65" s="66" t="s">
        <v>80</v>
      </c>
      <c r="O65" s="65" t="s">
        <v>81</v>
      </c>
      <c r="P65" s="68" t="s">
        <v>82</v>
      </c>
      <c r="Q65" s="66" t="s">
        <v>95</v>
      </c>
      <c r="R65" s="66" t="s">
        <v>96</v>
      </c>
      <c r="S65" s="65" t="s">
        <v>85</v>
      </c>
      <c r="T65" s="65" t="s">
        <v>162</v>
      </c>
      <c r="U65" s="65">
        <v>48.0</v>
      </c>
      <c r="V65" s="65" t="s">
        <v>86</v>
      </c>
      <c r="W65" s="65">
        <v>48.0</v>
      </c>
      <c r="X65" s="65" t="s">
        <v>233</v>
      </c>
      <c r="Y65" s="89" t="s">
        <v>452</v>
      </c>
      <c r="Z65" s="69"/>
      <c r="AA65" s="69"/>
      <c r="AB65" s="70">
        <v>0.4</v>
      </c>
      <c r="AC65" s="71" t="str">
        <f t="shared" si="29"/>
        <v>Si</v>
      </c>
      <c r="AD65" s="112">
        <v>17049.0</v>
      </c>
      <c r="AE65" s="73">
        <v>17049.0</v>
      </c>
      <c r="AF65" s="74">
        <v>44449.0</v>
      </c>
      <c r="AG65" s="73">
        <v>7.0</v>
      </c>
      <c r="AH65" s="75">
        <f t="shared" si="30"/>
        <v>46578</v>
      </c>
      <c r="AI65" s="74">
        <f t="shared" si="31"/>
        <v>46640</v>
      </c>
      <c r="AJ65" s="74">
        <f t="shared" si="32"/>
        <v>47006</v>
      </c>
      <c r="AK65" s="74"/>
      <c r="AL65" s="74"/>
      <c r="AM65" s="76" t="s">
        <v>453</v>
      </c>
      <c r="AN65" s="76">
        <v>3.0</v>
      </c>
      <c r="AO65" s="76"/>
      <c r="AP65" s="76"/>
      <c r="AQ65" s="76"/>
      <c r="AR65" s="65" t="s">
        <v>82</v>
      </c>
      <c r="AS65" s="65"/>
      <c r="AT65" s="65" t="str">
        <f>'Rutas AAC'!AE96</f>
        <v> </v>
      </c>
      <c r="AU65" s="77"/>
      <c r="AV65" s="90"/>
      <c r="AW65" s="79"/>
      <c r="AX65" s="110"/>
      <c r="AY65" s="81"/>
      <c r="AZ65" s="124"/>
      <c r="BA65" s="84"/>
      <c r="BB65" s="92"/>
      <c r="BC65" s="92"/>
      <c r="BD65" s="92"/>
      <c r="BE65" s="76"/>
      <c r="BF65" s="87"/>
      <c r="BG65" s="83"/>
    </row>
    <row r="66" ht="42.0" customHeight="1">
      <c r="A66" s="190">
        <v>60.0</v>
      </c>
      <c r="B66" s="65">
        <v>35040.0</v>
      </c>
      <c r="C66" s="66" t="s">
        <v>413</v>
      </c>
      <c r="D66" s="66" t="s">
        <v>454</v>
      </c>
      <c r="E66" s="66" t="s">
        <v>455</v>
      </c>
      <c r="F66" s="67" t="s">
        <v>456</v>
      </c>
      <c r="G66" s="65">
        <v>104621.0</v>
      </c>
      <c r="H66" s="65"/>
      <c r="I66" s="65" t="s">
        <v>93</v>
      </c>
      <c r="J66" s="65" t="s">
        <v>94</v>
      </c>
      <c r="K66" s="65"/>
      <c r="L66" s="65"/>
      <c r="M66" s="65"/>
      <c r="N66" s="66" t="s">
        <v>80</v>
      </c>
      <c r="O66" s="65" t="s">
        <v>147</v>
      </c>
      <c r="P66" s="68" t="s">
        <v>82</v>
      </c>
      <c r="Q66" s="66" t="s">
        <v>95</v>
      </c>
      <c r="R66" s="66" t="s">
        <v>96</v>
      </c>
      <c r="S66" s="65" t="s">
        <v>85</v>
      </c>
      <c r="T66" s="65" t="s">
        <v>162</v>
      </c>
      <c r="U66" s="65">
        <v>50.0</v>
      </c>
      <c r="V66" s="65" t="s">
        <v>86</v>
      </c>
      <c r="W66" s="65">
        <v>50.0</v>
      </c>
      <c r="X66" s="65" t="s">
        <v>98</v>
      </c>
      <c r="Y66" s="69"/>
      <c r="Z66" s="69"/>
      <c r="AA66" s="69"/>
      <c r="AB66" s="70">
        <v>0.4</v>
      </c>
      <c r="AC66" s="71" t="str">
        <f t="shared" si="29"/>
        <v>Si</v>
      </c>
      <c r="AD66" s="112">
        <v>17637.0</v>
      </c>
      <c r="AE66" s="73">
        <v>17637.0</v>
      </c>
      <c r="AF66" s="74">
        <v>44455.0</v>
      </c>
      <c r="AG66" s="73">
        <v>7.0</v>
      </c>
      <c r="AH66" s="75">
        <f t="shared" si="30"/>
        <v>46584</v>
      </c>
      <c r="AI66" s="74">
        <f t="shared" si="31"/>
        <v>46646</v>
      </c>
      <c r="AJ66" s="74">
        <f t="shared" si="32"/>
        <v>47012</v>
      </c>
      <c r="AK66" s="74"/>
      <c r="AL66" s="74"/>
      <c r="AM66" s="76" t="s">
        <v>457</v>
      </c>
      <c r="AN66" s="76"/>
      <c r="AO66" s="76"/>
      <c r="AP66" s="76"/>
      <c r="AQ66" s="76"/>
      <c r="AR66" s="65" t="s">
        <v>82</v>
      </c>
      <c r="AS66" s="65"/>
      <c r="AT66" s="65" t="str">
        <f>'Rutas AAC'!AE109</f>
        <v> </v>
      </c>
      <c r="AU66" s="77"/>
      <c r="AV66" s="78"/>
      <c r="AW66" s="79"/>
      <c r="AX66" s="110"/>
      <c r="AY66" s="81"/>
      <c r="AZ66" s="111"/>
      <c r="BA66" s="84"/>
      <c r="BB66" s="85"/>
      <c r="BC66" s="86"/>
      <c r="BD66" s="86"/>
      <c r="BE66" s="76"/>
      <c r="BF66" s="204"/>
      <c r="BG66" s="83"/>
    </row>
    <row r="67" ht="42.0" customHeight="1">
      <c r="A67" s="190">
        <v>61.0</v>
      </c>
      <c r="B67" s="65">
        <v>34856.0</v>
      </c>
      <c r="C67" s="66" t="s">
        <v>413</v>
      </c>
      <c r="D67" s="66" t="s">
        <v>458</v>
      </c>
      <c r="E67" s="66" t="s">
        <v>459</v>
      </c>
      <c r="F67" s="67" t="s">
        <v>460</v>
      </c>
      <c r="G67" s="65">
        <v>104303.0</v>
      </c>
      <c r="H67" s="65"/>
      <c r="I67" s="65" t="s">
        <v>78</v>
      </c>
      <c r="J67" s="65" t="s">
        <v>259</v>
      </c>
      <c r="K67" s="65"/>
      <c r="L67" s="65"/>
      <c r="M67" s="65"/>
      <c r="N67" s="66" t="s">
        <v>80</v>
      </c>
      <c r="O67" s="65" t="s">
        <v>155</v>
      </c>
      <c r="P67" s="68" t="s">
        <v>82</v>
      </c>
      <c r="Q67" s="66" t="s">
        <v>95</v>
      </c>
      <c r="R67" s="66" t="s">
        <v>96</v>
      </c>
      <c r="S67" s="65" t="s">
        <v>85</v>
      </c>
      <c r="T67" s="65" t="s">
        <v>97</v>
      </c>
      <c r="U67" s="65" t="s">
        <v>86</v>
      </c>
      <c r="V67" s="65">
        <v>44.0</v>
      </c>
      <c r="W67" s="65">
        <v>44.0</v>
      </c>
      <c r="X67" s="65" t="s">
        <v>98</v>
      </c>
      <c r="Y67" s="69"/>
      <c r="Z67" s="69"/>
      <c r="AA67" s="69"/>
      <c r="AB67" s="70" t="s">
        <v>99</v>
      </c>
      <c r="AC67" s="71" t="str">
        <f t="shared" si="29"/>
        <v>Si</v>
      </c>
      <c r="AD67" s="112">
        <v>23702.0</v>
      </c>
      <c r="AE67" s="73">
        <v>23702.0</v>
      </c>
      <c r="AF67" s="74">
        <v>44540.0</v>
      </c>
      <c r="AG67" s="73">
        <v>7.0</v>
      </c>
      <c r="AH67" s="75">
        <f t="shared" si="30"/>
        <v>46670</v>
      </c>
      <c r="AI67" s="74">
        <f t="shared" si="31"/>
        <v>46731</v>
      </c>
      <c r="AJ67" s="74">
        <f t="shared" si="32"/>
        <v>47097</v>
      </c>
      <c r="AK67" s="74"/>
      <c r="AL67" s="74"/>
      <c r="AM67" s="76" t="s">
        <v>461</v>
      </c>
      <c r="AN67" s="76">
        <v>2.0</v>
      </c>
      <c r="AO67" s="76"/>
      <c r="AP67" s="76"/>
      <c r="AQ67" s="76"/>
      <c r="AR67" s="65" t="s">
        <v>82</v>
      </c>
      <c r="AS67" s="65"/>
      <c r="AT67" s="65" t="str">
        <f>'Rutas AAC'!AE104</f>
        <v> </v>
      </c>
      <c r="AU67" s="77"/>
      <c r="AV67" s="78"/>
      <c r="AW67" s="79"/>
      <c r="AX67" s="80" t="str">
        <f>EDATE(AV67,(AW67*12)-14)</f>
        <v>#NUM!</v>
      </c>
      <c r="AY67" s="84" t="str">
        <f>EDATE(AV67,(AW67*12)-12)</f>
        <v>#NUM!</v>
      </c>
      <c r="AZ67" s="84">
        <f>EDATE(AV67,(AW67*12))</f>
        <v>0</v>
      </c>
      <c r="BA67" s="84">
        <f>EDATE(AV67,((AW67/2)*12))</f>
        <v>0</v>
      </c>
      <c r="BB67" s="85"/>
      <c r="BC67" s="86"/>
      <c r="BD67" s="86"/>
      <c r="BE67" s="76"/>
      <c r="BF67" s="82"/>
      <c r="BG67" s="83"/>
    </row>
    <row r="68" ht="54.0" customHeight="1">
      <c r="A68" s="190">
        <v>62.0</v>
      </c>
      <c r="B68" s="65"/>
      <c r="C68" s="66" t="s">
        <v>413</v>
      </c>
      <c r="D68" s="66" t="s">
        <v>462</v>
      </c>
      <c r="E68" s="66" t="s">
        <v>463</v>
      </c>
      <c r="F68" s="67" t="s">
        <v>464</v>
      </c>
      <c r="G68" s="65">
        <v>110826.0</v>
      </c>
      <c r="H68" s="65"/>
      <c r="I68" s="65" t="s">
        <v>465</v>
      </c>
      <c r="J68" s="65" t="s">
        <v>259</v>
      </c>
      <c r="K68" s="65"/>
      <c r="L68" s="65"/>
      <c r="M68" s="65"/>
      <c r="N68" s="66" t="s">
        <v>80</v>
      </c>
      <c r="O68" s="65" t="s">
        <v>81</v>
      </c>
      <c r="P68" s="68" t="s">
        <v>82</v>
      </c>
      <c r="Q68" s="66" t="s">
        <v>95</v>
      </c>
      <c r="R68" s="66" t="s">
        <v>96</v>
      </c>
      <c r="S68" s="65" t="s">
        <v>466</v>
      </c>
      <c r="T68" s="65" t="s">
        <v>162</v>
      </c>
      <c r="U68" s="65">
        <v>49.0</v>
      </c>
      <c r="V68" s="65" t="s">
        <v>86</v>
      </c>
      <c r="W68" s="65">
        <v>49.0</v>
      </c>
      <c r="X68" s="65" t="s">
        <v>233</v>
      </c>
      <c r="Y68" s="69"/>
      <c r="Z68" s="69"/>
      <c r="AA68" s="69"/>
      <c r="AB68" s="70">
        <v>0.4</v>
      </c>
      <c r="AC68" s="71" t="s">
        <v>89</v>
      </c>
      <c r="AD68" s="72">
        <v>24184.0</v>
      </c>
      <c r="AE68" s="73">
        <v>24184.0</v>
      </c>
      <c r="AF68" s="74">
        <v>44553.0</v>
      </c>
      <c r="AG68" s="73">
        <v>7.0</v>
      </c>
      <c r="AH68" s="75">
        <f t="shared" si="30"/>
        <v>46683</v>
      </c>
      <c r="AI68" s="74">
        <f t="shared" si="31"/>
        <v>46744</v>
      </c>
      <c r="AJ68" s="74">
        <f t="shared" si="32"/>
        <v>47110</v>
      </c>
      <c r="AK68" s="74"/>
      <c r="AL68" s="74"/>
      <c r="AM68" s="76"/>
      <c r="AN68" s="76">
        <v>1.0</v>
      </c>
      <c r="AO68" s="76"/>
      <c r="AP68" s="76"/>
      <c r="AQ68" s="76"/>
      <c r="AR68" s="65" t="s">
        <v>82</v>
      </c>
      <c r="AS68" s="65"/>
      <c r="AT68" s="65"/>
      <c r="AU68" s="205"/>
      <c r="AV68" s="144"/>
      <c r="AW68" s="145"/>
      <c r="AX68" s="110"/>
      <c r="AY68" s="81"/>
      <c r="AZ68" s="81"/>
      <c r="BA68" s="84"/>
      <c r="BB68" s="85"/>
      <c r="BC68" s="86"/>
      <c r="BD68" s="86"/>
      <c r="BE68" s="76"/>
      <c r="BF68" s="123"/>
      <c r="BG68" s="83"/>
    </row>
    <row r="69" ht="42.0" customHeight="1">
      <c r="A69" s="190">
        <v>63.0</v>
      </c>
      <c r="B69" s="65">
        <v>13127.0</v>
      </c>
      <c r="C69" s="66" t="s">
        <v>413</v>
      </c>
      <c r="D69" s="66" t="s">
        <v>467</v>
      </c>
      <c r="E69" s="66" t="s">
        <v>468</v>
      </c>
      <c r="F69" s="67" t="s">
        <v>469</v>
      </c>
      <c r="G69" s="65">
        <v>106545.0</v>
      </c>
      <c r="H69" s="65"/>
      <c r="I69" s="65" t="s">
        <v>263</v>
      </c>
      <c r="J69" s="65" t="s">
        <v>79</v>
      </c>
      <c r="K69" s="65"/>
      <c r="L69" s="65"/>
      <c r="M69" s="65"/>
      <c r="N69" s="66" t="s">
        <v>80</v>
      </c>
      <c r="O69" s="65" t="s">
        <v>81</v>
      </c>
      <c r="P69" s="68" t="s">
        <v>82</v>
      </c>
      <c r="Q69" s="66" t="s">
        <v>83</v>
      </c>
      <c r="R69" s="66" t="s">
        <v>84</v>
      </c>
      <c r="S69" s="65" t="s">
        <v>85</v>
      </c>
      <c r="T69" s="65" t="s">
        <v>86</v>
      </c>
      <c r="U69" s="65" t="s">
        <v>86</v>
      </c>
      <c r="V69" s="65" t="s">
        <v>86</v>
      </c>
      <c r="W69" s="65">
        <v>176.0</v>
      </c>
      <c r="X69" s="65" t="s">
        <v>87</v>
      </c>
      <c r="Y69" s="69"/>
      <c r="Z69" s="89" t="s">
        <v>470</v>
      </c>
      <c r="AA69" s="89" t="s">
        <v>471</v>
      </c>
      <c r="AB69" s="70">
        <v>0.25</v>
      </c>
      <c r="AC69" s="71" t="str">
        <f t="shared" ref="AC69:AC79" si="37">IF(AJ69&gt;TODAY(),"Si","No")</f>
        <v>Si</v>
      </c>
      <c r="AD69" s="112">
        <v>2311.0</v>
      </c>
      <c r="AE69" s="73">
        <v>2311.0</v>
      </c>
      <c r="AF69" s="74">
        <v>44621.0</v>
      </c>
      <c r="AG69" s="73">
        <v>7.0</v>
      </c>
      <c r="AH69" s="75">
        <f t="shared" si="30"/>
        <v>46753</v>
      </c>
      <c r="AI69" s="74">
        <f t="shared" si="31"/>
        <v>46813</v>
      </c>
      <c r="AJ69" s="74">
        <f t="shared" si="32"/>
        <v>47178</v>
      </c>
      <c r="AK69" s="74"/>
      <c r="AL69" s="74"/>
      <c r="AM69" s="76" t="s">
        <v>472</v>
      </c>
      <c r="AN69" s="76">
        <v>4.0</v>
      </c>
      <c r="AO69" s="76"/>
      <c r="AP69" s="76"/>
      <c r="AQ69" s="76"/>
      <c r="AR69" s="65" t="s">
        <v>89</v>
      </c>
      <c r="AS69" s="65" t="s">
        <v>89</v>
      </c>
      <c r="AT69" s="65" t="str">
        <f>'Rutas AAC'!AE92</f>
        <v> </v>
      </c>
      <c r="AU69" s="72">
        <v>2311.0</v>
      </c>
      <c r="AV69" s="90">
        <v>44621.0</v>
      </c>
      <c r="AW69" s="91">
        <v>4.0</v>
      </c>
      <c r="AX69" s="80">
        <f t="shared" ref="AX69:AX72" si="38">EDATE(AV69,(AW69*12)-14)</f>
        <v>45658</v>
      </c>
      <c r="AY69" s="84">
        <f t="shared" ref="AY69:AY72" si="39">EDATE(AV69,(AW69*12)-12)</f>
        <v>45717</v>
      </c>
      <c r="AZ69" s="84">
        <f t="shared" ref="AZ69:AZ72" si="40">EDATE(AV69,(AW69*12))</f>
        <v>46082</v>
      </c>
      <c r="BA69" s="84">
        <f t="shared" ref="BA69:BA72" si="41">EDATE(AV69,((AW69/2)*12))</f>
        <v>45352</v>
      </c>
      <c r="BB69" s="85" t="s">
        <v>473</v>
      </c>
      <c r="BC69" s="86">
        <v>2.0</v>
      </c>
      <c r="BD69" s="86" t="s">
        <v>474</v>
      </c>
      <c r="BE69" s="76"/>
      <c r="BF69" s="149" t="s">
        <v>475</v>
      </c>
      <c r="BG69" s="83"/>
    </row>
    <row r="70" ht="42.0" customHeight="1">
      <c r="A70" s="190">
        <v>64.0</v>
      </c>
      <c r="B70" s="65">
        <v>13128.0</v>
      </c>
      <c r="C70" s="66" t="s">
        <v>413</v>
      </c>
      <c r="D70" s="66" t="s">
        <v>476</v>
      </c>
      <c r="E70" s="66" t="s">
        <v>477</v>
      </c>
      <c r="F70" s="67" t="s">
        <v>478</v>
      </c>
      <c r="G70" s="65">
        <v>106651.0</v>
      </c>
      <c r="H70" s="65"/>
      <c r="I70" s="65" t="s">
        <v>263</v>
      </c>
      <c r="J70" s="65" t="s">
        <v>79</v>
      </c>
      <c r="K70" s="65"/>
      <c r="L70" s="65"/>
      <c r="M70" s="65"/>
      <c r="N70" s="66" t="s">
        <v>80</v>
      </c>
      <c r="O70" s="65" t="s">
        <v>81</v>
      </c>
      <c r="P70" s="68" t="s">
        <v>82</v>
      </c>
      <c r="Q70" s="66" t="s">
        <v>83</v>
      </c>
      <c r="R70" s="66" t="s">
        <v>84</v>
      </c>
      <c r="S70" s="65" t="s">
        <v>85</v>
      </c>
      <c r="T70" s="65" t="s">
        <v>86</v>
      </c>
      <c r="U70" s="65" t="s">
        <v>86</v>
      </c>
      <c r="V70" s="65" t="s">
        <v>86</v>
      </c>
      <c r="W70" s="65">
        <v>137.0</v>
      </c>
      <c r="X70" s="65" t="s">
        <v>87</v>
      </c>
      <c r="Y70" s="89" t="s">
        <v>479</v>
      </c>
      <c r="Z70" s="69"/>
      <c r="AA70" s="89" t="s">
        <v>480</v>
      </c>
      <c r="AB70" s="70">
        <v>0.2</v>
      </c>
      <c r="AC70" s="71" t="str">
        <f t="shared" si="37"/>
        <v>Si</v>
      </c>
      <c r="AD70" s="112">
        <v>2312.0</v>
      </c>
      <c r="AE70" s="206">
        <v>2312.0</v>
      </c>
      <c r="AF70" s="74">
        <v>44621.0</v>
      </c>
      <c r="AG70" s="73">
        <v>7.0</v>
      </c>
      <c r="AH70" s="75">
        <f t="shared" si="30"/>
        <v>46753</v>
      </c>
      <c r="AI70" s="74">
        <f t="shared" si="31"/>
        <v>46813</v>
      </c>
      <c r="AJ70" s="74">
        <f t="shared" si="32"/>
        <v>47178</v>
      </c>
      <c r="AK70" s="74"/>
      <c r="AL70" s="74"/>
      <c r="AM70" s="76" t="s">
        <v>481</v>
      </c>
      <c r="AN70" s="76">
        <v>4.0</v>
      </c>
      <c r="AO70" s="76"/>
      <c r="AP70" s="76"/>
      <c r="AQ70" s="76"/>
      <c r="AR70" s="65" t="s">
        <v>89</v>
      </c>
      <c r="AS70" s="65" t="s">
        <v>89</v>
      </c>
      <c r="AT70" s="65">
        <f>'Rutas AAC'!AE94</f>
        <v>13</v>
      </c>
      <c r="AU70" s="72">
        <v>2312.0</v>
      </c>
      <c r="AV70" s="90">
        <v>44621.0</v>
      </c>
      <c r="AW70" s="91">
        <v>4.0</v>
      </c>
      <c r="AX70" s="80">
        <f t="shared" si="38"/>
        <v>45658</v>
      </c>
      <c r="AY70" s="84">
        <f t="shared" si="39"/>
        <v>45717</v>
      </c>
      <c r="AZ70" s="84">
        <f t="shared" si="40"/>
        <v>46082</v>
      </c>
      <c r="BA70" s="84">
        <f t="shared" si="41"/>
        <v>45352</v>
      </c>
      <c r="BB70" s="92"/>
      <c r="BC70" s="92">
        <v>1.0</v>
      </c>
      <c r="BD70" s="92" t="s">
        <v>482</v>
      </c>
      <c r="BE70" s="76">
        <v>2013.0</v>
      </c>
      <c r="BF70" s="82" t="s">
        <v>483</v>
      </c>
      <c r="BG70" s="83"/>
    </row>
    <row r="71" ht="42.0" customHeight="1">
      <c r="A71" s="190">
        <v>65.0</v>
      </c>
      <c r="B71" s="65">
        <v>20573.0</v>
      </c>
      <c r="C71" s="66" t="s">
        <v>413</v>
      </c>
      <c r="D71" s="66" t="s">
        <v>484</v>
      </c>
      <c r="E71" s="66" t="s">
        <v>485</v>
      </c>
      <c r="F71" s="67" t="s">
        <v>486</v>
      </c>
      <c r="G71" s="65">
        <v>106574.0</v>
      </c>
      <c r="H71" s="65"/>
      <c r="I71" s="65" t="s">
        <v>313</v>
      </c>
      <c r="J71" s="65" t="s">
        <v>79</v>
      </c>
      <c r="K71" s="65"/>
      <c r="L71" s="65"/>
      <c r="M71" s="65"/>
      <c r="N71" s="66" t="s">
        <v>80</v>
      </c>
      <c r="O71" s="65" t="s">
        <v>81</v>
      </c>
      <c r="P71" s="68" t="s">
        <v>82</v>
      </c>
      <c r="Q71" s="66" t="s">
        <v>83</v>
      </c>
      <c r="R71" s="66" t="s">
        <v>84</v>
      </c>
      <c r="S71" s="65" t="s">
        <v>85</v>
      </c>
      <c r="T71" s="65" t="s">
        <v>86</v>
      </c>
      <c r="U71" s="65" t="s">
        <v>86</v>
      </c>
      <c r="V71" s="65" t="s">
        <v>86</v>
      </c>
      <c r="W71" s="65">
        <v>160.0</v>
      </c>
      <c r="X71" s="65" t="s">
        <v>87</v>
      </c>
      <c r="Y71" s="89" t="s">
        <v>487</v>
      </c>
      <c r="Z71" s="89" t="s">
        <v>488</v>
      </c>
      <c r="AA71" s="89" t="s">
        <v>489</v>
      </c>
      <c r="AB71" s="70" t="s">
        <v>99</v>
      </c>
      <c r="AC71" s="71" t="str">
        <f t="shared" si="37"/>
        <v>Si</v>
      </c>
      <c r="AD71" s="112">
        <v>1109.0</v>
      </c>
      <c r="AE71" s="73">
        <v>1109.0</v>
      </c>
      <c r="AF71" s="74">
        <v>44960.0</v>
      </c>
      <c r="AG71" s="73">
        <v>7.0</v>
      </c>
      <c r="AH71" s="75">
        <f t="shared" si="30"/>
        <v>47090</v>
      </c>
      <c r="AI71" s="74">
        <f t="shared" si="31"/>
        <v>47152</v>
      </c>
      <c r="AJ71" s="74">
        <f t="shared" si="32"/>
        <v>47517</v>
      </c>
      <c r="AK71" s="74"/>
      <c r="AL71" s="165">
        <v>46022.0</v>
      </c>
      <c r="AM71" s="76" t="s">
        <v>490</v>
      </c>
      <c r="AN71" s="76">
        <v>5.0</v>
      </c>
      <c r="AO71" s="76"/>
      <c r="AP71" s="76"/>
      <c r="AQ71" s="76"/>
      <c r="AR71" s="65" t="s">
        <v>89</v>
      </c>
      <c r="AS71" s="65" t="s">
        <v>89</v>
      </c>
      <c r="AT71" s="65" t="str">
        <f>'Rutas AAC'!AE89</f>
        <v> </v>
      </c>
      <c r="AU71" s="72">
        <v>1109.0</v>
      </c>
      <c r="AV71" s="90">
        <v>44960.0</v>
      </c>
      <c r="AW71" s="91">
        <v>6.0</v>
      </c>
      <c r="AX71" s="80">
        <f t="shared" si="38"/>
        <v>46724</v>
      </c>
      <c r="AY71" s="84">
        <f t="shared" si="39"/>
        <v>46786</v>
      </c>
      <c r="AZ71" s="84">
        <f t="shared" si="40"/>
        <v>47152</v>
      </c>
      <c r="BA71" s="84">
        <f t="shared" si="41"/>
        <v>46056</v>
      </c>
      <c r="BB71" s="92" t="s">
        <v>491</v>
      </c>
      <c r="BC71" s="86">
        <v>2.0</v>
      </c>
      <c r="BD71" s="92"/>
      <c r="BE71" s="76"/>
      <c r="BF71" s="123"/>
      <c r="BG71" s="83"/>
    </row>
    <row r="72" ht="42.0" customHeight="1">
      <c r="A72" s="190">
        <v>66.0</v>
      </c>
      <c r="B72" s="65">
        <v>42719.0</v>
      </c>
      <c r="C72" s="66" t="s">
        <v>413</v>
      </c>
      <c r="D72" s="66" t="s">
        <v>492</v>
      </c>
      <c r="E72" s="66" t="s">
        <v>493</v>
      </c>
      <c r="F72" s="67" t="s">
        <v>494</v>
      </c>
      <c r="G72" s="65">
        <v>106794.0</v>
      </c>
      <c r="H72" s="65"/>
      <c r="I72" s="65" t="s">
        <v>313</v>
      </c>
      <c r="J72" s="65" t="s">
        <v>79</v>
      </c>
      <c r="K72" s="65"/>
      <c r="L72" s="65"/>
      <c r="M72" s="65"/>
      <c r="N72" s="66" t="s">
        <v>80</v>
      </c>
      <c r="O72" s="65" t="s">
        <v>81</v>
      </c>
      <c r="P72" s="68" t="s">
        <v>82</v>
      </c>
      <c r="Q72" s="66" t="s">
        <v>83</v>
      </c>
      <c r="R72" s="66" t="s">
        <v>84</v>
      </c>
      <c r="S72" s="65" t="s">
        <v>85</v>
      </c>
      <c r="T72" s="65" t="s">
        <v>86</v>
      </c>
      <c r="U72" s="65" t="s">
        <v>86</v>
      </c>
      <c r="V72" s="65" t="s">
        <v>86</v>
      </c>
      <c r="W72" s="65">
        <v>159.0</v>
      </c>
      <c r="X72" s="65" t="s">
        <v>87</v>
      </c>
      <c r="Y72" s="138" t="s">
        <v>495</v>
      </c>
      <c r="Z72" s="69" t="s">
        <v>496</v>
      </c>
      <c r="AA72" s="89" t="s">
        <v>497</v>
      </c>
      <c r="AB72" s="70" t="s">
        <v>99</v>
      </c>
      <c r="AC72" s="71" t="str">
        <f t="shared" si="37"/>
        <v>Si</v>
      </c>
      <c r="AD72" s="112">
        <v>1110.0</v>
      </c>
      <c r="AE72" s="73">
        <v>1110.0</v>
      </c>
      <c r="AF72" s="74">
        <v>44960.0</v>
      </c>
      <c r="AG72" s="73">
        <v>7.0</v>
      </c>
      <c r="AH72" s="75">
        <f t="shared" si="30"/>
        <v>47090</v>
      </c>
      <c r="AI72" s="74">
        <f t="shared" si="31"/>
        <v>47152</v>
      </c>
      <c r="AJ72" s="74">
        <f t="shared" si="32"/>
        <v>47517</v>
      </c>
      <c r="AK72" s="74"/>
      <c r="AL72" s="165">
        <v>46022.0</v>
      </c>
      <c r="AM72" s="76" t="s">
        <v>498</v>
      </c>
      <c r="AN72" s="76">
        <v>4.0</v>
      </c>
      <c r="AO72" s="76"/>
      <c r="AP72" s="76"/>
      <c r="AQ72" s="76"/>
      <c r="AR72" s="65" t="s">
        <v>89</v>
      </c>
      <c r="AS72" s="65" t="s">
        <v>89</v>
      </c>
      <c r="AT72" s="65" t="str">
        <f>'Rutas AAC'!AE93</f>
        <v> </v>
      </c>
      <c r="AU72" s="72">
        <v>1110.0</v>
      </c>
      <c r="AV72" s="144">
        <v>44960.0</v>
      </c>
      <c r="AW72" s="91">
        <v>6.0</v>
      </c>
      <c r="AX72" s="80">
        <f t="shared" si="38"/>
        <v>46724</v>
      </c>
      <c r="AY72" s="84">
        <f t="shared" si="39"/>
        <v>46786</v>
      </c>
      <c r="AZ72" s="84">
        <f t="shared" si="40"/>
        <v>47152</v>
      </c>
      <c r="BA72" s="84">
        <f t="shared" si="41"/>
        <v>46056</v>
      </c>
      <c r="BB72" s="92" t="s">
        <v>499</v>
      </c>
      <c r="BC72" s="86">
        <v>2.0</v>
      </c>
      <c r="BD72" s="92"/>
      <c r="BE72" s="76"/>
      <c r="BF72" s="123"/>
      <c r="BG72" s="83"/>
    </row>
    <row r="73" ht="42.0" customHeight="1">
      <c r="A73" s="190">
        <v>67.0</v>
      </c>
      <c r="B73" s="65">
        <v>38364.0</v>
      </c>
      <c r="C73" s="66" t="s">
        <v>413</v>
      </c>
      <c r="D73" s="66" t="s">
        <v>500</v>
      </c>
      <c r="E73" s="66" t="s">
        <v>501</v>
      </c>
      <c r="F73" s="67" t="s">
        <v>502</v>
      </c>
      <c r="G73" s="65">
        <v>105533.0</v>
      </c>
      <c r="H73" s="65"/>
      <c r="I73" s="65" t="s">
        <v>112</v>
      </c>
      <c r="J73" s="65" t="s">
        <v>259</v>
      </c>
      <c r="K73" s="65"/>
      <c r="L73" s="65"/>
      <c r="M73" s="65"/>
      <c r="N73" s="66" t="s">
        <v>80</v>
      </c>
      <c r="O73" s="65" t="s">
        <v>147</v>
      </c>
      <c r="P73" s="68" t="s">
        <v>82</v>
      </c>
      <c r="Q73" s="66" t="s">
        <v>95</v>
      </c>
      <c r="R73" s="66" t="s">
        <v>96</v>
      </c>
      <c r="S73" s="65" t="s">
        <v>85</v>
      </c>
      <c r="T73" s="65" t="s">
        <v>97</v>
      </c>
      <c r="U73" s="65" t="s">
        <v>86</v>
      </c>
      <c r="V73" s="65">
        <v>50.0</v>
      </c>
      <c r="W73" s="65">
        <v>50.0</v>
      </c>
      <c r="X73" s="65" t="s">
        <v>98</v>
      </c>
      <c r="Y73" s="69"/>
      <c r="Z73" s="69"/>
      <c r="AA73" s="69"/>
      <c r="AB73" s="70">
        <v>0.3</v>
      </c>
      <c r="AC73" s="71" t="str">
        <f t="shared" si="37"/>
        <v>Si</v>
      </c>
      <c r="AD73" s="112">
        <v>2571.0</v>
      </c>
      <c r="AE73" s="73">
        <v>2571.0</v>
      </c>
      <c r="AF73" s="74">
        <v>44978.0</v>
      </c>
      <c r="AG73" s="73">
        <v>7.0</v>
      </c>
      <c r="AH73" s="75">
        <f t="shared" si="30"/>
        <v>47108</v>
      </c>
      <c r="AI73" s="74">
        <f t="shared" si="31"/>
        <v>47170</v>
      </c>
      <c r="AJ73" s="74">
        <f t="shared" si="32"/>
        <v>47535</v>
      </c>
      <c r="AK73" s="74"/>
      <c r="AL73" s="74"/>
      <c r="AM73" s="76" t="s">
        <v>503</v>
      </c>
      <c r="AN73" s="76">
        <v>2.0</v>
      </c>
      <c r="AO73" s="76"/>
      <c r="AP73" s="76"/>
      <c r="AQ73" s="76"/>
      <c r="AR73" s="65" t="s">
        <v>82</v>
      </c>
      <c r="AS73" s="65"/>
      <c r="AT73" s="65" t="str">
        <f>'Rutas AAC'!AE118</f>
        <v> </v>
      </c>
      <c r="AU73" s="77"/>
      <c r="AV73" s="78"/>
      <c r="AW73" s="79"/>
      <c r="AX73" s="110"/>
      <c r="AY73" s="81"/>
      <c r="AZ73" s="111"/>
      <c r="BA73" s="84"/>
      <c r="BB73" s="85"/>
      <c r="BC73" s="86"/>
      <c r="BD73" s="86"/>
      <c r="BE73" s="76"/>
      <c r="BF73" s="82"/>
      <c r="BG73" s="83"/>
    </row>
    <row r="74" ht="42.0" customHeight="1">
      <c r="A74" s="190">
        <v>68.0</v>
      </c>
      <c r="B74" s="65">
        <v>38410.0</v>
      </c>
      <c r="C74" s="66" t="s">
        <v>413</v>
      </c>
      <c r="D74" s="66" t="s">
        <v>504</v>
      </c>
      <c r="E74" s="66" t="s">
        <v>505</v>
      </c>
      <c r="F74" s="67" t="s">
        <v>506</v>
      </c>
      <c r="G74" s="65">
        <v>105772.0</v>
      </c>
      <c r="H74" s="65"/>
      <c r="I74" s="65" t="s">
        <v>507</v>
      </c>
      <c r="J74" s="65" t="s">
        <v>79</v>
      </c>
      <c r="K74" s="65"/>
      <c r="L74" s="65"/>
      <c r="M74" s="65"/>
      <c r="N74" s="66" t="s">
        <v>80</v>
      </c>
      <c r="O74" s="65"/>
      <c r="P74" s="68" t="s">
        <v>82</v>
      </c>
      <c r="Q74" s="66" t="s">
        <v>169</v>
      </c>
      <c r="R74" s="66" t="s">
        <v>96</v>
      </c>
      <c r="S74" s="65" t="s">
        <v>85</v>
      </c>
      <c r="T74" s="65" t="s">
        <v>162</v>
      </c>
      <c r="U74" s="65">
        <v>115.0</v>
      </c>
      <c r="V74" s="65" t="s">
        <v>86</v>
      </c>
      <c r="W74" s="65">
        <v>115.0</v>
      </c>
      <c r="X74" s="65" t="s">
        <v>508</v>
      </c>
      <c r="Y74" s="69"/>
      <c r="Z74" s="69"/>
      <c r="AA74" s="69"/>
      <c r="AB74" s="70">
        <v>0.25</v>
      </c>
      <c r="AC74" s="71" t="str">
        <f t="shared" si="37"/>
        <v>Si</v>
      </c>
      <c r="AD74" s="72">
        <v>6543.0</v>
      </c>
      <c r="AE74" s="73">
        <v>6543.0</v>
      </c>
      <c r="AF74" s="74">
        <v>45037.0</v>
      </c>
      <c r="AG74" s="73">
        <v>7.0</v>
      </c>
      <c r="AH74" s="75">
        <f t="shared" si="30"/>
        <v>47170</v>
      </c>
      <c r="AI74" s="74">
        <f t="shared" si="31"/>
        <v>47229</v>
      </c>
      <c r="AJ74" s="74">
        <f t="shared" si="32"/>
        <v>47594</v>
      </c>
      <c r="AK74" s="74"/>
      <c r="AL74" s="74"/>
      <c r="AM74" s="76" t="s">
        <v>509</v>
      </c>
      <c r="AN74" s="76">
        <v>2.0</v>
      </c>
      <c r="AO74" s="76"/>
      <c r="AP74" s="76"/>
      <c r="AQ74" s="76"/>
      <c r="AR74" s="65" t="s">
        <v>82</v>
      </c>
      <c r="AS74" s="65"/>
      <c r="AT74" s="65" t="str">
        <f>'Rutas AAC'!AE121</f>
        <v> </v>
      </c>
      <c r="AU74" s="77"/>
      <c r="AV74" s="78"/>
      <c r="AW74" s="79"/>
      <c r="AX74" s="110"/>
      <c r="AY74" s="81"/>
      <c r="AZ74" s="111"/>
      <c r="BA74" s="84"/>
      <c r="BB74" s="85"/>
      <c r="BC74" s="86"/>
      <c r="BD74" s="86"/>
      <c r="BE74" s="76"/>
      <c r="BF74" s="207"/>
      <c r="BG74" s="83"/>
    </row>
    <row r="75" ht="42.0" customHeight="1">
      <c r="A75" s="190">
        <v>69.0</v>
      </c>
      <c r="B75" s="65">
        <v>27432.0</v>
      </c>
      <c r="C75" s="66" t="s">
        <v>413</v>
      </c>
      <c r="D75" s="66" t="s">
        <v>510</v>
      </c>
      <c r="E75" s="66" t="s">
        <v>511</v>
      </c>
      <c r="F75" s="67" t="s">
        <v>512</v>
      </c>
      <c r="G75" s="65">
        <v>4010.0</v>
      </c>
      <c r="H75" s="65"/>
      <c r="I75" s="65" t="s">
        <v>288</v>
      </c>
      <c r="J75" s="65" t="s">
        <v>79</v>
      </c>
      <c r="K75" s="65"/>
      <c r="L75" s="65"/>
      <c r="M75" s="65"/>
      <c r="N75" s="66" t="s">
        <v>80</v>
      </c>
      <c r="O75" s="65" t="s">
        <v>81</v>
      </c>
      <c r="P75" s="68" t="s">
        <v>82</v>
      </c>
      <c r="Q75" s="66" t="s">
        <v>83</v>
      </c>
      <c r="R75" s="66" t="s">
        <v>84</v>
      </c>
      <c r="S75" s="65" t="s">
        <v>85</v>
      </c>
      <c r="T75" s="65" t="s">
        <v>86</v>
      </c>
      <c r="U75" s="65" t="s">
        <v>86</v>
      </c>
      <c r="V75" s="65" t="s">
        <v>86</v>
      </c>
      <c r="W75" s="65">
        <v>164.0</v>
      </c>
      <c r="X75" s="65" t="s">
        <v>87</v>
      </c>
      <c r="Y75" s="89" t="s">
        <v>513</v>
      </c>
      <c r="Z75" s="69"/>
      <c r="AA75" s="69"/>
      <c r="AB75" s="70" t="s">
        <v>99</v>
      </c>
      <c r="AC75" s="71" t="str">
        <f t="shared" si="37"/>
        <v>Si</v>
      </c>
      <c r="AD75" s="112">
        <v>7568.0</v>
      </c>
      <c r="AE75" s="73">
        <v>7568.0</v>
      </c>
      <c r="AF75" s="74">
        <v>45054.0</v>
      </c>
      <c r="AG75" s="73">
        <v>7.0</v>
      </c>
      <c r="AH75" s="75">
        <f t="shared" si="30"/>
        <v>47185</v>
      </c>
      <c r="AI75" s="74">
        <f t="shared" si="31"/>
        <v>47246</v>
      </c>
      <c r="AJ75" s="74">
        <f t="shared" si="32"/>
        <v>47611</v>
      </c>
      <c r="AK75" s="74"/>
      <c r="AL75" s="165">
        <v>45930.0</v>
      </c>
      <c r="AM75" s="76" t="s">
        <v>514</v>
      </c>
      <c r="AN75" s="76">
        <v>4.0</v>
      </c>
      <c r="AO75" s="76" t="s">
        <v>89</v>
      </c>
      <c r="AP75" s="76" t="s">
        <v>515</v>
      </c>
      <c r="AQ75" s="76"/>
      <c r="AR75" s="65" t="s">
        <v>89</v>
      </c>
      <c r="AS75" s="65" t="s">
        <v>89</v>
      </c>
      <c r="AT75" s="65" t="str">
        <f>'Rutas AAC'!AE90</f>
        <v> </v>
      </c>
      <c r="AU75" s="72">
        <v>7568.0</v>
      </c>
      <c r="AV75" s="90">
        <v>45054.0</v>
      </c>
      <c r="AW75" s="91">
        <v>4.0</v>
      </c>
      <c r="AX75" s="80">
        <f t="shared" ref="AX75:AX77" si="42">EDATE(AV75,(AW75*12)-14)</f>
        <v>46089</v>
      </c>
      <c r="AY75" s="84">
        <f t="shared" ref="AY75:AY77" si="43">EDATE(AV75,(AW75*12)-12)</f>
        <v>46150</v>
      </c>
      <c r="AZ75" s="84">
        <f t="shared" ref="AZ75:AZ77" si="44">EDATE(AV75,(AW75*12))</f>
        <v>46515</v>
      </c>
      <c r="BA75" s="84">
        <f t="shared" ref="BA75:BA77" si="45">EDATE(AV75,((AW75/2)*12))</f>
        <v>45785</v>
      </c>
      <c r="BB75" s="85" t="s">
        <v>516</v>
      </c>
      <c r="BC75" s="86">
        <v>1.0</v>
      </c>
      <c r="BD75" s="86"/>
      <c r="BE75" s="76"/>
      <c r="BF75" s="208"/>
      <c r="BG75" s="83"/>
    </row>
    <row r="76" ht="42.0" customHeight="1">
      <c r="A76" s="190">
        <v>70.0</v>
      </c>
      <c r="B76" s="65">
        <v>25383.0</v>
      </c>
      <c r="C76" s="66" t="s">
        <v>413</v>
      </c>
      <c r="D76" s="66" t="s">
        <v>517</v>
      </c>
      <c r="E76" s="66" t="s">
        <v>518</v>
      </c>
      <c r="F76" s="67" t="s">
        <v>519</v>
      </c>
      <c r="G76" s="65">
        <v>2130.0</v>
      </c>
      <c r="H76" s="65"/>
      <c r="I76" s="65" t="s">
        <v>313</v>
      </c>
      <c r="J76" s="65" t="s">
        <v>79</v>
      </c>
      <c r="K76" s="65"/>
      <c r="L76" s="65"/>
      <c r="M76" s="65"/>
      <c r="N76" s="66" t="s">
        <v>80</v>
      </c>
      <c r="O76" s="65" t="s">
        <v>81</v>
      </c>
      <c r="P76" s="68" t="s">
        <v>82</v>
      </c>
      <c r="Q76" s="66" t="s">
        <v>83</v>
      </c>
      <c r="R76" s="66" t="s">
        <v>84</v>
      </c>
      <c r="S76" s="65" t="s">
        <v>85</v>
      </c>
      <c r="T76" s="65" t="s">
        <v>86</v>
      </c>
      <c r="U76" s="65" t="s">
        <v>86</v>
      </c>
      <c r="V76" s="65" t="s">
        <v>86</v>
      </c>
      <c r="W76" s="65">
        <v>160.0</v>
      </c>
      <c r="X76" s="65" t="s">
        <v>87</v>
      </c>
      <c r="Y76" s="69"/>
      <c r="Z76" s="69"/>
      <c r="AA76" s="89" t="s">
        <v>520</v>
      </c>
      <c r="AB76" s="70">
        <v>0.15</v>
      </c>
      <c r="AC76" s="71" t="str">
        <f t="shared" si="37"/>
        <v>Si</v>
      </c>
      <c r="AD76" s="112">
        <v>8922.0</v>
      </c>
      <c r="AE76" s="73">
        <v>8922.0</v>
      </c>
      <c r="AF76" s="74">
        <v>45075.0</v>
      </c>
      <c r="AG76" s="73">
        <v>7.0</v>
      </c>
      <c r="AH76" s="75">
        <f t="shared" si="30"/>
        <v>47206</v>
      </c>
      <c r="AI76" s="74">
        <f t="shared" si="31"/>
        <v>47267</v>
      </c>
      <c r="AJ76" s="74">
        <f t="shared" si="32"/>
        <v>47632</v>
      </c>
      <c r="AK76" s="74"/>
      <c r="AL76" s="165">
        <v>45930.0</v>
      </c>
      <c r="AM76" s="76" t="s">
        <v>521</v>
      </c>
      <c r="AN76" s="76">
        <v>4.0</v>
      </c>
      <c r="AO76" s="76" t="s">
        <v>89</v>
      </c>
      <c r="AP76" s="76"/>
      <c r="AQ76" s="76"/>
      <c r="AR76" s="65" t="s">
        <v>89</v>
      </c>
      <c r="AS76" s="65" t="s">
        <v>89</v>
      </c>
      <c r="AT76" s="65" t="str">
        <f>'Rutas AAC'!AE86</f>
        <v> </v>
      </c>
      <c r="AU76" s="72">
        <v>8922.0</v>
      </c>
      <c r="AV76" s="90">
        <v>45075.0</v>
      </c>
      <c r="AW76" s="91">
        <v>6.0</v>
      </c>
      <c r="AX76" s="80">
        <f t="shared" si="42"/>
        <v>46841</v>
      </c>
      <c r="AY76" s="84">
        <f t="shared" si="43"/>
        <v>46902</v>
      </c>
      <c r="AZ76" s="84">
        <f t="shared" si="44"/>
        <v>47267</v>
      </c>
      <c r="BA76" s="84">
        <f t="shared" si="45"/>
        <v>46171</v>
      </c>
      <c r="BB76" s="85" t="s">
        <v>522</v>
      </c>
      <c r="BC76" s="86">
        <v>2.0</v>
      </c>
      <c r="BD76" s="86"/>
      <c r="BE76" s="76"/>
      <c r="BF76" s="87"/>
      <c r="BG76" s="83"/>
    </row>
    <row r="77" ht="42.0" customHeight="1">
      <c r="A77" s="190">
        <v>71.0</v>
      </c>
      <c r="B77" s="65">
        <v>38359.0</v>
      </c>
      <c r="C77" s="66" t="s">
        <v>413</v>
      </c>
      <c r="D77" s="66" t="s">
        <v>523</v>
      </c>
      <c r="E77" s="66" t="s">
        <v>524</v>
      </c>
      <c r="F77" s="67" t="s">
        <v>525</v>
      </c>
      <c r="G77" s="65">
        <v>105532.0</v>
      </c>
      <c r="H77" s="65"/>
      <c r="I77" s="65" t="s">
        <v>288</v>
      </c>
      <c r="J77" s="65" t="s">
        <v>259</v>
      </c>
      <c r="K77" s="65"/>
      <c r="L77" s="65"/>
      <c r="M77" s="65"/>
      <c r="N77" s="66" t="s">
        <v>80</v>
      </c>
      <c r="O77" s="65" t="s">
        <v>147</v>
      </c>
      <c r="P77" s="68" t="s">
        <v>82</v>
      </c>
      <c r="Q77" s="66" t="s">
        <v>148</v>
      </c>
      <c r="R77" s="66" t="s">
        <v>96</v>
      </c>
      <c r="S77" s="65" t="s">
        <v>85</v>
      </c>
      <c r="T77" s="65" t="s">
        <v>97</v>
      </c>
      <c r="U77" s="65" t="s">
        <v>86</v>
      </c>
      <c r="V77" s="65">
        <v>28.0</v>
      </c>
      <c r="W77" s="65">
        <v>28.0</v>
      </c>
      <c r="X77" s="65" t="s">
        <v>156</v>
      </c>
      <c r="Y77" s="69"/>
      <c r="Z77" s="69"/>
      <c r="AA77" s="69"/>
      <c r="AB77" s="70">
        <v>0.15</v>
      </c>
      <c r="AC77" s="71" t="str">
        <f t="shared" si="37"/>
        <v>Si</v>
      </c>
      <c r="AD77" s="112">
        <v>9286.0</v>
      </c>
      <c r="AE77" s="73">
        <v>9286.0</v>
      </c>
      <c r="AF77" s="74">
        <v>45083.0</v>
      </c>
      <c r="AG77" s="73">
        <v>7.0</v>
      </c>
      <c r="AH77" s="75">
        <f t="shared" si="30"/>
        <v>47214</v>
      </c>
      <c r="AI77" s="74">
        <f t="shared" si="31"/>
        <v>47275</v>
      </c>
      <c r="AJ77" s="74">
        <f t="shared" si="32"/>
        <v>47640</v>
      </c>
      <c r="AK77" s="74"/>
      <c r="AL77" s="74"/>
      <c r="AM77" s="76" t="s">
        <v>526</v>
      </c>
      <c r="AN77" s="76">
        <v>2.0</v>
      </c>
      <c r="AO77" s="76"/>
      <c r="AP77" s="76"/>
      <c r="AQ77" s="76"/>
      <c r="AR77" s="65" t="s">
        <v>86</v>
      </c>
      <c r="AS77" s="65"/>
      <c r="AT77" s="65" t="str">
        <f>'Rutas AAC'!AE117</f>
        <v> </v>
      </c>
      <c r="AU77" s="77" t="s">
        <v>86</v>
      </c>
      <c r="AV77" s="78" t="s">
        <v>86</v>
      </c>
      <c r="AW77" s="79" t="s">
        <v>86</v>
      </c>
      <c r="AX77" s="80" t="str">
        <f t="shared" si="42"/>
        <v>#VALUE!</v>
      </c>
      <c r="AY77" s="84" t="str">
        <f t="shared" si="43"/>
        <v>#VALUE!</v>
      </c>
      <c r="AZ77" s="84" t="str">
        <f t="shared" si="44"/>
        <v>#VALUE!</v>
      </c>
      <c r="BA77" s="84" t="str">
        <f t="shared" si="45"/>
        <v>#VALUE!</v>
      </c>
      <c r="BB77" s="85"/>
      <c r="BC77" s="86"/>
      <c r="BD77" s="86"/>
      <c r="BE77" s="76"/>
      <c r="BF77" s="82"/>
      <c r="BG77" s="83"/>
    </row>
    <row r="78" ht="42.0" customHeight="1">
      <c r="A78" s="190">
        <v>72.0</v>
      </c>
      <c r="B78" s="65">
        <v>19877.0</v>
      </c>
      <c r="C78" s="66" t="s">
        <v>413</v>
      </c>
      <c r="D78" s="66" t="s">
        <v>527</v>
      </c>
      <c r="E78" s="66" t="s">
        <v>528</v>
      </c>
      <c r="F78" s="67" t="s">
        <v>529</v>
      </c>
      <c r="G78" s="65">
        <v>90576.0</v>
      </c>
      <c r="H78" s="65"/>
      <c r="I78" s="65" t="s">
        <v>530</v>
      </c>
      <c r="J78" s="65" t="s">
        <v>94</v>
      </c>
      <c r="K78" s="65"/>
      <c r="L78" s="65"/>
      <c r="M78" s="65"/>
      <c r="N78" s="66" t="s">
        <v>80</v>
      </c>
      <c r="O78" s="65" t="s">
        <v>81</v>
      </c>
      <c r="P78" s="68" t="s">
        <v>82</v>
      </c>
      <c r="Q78" s="66" t="s">
        <v>95</v>
      </c>
      <c r="R78" s="66" t="s">
        <v>96</v>
      </c>
      <c r="S78" s="65" t="s">
        <v>85</v>
      </c>
      <c r="T78" s="65" t="s">
        <v>97</v>
      </c>
      <c r="U78" s="65" t="s">
        <v>86</v>
      </c>
      <c r="V78" s="65">
        <v>50.0</v>
      </c>
      <c r="W78" s="65">
        <v>50.0</v>
      </c>
      <c r="X78" s="65" t="s">
        <v>98</v>
      </c>
      <c r="Y78" s="69"/>
      <c r="Z78" s="69"/>
      <c r="AA78" s="69"/>
      <c r="AB78" s="70">
        <v>0.25</v>
      </c>
      <c r="AC78" s="71" t="str">
        <f t="shared" si="37"/>
        <v>Si</v>
      </c>
      <c r="AD78" s="112">
        <v>14447.0</v>
      </c>
      <c r="AE78" s="73">
        <v>14447.0</v>
      </c>
      <c r="AF78" s="74">
        <v>45163.0</v>
      </c>
      <c r="AG78" s="73">
        <v>7.0</v>
      </c>
      <c r="AH78" s="75">
        <f t="shared" si="30"/>
        <v>47294</v>
      </c>
      <c r="AI78" s="74">
        <f t="shared" si="31"/>
        <v>47355</v>
      </c>
      <c r="AJ78" s="74">
        <f t="shared" si="32"/>
        <v>47720</v>
      </c>
      <c r="AK78" s="74"/>
      <c r="AL78" s="74"/>
      <c r="AM78" s="76" t="s">
        <v>531</v>
      </c>
      <c r="AN78" s="76">
        <v>2.0</v>
      </c>
      <c r="AO78" s="76"/>
      <c r="AP78" s="76"/>
      <c r="AQ78" s="76"/>
      <c r="AR78" s="65" t="s">
        <v>82</v>
      </c>
      <c r="AS78" s="65"/>
      <c r="AT78" s="65" t="str">
        <f>'Rutas AAC'!AE99</f>
        <v> </v>
      </c>
      <c r="AU78" s="77"/>
      <c r="AV78" s="90"/>
      <c r="AW78" s="79"/>
      <c r="AX78" s="110"/>
      <c r="AY78" s="81"/>
      <c r="AZ78" s="124"/>
      <c r="BA78" s="84"/>
      <c r="BB78" s="85"/>
      <c r="BC78" s="86"/>
      <c r="BD78" s="86"/>
      <c r="BE78" s="76"/>
      <c r="BF78" s="87"/>
      <c r="BG78" s="83"/>
    </row>
    <row r="79" ht="42.0" customHeight="1">
      <c r="A79" s="190">
        <v>73.0</v>
      </c>
      <c r="B79" s="65">
        <v>13136.0</v>
      </c>
      <c r="C79" s="66" t="s">
        <v>413</v>
      </c>
      <c r="D79" s="66" t="s">
        <v>532</v>
      </c>
      <c r="E79" s="66" t="s">
        <v>533</v>
      </c>
      <c r="F79" s="67" t="s">
        <v>534</v>
      </c>
      <c r="G79" s="65">
        <v>7170.0</v>
      </c>
      <c r="H79" s="65"/>
      <c r="I79" s="65" t="s">
        <v>535</v>
      </c>
      <c r="J79" s="65" t="s">
        <v>94</v>
      </c>
      <c r="K79" s="65"/>
      <c r="L79" s="65"/>
      <c r="M79" s="65"/>
      <c r="N79" s="66" t="s">
        <v>80</v>
      </c>
      <c r="O79" s="65" t="s">
        <v>81</v>
      </c>
      <c r="P79" s="68" t="s">
        <v>82</v>
      </c>
      <c r="Q79" s="66" t="s">
        <v>169</v>
      </c>
      <c r="R79" s="66" t="s">
        <v>96</v>
      </c>
      <c r="S79" s="65" t="s">
        <v>85</v>
      </c>
      <c r="T79" s="65" t="s">
        <v>162</v>
      </c>
      <c r="U79" s="65">
        <v>80.0</v>
      </c>
      <c r="V79" s="65" t="s">
        <v>86</v>
      </c>
      <c r="W79" s="65">
        <f>U79</f>
        <v>80</v>
      </c>
      <c r="X79" s="65" t="s">
        <v>87</v>
      </c>
      <c r="Y79" s="69"/>
      <c r="Z79" s="69"/>
      <c r="AA79" s="69"/>
      <c r="AB79" s="70" t="s">
        <v>99</v>
      </c>
      <c r="AC79" s="71" t="str">
        <f t="shared" si="37"/>
        <v>Si</v>
      </c>
      <c r="AD79" s="72">
        <v>16903.0</v>
      </c>
      <c r="AE79" s="73">
        <v>16903.0</v>
      </c>
      <c r="AF79" s="74">
        <v>45189.0</v>
      </c>
      <c r="AG79" s="73">
        <v>7.0</v>
      </c>
      <c r="AH79" s="75">
        <f t="shared" si="30"/>
        <v>47319</v>
      </c>
      <c r="AI79" s="74">
        <f t="shared" si="31"/>
        <v>47381</v>
      </c>
      <c r="AJ79" s="74">
        <f t="shared" si="32"/>
        <v>47746</v>
      </c>
      <c r="AK79" s="74"/>
      <c r="AL79" s="165">
        <v>46022.0</v>
      </c>
      <c r="AM79" s="76" t="s">
        <v>536</v>
      </c>
      <c r="AN79" s="76">
        <v>3.0</v>
      </c>
      <c r="AO79" s="76"/>
      <c r="AP79" s="76"/>
      <c r="AQ79" s="76"/>
      <c r="AR79" s="65"/>
      <c r="AS79" s="65" t="s">
        <v>89</v>
      </c>
      <c r="AT79" s="65" t="str">
        <f>'Rutas AAC'!AE125</f>
        <v> </v>
      </c>
      <c r="AU79" s="72">
        <v>16903.0</v>
      </c>
      <c r="AV79" s="144">
        <v>45189.0</v>
      </c>
      <c r="AW79" s="145">
        <v>6.0</v>
      </c>
      <c r="AX79" s="80">
        <f>EDATE(AV79,(AW79*12)-14)</f>
        <v>46954</v>
      </c>
      <c r="AY79" s="84">
        <f>EDATE(AV79,(AW79*12)-12)</f>
        <v>47016</v>
      </c>
      <c r="AZ79" s="84">
        <f>EDATE(AV79,(AW79*12))</f>
        <v>47381</v>
      </c>
      <c r="BA79" s="84">
        <f>EDATE(AV79,((AW79/2)*12))</f>
        <v>46285</v>
      </c>
      <c r="BB79" s="85"/>
      <c r="BC79" s="86"/>
      <c r="BD79" s="86"/>
      <c r="BE79" s="76"/>
      <c r="BF79" s="123"/>
      <c r="BG79" s="83"/>
    </row>
    <row r="80" ht="42.0" customHeight="1">
      <c r="A80" s="190">
        <v>74.0</v>
      </c>
      <c r="B80" s="65">
        <v>5330.0</v>
      </c>
      <c r="C80" s="66" t="s">
        <v>413</v>
      </c>
      <c r="D80" s="66" t="s">
        <v>537</v>
      </c>
      <c r="E80" s="66" t="s">
        <v>538</v>
      </c>
      <c r="F80" s="67"/>
      <c r="G80" s="65">
        <v>105656.0</v>
      </c>
      <c r="H80" s="65"/>
      <c r="I80" s="65" t="s">
        <v>539</v>
      </c>
      <c r="J80" s="65" t="s">
        <v>94</v>
      </c>
      <c r="K80" s="65"/>
      <c r="L80" s="65"/>
      <c r="M80" s="65"/>
      <c r="N80" s="66" t="s">
        <v>80</v>
      </c>
      <c r="O80" s="65" t="s">
        <v>81</v>
      </c>
      <c r="P80" s="68" t="s">
        <v>82</v>
      </c>
      <c r="Q80" s="66" t="s">
        <v>169</v>
      </c>
      <c r="R80" s="66" t="s">
        <v>96</v>
      </c>
      <c r="S80" s="65" t="s">
        <v>85</v>
      </c>
      <c r="T80" s="65" t="s">
        <v>86</v>
      </c>
      <c r="U80" s="65" t="s">
        <v>86</v>
      </c>
      <c r="V80" s="65" t="s">
        <v>86</v>
      </c>
      <c r="W80" s="65">
        <v>122.0</v>
      </c>
      <c r="X80" s="65" t="s">
        <v>343</v>
      </c>
      <c r="Y80" s="69"/>
      <c r="Z80" s="69"/>
      <c r="AA80" s="89"/>
      <c r="AB80" s="70">
        <v>0.4</v>
      </c>
      <c r="AC80" s="71" t="s">
        <v>540</v>
      </c>
      <c r="AD80" s="112">
        <v>17692.0</v>
      </c>
      <c r="AE80" s="73">
        <v>17692.0</v>
      </c>
      <c r="AF80" s="74">
        <v>45196.0</v>
      </c>
      <c r="AG80" s="73">
        <v>7.0</v>
      </c>
      <c r="AH80" s="75">
        <f t="shared" si="30"/>
        <v>47326</v>
      </c>
      <c r="AI80" s="74">
        <f t="shared" si="31"/>
        <v>47388</v>
      </c>
      <c r="AJ80" s="74">
        <f t="shared" si="32"/>
        <v>47753</v>
      </c>
      <c r="AK80" s="74"/>
      <c r="AL80" s="74"/>
      <c r="AM80" s="76" t="s">
        <v>541</v>
      </c>
      <c r="AN80" s="76">
        <v>1.0</v>
      </c>
      <c r="AO80" s="76" t="s">
        <v>179</v>
      </c>
      <c r="AP80" s="76"/>
      <c r="AQ80" s="76"/>
      <c r="AR80" s="65"/>
      <c r="AS80" s="65"/>
      <c r="AT80" s="65"/>
      <c r="AU80" s="72"/>
      <c r="AV80" s="90"/>
      <c r="AW80" s="91"/>
      <c r="AX80" s="80"/>
      <c r="AY80" s="84"/>
      <c r="AZ80" s="84"/>
      <c r="BA80" s="84"/>
      <c r="BB80" s="85"/>
      <c r="BC80" s="86"/>
      <c r="BD80" s="86"/>
      <c r="BE80" s="76"/>
      <c r="BF80" s="87"/>
      <c r="BG80" s="83"/>
    </row>
    <row r="81" ht="42.0" customHeight="1">
      <c r="A81" s="190">
        <v>75.0</v>
      </c>
      <c r="B81" s="65">
        <v>38388.0</v>
      </c>
      <c r="C81" s="66" t="s">
        <v>413</v>
      </c>
      <c r="D81" s="66" t="s">
        <v>542</v>
      </c>
      <c r="E81" s="66" t="s">
        <v>543</v>
      </c>
      <c r="F81" s="67" t="s">
        <v>544</v>
      </c>
      <c r="G81" s="65">
        <v>105661.0</v>
      </c>
      <c r="H81" s="65"/>
      <c r="I81" s="65" t="s">
        <v>545</v>
      </c>
      <c r="J81" s="65" t="s">
        <v>94</v>
      </c>
      <c r="K81" s="65"/>
      <c r="L81" s="65"/>
      <c r="M81" s="65"/>
      <c r="N81" s="66" t="s">
        <v>80</v>
      </c>
      <c r="O81" s="65" t="s">
        <v>81</v>
      </c>
      <c r="P81" s="68" t="s">
        <v>82</v>
      </c>
      <c r="Q81" s="66" t="s">
        <v>169</v>
      </c>
      <c r="R81" s="66" t="s">
        <v>96</v>
      </c>
      <c r="S81" s="65" t="s">
        <v>85</v>
      </c>
      <c r="T81" s="65" t="s">
        <v>162</v>
      </c>
      <c r="U81" s="65">
        <v>118.0</v>
      </c>
      <c r="V81" s="65" t="s">
        <v>86</v>
      </c>
      <c r="W81" s="65">
        <v>118.0</v>
      </c>
      <c r="X81" s="65" t="s">
        <v>508</v>
      </c>
      <c r="Y81" s="69"/>
      <c r="Z81" s="69"/>
      <c r="AA81" s="69"/>
      <c r="AB81" s="70">
        <v>0.25</v>
      </c>
      <c r="AC81" s="71" t="str">
        <f t="shared" ref="AC81:AC85" si="46">IF(AJ81&gt;TODAY(),"Si","No")</f>
        <v>Si</v>
      </c>
      <c r="AD81" s="112">
        <v>17691.0</v>
      </c>
      <c r="AE81" s="73">
        <v>17691.0</v>
      </c>
      <c r="AF81" s="74">
        <v>45196.0</v>
      </c>
      <c r="AG81" s="73">
        <v>7.0</v>
      </c>
      <c r="AH81" s="75">
        <f t="shared" si="30"/>
        <v>47326</v>
      </c>
      <c r="AI81" s="74">
        <f t="shared" si="31"/>
        <v>47388</v>
      </c>
      <c r="AJ81" s="74">
        <f t="shared" si="32"/>
        <v>47753</v>
      </c>
      <c r="AK81" s="74"/>
      <c r="AL81" s="74"/>
      <c r="AM81" s="76" t="s">
        <v>546</v>
      </c>
      <c r="AN81" s="76">
        <v>1.0</v>
      </c>
      <c r="AO81" s="76"/>
      <c r="AP81" s="76"/>
      <c r="AQ81" s="76"/>
      <c r="AR81" s="65" t="s">
        <v>82</v>
      </c>
      <c r="AS81" s="65"/>
      <c r="AT81" s="65" t="str">
        <f>'Rutas AAC'!AE120</f>
        <v> </v>
      </c>
      <c r="AU81" s="77"/>
      <c r="AV81" s="78"/>
      <c r="AW81" s="79"/>
      <c r="AX81" s="110"/>
      <c r="AY81" s="81"/>
      <c r="AZ81" s="111"/>
      <c r="BA81" s="84"/>
      <c r="BB81" s="85"/>
      <c r="BC81" s="86"/>
      <c r="BD81" s="86"/>
      <c r="BE81" s="76"/>
      <c r="BF81" s="209"/>
      <c r="BG81" s="83"/>
    </row>
    <row r="82" ht="42.0" customHeight="1">
      <c r="A82" s="190">
        <v>76.0</v>
      </c>
      <c r="B82" s="65" t="s">
        <v>547</v>
      </c>
      <c r="C82" s="66" t="s">
        <v>413</v>
      </c>
      <c r="D82" s="66" t="s">
        <v>548</v>
      </c>
      <c r="E82" s="66" t="s">
        <v>549</v>
      </c>
      <c r="F82" s="67" t="s">
        <v>550</v>
      </c>
      <c r="G82" s="65">
        <v>256.0</v>
      </c>
      <c r="H82" s="65"/>
      <c r="I82" s="65" t="s">
        <v>551</v>
      </c>
      <c r="J82" s="65" t="s">
        <v>259</v>
      </c>
      <c r="K82" s="65"/>
      <c r="L82" s="65"/>
      <c r="M82" s="65"/>
      <c r="N82" s="66" t="s">
        <v>80</v>
      </c>
      <c r="O82" s="65" t="s">
        <v>81</v>
      </c>
      <c r="P82" s="68" t="s">
        <v>82</v>
      </c>
      <c r="Q82" s="66" t="s">
        <v>95</v>
      </c>
      <c r="R82" s="66" t="s">
        <v>96</v>
      </c>
      <c r="S82" s="65" t="s">
        <v>85</v>
      </c>
      <c r="T82" s="65" t="s">
        <v>97</v>
      </c>
      <c r="U82" s="65" t="s">
        <v>86</v>
      </c>
      <c r="V82" s="65">
        <v>50.0</v>
      </c>
      <c r="W82" s="65">
        <v>50.0</v>
      </c>
      <c r="X82" s="65" t="s">
        <v>233</v>
      </c>
      <c r="Y82" s="89" t="s">
        <v>552</v>
      </c>
      <c r="Z82" s="69"/>
      <c r="AA82" s="69"/>
      <c r="AB82" s="70">
        <v>0.3</v>
      </c>
      <c r="AC82" s="71" t="str">
        <f t="shared" si="46"/>
        <v>Si</v>
      </c>
      <c r="AD82" s="112">
        <v>22249.0</v>
      </c>
      <c r="AE82" s="73">
        <v>22249.0</v>
      </c>
      <c r="AF82" s="74">
        <v>45253.0</v>
      </c>
      <c r="AG82" s="73">
        <v>7.0</v>
      </c>
      <c r="AH82" s="75">
        <f t="shared" si="30"/>
        <v>47384</v>
      </c>
      <c r="AI82" s="74">
        <f t="shared" si="31"/>
        <v>47445</v>
      </c>
      <c r="AJ82" s="74">
        <f t="shared" si="32"/>
        <v>47810</v>
      </c>
      <c r="AK82" s="74"/>
      <c r="AL82" s="74"/>
      <c r="AM82" s="76" t="s">
        <v>553</v>
      </c>
      <c r="AN82" s="76">
        <v>4.0</v>
      </c>
      <c r="AO82" s="76"/>
      <c r="AP82" s="76"/>
      <c r="AQ82" s="76">
        <v>42.0</v>
      </c>
      <c r="AR82" s="65" t="s">
        <v>89</v>
      </c>
      <c r="AS82" s="65" t="s">
        <v>89</v>
      </c>
      <c r="AT82" s="65"/>
      <c r="AU82" s="112">
        <v>22249.0</v>
      </c>
      <c r="AV82" s="90">
        <v>45253.0</v>
      </c>
      <c r="AW82" s="91">
        <v>6.0</v>
      </c>
      <c r="AX82" s="80">
        <f>EDATE(AV82,(AW82*12)-14)</f>
        <v>47019</v>
      </c>
      <c r="AY82" s="84">
        <f>EDATE(AV82,(AW82*12)-12)</f>
        <v>47080</v>
      </c>
      <c r="AZ82" s="84">
        <f>EDATE(AV82,(AW82*12))</f>
        <v>47445</v>
      </c>
      <c r="BA82" s="84">
        <f>EDATE(AV82,((AW82/2)*12))</f>
        <v>46349</v>
      </c>
      <c r="BB82" s="85"/>
      <c r="BC82" s="86"/>
      <c r="BD82" s="86"/>
      <c r="BE82" s="76"/>
      <c r="BF82" s="82"/>
      <c r="BG82" s="83"/>
    </row>
    <row r="83" ht="42.0" customHeight="1">
      <c r="A83" s="190">
        <v>77.0</v>
      </c>
      <c r="B83" s="65">
        <v>41862.0</v>
      </c>
      <c r="C83" s="66" t="s">
        <v>413</v>
      </c>
      <c r="D83" s="66" t="s">
        <v>554</v>
      </c>
      <c r="E83" s="66" t="s">
        <v>555</v>
      </c>
      <c r="F83" s="67" t="s">
        <v>556</v>
      </c>
      <c r="G83" s="65">
        <v>90909.0</v>
      </c>
      <c r="H83" s="65"/>
      <c r="I83" s="65" t="s">
        <v>557</v>
      </c>
      <c r="J83" s="65" t="s">
        <v>94</v>
      </c>
      <c r="K83" s="65"/>
      <c r="L83" s="65"/>
      <c r="M83" s="65"/>
      <c r="N83" s="66" t="s">
        <v>80</v>
      </c>
      <c r="O83" s="65" t="s">
        <v>81</v>
      </c>
      <c r="P83" s="68" t="s">
        <v>82</v>
      </c>
      <c r="Q83" s="66" t="s">
        <v>95</v>
      </c>
      <c r="R83" s="66" t="s">
        <v>96</v>
      </c>
      <c r="S83" s="65" t="s">
        <v>85</v>
      </c>
      <c r="T83" s="65" t="s">
        <v>162</v>
      </c>
      <c r="U83" s="65">
        <v>52.0</v>
      </c>
      <c r="V83" s="65" t="s">
        <v>86</v>
      </c>
      <c r="W83" s="65">
        <v>52.0</v>
      </c>
      <c r="X83" s="67" t="s">
        <v>98</v>
      </c>
      <c r="Y83" s="69"/>
      <c r="Z83" s="69"/>
      <c r="AA83" s="69"/>
      <c r="AB83" s="70">
        <v>0.2</v>
      </c>
      <c r="AC83" s="71" t="str">
        <f t="shared" si="46"/>
        <v>Si</v>
      </c>
      <c r="AD83" s="112">
        <v>23635.0</v>
      </c>
      <c r="AE83" s="73">
        <v>9552.0</v>
      </c>
      <c r="AF83" s="74">
        <v>45265.0</v>
      </c>
      <c r="AG83" s="73">
        <v>7.0</v>
      </c>
      <c r="AH83" s="75">
        <f t="shared" si="30"/>
        <v>47396</v>
      </c>
      <c r="AI83" s="74">
        <f t="shared" si="31"/>
        <v>47457</v>
      </c>
      <c r="AJ83" s="74">
        <f t="shared" si="32"/>
        <v>47822</v>
      </c>
      <c r="AK83" s="74"/>
      <c r="AL83" s="165">
        <v>45930.0</v>
      </c>
      <c r="AM83" s="76" t="s">
        <v>558</v>
      </c>
      <c r="AN83" s="76">
        <v>2.0</v>
      </c>
      <c r="AO83" s="76"/>
      <c r="AP83" s="76"/>
      <c r="AQ83" s="76"/>
      <c r="AR83" s="65" t="s">
        <v>82</v>
      </c>
      <c r="AS83" s="65"/>
      <c r="AT83" s="65" t="str">
        <f>'Rutas AAC'!AE100</f>
        <v> </v>
      </c>
      <c r="AU83" s="77"/>
      <c r="AV83" s="90"/>
      <c r="AW83" s="79"/>
      <c r="AX83" s="110"/>
      <c r="AY83" s="81"/>
      <c r="AZ83" s="124"/>
      <c r="BA83" s="84"/>
      <c r="BB83" s="85"/>
      <c r="BC83" s="86"/>
      <c r="BD83" s="86"/>
      <c r="BE83" s="76"/>
      <c r="BF83" s="87"/>
      <c r="BG83" s="83"/>
    </row>
    <row r="84" ht="42.0" customHeight="1">
      <c r="A84" s="190">
        <v>78.0</v>
      </c>
      <c r="B84" s="65">
        <v>34563.0</v>
      </c>
      <c r="C84" s="66" t="s">
        <v>413</v>
      </c>
      <c r="D84" s="66" t="s">
        <v>559</v>
      </c>
      <c r="E84" s="66" t="s">
        <v>560</v>
      </c>
      <c r="F84" s="67" t="s">
        <v>561</v>
      </c>
      <c r="G84" s="65">
        <v>53943.0</v>
      </c>
      <c r="H84" s="65"/>
      <c r="I84" s="65" t="s">
        <v>562</v>
      </c>
      <c r="J84" s="65" t="s">
        <v>94</v>
      </c>
      <c r="K84" s="65"/>
      <c r="L84" s="65"/>
      <c r="M84" s="65"/>
      <c r="N84" s="66" t="s">
        <v>80</v>
      </c>
      <c r="O84" s="65" t="s">
        <v>81</v>
      </c>
      <c r="P84" s="68"/>
      <c r="Q84" s="66" t="s">
        <v>169</v>
      </c>
      <c r="R84" s="66" t="s">
        <v>96</v>
      </c>
      <c r="S84" s="65" t="s">
        <v>85</v>
      </c>
      <c r="T84" s="65" t="s">
        <v>162</v>
      </c>
      <c r="U84" s="65">
        <v>80.0</v>
      </c>
      <c r="V84" s="65" t="s">
        <v>86</v>
      </c>
      <c r="W84" s="65">
        <v>80.0</v>
      </c>
      <c r="X84" s="65" t="s">
        <v>170</v>
      </c>
      <c r="Y84" s="69"/>
      <c r="Z84" s="69"/>
      <c r="AA84" s="69"/>
      <c r="AB84" s="70">
        <v>0.6</v>
      </c>
      <c r="AC84" s="71" t="str">
        <f t="shared" si="46"/>
        <v>Si</v>
      </c>
      <c r="AD84" s="112">
        <v>1125.0</v>
      </c>
      <c r="AE84" s="73">
        <v>1125.0</v>
      </c>
      <c r="AF84" s="74">
        <v>45335.0</v>
      </c>
      <c r="AG84" s="73">
        <v>7.0</v>
      </c>
      <c r="AH84" s="75">
        <f t="shared" si="30"/>
        <v>47465</v>
      </c>
      <c r="AI84" s="74">
        <f t="shared" si="31"/>
        <v>47527</v>
      </c>
      <c r="AJ84" s="74">
        <f t="shared" si="32"/>
        <v>47892</v>
      </c>
      <c r="AK84" s="74"/>
      <c r="AL84" s="74"/>
      <c r="AM84" s="76" t="s">
        <v>563</v>
      </c>
      <c r="AN84" s="76">
        <v>3.0</v>
      </c>
      <c r="AO84" s="76"/>
      <c r="AP84" s="76"/>
      <c r="AQ84" s="76"/>
      <c r="AR84" s="65" t="s">
        <v>540</v>
      </c>
      <c r="AS84" s="65" t="s">
        <v>89</v>
      </c>
      <c r="AT84" s="65" t="str">
        <f>'[5]Rutas AAC'!AE107</f>
        <v>#REF!</v>
      </c>
      <c r="AU84" s="112">
        <v>1125.0</v>
      </c>
      <c r="AV84" s="144">
        <v>45335.0</v>
      </c>
      <c r="AW84" s="145">
        <v>6.0</v>
      </c>
      <c r="AX84" s="80">
        <f t="shared" ref="AX84:AX85" si="47">EDATE(AV84,(AW84*12)-14)</f>
        <v>47100</v>
      </c>
      <c r="AY84" s="84">
        <f t="shared" ref="AY84:AY85" si="48">EDATE(AV84,(AW84*12)-12)</f>
        <v>47162</v>
      </c>
      <c r="AZ84" s="84">
        <f t="shared" ref="AZ84:AZ85" si="49">EDATE(AV84,(AW84*12))</f>
        <v>47527</v>
      </c>
      <c r="BA84" s="84">
        <f t="shared" ref="BA84:BA85" si="50">EDATE(AV84,((AW84/2)*12))</f>
        <v>46431</v>
      </c>
      <c r="BB84" s="86"/>
      <c r="BC84" s="86"/>
      <c r="BD84" s="76"/>
      <c r="BE84" s="163"/>
      <c r="BF84" s="83"/>
      <c r="BG84" s="83"/>
    </row>
    <row r="85" ht="42.0" customHeight="1">
      <c r="A85" s="190">
        <v>79.0</v>
      </c>
      <c r="B85" s="65">
        <v>42763.0</v>
      </c>
      <c r="C85" s="66" t="s">
        <v>413</v>
      </c>
      <c r="D85" s="66" t="s">
        <v>564</v>
      </c>
      <c r="E85" s="66" t="s">
        <v>565</v>
      </c>
      <c r="F85" s="67" t="s">
        <v>566</v>
      </c>
      <c r="G85" s="65">
        <v>229.0</v>
      </c>
      <c r="H85" s="65"/>
      <c r="I85" s="65" t="s">
        <v>567</v>
      </c>
      <c r="J85" s="65" t="s">
        <v>79</v>
      </c>
      <c r="K85" s="65"/>
      <c r="L85" s="65"/>
      <c r="M85" s="65"/>
      <c r="N85" s="66" t="s">
        <v>80</v>
      </c>
      <c r="O85" s="65" t="s">
        <v>81</v>
      </c>
      <c r="P85" s="68" t="s">
        <v>82</v>
      </c>
      <c r="Q85" s="66" t="s">
        <v>83</v>
      </c>
      <c r="R85" s="66" t="s">
        <v>84</v>
      </c>
      <c r="S85" s="65" t="s">
        <v>85</v>
      </c>
      <c r="T85" s="65" t="s">
        <v>86</v>
      </c>
      <c r="U85" s="65" t="s">
        <v>86</v>
      </c>
      <c r="V85" s="65" t="s">
        <v>86</v>
      </c>
      <c r="W85" s="65">
        <v>166.0</v>
      </c>
      <c r="X85" s="67" t="s">
        <v>87</v>
      </c>
      <c r="Y85" s="89" t="s">
        <v>568</v>
      </c>
      <c r="Z85" s="69"/>
      <c r="AA85" s="69"/>
      <c r="AB85" s="70">
        <v>0.4</v>
      </c>
      <c r="AC85" s="71" t="str">
        <f t="shared" si="46"/>
        <v>Si</v>
      </c>
      <c r="AD85" s="112">
        <v>2015.0</v>
      </c>
      <c r="AE85" s="210">
        <f>AD85</f>
        <v>2015</v>
      </c>
      <c r="AF85" s="74">
        <v>45350.0</v>
      </c>
      <c r="AG85" s="73">
        <v>7.0</v>
      </c>
      <c r="AH85" s="75">
        <f t="shared" si="30"/>
        <v>47480</v>
      </c>
      <c r="AI85" s="74">
        <f t="shared" si="31"/>
        <v>47542</v>
      </c>
      <c r="AJ85" s="74">
        <f t="shared" si="32"/>
        <v>47907</v>
      </c>
      <c r="AK85" s="74"/>
      <c r="AL85" s="165">
        <v>45930.0</v>
      </c>
      <c r="AM85" s="76" t="s">
        <v>569</v>
      </c>
      <c r="AN85" s="76">
        <v>3.0</v>
      </c>
      <c r="AO85" s="76" t="s">
        <v>89</v>
      </c>
      <c r="AP85" s="76"/>
      <c r="AQ85" s="76"/>
      <c r="AR85" s="65" t="s">
        <v>89</v>
      </c>
      <c r="AS85" s="65" t="s">
        <v>89</v>
      </c>
      <c r="AT85" s="65" t="str">
        <f>'Rutas AAC'!AE84</f>
        <v> </v>
      </c>
      <c r="AU85" s="211">
        <v>2015.0</v>
      </c>
      <c r="AV85" s="90">
        <v>45350.0</v>
      </c>
      <c r="AW85" s="91">
        <v>6.0</v>
      </c>
      <c r="AX85" s="80">
        <f t="shared" si="47"/>
        <v>47115</v>
      </c>
      <c r="AY85" s="84">
        <f t="shared" si="48"/>
        <v>47177</v>
      </c>
      <c r="AZ85" s="84">
        <f t="shared" si="49"/>
        <v>47542</v>
      </c>
      <c r="BA85" s="84">
        <f t="shared" si="50"/>
        <v>46446</v>
      </c>
      <c r="BB85" s="92" t="s">
        <v>570</v>
      </c>
      <c r="BC85" s="92">
        <v>1.0</v>
      </c>
      <c r="BD85" s="92" t="s">
        <v>571</v>
      </c>
      <c r="BE85" s="76"/>
      <c r="BF85" s="87"/>
      <c r="BG85" s="83"/>
    </row>
    <row r="86" ht="42.0" customHeight="1">
      <c r="A86" s="190">
        <v>80.0</v>
      </c>
      <c r="B86" s="65">
        <v>20891.0</v>
      </c>
      <c r="C86" s="66" t="s">
        <v>413</v>
      </c>
      <c r="D86" s="66" t="s">
        <v>572</v>
      </c>
      <c r="E86" s="66" t="s">
        <v>573</v>
      </c>
      <c r="F86" s="67" t="s">
        <v>574</v>
      </c>
      <c r="G86" s="65">
        <v>106198.0</v>
      </c>
      <c r="H86" s="65"/>
      <c r="I86" s="65" t="s">
        <v>575</v>
      </c>
      <c r="J86" s="65"/>
      <c r="K86" s="65"/>
      <c r="L86" s="65"/>
      <c r="M86" s="65"/>
      <c r="N86" s="212" t="s">
        <v>337</v>
      </c>
      <c r="O86" s="65" t="s">
        <v>81</v>
      </c>
      <c r="P86" s="68" t="s">
        <v>82</v>
      </c>
      <c r="Q86" s="66" t="s">
        <v>95</v>
      </c>
      <c r="R86" s="66" t="s">
        <v>96</v>
      </c>
      <c r="S86" s="65" t="s">
        <v>85</v>
      </c>
      <c r="T86" s="65" t="s">
        <v>162</v>
      </c>
      <c r="U86" s="65">
        <v>42.0</v>
      </c>
      <c r="V86" s="65">
        <v>41.0</v>
      </c>
      <c r="W86" s="65">
        <v>83.0</v>
      </c>
      <c r="X86" s="67" t="s">
        <v>98</v>
      </c>
      <c r="Y86" s="89"/>
      <c r="Z86" s="69"/>
      <c r="AA86" s="69"/>
      <c r="AB86" s="70"/>
      <c r="AC86" s="71" t="s">
        <v>89</v>
      </c>
      <c r="AD86" s="112">
        <v>21473.0</v>
      </c>
      <c r="AE86" s="73">
        <v>21473.0</v>
      </c>
      <c r="AF86" s="74">
        <v>45968.0</v>
      </c>
      <c r="AG86" s="73">
        <v>7.0</v>
      </c>
      <c r="AH86" s="75">
        <f t="shared" si="30"/>
        <v>48098</v>
      </c>
      <c r="AI86" s="74">
        <f t="shared" si="31"/>
        <v>48159</v>
      </c>
      <c r="AJ86" s="74">
        <f t="shared" si="32"/>
        <v>48525</v>
      </c>
      <c r="AK86" s="74"/>
      <c r="AL86" s="74"/>
      <c r="AM86" s="76"/>
      <c r="AN86" s="76"/>
      <c r="AO86" s="76"/>
      <c r="AP86" s="76"/>
      <c r="AQ86" s="76"/>
      <c r="AR86" s="65"/>
      <c r="AS86" s="65"/>
      <c r="AT86" s="65"/>
      <c r="AU86" s="211"/>
      <c r="AV86" s="90"/>
      <c r="AW86" s="91"/>
      <c r="AX86" s="80"/>
      <c r="AY86" s="84"/>
      <c r="AZ86" s="84"/>
      <c r="BA86" s="84"/>
      <c r="BB86" s="92"/>
      <c r="BC86" s="92"/>
      <c r="BD86" s="92"/>
      <c r="BE86" s="76"/>
      <c r="BF86" s="87"/>
      <c r="BG86" s="83"/>
    </row>
    <row r="87" ht="42.0" customHeight="1">
      <c r="A87" s="213">
        <v>81.0</v>
      </c>
      <c r="B87" s="65">
        <v>23110.0</v>
      </c>
      <c r="C87" s="66" t="s">
        <v>576</v>
      </c>
      <c r="D87" s="66" t="s">
        <v>577</v>
      </c>
      <c r="E87" s="66" t="s">
        <v>578</v>
      </c>
      <c r="F87" s="67" t="s">
        <v>579</v>
      </c>
      <c r="G87" s="65">
        <v>233.0</v>
      </c>
      <c r="H87" s="65"/>
      <c r="I87" s="65" t="s">
        <v>580</v>
      </c>
      <c r="J87" s="65" t="s">
        <v>79</v>
      </c>
      <c r="K87" s="65"/>
      <c r="L87" s="65"/>
      <c r="M87" s="65"/>
      <c r="N87" s="66" t="s">
        <v>80</v>
      </c>
      <c r="O87" s="65" t="s">
        <v>581</v>
      </c>
      <c r="P87" s="68" t="s">
        <v>89</v>
      </c>
      <c r="Q87" s="66" t="s">
        <v>83</v>
      </c>
      <c r="R87" s="66" t="s">
        <v>84</v>
      </c>
      <c r="S87" s="65" t="s">
        <v>85</v>
      </c>
      <c r="T87" s="65" t="s">
        <v>86</v>
      </c>
      <c r="U87" s="65" t="s">
        <v>86</v>
      </c>
      <c r="V87" s="65" t="s">
        <v>86</v>
      </c>
      <c r="W87" s="65">
        <v>174.0</v>
      </c>
      <c r="X87" s="67" t="s">
        <v>329</v>
      </c>
      <c r="Y87" s="89" t="s">
        <v>582</v>
      </c>
      <c r="Z87" s="69"/>
      <c r="AA87" s="69"/>
      <c r="AB87" s="70">
        <v>0.3</v>
      </c>
      <c r="AC87" s="71" t="str">
        <f t="shared" ref="AC87:AC92" si="51">IF(AJ87&gt;TODAY(),"Si","No")</f>
        <v>Si</v>
      </c>
      <c r="AD87" s="72">
        <v>8977.0</v>
      </c>
      <c r="AE87" s="73">
        <v>8977.0</v>
      </c>
      <c r="AF87" s="74">
        <v>43704.0</v>
      </c>
      <c r="AG87" s="73">
        <v>7.0</v>
      </c>
      <c r="AH87" s="75">
        <f t="shared" si="30"/>
        <v>45835</v>
      </c>
      <c r="AI87" s="74">
        <f t="shared" si="31"/>
        <v>45896</v>
      </c>
      <c r="AJ87" s="74">
        <f t="shared" si="32"/>
        <v>46261</v>
      </c>
      <c r="AK87" s="74"/>
      <c r="AL87" s="74"/>
      <c r="AM87" s="76" t="s">
        <v>583</v>
      </c>
      <c r="AN87" s="76">
        <v>3.0</v>
      </c>
      <c r="AO87" s="76"/>
      <c r="AP87" s="76"/>
      <c r="AQ87" s="76"/>
      <c r="AR87" s="65" t="s">
        <v>89</v>
      </c>
      <c r="AS87" s="65"/>
      <c r="AT87" s="65" t="str">
        <f>'Rutas AAC'!AE130</f>
        <v> </v>
      </c>
      <c r="AU87" s="77"/>
      <c r="AV87" s="78"/>
      <c r="AW87" s="79"/>
      <c r="AX87" s="110"/>
      <c r="AY87" s="81"/>
      <c r="AZ87" s="81"/>
      <c r="BA87" s="84"/>
      <c r="BB87" s="86" t="s">
        <v>584</v>
      </c>
      <c r="BC87" s="76">
        <v>1.0</v>
      </c>
      <c r="BD87" s="76"/>
      <c r="BE87" s="76"/>
      <c r="BF87" s="87"/>
      <c r="BG87" s="83"/>
    </row>
    <row r="88" ht="42.0" customHeight="1">
      <c r="A88" s="213">
        <v>82.0</v>
      </c>
      <c r="B88" s="65">
        <v>25384.0</v>
      </c>
      <c r="C88" s="66" t="s">
        <v>576</v>
      </c>
      <c r="D88" s="66" t="s">
        <v>585</v>
      </c>
      <c r="E88" s="66" t="s">
        <v>586</v>
      </c>
      <c r="F88" s="67" t="s">
        <v>587</v>
      </c>
      <c r="G88" s="65">
        <v>8170.0</v>
      </c>
      <c r="H88" s="65"/>
      <c r="I88" s="151" t="s">
        <v>588</v>
      </c>
      <c r="J88" s="65" t="s">
        <v>94</v>
      </c>
      <c r="K88" s="65"/>
      <c r="L88" s="65"/>
      <c r="M88" s="65"/>
      <c r="N88" s="66" t="s">
        <v>80</v>
      </c>
      <c r="O88" s="65" t="s">
        <v>81</v>
      </c>
      <c r="P88" s="68" t="s">
        <v>82</v>
      </c>
      <c r="Q88" s="66" t="s">
        <v>83</v>
      </c>
      <c r="R88" s="66" t="s">
        <v>84</v>
      </c>
      <c r="S88" s="65" t="s">
        <v>85</v>
      </c>
      <c r="T88" s="65" t="s">
        <v>86</v>
      </c>
      <c r="U88" s="65" t="s">
        <v>86</v>
      </c>
      <c r="V88" s="65" t="s">
        <v>86</v>
      </c>
      <c r="W88" s="65">
        <v>146.0</v>
      </c>
      <c r="X88" s="67" t="s">
        <v>121</v>
      </c>
      <c r="Y88" s="89" t="s">
        <v>589</v>
      </c>
      <c r="Z88" s="69"/>
      <c r="AA88" s="69"/>
      <c r="AB88" s="70">
        <v>0.4</v>
      </c>
      <c r="AC88" s="71" t="str">
        <f t="shared" si="51"/>
        <v>Si</v>
      </c>
      <c r="AD88" s="214">
        <v>7110.0</v>
      </c>
      <c r="AE88" s="215">
        <v>7110.0</v>
      </c>
      <c r="AF88" s="197">
        <v>46091.0</v>
      </c>
      <c r="AG88" s="73">
        <v>7.0</v>
      </c>
      <c r="AH88" s="75">
        <f t="shared" si="30"/>
        <v>48223</v>
      </c>
      <c r="AI88" s="74">
        <f t="shared" si="31"/>
        <v>48283</v>
      </c>
      <c r="AJ88" s="74">
        <f t="shared" si="32"/>
        <v>48648</v>
      </c>
      <c r="AK88" s="74"/>
      <c r="AL88" s="74"/>
      <c r="AM88" s="198" t="s">
        <v>590</v>
      </c>
      <c r="AN88" s="198">
        <v>3.0</v>
      </c>
      <c r="AO88" s="76"/>
      <c r="AP88" s="76"/>
      <c r="AQ88" s="76"/>
      <c r="AR88" s="65" t="s">
        <v>89</v>
      </c>
      <c r="AS88" s="65"/>
      <c r="AT88" s="65" t="str">
        <f>'Rutas AAC'!AE128</f>
        <v> </v>
      </c>
      <c r="AU88" s="216"/>
      <c r="AV88" s="144"/>
      <c r="AW88" s="145"/>
      <c r="AX88" s="110"/>
      <c r="AY88" s="81"/>
      <c r="AZ88" s="81"/>
      <c r="BA88" s="84"/>
      <c r="BB88" s="85"/>
      <c r="BC88" s="86"/>
      <c r="BD88" s="86"/>
      <c r="BE88" s="76"/>
      <c r="BF88" s="123"/>
      <c r="BG88" s="83"/>
    </row>
    <row r="89" ht="42.75" customHeight="1">
      <c r="A89" s="213">
        <v>83.0</v>
      </c>
      <c r="B89" s="65">
        <v>27458.0</v>
      </c>
      <c r="C89" s="66" t="s">
        <v>576</v>
      </c>
      <c r="D89" s="66" t="s">
        <v>577</v>
      </c>
      <c r="E89" s="66" t="s">
        <v>578</v>
      </c>
      <c r="F89" s="67" t="s">
        <v>579</v>
      </c>
      <c r="G89" s="65">
        <v>102182.0</v>
      </c>
      <c r="H89" s="65"/>
      <c r="I89" s="65" t="s">
        <v>201</v>
      </c>
      <c r="J89" s="65" t="s">
        <v>79</v>
      </c>
      <c r="K89" s="65"/>
      <c r="L89" s="65"/>
      <c r="M89" s="65"/>
      <c r="N89" s="212" t="s">
        <v>337</v>
      </c>
      <c r="O89" s="65" t="s">
        <v>581</v>
      </c>
      <c r="P89" s="68" t="s">
        <v>89</v>
      </c>
      <c r="Q89" s="66" t="s">
        <v>83</v>
      </c>
      <c r="R89" s="66" t="s">
        <v>84</v>
      </c>
      <c r="S89" s="65" t="s">
        <v>85</v>
      </c>
      <c r="T89" s="65" t="s">
        <v>86</v>
      </c>
      <c r="U89" s="65" t="s">
        <v>86</v>
      </c>
      <c r="V89" s="65" t="s">
        <v>86</v>
      </c>
      <c r="W89" s="65">
        <v>174.0</v>
      </c>
      <c r="X89" s="67" t="s">
        <v>329</v>
      </c>
      <c r="Y89" s="69"/>
      <c r="Z89" s="69"/>
      <c r="AA89" s="69"/>
      <c r="AB89" s="70">
        <v>0.3</v>
      </c>
      <c r="AC89" s="71" t="str">
        <f t="shared" si="51"/>
        <v>Si</v>
      </c>
      <c r="AD89" s="72">
        <v>9061.0</v>
      </c>
      <c r="AE89" s="73">
        <v>9061.0</v>
      </c>
      <c r="AF89" s="74">
        <v>43705.0</v>
      </c>
      <c r="AG89" s="73">
        <v>7.0</v>
      </c>
      <c r="AH89" s="75">
        <f t="shared" si="30"/>
        <v>45836</v>
      </c>
      <c r="AI89" s="74">
        <f t="shared" si="31"/>
        <v>45897</v>
      </c>
      <c r="AJ89" s="74">
        <f t="shared" si="32"/>
        <v>46262</v>
      </c>
      <c r="AK89" s="74"/>
      <c r="AL89" s="74"/>
      <c r="AM89" s="76" t="s">
        <v>591</v>
      </c>
      <c r="AN89" s="76">
        <v>1.0</v>
      </c>
      <c r="AO89" s="76"/>
      <c r="AP89" s="76"/>
      <c r="AQ89" s="76"/>
      <c r="AR89" s="65" t="s">
        <v>82</v>
      </c>
      <c r="AS89" s="65"/>
      <c r="AT89" s="65" t="str">
        <f>'Rutas AAC'!AE129</f>
        <v> </v>
      </c>
      <c r="AU89" s="77"/>
      <c r="AV89" s="78"/>
      <c r="AW89" s="79"/>
      <c r="AX89" s="110"/>
      <c r="AY89" s="81"/>
      <c r="AZ89" s="81"/>
      <c r="BA89" s="84"/>
      <c r="BB89" s="86" t="s">
        <v>592</v>
      </c>
      <c r="BC89" s="86">
        <v>1.0</v>
      </c>
      <c r="BD89" s="86"/>
      <c r="BE89" s="76"/>
      <c r="BF89" s="203"/>
      <c r="BG89" s="83"/>
    </row>
    <row r="90" ht="42.0" customHeight="1">
      <c r="A90" s="213">
        <v>84.0</v>
      </c>
      <c r="B90" s="65">
        <v>35011.0</v>
      </c>
      <c r="C90" s="66" t="s">
        <v>576</v>
      </c>
      <c r="D90" s="66" t="s">
        <v>593</v>
      </c>
      <c r="E90" s="66" t="s">
        <v>594</v>
      </c>
      <c r="F90" s="67" t="s">
        <v>595</v>
      </c>
      <c r="G90" s="65">
        <v>4080.0</v>
      </c>
      <c r="H90" s="65"/>
      <c r="I90" s="65" t="s">
        <v>384</v>
      </c>
      <c r="J90" s="65" t="s">
        <v>79</v>
      </c>
      <c r="K90" s="65"/>
      <c r="L90" s="65"/>
      <c r="M90" s="65"/>
      <c r="N90" s="66" t="s">
        <v>80</v>
      </c>
      <c r="O90" s="65" t="s">
        <v>81</v>
      </c>
      <c r="P90" s="68" t="s">
        <v>82</v>
      </c>
      <c r="Q90" s="66" t="s">
        <v>83</v>
      </c>
      <c r="R90" s="66" t="s">
        <v>84</v>
      </c>
      <c r="S90" s="65" t="s">
        <v>85</v>
      </c>
      <c r="T90" s="65" t="s">
        <v>86</v>
      </c>
      <c r="U90" s="65" t="s">
        <v>86</v>
      </c>
      <c r="V90" s="65" t="s">
        <v>86</v>
      </c>
      <c r="W90" s="65">
        <v>123.0</v>
      </c>
      <c r="X90" s="65" t="s">
        <v>343</v>
      </c>
      <c r="Y90" s="89" t="s">
        <v>596</v>
      </c>
      <c r="Z90" s="69"/>
      <c r="AA90" s="69"/>
      <c r="AB90" s="70">
        <v>0.2</v>
      </c>
      <c r="AC90" s="71" t="str">
        <f t="shared" si="51"/>
        <v>Si</v>
      </c>
      <c r="AD90" s="72">
        <v>9958.0</v>
      </c>
      <c r="AE90" s="73">
        <v>9958.0</v>
      </c>
      <c r="AF90" s="74">
        <v>44349.0</v>
      </c>
      <c r="AG90" s="73">
        <v>7.0</v>
      </c>
      <c r="AH90" s="75">
        <f t="shared" si="30"/>
        <v>46479</v>
      </c>
      <c r="AI90" s="74">
        <f t="shared" si="31"/>
        <v>46540</v>
      </c>
      <c r="AJ90" s="74">
        <f t="shared" si="32"/>
        <v>46906</v>
      </c>
      <c r="AK90" s="74"/>
      <c r="AL90" s="74"/>
      <c r="AM90" s="76" t="s">
        <v>597</v>
      </c>
      <c r="AN90" s="76">
        <v>2.0</v>
      </c>
      <c r="AO90" s="76"/>
      <c r="AP90" s="76"/>
      <c r="AQ90" s="76"/>
      <c r="AR90" s="65" t="s">
        <v>89</v>
      </c>
      <c r="AS90" s="65"/>
      <c r="AT90" s="65" t="str">
        <f>'Rutas AAC'!AE127</f>
        <v> </v>
      </c>
      <c r="AU90" s="77"/>
      <c r="AV90" s="78"/>
      <c r="AW90" s="79"/>
      <c r="AX90" s="110"/>
      <c r="AY90" s="81"/>
      <c r="AZ90" s="81"/>
      <c r="BA90" s="84"/>
      <c r="BB90" s="85"/>
      <c r="BC90" s="86"/>
      <c r="BD90" s="86"/>
      <c r="BE90" s="76"/>
      <c r="BF90" s="87"/>
      <c r="BG90" s="83"/>
    </row>
    <row r="91" ht="42.0" customHeight="1">
      <c r="A91" s="213">
        <v>85.0</v>
      </c>
      <c r="B91" s="65">
        <v>33869.0</v>
      </c>
      <c r="C91" s="66" t="s">
        <v>576</v>
      </c>
      <c r="D91" s="66" t="s">
        <v>598</v>
      </c>
      <c r="E91" s="66" t="s">
        <v>599</v>
      </c>
      <c r="F91" s="67" t="s">
        <v>600</v>
      </c>
      <c r="G91" s="65">
        <v>103788.0</v>
      </c>
      <c r="H91" s="65"/>
      <c r="I91" s="65" t="s">
        <v>78</v>
      </c>
      <c r="J91" s="65" t="s">
        <v>79</v>
      </c>
      <c r="K91" s="65"/>
      <c r="L91" s="65"/>
      <c r="M91" s="65"/>
      <c r="N91" s="66" t="s">
        <v>80</v>
      </c>
      <c r="O91" s="65" t="s">
        <v>147</v>
      </c>
      <c r="P91" s="68" t="s">
        <v>82</v>
      </c>
      <c r="Q91" s="66" t="s">
        <v>148</v>
      </c>
      <c r="R91" s="66" t="s">
        <v>96</v>
      </c>
      <c r="S91" s="65" t="s">
        <v>85</v>
      </c>
      <c r="T91" s="65" t="s">
        <v>97</v>
      </c>
      <c r="U91" s="65" t="s">
        <v>86</v>
      </c>
      <c r="V91" s="65">
        <v>24.0</v>
      </c>
      <c r="W91" s="65">
        <v>24.0</v>
      </c>
      <c r="X91" s="65" t="s">
        <v>156</v>
      </c>
      <c r="Y91" s="69"/>
      <c r="Z91" s="69"/>
      <c r="AA91" s="69"/>
      <c r="AB91" s="70">
        <v>0.2</v>
      </c>
      <c r="AC91" s="71" t="str">
        <f t="shared" si="51"/>
        <v>Si</v>
      </c>
      <c r="AD91" s="72">
        <v>11630.0</v>
      </c>
      <c r="AE91" s="73">
        <v>11630.0</v>
      </c>
      <c r="AF91" s="74">
        <v>44376.0</v>
      </c>
      <c r="AG91" s="73">
        <v>7.0</v>
      </c>
      <c r="AH91" s="75">
        <f t="shared" si="30"/>
        <v>46506</v>
      </c>
      <c r="AI91" s="74">
        <f t="shared" si="31"/>
        <v>46567</v>
      </c>
      <c r="AJ91" s="74">
        <f t="shared" si="32"/>
        <v>46933</v>
      </c>
      <c r="AK91" s="74"/>
      <c r="AL91" s="74"/>
      <c r="AM91" s="76" t="s">
        <v>601</v>
      </c>
      <c r="AN91" s="76">
        <v>2.0</v>
      </c>
      <c r="AO91" s="76"/>
      <c r="AP91" s="76"/>
      <c r="AQ91" s="76"/>
      <c r="AR91" s="65" t="s">
        <v>86</v>
      </c>
      <c r="AS91" s="65"/>
      <c r="AT91" s="65" t="str">
        <f>'Rutas AAC'!AE138</f>
        <v> </v>
      </c>
      <c r="AU91" s="77" t="s">
        <v>86</v>
      </c>
      <c r="AV91" s="78" t="s">
        <v>86</v>
      </c>
      <c r="AW91" s="79" t="s">
        <v>86</v>
      </c>
      <c r="AX91" s="103" t="s">
        <v>86</v>
      </c>
      <c r="AY91" s="79" t="s">
        <v>86</v>
      </c>
      <c r="AZ91" s="79" t="s">
        <v>86</v>
      </c>
      <c r="BA91" s="84"/>
      <c r="BB91" s="85"/>
      <c r="BC91" s="86"/>
      <c r="BD91" s="86"/>
      <c r="BE91" s="76"/>
      <c r="BF91" s="95"/>
      <c r="BG91" s="83"/>
    </row>
    <row r="92" ht="42.0" customHeight="1">
      <c r="A92" s="213">
        <v>86.0</v>
      </c>
      <c r="B92" s="65">
        <v>30038.0</v>
      </c>
      <c r="C92" s="66" t="s">
        <v>576</v>
      </c>
      <c r="D92" s="66" t="s">
        <v>602</v>
      </c>
      <c r="E92" s="66" t="s">
        <v>603</v>
      </c>
      <c r="F92" s="67" t="s">
        <v>604</v>
      </c>
      <c r="G92" s="65">
        <v>102803.0</v>
      </c>
      <c r="H92" s="65"/>
      <c r="I92" s="65" t="s">
        <v>78</v>
      </c>
      <c r="J92" s="65" t="s">
        <v>94</v>
      </c>
      <c r="K92" s="65"/>
      <c r="L92" s="65"/>
      <c r="M92" s="65"/>
      <c r="N92" s="66" t="s">
        <v>80</v>
      </c>
      <c r="O92" s="65" t="s">
        <v>81</v>
      </c>
      <c r="P92" s="68"/>
      <c r="Q92" s="66" t="s">
        <v>148</v>
      </c>
      <c r="R92" s="66" t="s">
        <v>96</v>
      </c>
      <c r="S92" s="65" t="s">
        <v>85</v>
      </c>
      <c r="T92" s="65" t="s">
        <v>97</v>
      </c>
      <c r="U92" s="65" t="s">
        <v>86</v>
      </c>
      <c r="V92" s="65">
        <v>26.0</v>
      </c>
      <c r="W92" s="65">
        <v>26.0</v>
      </c>
      <c r="X92" s="65" t="s">
        <v>196</v>
      </c>
      <c r="Y92" s="69"/>
      <c r="Z92" s="69"/>
      <c r="AA92" s="69"/>
      <c r="AB92" s="70">
        <v>0.2</v>
      </c>
      <c r="AC92" s="71" t="str">
        <f t="shared" si="51"/>
        <v>Si</v>
      </c>
      <c r="AD92" s="72">
        <v>14229.0</v>
      </c>
      <c r="AE92" s="73">
        <v>14229.0</v>
      </c>
      <c r="AF92" s="74">
        <v>44414.0</v>
      </c>
      <c r="AG92" s="73">
        <v>7.0</v>
      </c>
      <c r="AH92" s="75">
        <f t="shared" si="30"/>
        <v>46544</v>
      </c>
      <c r="AI92" s="74">
        <f t="shared" si="31"/>
        <v>46605</v>
      </c>
      <c r="AJ92" s="74">
        <f t="shared" si="32"/>
        <v>46971</v>
      </c>
      <c r="AK92" s="74"/>
      <c r="AL92" s="74"/>
      <c r="AM92" s="76" t="s">
        <v>605</v>
      </c>
      <c r="AN92" s="76">
        <v>2.0</v>
      </c>
      <c r="AO92" s="76"/>
      <c r="AP92" s="76"/>
      <c r="AQ92" s="76"/>
      <c r="AR92" s="65" t="s">
        <v>86</v>
      </c>
      <c r="AS92" s="65"/>
      <c r="AT92" s="65" t="str">
        <f>'Rutas AAC'!AE132</f>
        <v> </v>
      </c>
      <c r="AU92" s="77" t="s">
        <v>86</v>
      </c>
      <c r="AV92" s="78" t="s">
        <v>86</v>
      </c>
      <c r="AW92" s="79" t="s">
        <v>86</v>
      </c>
      <c r="AX92" s="103" t="s">
        <v>86</v>
      </c>
      <c r="AY92" s="79" t="s">
        <v>86</v>
      </c>
      <c r="AZ92" s="79" t="s">
        <v>86</v>
      </c>
      <c r="BA92" s="84"/>
      <c r="BB92" s="85"/>
      <c r="BC92" s="86"/>
      <c r="BD92" s="86"/>
      <c r="BE92" s="76"/>
      <c r="BF92" s="217"/>
      <c r="BG92" s="83"/>
    </row>
    <row r="93" ht="42.0" customHeight="1">
      <c r="A93" s="213">
        <v>87.0</v>
      </c>
      <c r="B93" s="151">
        <v>24709.0</v>
      </c>
      <c r="C93" s="66" t="s">
        <v>576</v>
      </c>
      <c r="D93" s="66" t="s">
        <v>606</v>
      </c>
      <c r="E93" s="66" t="s">
        <v>607</v>
      </c>
      <c r="F93" s="67" t="s">
        <v>608</v>
      </c>
      <c r="G93" s="65">
        <v>106623.0</v>
      </c>
      <c r="H93" s="65"/>
      <c r="I93" s="65" t="s">
        <v>609</v>
      </c>
      <c r="J93" s="65" t="s">
        <v>79</v>
      </c>
      <c r="K93" s="65"/>
      <c r="L93" s="65"/>
      <c r="M93" s="65"/>
      <c r="N93" s="66" t="s">
        <v>80</v>
      </c>
      <c r="O93" s="116" t="s">
        <v>81</v>
      </c>
      <c r="P93" s="68" t="s">
        <v>82</v>
      </c>
      <c r="Q93" s="66" t="s">
        <v>148</v>
      </c>
      <c r="R93" s="66" t="s">
        <v>96</v>
      </c>
      <c r="S93" s="65" t="s">
        <v>85</v>
      </c>
      <c r="T93" s="65"/>
      <c r="U93" s="65"/>
      <c r="V93" s="65"/>
      <c r="W93" s="65">
        <v>24.0</v>
      </c>
      <c r="X93" s="65" t="s">
        <v>156</v>
      </c>
      <c r="Y93" s="107"/>
      <c r="Z93" s="107"/>
      <c r="AA93" s="107"/>
      <c r="AB93" s="70"/>
      <c r="AC93" s="155" t="s">
        <v>89</v>
      </c>
      <c r="AD93" s="218">
        <v>23526.0</v>
      </c>
      <c r="AE93" s="73">
        <v>23526.0</v>
      </c>
      <c r="AF93" s="74">
        <v>45989.0</v>
      </c>
      <c r="AG93" s="73">
        <v>7.0</v>
      </c>
      <c r="AH93" s="75">
        <f t="shared" si="30"/>
        <v>48119</v>
      </c>
      <c r="AI93" s="74">
        <f t="shared" si="31"/>
        <v>48180</v>
      </c>
      <c r="AJ93" s="74">
        <f t="shared" si="32"/>
        <v>48546</v>
      </c>
      <c r="AK93" s="74"/>
      <c r="AL93" s="74"/>
      <c r="AM93" s="219" t="s">
        <v>610</v>
      </c>
      <c r="AN93" s="116">
        <v>1.0</v>
      </c>
      <c r="AO93" s="76"/>
      <c r="AP93" s="76"/>
      <c r="AQ93" s="76"/>
      <c r="AR93" s="65"/>
      <c r="AS93" s="65"/>
      <c r="AT93" s="65"/>
      <c r="AU93" s="77"/>
      <c r="AV93" s="78"/>
      <c r="AW93" s="79"/>
      <c r="AX93" s="103"/>
      <c r="AY93" s="79"/>
      <c r="AZ93" s="79"/>
      <c r="BA93" s="84"/>
      <c r="BB93" s="85"/>
      <c r="BC93" s="86"/>
      <c r="BD93" s="86"/>
      <c r="BE93" s="76"/>
      <c r="BF93" s="82"/>
      <c r="BG93" s="83"/>
    </row>
    <row r="94" ht="49.5" customHeight="1">
      <c r="A94" s="220">
        <v>88.0</v>
      </c>
      <c r="B94" s="65">
        <v>27796.0</v>
      </c>
      <c r="C94" s="66" t="s">
        <v>611</v>
      </c>
      <c r="D94" s="66" t="s">
        <v>612</v>
      </c>
      <c r="E94" s="66" t="s">
        <v>613</v>
      </c>
      <c r="F94" s="67" t="s">
        <v>614</v>
      </c>
      <c r="G94" s="65">
        <v>246.0</v>
      </c>
      <c r="H94" s="65"/>
      <c r="I94" s="151" t="s">
        <v>615</v>
      </c>
      <c r="J94" s="65" t="s">
        <v>94</v>
      </c>
      <c r="K94" s="65"/>
      <c r="L94" s="65"/>
      <c r="M94" s="65"/>
      <c r="N94" s="66" t="s">
        <v>80</v>
      </c>
      <c r="O94" s="65" t="s">
        <v>81</v>
      </c>
      <c r="P94" s="68" t="s">
        <v>82</v>
      </c>
      <c r="Q94" s="66" t="s">
        <v>148</v>
      </c>
      <c r="R94" s="66" t="s">
        <v>96</v>
      </c>
      <c r="S94" s="65" t="s">
        <v>85</v>
      </c>
      <c r="T94" s="65" t="s">
        <v>97</v>
      </c>
      <c r="U94" s="65" t="s">
        <v>86</v>
      </c>
      <c r="V94" s="65">
        <v>24.0</v>
      </c>
      <c r="W94" s="65">
        <v>24.0</v>
      </c>
      <c r="X94" s="65" t="s">
        <v>156</v>
      </c>
      <c r="Y94" s="89" t="s">
        <v>616</v>
      </c>
      <c r="Z94" s="89" t="s">
        <v>617</v>
      </c>
      <c r="AA94" s="89" t="s">
        <v>618</v>
      </c>
      <c r="AB94" s="70">
        <v>0.1</v>
      </c>
      <c r="AC94" s="71" t="str">
        <f>IF(AJ94&gt;TODAY(),"Si","No")</f>
        <v>Si</v>
      </c>
      <c r="AD94" s="214">
        <v>9097.0</v>
      </c>
      <c r="AE94" s="196">
        <v>9097.0</v>
      </c>
      <c r="AF94" s="197">
        <v>46113.0</v>
      </c>
      <c r="AG94" s="73">
        <v>7.0</v>
      </c>
      <c r="AH94" s="75">
        <f t="shared" si="30"/>
        <v>48245</v>
      </c>
      <c r="AI94" s="74">
        <f t="shared" si="31"/>
        <v>48305</v>
      </c>
      <c r="AJ94" s="74">
        <f t="shared" si="32"/>
        <v>48670</v>
      </c>
      <c r="AK94" s="74"/>
      <c r="AL94" s="74"/>
      <c r="AM94" s="198" t="s">
        <v>619</v>
      </c>
      <c r="AN94" s="198">
        <v>4.0</v>
      </c>
      <c r="AO94" s="76"/>
      <c r="AP94" s="76"/>
      <c r="AQ94" s="76"/>
      <c r="AR94" s="65" t="s">
        <v>86</v>
      </c>
      <c r="AS94" s="65"/>
      <c r="AT94" s="65" t="str">
        <f>'Rutas AAC'!AE146</f>
        <v> </v>
      </c>
      <c r="AU94" s="77" t="s">
        <v>86</v>
      </c>
      <c r="AV94" s="78" t="s">
        <v>86</v>
      </c>
      <c r="AW94" s="79" t="s">
        <v>86</v>
      </c>
      <c r="AX94" s="103" t="s">
        <v>86</v>
      </c>
      <c r="AY94" s="79" t="s">
        <v>86</v>
      </c>
      <c r="AZ94" s="79" t="s">
        <v>86</v>
      </c>
      <c r="BA94" s="84"/>
      <c r="BB94" s="85"/>
      <c r="BC94" s="86"/>
      <c r="BD94" s="86"/>
      <c r="BE94" s="76"/>
      <c r="BF94" s="82"/>
      <c r="BG94" s="83"/>
    </row>
    <row r="95" ht="42.0" customHeight="1">
      <c r="A95" s="220">
        <v>89.0</v>
      </c>
      <c r="B95" s="88">
        <v>49808.0</v>
      </c>
      <c r="C95" s="66" t="s">
        <v>611</v>
      </c>
      <c r="D95" s="212" t="s">
        <v>620</v>
      </c>
      <c r="E95" s="212" t="s">
        <v>621</v>
      </c>
      <c r="F95" s="67" t="s">
        <v>622</v>
      </c>
      <c r="G95" s="65">
        <v>108684.0</v>
      </c>
      <c r="H95" s="65"/>
      <c r="I95" s="65" t="s">
        <v>623</v>
      </c>
      <c r="J95" s="65" t="s">
        <v>94</v>
      </c>
      <c r="K95" s="65"/>
      <c r="L95" s="65"/>
      <c r="M95" s="65"/>
      <c r="N95" s="66" t="s">
        <v>80</v>
      </c>
      <c r="O95" s="65" t="s">
        <v>81</v>
      </c>
      <c r="P95" s="68" t="s">
        <v>82</v>
      </c>
      <c r="Q95" s="66" t="s">
        <v>95</v>
      </c>
      <c r="R95" s="66" t="s">
        <v>96</v>
      </c>
      <c r="S95" s="65" t="s">
        <v>85</v>
      </c>
      <c r="T95" s="65" t="s">
        <v>624</v>
      </c>
      <c r="U95" s="65">
        <v>48.0</v>
      </c>
      <c r="V95" s="65">
        <v>48.0</v>
      </c>
      <c r="W95" s="65">
        <v>96.0</v>
      </c>
      <c r="X95" s="65" t="s">
        <v>233</v>
      </c>
      <c r="Y95" s="69"/>
      <c r="Z95" s="69"/>
      <c r="AA95" s="69"/>
      <c r="AB95" s="70">
        <v>0.7</v>
      </c>
      <c r="AC95" s="71" t="s">
        <v>89</v>
      </c>
      <c r="AD95" s="72">
        <v>14826.0</v>
      </c>
      <c r="AE95" s="73">
        <v>14826.0</v>
      </c>
      <c r="AF95" s="74">
        <v>43816.0</v>
      </c>
      <c r="AG95" s="73">
        <v>7.0</v>
      </c>
      <c r="AH95" s="75">
        <f t="shared" si="30"/>
        <v>45947</v>
      </c>
      <c r="AI95" s="74">
        <f t="shared" si="31"/>
        <v>46008</v>
      </c>
      <c r="AJ95" s="74">
        <f t="shared" si="32"/>
        <v>46373</v>
      </c>
      <c r="AK95" s="74"/>
      <c r="AL95" s="74"/>
      <c r="AM95" s="76"/>
      <c r="AN95" s="76"/>
      <c r="AO95" s="76"/>
      <c r="AP95" s="76"/>
      <c r="AQ95" s="76"/>
      <c r="AR95" s="65" t="s">
        <v>82</v>
      </c>
      <c r="AS95" s="65"/>
      <c r="AT95" s="65"/>
      <c r="AU95" s="77"/>
      <c r="AV95" s="78"/>
      <c r="AW95" s="79"/>
      <c r="AX95" s="110"/>
      <c r="AY95" s="81"/>
      <c r="AZ95" s="221"/>
      <c r="BA95" s="84"/>
      <c r="BB95" s="85"/>
      <c r="BC95" s="86"/>
      <c r="BD95" s="86"/>
      <c r="BE95" s="76"/>
      <c r="BF95" s="82"/>
      <c r="BG95" s="83"/>
    </row>
    <row r="96" ht="42.0" customHeight="1">
      <c r="A96" s="220">
        <v>90.0</v>
      </c>
      <c r="B96" s="88">
        <v>50598.0</v>
      </c>
      <c r="C96" s="66" t="s">
        <v>611</v>
      </c>
      <c r="D96" s="212" t="s">
        <v>625</v>
      </c>
      <c r="E96" s="212" t="s">
        <v>626</v>
      </c>
      <c r="F96" s="67" t="s">
        <v>627</v>
      </c>
      <c r="G96" s="65">
        <v>109143.0</v>
      </c>
      <c r="H96" s="65"/>
      <c r="I96" s="65" t="s">
        <v>628</v>
      </c>
      <c r="J96" s="65" t="s">
        <v>259</v>
      </c>
      <c r="K96" s="65"/>
      <c r="L96" s="65"/>
      <c r="M96" s="65"/>
      <c r="N96" s="66" t="s">
        <v>80</v>
      </c>
      <c r="O96" s="65" t="s">
        <v>81</v>
      </c>
      <c r="P96" s="68" t="s">
        <v>82</v>
      </c>
      <c r="Q96" s="66" t="s">
        <v>95</v>
      </c>
      <c r="R96" s="66" t="s">
        <v>96</v>
      </c>
      <c r="S96" s="65" t="s">
        <v>85</v>
      </c>
      <c r="T96" s="65" t="s">
        <v>162</v>
      </c>
      <c r="U96" s="65">
        <v>49.0</v>
      </c>
      <c r="V96" s="65" t="s">
        <v>86</v>
      </c>
      <c r="W96" s="65">
        <v>49.0</v>
      </c>
      <c r="X96" s="65" t="s">
        <v>233</v>
      </c>
      <c r="Y96" s="69"/>
      <c r="Z96" s="69"/>
      <c r="AA96" s="69"/>
      <c r="AB96" s="70">
        <v>0.3</v>
      </c>
      <c r="AC96" s="71" t="s">
        <v>89</v>
      </c>
      <c r="AD96" s="72">
        <v>16956.0</v>
      </c>
      <c r="AE96" s="73">
        <v>16956.0</v>
      </c>
      <c r="AF96" s="74">
        <v>43826.0</v>
      </c>
      <c r="AG96" s="73">
        <v>7.0</v>
      </c>
      <c r="AH96" s="75">
        <f t="shared" si="30"/>
        <v>45957</v>
      </c>
      <c r="AI96" s="74">
        <f t="shared" si="31"/>
        <v>46018</v>
      </c>
      <c r="AJ96" s="74">
        <f t="shared" si="32"/>
        <v>46383</v>
      </c>
      <c r="AK96" s="74"/>
      <c r="AL96" s="74"/>
      <c r="AM96" s="76"/>
      <c r="AN96" s="76"/>
      <c r="AO96" s="76"/>
      <c r="AP96" s="76"/>
      <c r="AQ96" s="76"/>
      <c r="AR96" s="65" t="s">
        <v>82</v>
      </c>
      <c r="AS96" s="65"/>
      <c r="AT96" s="65"/>
      <c r="AU96" s="77"/>
      <c r="AV96" s="78"/>
      <c r="AW96" s="79"/>
      <c r="AX96" s="110"/>
      <c r="AY96" s="81"/>
      <c r="AZ96" s="221"/>
      <c r="BA96" s="84"/>
      <c r="BB96" s="85"/>
      <c r="BC96" s="86"/>
      <c r="BD96" s="86"/>
      <c r="BE96" s="76"/>
      <c r="BF96" s="82"/>
      <c r="BG96" s="83"/>
    </row>
    <row r="97" ht="42.0" customHeight="1">
      <c r="A97" s="220">
        <v>91.0</v>
      </c>
      <c r="B97" s="65">
        <v>29682.0</v>
      </c>
      <c r="C97" s="66" t="s">
        <v>611</v>
      </c>
      <c r="D97" s="66" t="s">
        <v>629</v>
      </c>
      <c r="E97" s="66" t="s">
        <v>630</v>
      </c>
      <c r="F97" s="67" t="s">
        <v>631</v>
      </c>
      <c r="G97" s="65">
        <v>8704.0</v>
      </c>
      <c r="H97" s="65"/>
      <c r="I97" s="65" t="s">
        <v>632</v>
      </c>
      <c r="J97" s="65" t="s">
        <v>79</v>
      </c>
      <c r="K97" s="65"/>
      <c r="L97" s="65"/>
      <c r="M97" s="65"/>
      <c r="N97" s="66" t="s">
        <v>80</v>
      </c>
      <c r="O97" s="65" t="s">
        <v>81</v>
      </c>
      <c r="P97" s="68" t="s">
        <v>82</v>
      </c>
      <c r="Q97" s="66" t="s">
        <v>83</v>
      </c>
      <c r="R97" s="66" t="s">
        <v>84</v>
      </c>
      <c r="S97" s="65" t="s">
        <v>85</v>
      </c>
      <c r="T97" s="65" t="s">
        <v>86</v>
      </c>
      <c r="U97" s="65" t="s">
        <v>86</v>
      </c>
      <c r="V97" s="65" t="s">
        <v>86</v>
      </c>
      <c r="W97" s="65">
        <v>170.0</v>
      </c>
      <c r="X97" s="65" t="s">
        <v>87</v>
      </c>
      <c r="Y97" s="69"/>
      <c r="Z97" s="69"/>
      <c r="AA97" s="69"/>
      <c r="AB97" s="70">
        <v>0.16</v>
      </c>
      <c r="AC97" s="71" t="str">
        <f>IF(AJ97&gt;TODAY(),"Si","No")</f>
        <v>Si</v>
      </c>
      <c r="AD97" s="72">
        <v>9823.0</v>
      </c>
      <c r="AE97" s="73">
        <v>9823.0</v>
      </c>
      <c r="AF97" s="74">
        <v>43998.0</v>
      </c>
      <c r="AG97" s="73">
        <v>7.0</v>
      </c>
      <c r="AH97" s="75">
        <f t="shared" si="30"/>
        <v>46128</v>
      </c>
      <c r="AI97" s="74">
        <f t="shared" si="31"/>
        <v>46189</v>
      </c>
      <c r="AJ97" s="74">
        <f t="shared" si="32"/>
        <v>46554</v>
      </c>
      <c r="AK97" s="74"/>
      <c r="AL97" s="74"/>
      <c r="AM97" s="76" t="s">
        <v>633</v>
      </c>
      <c r="AN97" s="76">
        <v>3.0</v>
      </c>
      <c r="AO97" s="76"/>
      <c r="AP97" s="76"/>
      <c r="AQ97" s="76"/>
      <c r="AR97" s="65" t="s">
        <v>89</v>
      </c>
      <c r="AS97" s="65"/>
      <c r="AT97" s="65" t="str">
        <f>'Rutas AAC'!AE148</f>
        <v> </v>
      </c>
      <c r="AU97" s="77"/>
      <c r="AV97" s="78"/>
      <c r="AW97" s="79"/>
      <c r="AX97" s="110"/>
      <c r="AY97" s="81"/>
      <c r="AZ97" s="81"/>
      <c r="BA97" s="84"/>
      <c r="BB97" s="222"/>
      <c r="BC97" s="92"/>
      <c r="BD97" s="92"/>
      <c r="BE97" s="76">
        <v>2018.0</v>
      </c>
      <c r="BF97" s="123"/>
      <c r="BG97" s="83"/>
    </row>
    <row r="98" ht="42.0" customHeight="1">
      <c r="A98" s="220">
        <v>92.0</v>
      </c>
      <c r="B98" s="65"/>
      <c r="C98" s="101" t="s">
        <v>611</v>
      </c>
      <c r="D98" s="191" t="s">
        <v>634</v>
      </c>
      <c r="E98" s="101" t="s">
        <v>635</v>
      </c>
      <c r="F98" s="192" t="s">
        <v>636</v>
      </c>
      <c r="G98" s="65"/>
      <c r="H98" s="65"/>
      <c r="I98" s="151" t="s">
        <v>637</v>
      </c>
      <c r="J98" s="151" t="s">
        <v>79</v>
      </c>
      <c r="K98" s="65"/>
      <c r="L98" s="65"/>
      <c r="M98" s="65"/>
      <c r="N98" s="101" t="s">
        <v>80</v>
      </c>
      <c r="O98" s="151" t="s">
        <v>81</v>
      </c>
      <c r="P98" s="193" t="s">
        <v>82</v>
      </c>
      <c r="Q98" s="101" t="s">
        <v>83</v>
      </c>
      <c r="R98" s="101" t="s">
        <v>84</v>
      </c>
      <c r="S98" s="151" t="s">
        <v>638</v>
      </c>
      <c r="T98" s="151" t="s">
        <v>86</v>
      </c>
      <c r="U98" s="151" t="s">
        <v>86</v>
      </c>
      <c r="V98" s="151" t="s">
        <v>86</v>
      </c>
      <c r="W98" s="151">
        <v>136.0</v>
      </c>
      <c r="X98" s="151" t="s">
        <v>639</v>
      </c>
      <c r="Y98" s="107"/>
      <c r="Z98" s="69"/>
      <c r="AA98" s="69"/>
      <c r="AB98" s="194">
        <v>1.0</v>
      </c>
      <c r="AC98" s="155" t="s">
        <v>300</v>
      </c>
      <c r="AD98" s="223" t="s">
        <v>640</v>
      </c>
      <c r="AE98" s="196">
        <v>9385.0</v>
      </c>
      <c r="AF98" s="197">
        <v>46113.0</v>
      </c>
      <c r="AG98" s="196" t="s">
        <v>641</v>
      </c>
      <c r="AH98" s="75"/>
      <c r="AI98" s="74"/>
      <c r="AJ98" s="74"/>
      <c r="AK98" s="74"/>
      <c r="AL98" s="74"/>
      <c r="AM98" s="76"/>
      <c r="AN98" s="76"/>
      <c r="AO98" s="76"/>
      <c r="AP98" s="76"/>
      <c r="AQ98" s="76"/>
      <c r="AR98" s="65"/>
      <c r="AS98" s="65"/>
      <c r="AT98" s="65"/>
      <c r="AU98" s="77"/>
      <c r="AV98" s="78"/>
      <c r="AW98" s="79"/>
      <c r="AX98" s="103"/>
      <c r="AY98" s="79"/>
      <c r="AZ98" s="79"/>
      <c r="BA98" s="84"/>
      <c r="BB98" s="85"/>
      <c r="BC98" s="86"/>
      <c r="BD98" s="86"/>
      <c r="BE98" s="76"/>
      <c r="BF98" s="217"/>
      <c r="BG98" s="83"/>
    </row>
    <row r="99" ht="42.0" customHeight="1">
      <c r="A99" s="220">
        <v>93.0</v>
      </c>
      <c r="B99" s="65">
        <v>29685.0</v>
      </c>
      <c r="C99" s="66" t="s">
        <v>611</v>
      </c>
      <c r="D99" s="66" t="s">
        <v>642</v>
      </c>
      <c r="E99" s="66" t="s">
        <v>643</v>
      </c>
      <c r="F99" s="67" t="s">
        <v>644</v>
      </c>
      <c r="G99" s="65">
        <v>4730.0</v>
      </c>
      <c r="H99" s="65"/>
      <c r="I99" s="65" t="s">
        <v>645</v>
      </c>
      <c r="J99" s="65" t="s">
        <v>94</v>
      </c>
      <c r="K99" s="65"/>
      <c r="L99" s="65"/>
      <c r="M99" s="65"/>
      <c r="N99" s="66" t="s">
        <v>80</v>
      </c>
      <c r="O99" s="65" t="s">
        <v>81</v>
      </c>
      <c r="P99" s="68" t="s">
        <v>82</v>
      </c>
      <c r="Q99" s="66" t="s">
        <v>148</v>
      </c>
      <c r="R99" s="66" t="s">
        <v>96</v>
      </c>
      <c r="S99" s="65" t="s">
        <v>85</v>
      </c>
      <c r="T99" s="65" t="s">
        <v>97</v>
      </c>
      <c r="U99" s="65" t="s">
        <v>86</v>
      </c>
      <c r="V99" s="65">
        <v>24.0</v>
      </c>
      <c r="W99" s="65">
        <v>24.0</v>
      </c>
      <c r="X99" s="65" t="s">
        <v>156</v>
      </c>
      <c r="Y99" s="89" t="s">
        <v>646</v>
      </c>
      <c r="Z99" s="69"/>
      <c r="AA99" s="69"/>
      <c r="AB99" s="70">
        <v>0.15</v>
      </c>
      <c r="AC99" s="71" t="str">
        <f>IF(AJ99&gt;TODAY(),"Si","No")</f>
        <v>Si</v>
      </c>
      <c r="AD99" s="72">
        <v>14165.0</v>
      </c>
      <c r="AE99" s="73">
        <v>14165.0</v>
      </c>
      <c r="AF99" s="74">
        <v>44047.0</v>
      </c>
      <c r="AG99" s="73">
        <v>7.0</v>
      </c>
      <c r="AH99" s="75">
        <f t="shared" ref="AH99:AH124" si="52">EDATE(AF99,(AG99*12)-14)</f>
        <v>46177</v>
      </c>
      <c r="AI99" s="74">
        <f t="shared" ref="AI99:AI124" si="53">EDATE(AF99,(AG99*12)-12)</f>
        <v>46238</v>
      </c>
      <c r="AJ99" s="74">
        <f t="shared" ref="AJ99:AJ124" si="54">EDATE(AF99,AG99*12)</f>
        <v>46603</v>
      </c>
      <c r="AK99" s="74"/>
      <c r="AL99" s="74"/>
      <c r="AM99" s="76" t="s">
        <v>647</v>
      </c>
      <c r="AN99" s="76">
        <v>2.0</v>
      </c>
      <c r="AO99" s="76"/>
      <c r="AP99" s="76"/>
      <c r="AQ99" s="76"/>
      <c r="AR99" s="65" t="s">
        <v>86</v>
      </c>
      <c r="AS99" s="65"/>
      <c r="AT99" s="65" t="str">
        <f>'Rutas AAC'!AE147</f>
        <v> </v>
      </c>
      <c r="AU99" s="77" t="s">
        <v>86</v>
      </c>
      <c r="AV99" s="78" t="s">
        <v>86</v>
      </c>
      <c r="AW99" s="79" t="s">
        <v>86</v>
      </c>
      <c r="AX99" s="103" t="s">
        <v>86</v>
      </c>
      <c r="AY99" s="79" t="s">
        <v>86</v>
      </c>
      <c r="AZ99" s="79" t="s">
        <v>86</v>
      </c>
      <c r="BA99" s="84"/>
      <c r="BB99" s="85"/>
      <c r="BC99" s="86"/>
      <c r="BD99" s="86"/>
      <c r="BE99" s="76"/>
      <c r="BF99" s="217"/>
      <c r="BG99" s="83"/>
    </row>
    <row r="100" ht="42.0" customHeight="1">
      <c r="A100" s="220">
        <v>94.0</v>
      </c>
      <c r="B100" s="65">
        <v>27478.0</v>
      </c>
      <c r="C100" s="66" t="s">
        <v>611</v>
      </c>
      <c r="D100" s="66" t="s">
        <v>648</v>
      </c>
      <c r="E100" s="66" t="s">
        <v>649</v>
      </c>
      <c r="F100" s="67" t="s">
        <v>650</v>
      </c>
      <c r="G100" s="65">
        <v>102471.0</v>
      </c>
      <c r="H100" s="65"/>
      <c r="I100" s="65" t="s">
        <v>632</v>
      </c>
      <c r="J100" s="65" t="s">
        <v>79</v>
      </c>
      <c r="K100" s="65"/>
      <c r="L100" s="65"/>
      <c r="M100" s="65"/>
      <c r="N100" s="66" t="s">
        <v>337</v>
      </c>
      <c r="O100" s="65" t="s">
        <v>147</v>
      </c>
      <c r="P100" s="68" t="s">
        <v>89</v>
      </c>
      <c r="Q100" s="66" t="s">
        <v>83</v>
      </c>
      <c r="R100" s="66" t="s">
        <v>84</v>
      </c>
      <c r="S100" s="65" t="s">
        <v>85</v>
      </c>
      <c r="T100" s="65" t="s">
        <v>86</v>
      </c>
      <c r="U100" s="65" t="s">
        <v>86</v>
      </c>
      <c r="V100" s="65" t="s">
        <v>86</v>
      </c>
      <c r="W100" s="65">
        <v>177.0</v>
      </c>
      <c r="X100" s="65" t="s">
        <v>87</v>
      </c>
      <c r="Y100" s="69"/>
      <c r="Z100" s="69"/>
      <c r="AA100" s="69"/>
      <c r="AB100" s="70">
        <v>0.35</v>
      </c>
      <c r="AC100" s="71" t="s">
        <v>89</v>
      </c>
      <c r="AD100" s="72">
        <v>17486.0</v>
      </c>
      <c r="AE100" s="73">
        <v>17486.0</v>
      </c>
      <c r="AF100" s="74">
        <v>44095.0</v>
      </c>
      <c r="AG100" s="73">
        <v>7.0</v>
      </c>
      <c r="AH100" s="75">
        <f t="shared" si="52"/>
        <v>46224</v>
      </c>
      <c r="AI100" s="74">
        <f t="shared" si="53"/>
        <v>46286</v>
      </c>
      <c r="AJ100" s="74">
        <f t="shared" si="54"/>
        <v>46651</v>
      </c>
      <c r="AK100" s="74"/>
      <c r="AL100" s="74"/>
      <c r="AM100" s="76" t="s">
        <v>651</v>
      </c>
      <c r="AN100" s="76"/>
      <c r="AO100" s="76"/>
      <c r="AP100" s="76"/>
      <c r="AQ100" s="76"/>
      <c r="AR100" s="65" t="s">
        <v>82</v>
      </c>
      <c r="AS100" s="65"/>
      <c r="AT100" s="65" t="s">
        <v>279</v>
      </c>
      <c r="AU100" s="77"/>
      <c r="AV100" s="78"/>
      <c r="AW100" s="79"/>
      <c r="AX100" s="110"/>
      <c r="AY100" s="81"/>
      <c r="AZ100" s="81"/>
      <c r="BA100" s="84"/>
      <c r="BB100" s="85"/>
      <c r="BC100" s="86"/>
      <c r="BD100" s="86"/>
      <c r="BE100" s="76">
        <v>2013.0</v>
      </c>
      <c r="BF100" s="82"/>
      <c r="BG100" s="83"/>
    </row>
    <row r="101" ht="42.0" customHeight="1">
      <c r="A101" s="220">
        <v>95.0</v>
      </c>
      <c r="B101" s="65">
        <v>35329.0</v>
      </c>
      <c r="C101" s="66" t="s">
        <v>611</v>
      </c>
      <c r="D101" s="66" t="s">
        <v>652</v>
      </c>
      <c r="E101" s="66" t="s">
        <v>653</v>
      </c>
      <c r="F101" s="67" t="s">
        <v>654</v>
      </c>
      <c r="G101" s="65">
        <v>104528.0</v>
      </c>
      <c r="H101" s="65"/>
      <c r="I101" s="65" t="s">
        <v>228</v>
      </c>
      <c r="J101" s="65" t="s">
        <v>79</v>
      </c>
      <c r="K101" s="65"/>
      <c r="L101" s="65"/>
      <c r="M101" s="65"/>
      <c r="N101" s="66" t="s">
        <v>80</v>
      </c>
      <c r="O101" s="65" t="s">
        <v>81</v>
      </c>
      <c r="P101" s="68" t="s">
        <v>82</v>
      </c>
      <c r="Q101" s="66" t="s">
        <v>95</v>
      </c>
      <c r="R101" s="66" t="s">
        <v>96</v>
      </c>
      <c r="S101" s="65" t="s">
        <v>85</v>
      </c>
      <c r="T101" s="65" t="s">
        <v>97</v>
      </c>
      <c r="U101" s="65" t="s">
        <v>86</v>
      </c>
      <c r="V101" s="65">
        <v>48.0</v>
      </c>
      <c r="W101" s="65">
        <v>48.0</v>
      </c>
      <c r="X101" s="65" t="s">
        <v>98</v>
      </c>
      <c r="Y101" s="69"/>
      <c r="Z101" s="69"/>
      <c r="AA101" s="69"/>
      <c r="AB101" s="70">
        <v>0.3</v>
      </c>
      <c r="AC101" s="71" t="str">
        <f t="shared" ref="AC101:AC103" si="55">IF(AJ101&gt;TODAY(),"Si","No")</f>
        <v>Si</v>
      </c>
      <c r="AD101" s="122">
        <v>19205.0</v>
      </c>
      <c r="AE101" s="73">
        <v>19205.0</v>
      </c>
      <c r="AF101" s="74">
        <v>44480.0</v>
      </c>
      <c r="AG101" s="73">
        <v>7.0</v>
      </c>
      <c r="AH101" s="75">
        <f t="shared" si="52"/>
        <v>46610</v>
      </c>
      <c r="AI101" s="74">
        <f t="shared" si="53"/>
        <v>46671</v>
      </c>
      <c r="AJ101" s="74">
        <f t="shared" si="54"/>
        <v>47037</v>
      </c>
      <c r="AK101" s="74"/>
      <c r="AL101" s="74"/>
      <c r="AM101" s="76" t="s">
        <v>655</v>
      </c>
      <c r="AN101" s="76">
        <v>2.0</v>
      </c>
      <c r="AO101" s="76"/>
      <c r="AP101" s="76"/>
      <c r="AQ101" s="76"/>
      <c r="AR101" s="65" t="s">
        <v>82</v>
      </c>
      <c r="AS101" s="65"/>
      <c r="AT101" s="65" t="str">
        <f>'Rutas AAC'!AE153</f>
        <v> </v>
      </c>
      <c r="AU101" s="77"/>
      <c r="AV101" s="78"/>
      <c r="AW101" s="79"/>
      <c r="AX101" s="110"/>
      <c r="AY101" s="81"/>
      <c r="AZ101" s="124"/>
      <c r="BA101" s="84"/>
      <c r="BB101" s="85"/>
      <c r="BC101" s="86"/>
      <c r="BD101" s="86"/>
      <c r="BE101" s="76"/>
      <c r="BF101" s="82"/>
      <c r="BG101" s="83"/>
    </row>
    <row r="102" ht="42.0" customHeight="1">
      <c r="A102" s="220">
        <v>96.0</v>
      </c>
      <c r="B102" s="65">
        <v>35417.0</v>
      </c>
      <c r="C102" s="66" t="s">
        <v>611</v>
      </c>
      <c r="D102" s="212" t="s">
        <v>656</v>
      </c>
      <c r="E102" s="212" t="s">
        <v>657</v>
      </c>
      <c r="F102" s="67" t="s">
        <v>658</v>
      </c>
      <c r="G102" s="88">
        <v>104611.0</v>
      </c>
      <c r="H102" s="88"/>
      <c r="I102" s="88" t="s">
        <v>228</v>
      </c>
      <c r="J102" s="88" t="s">
        <v>79</v>
      </c>
      <c r="K102" s="88"/>
      <c r="L102" s="88"/>
      <c r="M102" s="88"/>
      <c r="N102" s="66" t="s">
        <v>80</v>
      </c>
      <c r="O102" s="65" t="s">
        <v>81</v>
      </c>
      <c r="P102" s="68" t="s">
        <v>82</v>
      </c>
      <c r="Q102" s="66" t="s">
        <v>95</v>
      </c>
      <c r="R102" s="66" t="s">
        <v>96</v>
      </c>
      <c r="S102" s="65" t="s">
        <v>85</v>
      </c>
      <c r="T102" s="65" t="s">
        <v>97</v>
      </c>
      <c r="U102" s="65" t="s">
        <v>86</v>
      </c>
      <c r="V102" s="65">
        <v>49.0</v>
      </c>
      <c r="W102" s="65">
        <v>49.0</v>
      </c>
      <c r="X102" s="65" t="s">
        <v>98</v>
      </c>
      <c r="Y102" s="69"/>
      <c r="Z102" s="69"/>
      <c r="AA102" s="69"/>
      <c r="AB102" s="70">
        <v>0.3</v>
      </c>
      <c r="AC102" s="71" t="str">
        <f t="shared" si="55"/>
        <v>Si</v>
      </c>
      <c r="AD102" s="72">
        <v>19206.0</v>
      </c>
      <c r="AE102" s="73">
        <v>19206.0</v>
      </c>
      <c r="AF102" s="74">
        <v>44480.0</v>
      </c>
      <c r="AG102" s="73">
        <v>7.0</v>
      </c>
      <c r="AH102" s="75">
        <f t="shared" si="52"/>
        <v>46610</v>
      </c>
      <c r="AI102" s="74">
        <f t="shared" si="53"/>
        <v>46671</v>
      </c>
      <c r="AJ102" s="74">
        <f t="shared" si="54"/>
        <v>47037</v>
      </c>
      <c r="AK102" s="74"/>
      <c r="AL102" s="74"/>
      <c r="AM102" s="76" t="s">
        <v>659</v>
      </c>
      <c r="AN102" s="76">
        <v>2.0</v>
      </c>
      <c r="AO102" s="76"/>
      <c r="AP102" s="76"/>
      <c r="AQ102" s="76"/>
      <c r="AR102" s="65" t="s">
        <v>82</v>
      </c>
      <c r="AS102" s="65"/>
      <c r="AT102" s="65" t="str">
        <f>'Rutas AAC'!AE154</f>
        <v> </v>
      </c>
      <c r="AU102" s="77"/>
      <c r="AV102" s="78"/>
      <c r="AW102" s="79"/>
      <c r="AX102" s="110"/>
      <c r="AY102" s="81"/>
      <c r="AZ102" s="124"/>
      <c r="BA102" s="84"/>
      <c r="BB102" s="85"/>
      <c r="BC102" s="86"/>
      <c r="BD102" s="86"/>
      <c r="BE102" s="76"/>
      <c r="BF102" s="87"/>
      <c r="BG102" s="83" t="s">
        <v>660</v>
      </c>
    </row>
    <row r="103" ht="42.0" customHeight="1">
      <c r="A103" s="220">
        <v>97.0</v>
      </c>
      <c r="B103" s="65">
        <v>31611.0</v>
      </c>
      <c r="C103" s="66" t="s">
        <v>611</v>
      </c>
      <c r="D103" s="66" t="s">
        <v>661</v>
      </c>
      <c r="E103" s="66" t="s">
        <v>662</v>
      </c>
      <c r="F103" s="67" t="s">
        <v>663</v>
      </c>
      <c r="G103" s="65">
        <v>222.0</v>
      </c>
      <c r="H103" s="65"/>
      <c r="I103" s="65" t="s">
        <v>228</v>
      </c>
      <c r="J103" s="65" t="s">
        <v>94</v>
      </c>
      <c r="K103" s="65"/>
      <c r="L103" s="65"/>
      <c r="M103" s="65"/>
      <c r="N103" s="66" t="s">
        <v>80</v>
      </c>
      <c r="O103" s="65" t="s">
        <v>81</v>
      </c>
      <c r="P103" s="68" t="s">
        <v>82</v>
      </c>
      <c r="Q103" s="66" t="s">
        <v>664</v>
      </c>
      <c r="R103" s="66" t="s">
        <v>84</v>
      </c>
      <c r="S103" s="65" t="s">
        <v>85</v>
      </c>
      <c r="T103" s="65" t="s">
        <v>86</v>
      </c>
      <c r="U103" s="65" t="s">
        <v>86</v>
      </c>
      <c r="V103" s="65" t="s">
        <v>86</v>
      </c>
      <c r="W103" s="65">
        <v>95.0</v>
      </c>
      <c r="X103" s="65" t="s">
        <v>665</v>
      </c>
      <c r="Y103" s="89" t="s">
        <v>666</v>
      </c>
      <c r="Z103" s="69"/>
      <c r="AA103" s="138" t="s">
        <v>667</v>
      </c>
      <c r="AB103" s="70">
        <v>0.1</v>
      </c>
      <c r="AC103" s="71" t="str">
        <f t="shared" si="55"/>
        <v>Si</v>
      </c>
      <c r="AD103" s="72">
        <v>19316.0</v>
      </c>
      <c r="AE103" s="73">
        <v>19316.0</v>
      </c>
      <c r="AF103" s="74">
        <v>44482.0</v>
      </c>
      <c r="AG103" s="73">
        <v>7.0</v>
      </c>
      <c r="AH103" s="75">
        <f t="shared" si="52"/>
        <v>46612</v>
      </c>
      <c r="AI103" s="74">
        <f t="shared" si="53"/>
        <v>46673</v>
      </c>
      <c r="AJ103" s="74">
        <f t="shared" si="54"/>
        <v>47039</v>
      </c>
      <c r="AK103" s="74"/>
      <c r="AL103" s="74"/>
      <c r="AM103" s="76" t="s">
        <v>668</v>
      </c>
      <c r="AN103" s="76">
        <v>3.0</v>
      </c>
      <c r="AO103" s="76"/>
      <c r="AP103" s="76"/>
      <c r="AQ103" s="76"/>
      <c r="AR103" s="65" t="s">
        <v>89</v>
      </c>
      <c r="AS103" s="65"/>
      <c r="AT103" s="65" t="str">
        <f>'Rutas AAC'!AE144</f>
        <v> </v>
      </c>
      <c r="AU103" s="77"/>
      <c r="AV103" s="78"/>
      <c r="AW103" s="79"/>
      <c r="AX103" s="110"/>
      <c r="AY103" s="81"/>
      <c r="AZ103" s="81"/>
      <c r="BA103" s="84"/>
      <c r="BB103" s="85"/>
      <c r="BC103" s="86"/>
      <c r="BD103" s="86"/>
      <c r="BE103" s="76"/>
      <c r="BF103" s="82"/>
      <c r="BG103" s="83"/>
    </row>
    <row r="104" ht="42.0" customHeight="1">
      <c r="A104" s="220">
        <v>98.0</v>
      </c>
      <c r="B104" s="151"/>
      <c r="C104" s="66" t="s">
        <v>611</v>
      </c>
      <c r="D104" s="66" t="s">
        <v>669</v>
      </c>
      <c r="E104" s="66" t="s">
        <v>670</v>
      </c>
      <c r="F104" s="67" t="s">
        <v>671</v>
      </c>
      <c r="G104" s="65" t="s">
        <v>672</v>
      </c>
      <c r="H104" s="65"/>
      <c r="I104" s="65" t="s">
        <v>78</v>
      </c>
      <c r="J104" s="65" t="s">
        <v>94</v>
      </c>
      <c r="K104" s="65"/>
      <c r="L104" s="65"/>
      <c r="M104" s="65"/>
      <c r="N104" s="66" t="s">
        <v>80</v>
      </c>
      <c r="O104" s="65" t="s">
        <v>81</v>
      </c>
      <c r="P104" s="68" t="s">
        <v>82</v>
      </c>
      <c r="Q104" s="66" t="s">
        <v>95</v>
      </c>
      <c r="R104" s="66" t="s">
        <v>96</v>
      </c>
      <c r="S104" s="65" t="s">
        <v>85</v>
      </c>
      <c r="T104" s="65" t="s">
        <v>97</v>
      </c>
      <c r="U104" s="65">
        <v>48.0</v>
      </c>
      <c r="V104" s="65">
        <v>48.0</v>
      </c>
      <c r="W104" s="65">
        <v>96.0</v>
      </c>
      <c r="X104" s="65" t="s">
        <v>98</v>
      </c>
      <c r="Y104" s="69"/>
      <c r="Z104" s="69"/>
      <c r="AA104" s="69"/>
      <c r="AB104" s="70">
        <v>0.3</v>
      </c>
      <c r="AC104" s="71" t="s">
        <v>540</v>
      </c>
      <c r="AD104" s="72">
        <v>23675.0</v>
      </c>
      <c r="AE104" s="73">
        <v>23675.0</v>
      </c>
      <c r="AF104" s="74">
        <v>44540.0</v>
      </c>
      <c r="AG104" s="73">
        <v>7.0</v>
      </c>
      <c r="AH104" s="75">
        <f t="shared" si="52"/>
        <v>46670</v>
      </c>
      <c r="AI104" s="74">
        <f t="shared" si="53"/>
        <v>46731</v>
      </c>
      <c r="AJ104" s="74">
        <f t="shared" si="54"/>
        <v>47097</v>
      </c>
      <c r="AK104" s="74"/>
      <c r="AL104" s="74"/>
      <c r="AM104" s="76"/>
      <c r="AN104" s="76"/>
      <c r="AO104" s="76"/>
      <c r="AP104" s="76"/>
      <c r="AQ104" s="76"/>
      <c r="AR104" s="65"/>
      <c r="AS104" s="65"/>
      <c r="AT104" s="65"/>
      <c r="AU104" s="77"/>
      <c r="AV104" s="78"/>
      <c r="AW104" s="79"/>
      <c r="AX104" s="110"/>
      <c r="AY104" s="81"/>
      <c r="AZ104" s="81"/>
      <c r="BA104" s="84"/>
      <c r="BB104" s="222"/>
      <c r="BC104" s="92"/>
      <c r="BD104" s="92"/>
      <c r="BE104" s="76"/>
      <c r="BF104" s="123"/>
      <c r="BG104" s="83"/>
    </row>
    <row r="105" ht="42.0" customHeight="1">
      <c r="A105" s="220">
        <v>99.0</v>
      </c>
      <c r="B105" s="65">
        <v>35300.0</v>
      </c>
      <c r="C105" s="66" t="s">
        <v>611</v>
      </c>
      <c r="D105" s="66" t="s">
        <v>669</v>
      </c>
      <c r="E105" s="66" t="s">
        <v>670</v>
      </c>
      <c r="F105" s="67" t="s">
        <v>671</v>
      </c>
      <c r="G105" s="65" t="s">
        <v>673</v>
      </c>
      <c r="H105" s="65"/>
      <c r="I105" s="65" t="s">
        <v>78</v>
      </c>
      <c r="J105" s="65" t="s">
        <v>94</v>
      </c>
      <c r="K105" s="65"/>
      <c r="L105" s="65"/>
      <c r="M105" s="65"/>
      <c r="N105" s="66" t="s">
        <v>80</v>
      </c>
      <c r="O105" s="65" t="s">
        <v>81</v>
      </c>
      <c r="P105" s="68" t="s">
        <v>82</v>
      </c>
      <c r="Q105" s="66" t="s">
        <v>95</v>
      </c>
      <c r="R105" s="66" t="s">
        <v>96</v>
      </c>
      <c r="S105" s="65" t="s">
        <v>85</v>
      </c>
      <c r="T105" s="65" t="s">
        <v>624</v>
      </c>
      <c r="U105" s="65">
        <v>48.0</v>
      </c>
      <c r="V105" s="65">
        <v>48.0</v>
      </c>
      <c r="W105" s="65">
        <v>96.0</v>
      </c>
      <c r="X105" s="65" t="s">
        <v>98</v>
      </c>
      <c r="Y105" s="69"/>
      <c r="Z105" s="69"/>
      <c r="AA105" s="69"/>
      <c r="AB105" s="70">
        <v>0.3</v>
      </c>
      <c r="AC105" s="71" t="str">
        <f t="shared" ref="AC105:AC113" si="56">IF(AJ105&gt;TODAY(),"Si","No")</f>
        <v>Si</v>
      </c>
      <c r="AD105" s="224" t="s">
        <v>674</v>
      </c>
      <c r="AE105" s="73" t="s">
        <v>674</v>
      </c>
      <c r="AF105" s="74">
        <v>44540.0</v>
      </c>
      <c r="AG105" s="73">
        <v>7.0</v>
      </c>
      <c r="AH105" s="75">
        <f t="shared" si="52"/>
        <v>46670</v>
      </c>
      <c r="AI105" s="74">
        <f t="shared" si="53"/>
        <v>46731</v>
      </c>
      <c r="AJ105" s="74">
        <f t="shared" si="54"/>
        <v>47097</v>
      </c>
      <c r="AK105" s="74"/>
      <c r="AL105" s="74"/>
      <c r="AM105" s="65" t="s">
        <v>675</v>
      </c>
      <c r="AN105" s="65">
        <v>4.0</v>
      </c>
      <c r="AO105" s="65"/>
      <c r="AP105" s="65"/>
      <c r="AQ105" s="65"/>
      <c r="AR105" s="65" t="s">
        <v>82</v>
      </c>
      <c r="AS105" s="65"/>
      <c r="AT105" s="65" t="str">
        <f>'Rutas AAC'!AE152</f>
        <v> </v>
      </c>
      <c r="AU105" s="77"/>
      <c r="AV105" s="78"/>
      <c r="AW105" s="79"/>
      <c r="AX105" s="110"/>
      <c r="AY105" s="81"/>
      <c r="AZ105" s="81"/>
      <c r="BA105" s="84"/>
      <c r="BB105" s="225"/>
      <c r="BC105" s="88"/>
      <c r="BD105" s="88"/>
      <c r="BE105" s="65"/>
      <c r="BF105" s="87"/>
      <c r="BG105" s="83" t="s">
        <v>676</v>
      </c>
    </row>
    <row r="106" ht="42.0" customHeight="1">
      <c r="A106" s="220">
        <v>100.0</v>
      </c>
      <c r="B106" s="88">
        <v>38311.0</v>
      </c>
      <c r="C106" s="66" t="s">
        <v>611</v>
      </c>
      <c r="D106" s="212" t="s">
        <v>677</v>
      </c>
      <c r="E106" s="212" t="s">
        <v>678</v>
      </c>
      <c r="F106" s="67" t="s">
        <v>679</v>
      </c>
      <c r="G106" s="65">
        <v>105455.0</v>
      </c>
      <c r="H106" s="65"/>
      <c r="I106" s="65" t="s">
        <v>365</v>
      </c>
      <c r="J106" s="65" t="s">
        <v>94</v>
      </c>
      <c r="K106" s="65"/>
      <c r="L106" s="65"/>
      <c r="M106" s="65"/>
      <c r="N106" s="66" t="s">
        <v>80</v>
      </c>
      <c r="O106" s="65" t="s">
        <v>322</v>
      </c>
      <c r="P106" s="68" t="s">
        <v>82</v>
      </c>
      <c r="Q106" s="66" t="s">
        <v>95</v>
      </c>
      <c r="R106" s="66" t="s">
        <v>96</v>
      </c>
      <c r="S106" s="65" t="s">
        <v>85</v>
      </c>
      <c r="T106" s="65" t="s">
        <v>162</v>
      </c>
      <c r="U106" s="65">
        <v>48.0</v>
      </c>
      <c r="V106" s="65">
        <v>48.0</v>
      </c>
      <c r="W106" s="65">
        <v>96.0</v>
      </c>
      <c r="X106" s="65" t="s">
        <v>163</v>
      </c>
      <c r="Y106" s="69"/>
      <c r="Z106" s="69"/>
      <c r="AA106" s="69"/>
      <c r="AB106" s="70">
        <v>0.5</v>
      </c>
      <c r="AC106" s="71" t="str">
        <f t="shared" si="56"/>
        <v>Si</v>
      </c>
      <c r="AD106" s="72">
        <v>11559.0</v>
      </c>
      <c r="AE106" s="73">
        <v>11559.0</v>
      </c>
      <c r="AF106" s="74">
        <v>44735.0</v>
      </c>
      <c r="AG106" s="73">
        <v>7.0</v>
      </c>
      <c r="AH106" s="75">
        <f t="shared" si="52"/>
        <v>46866</v>
      </c>
      <c r="AI106" s="74">
        <f t="shared" si="53"/>
        <v>46927</v>
      </c>
      <c r="AJ106" s="74">
        <f t="shared" si="54"/>
        <v>47292</v>
      </c>
      <c r="AK106" s="74"/>
      <c r="AL106" s="74"/>
      <c r="AM106" s="76" t="s">
        <v>680</v>
      </c>
      <c r="AN106" s="76">
        <v>2.0</v>
      </c>
      <c r="AO106" s="76"/>
      <c r="AP106" s="76"/>
      <c r="AQ106" s="76"/>
      <c r="AR106" s="65" t="s">
        <v>82</v>
      </c>
      <c r="AS106" s="65"/>
      <c r="AT106" s="65" t="str">
        <f>'Rutas AAC'!AE155</f>
        <v> </v>
      </c>
      <c r="AU106" s="77"/>
      <c r="AV106" s="78"/>
      <c r="AW106" s="79"/>
      <c r="AX106" s="110"/>
      <c r="AY106" s="81"/>
      <c r="AZ106" s="221"/>
      <c r="BA106" s="84"/>
      <c r="BB106" s="85"/>
      <c r="BC106" s="86"/>
      <c r="BD106" s="86"/>
      <c r="BE106" s="76"/>
      <c r="BF106" s="82"/>
      <c r="BG106" s="83"/>
    </row>
    <row r="107" ht="42.0" customHeight="1">
      <c r="A107" s="220">
        <v>101.0</v>
      </c>
      <c r="B107" s="88">
        <v>37823.0</v>
      </c>
      <c r="C107" s="66" t="s">
        <v>611</v>
      </c>
      <c r="D107" s="212" t="s">
        <v>681</v>
      </c>
      <c r="E107" s="212" t="s">
        <v>682</v>
      </c>
      <c r="F107" s="67" t="s">
        <v>683</v>
      </c>
      <c r="G107" s="65">
        <v>105480.0</v>
      </c>
      <c r="H107" s="65"/>
      <c r="I107" s="65" t="s">
        <v>684</v>
      </c>
      <c r="J107" s="65" t="s">
        <v>94</v>
      </c>
      <c r="K107" s="65"/>
      <c r="L107" s="65"/>
      <c r="M107" s="65"/>
      <c r="N107" s="66" t="s">
        <v>80</v>
      </c>
      <c r="O107" s="65" t="s">
        <v>81</v>
      </c>
      <c r="P107" s="68" t="s">
        <v>82</v>
      </c>
      <c r="Q107" s="66" t="s">
        <v>148</v>
      </c>
      <c r="R107" s="66" t="s">
        <v>96</v>
      </c>
      <c r="S107" s="65" t="s">
        <v>466</v>
      </c>
      <c r="T107" s="65" t="s">
        <v>97</v>
      </c>
      <c r="U107" s="65" t="s">
        <v>86</v>
      </c>
      <c r="V107" s="65">
        <v>24.0</v>
      </c>
      <c r="W107" s="65">
        <v>24.0</v>
      </c>
      <c r="X107" s="65" t="s">
        <v>149</v>
      </c>
      <c r="Y107" s="69"/>
      <c r="Z107" s="69"/>
      <c r="AA107" s="69"/>
      <c r="AB107" s="70">
        <v>0.7</v>
      </c>
      <c r="AC107" s="71" t="str">
        <f t="shared" si="56"/>
        <v>Si</v>
      </c>
      <c r="AD107" s="72">
        <v>2574.0</v>
      </c>
      <c r="AE107" s="73">
        <v>2574.0</v>
      </c>
      <c r="AF107" s="74">
        <v>44978.0</v>
      </c>
      <c r="AG107" s="73">
        <v>7.0</v>
      </c>
      <c r="AH107" s="75">
        <f t="shared" si="52"/>
        <v>47108</v>
      </c>
      <c r="AI107" s="74">
        <f t="shared" si="53"/>
        <v>47170</v>
      </c>
      <c r="AJ107" s="74">
        <f t="shared" si="54"/>
        <v>47535</v>
      </c>
      <c r="AK107" s="74"/>
      <c r="AL107" s="74"/>
      <c r="AM107" s="76" t="s">
        <v>685</v>
      </c>
      <c r="AN107" s="76">
        <v>2.0</v>
      </c>
      <c r="AO107" s="76"/>
      <c r="AP107" s="76"/>
      <c r="AQ107" s="76"/>
      <c r="AR107" s="65" t="s">
        <v>86</v>
      </c>
      <c r="AS107" s="65"/>
      <c r="AT107" s="65" t="str">
        <f>'[6]Rutas AAC'!AE157</f>
        <v>#REF!</v>
      </c>
      <c r="AU107" s="77" t="s">
        <v>86</v>
      </c>
      <c r="AV107" s="78" t="s">
        <v>86</v>
      </c>
      <c r="AW107" s="79" t="s">
        <v>86</v>
      </c>
      <c r="AX107" s="103" t="s">
        <v>86</v>
      </c>
      <c r="AY107" s="79" t="s">
        <v>86</v>
      </c>
      <c r="AZ107" s="79" t="s">
        <v>86</v>
      </c>
      <c r="BA107" s="84"/>
      <c r="BB107" s="85"/>
      <c r="BC107" s="86"/>
      <c r="BD107" s="86"/>
      <c r="BE107" s="76"/>
      <c r="BF107" s="82"/>
      <c r="BG107" s="83"/>
    </row>
    <row r="108" ht="42.0" customHeight="1">
      <c r="A108" s="220">
        <v>102.0</v>
      </c>
      <c r="B108" s="65">
        <v>33905.0</v>
      </c>
      <c r="C108" s="66" t="s">
        <v>611</v>
      </c>
      <c r="D108" s="66" t="s">
        <v>648</v>
      </c>
      <c r="E108" s="66" t="s">
        <v>649</v>
      </c>
      <c r="F108" s="67" t="s">
        <v>650</v>
      </c>
      <c r="G108" s="65">
        <v>236.0</v>
      </c>
      <c r="H108" s="65"/>
      <c r="I108" s="65" t="s">
        <v>686</v>
      </c>
      <c r="J108" s="65" t="s">
        <v>79</v>
      </c>
      <c r="K108" s="65"/>
      <c r="L108" s="65"/>
      <c r="M108" s="65"/>
      <c r="N108" s="66" t="s">
        <v>80</v>
      </c>
      <c r="O108" s="65" t="s">
        <v>81</v>
      </c>
      <c r="P108" s="68" t="s">
        <v>82</v>
      </c>
      <c r="Q108" s="66" t="s">
        <v>83</v>
      </c>
      <c r="R108" s="66" t="s">
        <v>84</v>
      </c>
      <c r="S108" s="65" t="s">
        <v>85</v>
      </c>
      <c r="T108" s="65" t="s">
        <v>86</v>
      </c>
      <c r="U108" s="65" t="s">
        <v>86</v>
      </c>
      <c r="V108" s="65" t="s">
        <v>86</v>
      </c>
      <c r="W108" s="65">
        <v>177.0</v>
      </c>
      <c r="X108" s="65" t="s">
        <v>87</v>
      </c>
      <c r="Y108" s="69" t="s">
        <v>687</v>
      </c>
      <c r="Z108" s="69"/>
      <c r="AA108" s="69"/>
      <c r="AB108" s="70">
        <v>0.35</v>
      </c>
      <c r="AC108" s="71" t="str">
        <f t="shared" si="56"/>
        <v>Si</v>
      </c>
      <c r="AD108" s="72">
        <v>8598.0</v>
      </c>
      <c r="AE108" s="73">
        <v>8598.0</v>
      </c>
      <c r="AF108" s="74">
        <v>45071.0</v>
      </c>
      <c r="AG108" s="73">
        <v>7.0</v>
      </c>
      <c r="AH108" s="75">
        <f t="shared" si="52"/>
        <v>47202</v>
      </c>
      <c r="AI108" s="74">
        <f t="shared" si="53"/>
        <v>47263</v>
      </c>
      <c r="AJ108" s="74">
        <f t="shared" si="54"/>
        <v>47628</v>
      </c>
      <c r="AK108" s="74"/>
      <c r="AL108" s="74"/>
      <c r="AM108" s="76" t="s">
        <v>688</v>
      </c>
      <c r="AN108" s="76">
        <v>4.0</v>
      </c>
      <c r="AO108" s="76"/>
      <c r="AP108" s="76"/>
      <c r="AQ108" s="76"/>
      <c r="AR108" s="65" t="s">
        <v>89</v>
      </c>
      <c r="AS108" s="65" t="s">
        <v>89</v>
      </c>
      <c r="AT108" s="65" t="str">
        <f>'Rutas AAC'!AE145</f>
        <v> </v>
      </c>
      <c r="AU108" s="72">
        <v>8598.0</v>
      </c>
      <c r="AV108" s="90">
        <v>45071.0</v>
      </c>
      <c r="AW108" s="91">
        <v>6.0</v>
      </c>
      <c r="AX108" s="80">
        <f>EDATE(AV108,(AW108*12)-14)</f>
        <v>46837</v>
      </c>
      <c r="AY108" s="84">
        <f>EDATE(AV108,(AW108*12)-12)</f>
        <v>46898</v>
      </c>
      <c r="AZ108" s="84">
        <f>EDATE(AV108,(AW108*12))</f>
        <v>47263</v>
      </c>
      <c r="BA108" s="84">
        <f>EDATE(AV108,((AW108/2)*12))</f>
        <v>46167</v>
      </c>
      <c r="BB108" s="226" t="s">
        <v>689</v>
      </c>
      <c r="BC108" s="226">
        <v>3.0</v>
      </c>
      <c r="BD108" s="226"/>
      <c r="BE108" s="76"/>
      <c r="BF108" s="160"/>
      <c r="BG108" s="83"/>
    </row>
    <row r="109" ht="42.0" customHeight="1">
      <c r="A109" s="220">
        <v>103.0</v>
      </c>
      <c r="B109" s="65">
        <v>40454.0</v>
      </c>
      <c r="C109" s="66" t="s">
        <v>611</v>
      </c>
      <c r="D109" s="66" t="s">
        <v>690</v>
      </c>
      <c r="E109" s="66" t="s">
        <v>691</v>
      </c>
      <c r="F109" s="67" t="s">
        <v>692</v>
      </c>
      <c r="G109" s="65">
        <v>106111.0</v>
      </c>
      <c r="H109" s="65"/>
      <c r="I109" s="65" t="s">
        <v>693</v>
      </c>
      <c r="J109" s="65" t="s">
        <v>79</v>
      </c>
      <c r="K109" s="65"/>
      <c r="L109" s="65"/>
      <c r="M109" s="65"/>
      <c r="N109" s="66" t="s">
        <v>80</v>
      </c>
      <c r="O109" s="65" t="s">
        <v>81</v>
      </c>
      <c r="P109" s="68" t="s">
        <v>89</v>
      </c>
      <c r="Q109" s="66" t="s">
        <v>83</v>
      </c>
      <c r="R109" s="66" t="s">
        <v>84</v>
      </c>
      <c r="S109" s="65" t="s">
        <v>85</v>
      </c>
      <c r="T109" s="65" t="s">
        <v>86</v>
      </c>
      <c r="U109" s="65" t="s">
        <v>86</v>
      </c>
      <c r="V109" s="65" t="s">
        <v>86</v>
      </c>
      <c r="W109" s="65">
        <v>160.0</v>
      </c>
      <c r="X109" s="65" t="s">
        <v>121</v>
      </c>
      <c r="Y109" s="69"/>
      <c r="Z109" s="69"/>
      <c r="AA109" s="69"/>
      <c r="AB109" s="70">
        <v>0.2</v>
      </c>
      <c r="AC109" s="71" t="str">
        <f t="shared" si="56"/>
        <v>Si</v>
      </c>
      <c r="AD109" s="72">
        <v>17701.0</v>
      </c>
      <c r="AE109" s="73">
        <v>17701.0</v>
      </c>
      <c r="AF109" s="74">
        <v>45196.0</v>
      </c>
      <c r="AG109" s="73">
        <v>7.0</v>
      </c>
      <c r="AH109" s="75">
        <f t="shared" si="52"/>
        <v>47326</v>
      </c>
      <c r="AI109" s="74">
        <f t="shared" si="53"/>
        <v>47388</v>
      </c>
      <c r="AJ109" s="74">
        <f t="shared" si="54"/>
        <v>47753</v>
      </c>
      <c r="AK109" s="74"/>
      <c r="AL109" s="165">
        <v>45930.0</v>
      </c>
      <c r="AM109" s="76" t="s">
        <v>694</v>
      </c>
      <c r="AN109" s="76"/>
      <c r="AO109" s="76"/>
      <c r="AP109" s="76"/>
      <c r="AQ109" s="76"/>
      <c r="AR109" s="65" t="s">
        <v>82</v>
      </c>
      <c r="AS109" s="65"/>
      <c r="AT109" s="65" t="str">
        <f>'Rutas AAC'!AE159</f>
        <v> </v>
      </c>
      <c r="AU109" s="227"/>
      <c r="AV109" s="228"/>
      <c r="AW109" s="229"/>
      <c r="AX109" s="110"/>
      <c r="AY109" s="81"/>
      <c r="AZ109" s="81"/>
      <c r="BA109" s="84"/>
      <c r="BB109" s="135"/>
      <c r="BC109" s="76"/>
      <c r="BD109" s="76"/>
      <c r="BE109" s="76"/>
      <c r="BF109" s="87"/>
      <c r="BG109" s="83"/>
    </row>
    <row r="110" ht="42.0" customHeight="1">
      <c r="A110" s="230">
        <v>104.0</v>
      </c>
      <c r="B110" s="65">
        <v>25217.0</v>
      </c>
      <c r="C110" s="66" t="s">
        <v>695</v>
      </c>
      <c r="D110" s="66" t="s">
        <v>696</v>
      </c>
      <c r="E110" s="66" t="s">
        <v>697</v>
      </c>
      <c r="F110" s="67" t="s">
        <v>698</v>
      </c>
      <c r="G110" s="65">
        <v>101755.0</v>
      </c>
      <c r="H110" s="211" t="s">
        <v>699</v>
      </c>
      <c r="I110" s="65" t="s">
        <v>700</v>
      </c>
      <c r="J110" s="65" t="s">
        <v>94</v>
      </c>
      <c r="K110" s="65"/>
      <c r="L110" s="65"/>
      <c r="M110" s="65"/>
      <c r="N110" s="66" t="s">
        <v>701</v>
      </c>
      <c r="O110" s="65" t="s">
        <v>155</v>
      </c>
      <c r="P110" s="68" t="s">
        <v>89</v>
      </c>
      <c r="Q110" s="66" t="s">
        <v>148</v>
      </c>
      <c r="R110" s="66" t="s">
        <v>96</v>
      </c>
      <c r="S110" s="65" t="s">
        <v>85</v>
      </c>
      <c r="T110" s="65" t="s">
        <v>97</v>
      </c>
      <c r="U110" s="65" t="s">
        <v>86</v>
      </c>
      <c r="V110" s="65">
        <v>24.0</v>
      </c>
      <c r="W110" s="65">
        <v>24.0</v>
      </c>
      <c r="X110" s="65" t="s">
        <v>196</v>
      </c>
      <c r="Y110" s="69"/>
      <c r="Z110" s="69"/>
      <c r="AA110" s="69"/>
      <c r="AB110" s="70">
        <v>0.8</v>
      </c>
      <c r="AC110" s="71" t="str">
        <f t="shared" si="56"/>
        <v>Si</v>
      </c>
      <c r="AD110" s="72">
        <v>9064.0</v>
      </c>
      <c r="AE110" s="73">
        <v>9064.0</v>
      </c>
      <c r="AF110" s="74">
        <v>43705.0</v>
      </c>
      <c r="AG110" s="73">
        <v>7.0</v>
      </c>
      <c r="AH110" s="75">
        <f t="shared" si="52"/>
        <v>45836</v>
      </c>
      <c r="AI110" s="74">
        <f t="shared" si="53"/>
        <v>45897</v>
      </c>
      <c r="AJ110" s="74">
        <f t="shared" si="54"/>
        <v>46262</v>
      </c>
      <c r="AK110" s="74"/>
      <c r="AL110" s="74"/>
      <c r="AM110" s="76" t="s">
        <v>702</v>
      </c>
      <c r="AN110" s="76">
        <v>1.0</v>
      </c>
      <c r="AO110" s="76"/>
      <c r="AP110" s="76"/>
      <c r="AQ110" s="76"/>
      <c r="AR110" s="65" t="s">
        <v>86</v>
      </c>
      <c r="AS110" s="65"/>
      <c r="AT110" s="65" t="str">
        <f>'Rutas AAC'!AE172</f>
        <v> </v>
      </c>
      <c r="AU110" s="77" t="s">
        <v>86</v>
      </c>
      <c r="AV110" s="78" t="s">
        <v>86</v>
      </c>
      <c r="AW110" s="79" t="s">
        <v>86</v>
      </c>
      <c r="AX110" s="103" t="s">
        <v>86</v>
      </c>
      <c r="AY110" s="79" t="s">
        <v>86</v>
      </c>
      <c r="AZ110" s="79" t="s">
        <v>86</v>
      </c>
      <c r="BA110" s="79"/>
      <c r="BB110" s="85"/>
      <c r="BC110" s="86"/>
      <c r="BD110" s="86"/>
      <c r="BE110" s="76"/>
      <c r="BF110" s="82"/>
      <c r="BG110" s="83"/>
    </row>
    <row r="111" ht="42.0" customHeight="1">
      <c r="A111" s="230">
        <v>105.0</v>
      </c>
      <c r="B111" s="65">
        <v>26532.0</v>
      </c>
      <c r="C111" s="66" t="s">
        <v>695</v>
      </c>
      <c r="D111" s="66" t="s">
        <v>696</v>
      </c>
      <c r="E111" s="66" t="s">
        <v>697</v>
      </c>
      <c r="F111" s="67" t="s">
        <v>703</v>
      </c>
      <c r="G111" s="65">
        <v>4615.0</v>
      </c>
      <c r="H111" s="211" t="s">
        <v>699</v>
      </c>
      <c r="I111" s="65" t="s">
        <v>704</v>
      </c>
      <c r="J111" s="65" t="s">
        <v>259</v>
      </c>
      <c r="K111" s="65"/>
      <c r="L111" s="65"/>
      <c r="M111" s="65"/>
      <c r="N111" s="66" t="s">
        <v>80</v>
      </c>
      <c r="O111" s="65" t="s">
        <v>81</v>
      </c>
      <c r="P111" s="68" t="s">
        <v>82</v>
      </c>
      <c r="Q111" s="66" t="s">
        <v>148</v>
      </c>
      <c r="R111" s="66" t="s">
        <v>96</v>
      </c>
      <c r="S111" s="65" t="s">
        <v>85</v>
      </c>
      <c r="T111" s="65" t="s">
        <v>97</v>
      </c>
      <c r="U111" s="65" t="s">
        <v>86</v>
      </c>
      <c r="V111" s="65">
        <v>24.0</v>
      </c>
      <c r="W111" s="65">
        <v>24.0</v>
      </c>
      <c r="X111" s="65" t="s">
        <v>196</v>
      </c>
      <c r="Y111" s="69"/>
      <c r="Z111" s="69"/>
      <c r="AA111" s="69"/>
      <c r="AB111" s="70">
        <v>0.8</v>
      </c>
      <c r="AC111" s="71" t="str">
        <f t="shared" si="56"/>
        <v>Si</v>
      </c>
      <c r="AD111" s="72">
        <v>14253.0</v>
      </c>
      <c r="AE111" s="73">
        <v>14253.0</v>
      </c>
      <c r="AF111" s="74">
        <v>43809.0</v>
      </c>
      <c r="AG111" s="73">
        <v>7.0</v>
      </c>
      <c r="AH111" s="75">
        <f t="shared" si="52"/>
        <v>45940</v>
      </c>
      <c r="AI111" s="74">
        <f t="shared" si="53"/>
        <v>46001</v>
      </c>
      <c r="AJ111" s="74">
        <f t="shared" si="54"/>
        <v>46366</v>
      </c>
      <c r="AK111" s="74"/>
      <c r="AL111" s="74"/>
      <c r="AM111" s="76" t="s">
        <v>705</v>
      </c>
      <c r="AN111" s="76">
        <v>2.0</v>
      </c>
      <c r="AO111" s="76"/>
      <c r="AP111" s="76"/>
      <c r="AQ111" s="76"/>
      <c r="AR111" s="65" t="s">
        <v>86</v>
      </c>
      <c r="AS111" s="65"/>
      <c r="AT111" s="65" t="str">
        <f>'Rutas AAC'!AE163</f>
        <v> </v>
      </c>
      <c r="AU111" s="77" t="s">
        <v>86</v>
      </c>
      <c r="AV111" s="78" t="s">
        <v>86</v>
      </c>
      <c r="AW111" s="79" t="s">
        <v>86</v>
      </c>
      <c r="AX111" s="103" t="s">
        <v>86</v>
      </c>
      <c r="AY111" s="79" t="s">
        <v>86</v>
      </c>
      <c r="AZ111" s="79" t="s">
        <v>86</v>
      </c>
      <c r="BA111" s="84"/>
      <c r="BB111" s="136"/>
      <c r="BC111" s="136"/>
      <c r="BD111" s="136"/>
      <c r="BE111" s="76"/>
      <c r="BF111" s="82"/>
      <c r="BG111" s="83"/>
    </row>
    <row r="112" ht="42.0" customHeight="1">
      <c r="A112" s="230">
        <v>106.0</v>
      </c>
      <c r="B112" s="65">
        <v>21391.0</v>
      </c>
      <c r="C112" s="66" t="s">
        <v>695</v>
      </c>
      <c r="D112" s="66" t="s">
        <v>706</v>
      </c>
      <c r="E112" s="66" t="s">
        <v>707</v>
      </c>
      <c r="F112" s="67" t="s">
        <v>708</v>
      </c>
      <c r="G112" s="65">
        <v>238.0</v>
      </c>
      <c r="H112" s="65"/>
      <c r="I112" s="65" t="s">
        <v>709</v>
      </c>
      <c r="J112" s="65" t="s">
        <v>79</v>
      </c>
      <c r="K112" s="65"/>
      <c r="L112" s="65"/>
      <c r="M112" s="65"/>
      <c r="N112" s="66" t="s">
        <v>80</v>
      </c>
      <c r="O112" s="65" t="s">
        <v>81</v>
      </c>
      <c r="P112" s="68" t="s">
        <v>82</v>
      </c>
      <c r="Q112" s="66" t="s">
        <v>83</v>
      </c>
      <c r="R112" s="66" t="s">
        <v>84</v>
      </c>
      <c r="S112" s="65" t="s">
        <v>85</v>
      </c>
      <c r="T112" s="65" t="s">
        <v>86</v>
      </c>
      <c r="U112" s="65" t="s">
        <v>86</v>
      </c>
      <c r="V112" s="65" t="s">
        <v>86</v>
      </c>
      <c r="W112" s="65">
        <v>180.0</v>
      </c>
      <c r="X112" s="65" t="s">
        <v>87</v>
      </c>
      <c r="Y112" s="89" t="s">
        <v>710</v>
      </c>
      <c r="Z112" s="89" t="s">
        <v>711</v>
      </c>
      <c r="AA112" s="69"/>
      <c r="AB112" s="70">
        <v>0.3</v>
      </c>
      <c r="AC112" s="71" t="str">
        <f t="shared" si="56"/>
        <v>Si</v>
      </c>
      <c r="AD112" s="72">
        <v>4006.0</v>
      </c>
      <c r="AE112" s="73">
        <v>9063.0</v>
      </c>
      <c r="AF112" s="74">
        <v>43567.0</v>
      </c>
      <c r="AG112" s="73">
        <v>8.0</v>
      </c>
      <c r="AH112" s="75">
        <f t="shared" si="52"/>
        <v>46065</v>
      </c>
      <c r="AI112" s="74">
        <f t="shared" si="53"/>
        <v>46124</v>
      </c>
      <c r="AJ112" s="74">
        <f t="shared" si="54"/>
        <v>46489</v>
      </c>
      <c r="AK112" s="74"/>
      <c r="AL112" s="74"/>
      <c r="AM112" s="76" t="s">
        <v>712</v>
      </c>
      <c r="AN112" s="76">
        <v>4.0</v>
      </c>
      <c r="AO112" s="76"/>
      <c r="AP112" s="76"/>
      <c r="AQ112" s="76"/>
      <c r="AR112" s="65" t="s">
        <v>89</v>
      </c>
      <c r="AS112" s="65" t="s">
        <v>89</v>
      </c>
      <c r="AT112" s="65" t="str">
        <f>'Rutas AAC'!AE161</f>
        <v> </v>
      </c>
      <c r="AU112" s="72">
        <v>4006.0</v>
      </c>
      <c r="AV112" s="90">
        <v>43567.0</v>
      </c>
      <c r="AW112" s="91">
        <v>8.0</v>
      </c>
      <c r="AX112" s="80">
        <f t="shared" ref="AX112:AX113" si="57">EDATE(AV112,(AW112*12)-14)</f>
        <v>46065</v>
      </c>
      <c r="AY112" s="84">
        <f t="shared" ref="AY112:AY113" si="58">EDATE(AV112,(AW112*12)-12)</f>
        <v>46124</v>
      </c>
      <c r="AZ112" s="84">
        <f t="shared" ref="AZ112:AZ113" si="59">EDATE(AV112,(AW112*12))</f>
        <v>46489</v>
      </c>
      <c r="BA112" s="84">
        <f t="shared" ref="BA112:BA113" si="60">EDATE(AV112,((AW112/2)*12))</f>
        <v>45028</v>
      </c>
      <c r="BB112" s="76" t="s">
        <v>713</v>
      </c>
      <c r="BC112" s="76">
        <v>3.0</v>
      </c>
      <c r="BD112" s="76"/>
      <c r="BE112" s="76"/>
      <c r="BF112" s="149" t="s">
        <v>180</v>
      </c>
      <c r="BG112" s="83"/>
    </row>
    <row r="113" ht="42.0" customHeight="1">
      <c r="A113" s="230">
        <v>107.0</v>
      </c>
      <c r="B113" s="65">
        <v>34907.0</v>
      </c>
      <c r="C113" s="66" t="s">
        <v>695</v>
      </c>
      <c r="D113" s="66" t="s">
        <v>714</v>
      </c>
      <c r="E113" s="66" t="s">
        <v>715</v>
      </c>
      <c r="F113" s="67" t="s">
        <v>716</v>
      </c>
      <c r="G113" s="65">
        <v>90930.0</v>
      </c>
      <c r="H113" s="102"/>
      <c r="I113" s="65" t="s">
        <v>717</v>
      </c>
      <c r="J113" s="65" t="s">
        <v>79</v>
      </c>
      <c r="K113" s="65"/>
      <c r="L113" s="65"/>
      <c r="M113" s="65"/>
      <c r="N113" s="66" t="s">
        <v>80</v>
      </c>
      <c r="O113" s="65" t="s">
        <v>81</v>
      </c>
      <c r="P113" s="68" t="s">
        <v>82</v>
      </c>
      <c r="Q113" s="66" t="s">
        <v>95</v>
      </c>
      <c r="R113" s="66" t="s">
        <v>96</v>
      </c>
      <c r="S113" s="65" t="s">
        <v>85</v>
      </c>
      <c r="T113" s="65" t="s">
        <v>162</v>
      </c>
      <c r="U113" s="65">
        <v>50.0</v>
      </c>
      <c r="V113" s="65" t="s">
        <v>86</v>
      </c>
      <c r="W113" s="65">
        <v>50.0</v>
      </c>
      <c r="X113" s="65" t="s">
        <v>233</v>
      </c>
      <c r="Y113" s="69"/>
      <c r="Z113" s="89" t="s">
        <v>718</v>
      </c>
      <c r="AA113" s="69" t="s">
        <v>719</v>
      </c>
      <c r="AB113" s="70" t="s">
        <v>99</v>
      </c>
      <c r="AC113" s="71" t="str">
        <f t="shared" si="56"/>
        <v>Si</v>
      </c>
      <c r="AD113" s="72">
        <v>16108.0</v>
      </c>
      <c r="AE113" s="73">
        <v>16108.0</v>
      </c>
      <c r="AF113" s="74">
        <v>43670.0</v>
      </c>
      <c r="AG113" s="73">
        <v>8.0</v>
      </c>
      <c r="AH113" s="75">
        <f t="shared" si="52"/>
        <v>46166</v>
      </c>
      <c r="AI113" s="74">
        <f t="shared" si="53"/>
        <v>46227</v>
      </c>
      <c r="AJ113" s="74">
        <f t="shared" si="54"/>
        <v>46592</v>
      </c>
      <c r="AK113" s="74"/>
      <c r="AL113" s="74"/>
      <c r="AM113" s="76" t="s">
        <v>720</v>
      </c>
      <c r="AN113" s="76">
        <v>3.0</v>
      </c>
      <c r="AO113" s="76"/>
      <c r="AP113" s="76"/>
      <c r="AQ113" s="76">
        <v>89.0</v>
      </c>
      <c r="AR113" s="65" t="s">
        <v>89</v>
      </c>
      <c r="AS113" s="65" t="s">
        <v>89</v>
      </c>
      <c r="AT113" s="65" t="str">
        <f>'Rutas AAC'!AE171</f>
        <v> </v>
      </c>
      <c r="AU113" s="72">
        <v>7576.0</v>
      </c>
      <c r="AV113" s="90">
        <v>43670.0</v>
      </c>
      <c r="AW113" s="91">
        <v>8.0</v>
      </c>
      <c r="AX113" s="80">
        <f t="shared" si="57"/>
        <v>46166</v>
      </c>
      <c r="AY113" s="84">
        <f t="shared" si="58"/>
        <v>46227</v>
      </c>
      <c r="AZ113" s="84">
        <f t="shared" si="59"/>
        <v>46592</v>
      </c>
      <c r="BA113" s="84">
        <f t="shared" si="60"/>
        <v>45131</v>
      </c>
      <c r="BB113" s="231"/>
      <c r="BC113" s="86">
        <v>1.0</v>
      </c>
      <c r="BD113" s="232"/>
      <c r="BE113" s="76"/>
      <c r="BF113" s="87"/>
      <c r="BG113" s="83"/>
    </row>
    <row r="114" ht="68.25" customHeight="1">
      <c r="A114" s="230">
        <v>108.0</v>
      </c>
      <c r="B114" s="65">
        <v>52755.0</v>
      </c>
      <c r="C114" s="66" t="s">
        <v>695</v>
      </c>
      <c r="D114" s="66" t="s">
        <v>721</v>
      </c>
      <c r="E114" s="66" t="s">
        <v>722</v>
      </c>
      <c r="F114" s="67" t="s">
        <v>723</v>
      </c>
      <c r="G114" s="88">
        <v>109668.0</v>
      </c>
      <c r="H114" s="88"/>
      <c r="I114" s="88" t="s">
        <v>354</v>
      </c>
      <c r="J114" s="88" t="s">
        <v>94</v>
      </c>
      <c r="K114" s="88"/>
      <c r="L114" s="88"/>
      <c r="M114" s="88"/>
      <c r="N114" s="66" t="s">
        <v>80</v>
      </c>
      <c r="O114" s="65" t="s">
        <v>81</v>
      </c>
      <c r="P114" s="68" t="s">
        <v>82</v>
      </c>
      <c r="Q114" s="66" t="s">
        <v>169</v>
      </c>
      <c r="R114" s="66" t="s">
        <v>96</v>
      </c>
      <c r="S114" s="65" t="s">
        <v>85</v>
      </c>
      <c r="T114" s="65" t="s">
        <v>162</v>
      </c>
      <c r="U114" s="65">
        <v>105.0</v>
      </c>
      <c r="V114" s="65" t="s">
        <v>86</v>
      </c>
      <c r="W114" s="65">
        <v>105.0</v>
      </c>
      <c r="X114" s="65" t="s">
        <v>170</v>
      </c>
      <c r="Y114" s="69"/>
      <c r="Z114" s="69"/>
      <c r="AA114" s="69"/>
      <c r="AB114" s="233">
        <v>0.9</v>
      </c>
      <c r="AC114" s="71" t="s">
        <v>89</v>
      </c>
      <c r="AD114" s="234">
        <v>14594.0</v>
      </c>
      <c r="AE114" s="73">
        <v>14594.0</v>
      </c>
      <c r="AF114" s="74">
        <v>44049.0</v>
      </c>
      <c r="AG114" s="73">
        <v>7.0</v>
      </c>
      <c r="AH114" s="75">
        <f t="shared" si="52"/>
        <v>46179</v>
      </c>
      <c r="AI114" s="74">
        <f t="shared" si="53"/>
        <v>46240</v>
      </c>
      <c r="AJ114" s="74">
        <f t="shared" si="54"/>
        <v>46605</v>
      </c>
      <c r="AK114" s="74"/>
      <c r="AL114" s="74"/>
      <c r="AM114" s="76"/>
      <c r="AN114" s="76"/>
      <c r="AO114" s="76"/>
      <c r="AP114" s="76"/>
      <c r="AQ114" s="76"/>
      <c r="AR114" s="65" t="s">
        <v>82</v>
      </c>
      <c r="AS114" s="65"/>
      <c r="AT114" s="65"/>
      <c r="AU114" s="77"/>
      <c r="AV114" s="78"/>
      <c r="AW114" s="79"/>
      <c r="AX114" s="110"/>
      <c r="AY114" s="81"/>
      <c r="AZ114" s="81"/>
      <c r="BA114" s="81"/>
      <c r="BB114" s="136"/>
      <c r="BC114" s="136"/>
      <c r="BD114" s="136"/>
      <c r="BE114" s="76"/>
      <c r="BF114" s="123"/>
      <c r="BG114" s="83"/>
    </row>
    <row r="115" ht="42.0" customHeight="1">
      <c r="A115" s="230">
        <v>109.0</v>
      </c>
      <c r="B115" s="65">
        <v>18011.0</v>
      </c>
      <c r="C115" s="66" t="s">
        <v>695</v>
      </c>
      <c r="D115" s="66" t="s">
        <v>724</v>
      </c>
      <c r="E115" s="66" t="s">
        <v>725</v>
      </c>
      <c r="F115" s="67" t="s">
        <v>726</v>
      </c>
      <c r="G115" s="65">
        <v>223.0</v>
      </c>
      <c r="H115" s="65"/>
      <c r="I115" s="65" t="s">
        <v>727</v>
      </c>
      <c r="J115" s="65" t="s">
        <v>94</v>
      </c>
      <c r="K115" s="65"/>
      <c r="L115" s="65"/>
      <c r="M115" s="65"/>
      <c r="N115" s="66" t="s">
        <v>80</v>
      </c>
      <c r="O115" s="65" t="s">
        <v>81</v>
      </c>
      <c r="P115" s="68" t="s">
        <v>82</v>
      </c>
      <c r="Q115" s="66" t="s">
        <v>664</v>
      </c>
      <c r="R115" s="66" t="s">
        <v>84</v>
      </c>
      <c r="S115" s="65" t="s">
        <v>85</v>
      </c>
      <c r="T115" s="65" t="s">
        <v>86</v>
      </c>
      <c r="U115" s="65" t="s">
        <v>86</v>
      </c>
      <c r="V115" s="65" t="s">
        <v>86</v>
      </c>
      <c r="W115" s="65">
        <v>96.0</v>
      </c>
      <c r="X115" s="65" t="s">
        <v>665</v>
      </c>
      <c r="Y115" s="235" t="s">
        <v>728</v>
      </c>
      <c r="Z115" s="236"/>
      <c r="AA115" s="89" t="s">
        <v>729</v>
      </c>
      <c r="AB115" s="70">
        <v>1.0</v>
      </c>
      <c r="AC115" s="71" t="str">
        <f t="shared" ref="AC115:AC124" si="61">IF(AJ115&gt;TODAY(),"Si","No")</f>
        <v>Si</v>
      </c>
      <c r="AD115" s="72">
        <v>13233.0</v>
      </c>
      <c r="AE115" s="73">
        <v>1322.0</v>
      </c>
      <c r="AF115" s="90">
        <v>44029.0</v>
      </c>
      <c r="AG115" s="73">
        <v>7.0</v>
      </c>
      <c r="AH115" s="75">
        <f t="shared" si="52"/>
        <v>46159</v>
      </c>
      <c r="AI115" s="74">
        <f t="shared" si="53"/>
        <v>46220</v>
      </c>
      <c r="AJ115" s="74">
        <f t="shared" si="54"/>
        <v>46585</v>
      </c>
      <c r="AK115" s="74"/>
      <c r="AL115" s="74"/>
      <c r="AM115" s="76" t="s">
        <v>730</v>
      </c>
      <c r="AN115" s="76">
        <v>3.0</v>
      </c>
      <c r="AO115" s="76"/>
      <c r="AP115" s="76"/>
      <c r="AQ115" s="76"/>
      <c r="AR115" s="65" t="s">
        <v>89</v>
      </c>
      <c r="AS115" s="65" t="s">
        <v>89</v>
      </c>
      <c r="AT115" s="65" t="str">
        <f>'Rutas AAC'!AE160</f>
        <v> </v>
      </c>
      <c r="AU115" s="72">
        <v>13233.0</v>
      </c>
      <c r="AV115" s="90">
        <v>44029.0</v>
      </c>
      <c r="AW115" s="91">
        <v>6.0</v>
      </c>
      <c r="AX115" s="80">
        <f t="shared" ref="AX115:AX116" si="62">EDATE(AV115,(AW115*12)-14)</f>
        <v>45794</v>
      </c>
      <c r="AY115" s="84">
        <f t="shared" ref="AY115:AY116" si="63">EDATE(AV115,(AW115*12)-12)</f>
        <v>45855</v>
      </c>
      <c r="AZ115" s="84">
        <f t="shared" ref="AZ115:AZ116" si="64">EDATE(AV115,(AW115*12))</f>
        <v>46220</v>
      </c>
      <c r="BA115" s="84">
        <f t="shared" ref="BA115:BA116" si="65">EDATE(AV115,((AW115/2)*12))</f>
        <v>45124</v>
      </c>
      <c r="BB115" s="136"/>
      <c r="BC115" s="136"/>
      <c r="BD115" s="136"/>
      <c r="BE115" s="76"/>
      <c r="BF115" s="203"/>
      <c r="BG115" s="83"/>
    </row>
    <row r="116" ht="42.0" customHeight="1">
      <c r="A116" s="230">
        <v>110.0</v>
      </c>
      <c r="B116" s="65">
        <v>22220.0</v>
      </c>
      <c r="C116" s="66" t="s">
        <v>695</v>
      </c>
      <c r="D116" s="66" t="s">
        <v>731</v>
      </c>
      <c r="E116" s="66" t="s">
        <v>732</v>
      </c>
      <c r="F116" s="67" t="s">
        <v>733</v>
      </c>
      <c r="G116" s="65">
        <v>7520.0</v>
      </c>
      <c r="H116" s="65"/>
      <c r="I116" s="65" t="s">
        <v>734</v>
      </c>
      <c r="J116" s="65" t="s">
        <v>79</v>
      </c>
      <c r="K116" s="65"/>
      <c r="L116" s="65"/>
      <c r="M116" s="65"/>
      <c r="N116" s="66" t="s">
        <v>80</v>
      </c>
      <c r="O116" s="65" t="s">
        <v>81</v>
      </c>
      <c r="P116" s="68" t="s">
        <v>82</v>
      </c>
      <c r="Q116" s="66" t="s">
        <v>83</v>
      </c>
      <c r="R116" s="66" t="s">
        <v>84</v>
      </c>
      <c r="S116" s="65" t="s">
        <v>85</v>
      </c>
      <c r="T116" s="65" t="s">
        <v>86</v>
      </c>
      <c r="U116" s="65" t="s">
        <v>86</v>
      </c>
      <c r="V116" s="65" t="s">
        <v>86</v>
      </c>
      <c r="W116" s="65">
        <v>170.0</v>
      </c>
      <c r="X116" s="65" t="s">
        <v>87</v>
      </c>
      <c r="Y116" s="69"/>
      <c r="Z116" s="69"/>
      <c r="AA116" s="69"/>
      <c r="AB116" s="70">
        <v>0.8</v>
      </c>
      <c r="AC116" s="71" t="str">
        <f t="shared" si="61"/>
        <v>Si</v>
      </c>
      <c r="AD116" s="72">
        <v>3248.0</v>
      </c>
      <c r="AE116" s="73">
        <v>3248.0</v>
      </c>
      <c r="AF116" s="74">
        <v>43895.0</v>
      </c>
      <c r="AG116" s="73">
        <v>8.0</v>
      </c>
      <c r="AH116" s="75">
        <f t="shared" si="52"/>
        <v>46392</v>
      </c>
      <c r="AI116" s="74">
        <f t="shared" si="53"/>
        <v>46451</v>
      </c>
      <c r="AJ116" s="74">
        <f t="shared" si="54"/>
        <v>46817</v>
      </c>
      <c r="AK116" s="74"/>
      <c r="AL116" s="74"/>
      <c r="AM116" s="76" t="s">
        <v>735</v>
      </c>
      <c r="AN116" s="76">
        <v>3.0</v>
      </c>
      <c r="AO116" s="76"/>
      <c r="AP116" s="76"/>
      <c r="AQ116" s="76"/>
      <c r="AR116" s="65" t="s">
        <v>89</v>
      </c>
      <c r="AS116" s="65" t="s">
        <v>89</v>
      </c>
      <c r="AT116" s="65" t="str">
        <f>'Rutas AAC'!AE165</f>
        <v> </v>
      </c>
      <c r="AU116" s="72">
        <v>3248.0</v>
      </c>
      <c r="AV116" s="90">
        <v>43895.0</v>
      </c>
      <c r="AW116" s="91">
        <v>8.0</v>
      </c>
      <c r="AX116" s="80">
        <f t="shared" si="62"/>
        <v>46392</v>
      </c>
      <c r="AY116" s="84">
        <f t="shared" si="63"/>
        <v>46451</v>
      </c>
      <c r="AZ116" s="84">
        <f t="shared" si="64"/>
        <v>46817</v>
      </c>
      <c r="BA116" s="84">
        <f t="shared" si="65"/>
        <v>45356</v>
      </c>
      <c r="BB116" s="136" t="s">
        <v>736</v>
      </c>
      <c r="BC116" s="76">
        <v>1.0</v>
      </c>
      <c r="BD116" s="136"/>
      <c r="BE116" s="76"/>
      <c r="BF116" s="87"/>
      <c r="BG116" s="83"/>
    </row>
    <row r="117" ht="42.0" customHeight="1">
      <c r="A117" s="230">
        <v>111.0</v>
      </c>
      <c r="B117" s="65">
        <v>34710.0</v>
      </c>
      <c r="C117" s="66" t="s">
        <v>695</v>
      </c>
      <c r="D117" s="66" t="s">
        <v>737</v>
      </c>
      <c r="E117" s="66" t="s">
        <v>738</v>
      </c>
      <c r="F117" s="67">
        <v>1978.0</v>
      </c>
      <c r="G117" s="65">
        <v>252.0</v>
      </c>
      <c r="H117" s="65"/>
      <c r="I117" s="65" t="s">
        <v>739</v>
      </c>
      <c r="J117" s="65" t="s">
        <v>94</v>
      </c>
      <c r="K117" s="65"/>
      <c r="L117" s="65"/>
      <c r="M117" s="65"/>
      <c r="N117" s="66" t="s">
        <v>80</v>
      </c>
      <c r="O117" s="65" t="s">
        <v>81</v>
      </c>
      <c r="P117" s="68" t="s">
        <v>82</v>
      </c>
      <c r="Q117" s="66" t="s">
        <v>95</v>
      </c>
      <c r="R117" s="66" t="s">
        <v>96</v>
      </c>
      <c r="S117" s="65" t="s">
        <v>85</v>
      </c>
      <c r="T117" s="65" t="s">
        <v>162</v>
      </c>
      <c r="U117" s="65">
        <v>50.0</v>
      </c>
      <c r="V117" s="65" t="s">
        <v>86</v>
      </c>
      <c r="W117" s="65">
        <v>50.0</v>
      </c>
      <c r="X117" s="65" t="s">
        <v>233</v>
      </c>
      <c r="Y117" s="89" t="s">
        <v>740</v>
      </c>
      <c r="Z117" s="69"/>
      <c r="AA117" s="69"/>
      <c r="AB117" s="70">
        <v>0.75</v>
      </c>
      <c r="AC117" s="71" t="str">
        <f t="shared" si="61"/>
        <v>Si</v>
      </c>
      <c r="AD117" s="72">
        <v>12658.0</v>
      </c>
      <c r="AE117" s="73">
        <v>12658.0</v>
      </c>
      <c r="AF117" s="74">
        <v>44390.0</v>
      </c>
      <c r="AG117" s="73">
        <v>7.0</v>
      </c>
      <c r="AH117" s="75">
        <f t="shared" si="52"/>
        <v>46520</v>
      </c>
      <c r="AI117" s="74">
        <f t="shared" si="53"/>
        <v>46581</v>
      </c>
      <c r="AJ117" s="74">
        <f t="shared" si="54"/>
        <v>46947</v>
      </c>
      <c r="AK117" s="74"/>
      <c r="AL117" s="74"/>
      <c r="AM117" s="76" t="s">
        <v>741</v>
      </c>
      <c r="AN117" s="76">
        <v>3.0</v>
      </c>
      <c r="AO117" s="76"/>
      <c r="AP117" s="76"/>
      <c r="AQ117" s="76">
        <v>40.0</v>
      </c>
      <c r="AR117" s="65" t="s">
        <v>89</v>
      </c>
      <c r="AS117" s="65"/>
      <c r="AT117" s="65" t="str">
        <f>'Rutas AAC'!AE162</f>
        <v> </v>
      </c>
      <c r="AU117" s="77"/>
      <c r="AV117" s="78"/>
      <c r="AW117" s="79"/>
      <c r="AX117" s="110"/>
      <c r="AY117" s="81"/>
      <c r="AZ117" s="124"/>
      <c r="BA117" s="84"/>
      <c r="BB117" s="231"/>
      <c r="BC117" s="232"/>
      <c r="BD117" s="232"/>
      <c r="BE117" s="76"/>
      <c r="BF117" s="82"/>
      <c r="BG117" s="83"/>
    </row>
    <row r="118" ht="42.0" customHeight="1">
      <c r="A118" s="230">
        <v>112.0</v>
      </c>
      <c r="B118" s="65">
        <v>34480.0</v>
      </c>
      <c r="C118" s="66" t="s">
        <v>695</v>
      </c>
      <c r="D118" s="66" t="s">
        <v>742</v>
      </c>
      <c r="E118" s="66" t="s">
        <v>743</v>
      </c>
      <c r="F118" s="67" t="s">
        <v>744</v>
      </c>
      <c r="G118" s="65">
        <v>53918.0</v>
      </c>
      <c r="H118" s="65"/>
      <c r="I118" s="65" t="s">
        <v>745</v>
      </c>
      <c r="J118" s="65" t="s">
        <v>94</v>
      </c>
      <c r="K118" s="65"/>
      <c r="L118" s="65"/>
      <c r="M118" s="65"/>
      <c r="N118" s="66" t="s">
        <v>80</v>
      </c>
      <c r="O118" s="65" t="s">
        <v>81</v>
      </c>
      <c r="P118" s="68" t="s">
        <v>82</v>
      </c>
      <c r="Q118" s="66" t="s">
        <v>169</v>
      </c>
      <c r="R118" s="66" t="s">
        <v>96</v>
      </c>
      <c r="S118" s="65" t="s">
        <v>85</v>
      </c>
      <c r="T118" s="65" t="s">
        <v>162</v>
      </c>
      <c r="U118" s="65">
        <v>146.0</v>
      </c>
      <c r="V118" s="65" t="s">
        <v>86</v>
      </c>
      <c r="W118" s="65">
        <v>146.0</v>
      </c>
      <c r="X118" s="65" t="s">
        <v>87</v>
      </c>
      <c r="Y118" s="69"/>
      <c r="Z118" s="69"/>
      <c r="AA118" s="237"/>
      <c r="AB118" s="70" t="s">
        <v>99</v>
      </c>
      <c r="AC118" s="71" t="str">
        <f t="shared" si="61"/>
        <v>Si</v>
      </c>
      <c r="AD118" s="72">
        <v>16771.0</v>
      </c>
      <c r="AE118" s="73">
        <v>16771.0</v>
      </c>
      <c r="AF118" s="74">
        <v>44447.0</v>
      </c>
      <c r="AG118" s="73">
        <v>7.0</v>
      </c>
      <c r="AH118" s="75">
        <f t="shared" si="52"/>
        <v>46576</v>
      </c>
      <c r="AI118" s="74">
        <f t="shared" si="53"/>
        <v>46638</v>
      </c>
      <c r="AJ118" s="74">
        <f t="shared" si="54"/>
        <v>47004</v>
      </c>
      <c r="AK118" s="74"/>
      <c r="AL118" s="74"/>
      <c r="AM118" s="76" t="s">
        <v>746</v>
      </c>
      <c r="AN118" s="76">
        <v>2.0</v>
      </c>
      <c r="AO118" s="76"/>
      <c r="AP118" s="76"/>
      <c r="AQ118" s="76">
        <v>8.0</v>
      </c>
      <c r="AR118" s="65" t="s">
        <v>89</v>
      </c>
      <c r="AS118" s="65" t="s">
        <v>89</v>
      </c>
      <c r="AT118" s="65">
        <f>'Rutas AAC'!AE168</f>
        <v>2</v>
      </c>
      <c r="AU118" s="72">
        <v>16771.0</v>
      </c>
      <c r="AV118" s="90">
        <v>44447.0</v>
      </c>
      <c r="AW118" s="91">
        <v>6.0</v>
      </c>
      <c r="AX118" s="80">
        <f>EDATE(AV118,(AW118*12)-14)</f>
        <v>46211</v>
      </c>
      <c r="AY118" s="84">
        <f>EDATE(AV118,(AW118*12)-12)</f>
        <v>46273</v>
      </c>
      <c r="AZ118" s="84">
        <f>EDATE(AV118,(AW118*12))</f>
        <v>46638</v>
      </c>
      <c r="BA118" s="84">
        <f>EDATE(AV118,((AW118/2)*12))</f>
        <v>45543</v>
      </c>
      <c r="BB118" s="136"/>
      <c r="BC118" s="76">
        <v>1.0</v>
      </c>
      <c r="BD118" s="136"/>
      <c r="BE118" s="76"/>
      <c r="BF118" s="141"/>
      <c r="BG118" s="83"/>
    </row>
    <row r="119" ht="42.0" customHeight="1">
      <c r="A119" s="230">
        <v>113.0</v>
      </c>
      <c r="B119" s="65">
        <v>35486.0</v>
      </c>
      <c r="C119" s="66" t="s">
        <v>695</v>
      </c>
      <c r="D119" s="66" t="s">
        <v>747</v>
      </c>
      <c r="E119" s="66" t="s">
        <v>748</v>
      </c>
      <c r="F119" s="67" t="s">
        <v>749</v>
      </c>
      <c r="G119" s="65">
        <v>104646.0</v>
      </c>
      <c r="H119" s="65"/>
      <c r="I119" s="65" t="s">
        <v>750</v>
      </c>
      <c r="J119" s="65" t="s">
        <v>94</v>
      </c>
      <c r="K119" s="65"/>
      <c r="L119" s="65"/>
      <c r="M119" s="65"/>
      <c r="N119" s="66" t="s">
        <v>80</v>
      </c>
      <c r="O119" s="65" t="s">
        <v>81</v>
      </c>
      <c r="P119" s="68" t="s">
        <v>82</v>
      </c>
      <c r="Q119" s="66" t="s">
        <v>95</v>
      </c>
      <c r="R119" s="66" t="s">
        <v>96</v>
      </c>
      <c r="S119" s="65" t="s">
        <v>85</v>
      </c>
      <c r="T119" s="65" t="s">
        <v>97</v>
      </c>
      <c r="U119" s="65" t="s">
        <v>86</v>
      </c>
      <c r="V119" s="65">
        <v>50.0</v>
      </c>
      <c r="W119" s="65">
        <v>50.0</v>
      </c>
      <c r="X119" s="65" t="s">
        <v>98</v>
      </c>
      <c r="Y119" s="69"/>
      <c r="Z119" s="69"/>
      <c r="AA119" s="69"/>
      <c r="AB119" s="70">
        <v>0.75</v>
      </c>
      <c r="AC119" s="71" t="str">
        <f t="shared" si="61"/>
        <v>Si</v>
      </c>
      <c r="AD119" s="72">
        <v>19209.0</v>
      </c>
      <c r="AE119" s="73">
        <v>19209.0</v>
      </c>
      <c r="AF119" s="74">
        <v>44480.0</v>
      </c>
      <c r="AG119" s="73">
        <v>7.0</v>
      </c>
      <c r="AH119" s="75">
        <f t="shared" si="52"/>
        <v>46610</v>
      </c>
      <c r="AI119" s="74">
        <f t="shared" si="53"/>
        <v>46671</v>
      </c>
      <c r="AJ119" s="74">
        <f t="shared" si="54"/>
        <v>47037</v>
      </c>
      <c r="AK119" s="74"/>
      <c r="AL119" s="74"/>
      <c r="AM119" s="76" t="s">
        <v>751</v>
      </c>
      <c r="AN119" s="76">
        <v>2.0</v>
      </c>
      <c r="AO119" s="76"/>
      <c r="AP119" s="76"/>
      <c r="AQ119" s="76"/>
      <c r="AR119" s="65" t="s">
        <v>82</v>
      </c>
      <c r="AS119" s="65"/>
      <c r="AT119" s="65" t="str">
        <f>'Rutas AAC'!AE173</f>
        <v> </v>
      </c>
      <c r="AU119" s="77"/>
      <c r="AV119" s="78"/>
      <c r="AW119" s="79"/>
      <c r="AX119" s="110"/>
      <c r="AY119" s="81"/>
      <c r="AZ119" s="124"/>
      <c r="BA119" s="124"/>
      <c r="BB119" s="85"/>
      <c r="BC119" s="86"/>
      <c r="BD119" s="86"/>
      <c r="BE119" s="76"/>
      <c r="BF119" s="82"/>
      <c r="BG119" s="83"/>
    </row>
    <row r="120" ht="42.0" customHeight="1">
      <c r="A120" s="230">
        <v>114.0</v>
      </c>
      <c r="B120" s="65">
        <v>37637.0</v>
      </c>
      <c r="C120" s="66" t="s">
        <v>695</v>
      </c>
      <c r="D120" s="66" t="s">
        <v>752</v>
      </c>
      <c r="E120" s="66" t="s">
        <v>748</v>
      </c>
      <c r="F120" s="67" t="s">
        <v>753</v>
      </c>
      <c r="G120" s="65">
        <v>105149.0</v>
      </c>
      <c r="H120" s="65"/>
      <c r="I120" s="65" t="s">
        <v>365</v>
      </c>
      <c r="J120" s="65" t="s">
        <v>94</v>
      </c>
      <c r="K120" s="65"/>
      <c r="L120" s="65"/>
      <c r="M120" s="65"/>
      <c r="N120" s="66" t="s">
        <v>80</v>
      </c>
      <c r="O120" s="238" t="s">
        <v>155</v>
      </c>
      <c r="P120" s="68" t="s">
        <v>82</v>
      </c>
      <c r="Q120" s="66" t="s">
        <v>148</v>
      </c>
      <c r="R120" s="66" t="s">
        <v>96</v>
      </c>
      <c r="S120" s="65" t="s">
        <v>85</v>
      </c>
      <c r="T120" s="65" t="s">
        <v>97</v>
      </c>
      <c r="U120" s="65" t="s">
        <v>86</v>
      </c>
      <c r="V120" s="65">
        <v>24.0</v>
      </c>
      <c r="W120" s="65">
        <v>24.0</v>
      </c>
      <c r="X120" s="65" t="s">
        <v>149</v>
      </c>
      <c r="Y120" s="69"/>
      <c r="Z120" s="69"/>
      <c r="AA120" s="69"/>
      <c r="AB120" s="70">
        <v>0.7</v>
      </c>
      <c r="AC120" s="71" t="str">
        <f t="shared" si="61"/>
        <v>Si</v>
      </c>
      <c r="AD120" s="72">
        <v>11564.0</v>
      </c>
      <c r="AE120" s="73">
        <v>11564.0</v>
      </c>
      <c r="AF120" s="74">
        <v>44735.0</v>
      </c>
      <c r="AG120" s="73">
        <v>7.0</v>
      </c>
      <c r="AH120" s="75">
        <f t="shared" si="52"/>
        <v>46866</v>
      </c>
      <c r="AI120" s="74">
        <f t="shared" si="53"/>
        <v>46927</v>
      </c>
      <c r="AJ120" s="74">
        <f t="shared" si="54"/>
        <v>47292</v>
      </c>
      <c r="AK120" s="74"/>
      <c r="AL120" s="74"/>
      <c r="AM120" s="76" t="s">
        <v>754</v>
      </c>
      <c r="AN120" s="76">
        <v>2.0</v>
      </c>
      <c r="AO120" s="76"/>
      <c r="AP120" s="76"/>
      <c r="AQ120" s="76"/>
      <c r="AR120" s="65" t="s">
        <v>86</v>
      </c>
      <c r="AS120" s="65"/>
      <c r="AT120" s="65" t="str">
        <f>'Rutas AAC'!AE174</f>
        <v> </v>
      </c>
      <c r="AU120" s="77" t="s">
        <v>86</v>
      </c>
      <c r="AV120" s="78" t="s">
        <v>86</v>
      </c>
      <c r="AW120" s="79" t="s">
        <v>86</v>
      </c>
      <c r="AX120" s="103" t="s">
        <v>86</v>
      </c>
      <c r="AY120" s="79" t="s">
        <v>86</v>
      </c>
      <c r="AZ120" s="79" t="s">
        <v>86</v>
      </c>
      <c r="BA120" s="79"/>
      <c r="BB120" s="85"/>
      <c r="BC120" s="86"/>
      <c r="BD120" s="86"/>
      <c r="BE120" s="76"/>
      <c r="BF120" s="82"/>
      <c r="BG120" s="83"/>
    </row>
    <row r="121" ht="42.0" customHeight="1">
      <c r="A121" s="230">
        <v>115.0</v>
      </c>
      <c r="B121" s="65">
        <v>33956.0</v>
      </c>
      <c r="C121" s="66" t="s">
        <v>695</v>
      </c>
      <c r="D121" s="66" t="s">
        <v>755</v>
      </c>
      <c r="E121" s="66" t="s">
        <v>756</v>
      </c>
      <c r="F121" s="67" t="s">
        <v>757</v>
      </c>
      <c r="G121" s="65">
        <v>55175.0</v>
      </c>
      <c r="H121" s="65"/>
      <c r="I121" s="65" t="s">
        <v>758</v>
      </c>
      <c r="J121" s="65" t="s">
        <v>94</v>
      </c>
      <c r="K121" s="65"/>
      <c r="L121" s="65"/>
      <c r="M121" s="65"/>
      <c r="N121" s="66" t="s">
        <v>80</v>
      </c>
      <c r="O121" s="238" t="s">
        <v>81</v>
      </c>
      <c r="P121" s="68" t="s">
        <v>82</v>
      </c>
      <c r="Q121" s="66" t="s">
        <v>95</v>
      </c>
      <c r="R121" s="66" t="s">
        <v>96</v>
      </c>
      <c r="S121" s="65" t="s">
        <v>85</v>
      </c>
      <c r="T121" s="65" t="s">
        <v>162</v>
      </c>
      <c r="U121" s="65">
        <v>50.0</v>
      </c>
      <c r="V121" s="65" t="s">
        <v>86</v>
      </c>
      <c r="W121" s="65">
        <v>50.0</v>
      </c>
      <c r="X121" s="65" t="s">
        <v>233</v>
      </c>
      <c r="Y121" s="89" t="s">
        <v>759</v>
      </c>
      <c r="Z121" s="69"/>
      <c r="AA121" s="69"/>
      <c r="AB121" s="70">
        <v>0.4</v>
      </c>
      <c r="AC121" s="71" t="str">
        <f t="shared" si="61"/>
        <v>Si</v>
      </c>
      <c r="AD121" s="224">
        <v>20074.0</v>
      </c>
      <c r="AE121" s="73">
        <v>20074.0</v>
      </c>
      <c r="AF121" s="74">
        <v>45230.0</v>
      </c>
      <c r="AG121" s="73">
        <v>7.0</v>
      </c>
      <c r="AH121" s="75">
        <f t="shared" si="52"/>
        <v>47361</v>
      </c>
      <c r="AI121" s="74">
        <f t="shared" si="53"/>
        <v>47422</v>
      </c>
      <c r="AJ121" s="74">
        <f t="shared" si="54"/>
        <v>47787</v>
      </c>
      <c r="AK121" s="74"/>
      <c r="AL121" s="74"/>
      <c r="AM121" s="76" t="s">
        <v>760</v>
      </c>
      <c r="AN121" s="76">
        <v>3.0</v>
      </c>
      <c r="AO121" s="76"/>
      <c r="AP121" s="76"/>
      <c r="AQ121" s="76"/>
      <c r="AR121" s="65" t="s">
        <v>82</v>
      </c>
      <c r="AS121" s="65" t="s">
        <v>89</v>
      </c>
      <c r="AT121" s="65" t="str">
        <f>'Rutas AAC'!AE170</f>
        <v> </v>
      </c>
      <c r="AU121" s="224">
        <v>20074.0</v>
      </c>
      <c r="AV121" s="90">
        <v>45230.0</v>
      </c>
      <c r="AW121" s="91">
        <v>4.0</v>
      </c>
      <c r="AX121" s="80">
        <f t="shared" ref="AX121:AX123" si="66">EDATE(AV121,(AW121*12)-14)</f>
        <v>46265</v>
      </c>
      <c r="AY121" s="84">
        <f t="shared" ref="AY121:AY123" si="67">EDATE(AV121,(AW121*12)-12)</f>
        <v>46326</v>
      </c>
      <c r="AZ121" s="84">
        <f t="shared" ref="AZ121:AZ123" si="68">EDATE(AV121,(AW121*12))</f>
        <v>46691</v>
      </c>
      <c r="BA121" s="84">
        <f t="shared" ref="BA121:BA123" si="69">EDATE(AV121,((AW121/2)*12))</f>
        <v>45961</v>
      </c>
      <c r="BB121" s="136" t="s">
        <v>761</v>
      </c>
      <c r="BC121" s="136">
        <v>1.0</v>
      </c>
      <c r="BD121" s="136"/>
      <c r="BE121" s="76"/>
      <c r="BF121" s="87"/>
      <c r="BG121" s="83"/>
    </row>
    <row r="122" ht="42.0" customHeight="1">
      <c r="A122" s="230">
        <v>116.0</v>
      </c>
      <c r="B122" s="239">
        <v>34919.0</v>
      </c>
      <c r="C122" s="240" t="s">
        <v>695</v>
      </c>
      <c r="D122" s="240" t="s">
        <v>762</v>
      </c>
      <c r="E122" s="240" t="s">
        <v>763</v>
      </c>
      <c r="F122" s="241" t="s">
        <v>764</v>
      </c>
      <c r="G122" s="239">
        <v>54103.0</v>
      </c>
      <c r="H122" s="239"/>
      <c r="I122" s="239" t="s">
        <v>765</v>
      </c>
      <c r="J122" s="239" t="s">
        <v>94</v>
      </c>
      <c r="K122" s="239"/>
      <c r="L122" s="239"/>
      <c r="M122" s="239"/>
      <c r="N122" s="240" t="s">
        <v>80</v>
      </c>
      <c r="O122" s="242" t="s">
        <v>81</v>
      </c>
      <c r="P122" s="243" t="s">
        <v>82</v>
      </c>
      <c r="Q122" s="240" t="s">
        <v>169</v>
      </c>
      <c r="R122" s="240" t="s">
        <v>96</v>
      </c>
      <c r="S122" s="239" t="s">
        <v>85</v>
      </c>
      <c r="T122" s="239" t="s">
        <v>162</v>
      </c>
      <c r="U122" s="239">
        <v>125.0</v>
      </c>
      <c r="V122" s="239" t="s">
        <v>86</v>
      </c>
      <c r="W122" s="239">
        <v>125.0</v>
      </c>
      <c r="X122" s="239" t="s">
        <v>87</v>
      </c>
      <c r="Y122" s="244"/>
      <c r="Z122" s="244"/>
      <c r="AA122" s="244"/>
      <c r="AB122" s="245">
        <v>0.78</v>
      </c>
      <c r="AC122" s="246" t="str">
        <f t="shared" si="61"/>
        <v>Si</v>
      </c>
      <c r="AD122" s="247">
        <v>20075.0</v>
      </c>
      <c r="AE122" s="248">
        <v>20075.0</v>
      </c>
      <c r="AF122" s="249">
        <v>45230.0</v>
      </c>
      <c r="AG122" s="248">
        <v>7.0</v>
      </c>
      <c r="AH122" s="250">
        <f t="shared" si="52"/>
        <v>47361</v>
      </c>
      <c r="AI122" s="249">
        <f t="shared" si="53"/>
        <v>47422</v>
      </c>
      <c r="AJ122" s="249">
        <f t="shared" si="54"/>
        <v>47787</v>
      </c>
      <c r="AK122" s="249"/>
      <c r="AL122" s="249"/>
      <c r="AM122" s="251" t="s">
        <v>766</v>
      </c>
      <c r="AN122" s="251">
        <v>3.0</v>
      </c>
      <c r="AO122" s="251"/>
      <c r="AP122" s="251"/>
      <c r="AQ122" s="251">
        <v>11.0</v>
      </c>
      <c r="AR122" s="239" t="s">
        <v>89</v>
      </c>
      <c r="AS122" s="239" t="s">
        <v>89</v>
      </c>
      <c r="AT122" s="239" t="str">
        <f>'Rutas AAC'!AE169</f>
        <v> </v>
      </c>
      <c r="AU122" s="252">
        <v>20075.0</v>
      </c>
      <c r="AV122" s="253">
        <v>45230.0</v>
      </c>
      <c r="AW122" s="254">
        <v>6.0</v>
      </c>
      <c r="AX122" s="255">
        <f t="shared" si="66"/>
        <v>46996</v>
      </c>
      <c r="AY122" s="256">
        <f t="shared" si="67"/>
        <v>47057</v>
      </c>
      <c r="AZ122" s="256">
        <f t="shared" si="68"/>
        <v>47422</v>
      </c>
      <c r="BA122" s="256">
        <f t="shared" si="69"/>
        <v>46326</v>
      </c>
      <c r="BB122" s="257" t="s">
        <v>767</v>
      </c>
      <c r="BC122" s="257"/>
      <c r="BD122" s="257"/>
      <c r="BE122" s="251"/>
      <c r="BF122" s="258"/>
      <c r="BG122" s="259"/>
    </row>
    <row r="123" ht="42.0" customHeight="1">
      <c r="A123" s="230">
        <v>117.0</v>
      </c>
      <c r="B123" s="260">
        <v>32820.0</v>
      </c>
      <c r="C123" s="261" t="s">
        <v>695</v>
      </c>
      <c r="D123" s="261" t="s">
        <v>768</v>
      </c>
      <c r="E123" s="261" t="s">
        <v>769</v>
      </c>
      <c r="F123" s="260" t="s">
        <v>770</v>
      </c>
      <c r="G123" s="260">
        <v>53505.0</v>
      </c>
      <c r="H123" s="260"/>
      <c r="I123" s="260" t="s">
        <v>771</v>
      </c>
      <c r="J123" s="260" t="s">
        <v>94</v>
      </c>
      <c r="K123" s="260"/>
      <c r="L123" s="260"/>
      <c r="M123" s="260"/>
      <c r="N123" s="261" t="s">
        <v>80</v>
      </c>
      <c r="O123" s="260" t="s">
        <v>81</v>
      </c>
      <c r="P123" s="262" t="s">
        <v>82</v>
      </c>
      <c r="Q123" s="261" t="s">
        <v>95</v>
      </c>
      <c r="R123" s="261" t="s">
        <v>96</v>
      </c>
      <c r="S123" s="260" t="s">
        <v>85</v>
      </c>
      <c r="T123" s="260" t="s">
        <v>162</v>
      </c>
      <c r="U123" s="260">
        <v>50.0</v>
      </c>
      <c r="V123" s="260" t="s">
        <v>86</v>
      </c>
      <c r="W123" s="260">
        <v>50.0</v>
      </c>
      <c r="X123" s="260" t="s">
        <v>233</v>
      </c>
      <c r="Y123" s="263"/>
      <c r="Z123" s="263"/>
      <c r="AA123" s="263"/>
      <c r="AB123" s="264">
        <v>0.8</v>
      </c>
      <c r="AC123" s="265" t="str">
        <f t="shared" si="61"/>
        <v>Si</v>
      </c>
      <c r="AD123" s="266">
        <v>20747.0</v>
      </c>
      <c r="AE123" s="267">
        <v>20747.0</v>
      </c>
      <c r="AF123" s="268">
        <v>45232.0</v>
      </c>
      <c r="AG123" s="267">
        <v>7.0</v>
      </c>
      <c r="AH123" s="269">
        <f t="shared" si="52"/>
        <v>47363</v>
      </c>
      <c r="AI123" s="268">
        <f t="shared" si="53"/>
        <v>47424</v>
      </c>
      <c r="AJ123" s="268">
        <f t="shared" si="54"/>
        <v>47789</v>
      </c>
      <c r="AK123" s="268"/>
      <c r="AL123" s="268"/>
      <c r="AM123" s="270" t="s">
        <v>772</v>
      </c>
      <c r="AN123" s="270">
        <v>3.0</v>
      </c>
      <c r="AO123" s="270"/>
      <c r="AP123" s="270"/>
      <c r="AQ123" s="270">
        <v>23.0</v>
      </c>
      <c r="AR123" s="260" t="s">
        <v>89</v>
      </c>
      <c r="AS123" s="260" t="s">
        <v>89</v>
      </c>
      <c r="AT123" s="260" t="str">
        <f>'Rutas AAC'!AE167</f>
        <v> </v>
      </c>
      <c r="AU123" s="266">
        <v>20747.0</v>
      </c>
      <c r="AV123" s="271">
        <v>45232.0</v>
      </c>
      <c r="AW123" s="272">
        <v>6.0</v>
      </c>
      <c r="AX123" s="273">
        <f t="shared" si="66"/>
        <v>46998</v>
      </c>
      <c r="AY123" s="274">
        <f t="shared" si="67"/>
        <v>47059</v>
      </c>
      <c r="AZ123" s="274">
        <f t="shared" si="68"/>
        <v>47424</v>
      </c>
      <c r="BA123" s="274">
        <f t="shared" si="69"/>
        <v>46328</v>
      </c>
      <c r="BB123" s="275" t="s">
        <v>773</v>
      </c>
      <c r="BC123" s="275"/>
      <c r="BD123" s="275"/>
      <c r="BE123" s="270"/>
      <c r="BF123" s="276"/>
      <c r="BG123" s="260"/>
    </row>
    <row r="124" ht="42.0" customHeight="1">
      <c r="A124" s="230">
        <v>118.0</v>
      </c>
      <c r="B124" s="260">
        <v>25382.0</v>
      </c>
      <c r="C124" s="261" t="s">
        <v>695</v>
      </c>
      <c r="D124" s="261" t="s">
        <v>774</v>
      </c>
      <c r="E124" s="261" t="s">
        <v>775</v>
      </c>
      <c r="F124" s="260" t="s">
        <v>776</v>
      </c>
      <c r="G124" s="260">
        <v>7519.0</v>
      </c>
      <c r="H124" s="260"/>
      <c r="I124" s="260" t="s">
        <v>201</v>
      </c>
      <c r="J124" s="260" t="s">
        <v>79</v>
      </c>
      <c r="K124" s="260"/>
      <c r="L124" s="260"/>
      <c r="M124" s="260"/>
      <c r="N124" s="261" t="s">
        <v>80</v>
      </c>
      <c r="O124" s="260" t="s">
        <v>81</v>
      </c>
      <c r="P124" s="262" t="s">
        <v>82</v>
      </c>
      <c r="Q124" s="261" t="s">
        <v>83</v>
      </c>
      <c r="R124" s="261" t="s">
        <v>84</v>
      </c>
      <c r="S124" s="260" t="s">
        <v>85</v>
      </c>
      <c r="T124" s="260" t="s">
        <v>86</v>
      </c>
      <c r="U124" s="260" t="s">
        <v>86</v>
      </c>
      <c r="V124" s="260" t="s">
        <v>86</v>
      </c>
      <c r="W124" s="260">
        <v>157.0</v>
      </c>
      <c r="X124" s="260" t="s">
        <v>87</v>
      </c>
      <c r="Y124" s="263" t="s">
        <v>777</v>
      </c>
      <c r="Z124" s="263"/>
      <c r="AA124" s="263"/>
      <c r="AB124" s="264">
        <v>0.6</v>
      </c>
      <c r="AC124" s="265" t="str">
        <f t="shared" si="61"/>
        <v>Si</v>
      </c>
      <c r="AD124" s="266">
        <v>12185.0</v>
      </c>
      <c r="AE124" s="267">
        <v>12185.0</v>
      </c>
      <c r="AF124" s="268">
        <v>45495.0</v>
      </c>
      <c r="AG124" s="267">
        <v>7.0</v>
      </c>
      <c r="AH124" s="269">
        <f t="shared" si="52"/>
        <v>47625</v>
      </c>
      <c r="AI124" s="268">
        <f t="shared" si="53"/>
        <v>47686</v>
      </c>
      <c r="AJ124" s="268">
        <f t="shared" si="54"/>
        <v>48051</v>
      </c>
      <c r="AK124" s="268"/>
      <c r="AL124" s="268"/>
      <c r="AM124" s="270" t="s">
        <v>778</v>
      </c>
      <c r="AN124" s="270">
        <v>4.0</v>
      </c>
      <c r="AO124" s="270" t="s">
        <v>779</v>
      </c>
      <c r="AP124" s="270"/>
      <c r="AQ124" s="270"/>
      <c r="AR124" s="260" t="s">
        <v>89</v>
      </c>
      <c r="AS124" s="260" t="s">
        <v>82</v>
      </c>
      <c r="AT124" s="260" t="str">
        <f>'Rutas AAC'!AE164</f>
        <v> </v>
      </c>
      <c r="AU124" s="277"/>
      <c r="AV124" s="271"/>
      <c r="AW124" s="272"/>
      <c r="AX124" s="273"/>
      <c r="AY124" s="274"/>
      <c r="AZ124" s="274"/>
      <c r="BA124" s="274"/>
      <c r="BB124" s="270" t="s">
        <v>780</v>
      </c>
      <c r="BC124" s="278">
        <v>2.0</v>
      </c>
      <c r="BD124" s="278"/>
      <c r="BE124" s="270"/>
      <c r="BF124" s="260"/>
      <c r="BG124" s="279"/>
    </row>
    <row r="125" ht="15.0" customHeight="1">
      <c r="AB125" s="280"/>
      <c r="AV125" s="37"/>
    </row>
    <row r="126">
      <c r="AB126" s="33"/>
      <c r="AV126" s="37"/>
    </row>
    <row r="127">
      <c r="AB127" s="33"/>
      <c r="AV127" s="37"/>
    </row>
    <row r="128">
      <c r="AB128" s="33"/>
      <c r="AV128" s="37"/>
    </row>
    <row r="129">
      <c r="AB129" s="33"/>
      <c r="AV129" s="37"/>
    </row>
    <row r="130">
      <c r="AB130" s="33"/>
      <c r="AV130" s="37"/>
    </row>
    <row r="131">
      <c r="AB131" s="33"/>
      <c r="AV131" s="37"/>
    </row>
    <row r="132">
      <c r="AB132" s="33"/>
      <c r="AV132" s="37"/>
    </row>
    <row r="133">
      <c r="AB133" s="33"/>
      <c r="AV133" s="37"/>
    </row>
    <row r="134">
      <c r="AB134" s="33"/>
      <c r="AV134" s="37"/>
    </row>
    <row r="135">
      <c r="AB135" s="33"/>
      <c r="AV135" s="37"/>
    </row>
    <row r="136">
      <c r="AB136" s="33"/>
      <c r="AV136" s="37"/>
    </row>
    <row r="137">
      <c r="AB137" s="33"/>
      <c r="AV137" s="37"/>
    </row>
    <row r="138">
      <c r="AB138" s="33"/>
      <c r="AV138" s="37"/>
    </row>
    <row r="139">
      <c r="AB139" s="33"/>
      <c r="AV139" s="37"/>
    </row>
    <row r="140">
      <c r="AB140" s="33"/>
      <c r="AV140" s="37"/>
    </row>
    <row r="141">
      <c r="AB141" s="33"/>
      <c r="AV141" s="37"/>
    </row>
    <row r="142">
      <c r="AB142" s="33"/>
      <c r="AV142" s="37"/>
    </row>
    <row r="143">
      <c r="AB143" s="33"/>
      <c r="AV143" s="37"/>
    </row>
    <row r="144">
      <c r="AB144" s="33"/>
      <c r="AV144" s="37"/>
    </row>
    <row r="145">
      <c r="AB145" s="33"/>
      <c r="AV145" s="37"/>
    </row>
    <row r="146">
      <c r="AB146" s="33"/>
      <c r="AV146" s="37"/>
    </row>
    <row r="147">
      <c r="AB147" s="33"/>
      <c r="AV147" s="37"/>
    </row>
    <row r="148">
      <c r="AB148" s="33"/>
      <c r="AV148" s="37"/>
    </row>
    <row r="149">
      <c r="AB149" s="33"/>
      <c r="AV149" s="37"/>
    </row>
    <row r="150">
      <c r="AB150" s="33"/>
      <c r="AV150" s="37"/>
    </row>
    <row r="151">
      <c r="AB151" s="33"/>
      <c r="AV151" s="37"/>
    </row>
    <row r="152">
      <c r="AB152" s="33"/>
      <c r="AV152" s="37"/>
    </row>
    <row r="153">
      <c r="AB153" s="33"/>
      <c r="AV153" s="37"/>
    </row>
    <row r="154">
      <c r="AB154" s="33"/>
      <c r="AV154" s="37"/>
    </row>
    <row r="155">
      <c r="AB155" s="33"/>
      <c r="AV155" s="37"/>
    </row>
    <row r="156">
      <c r="AB156" s="33"/>
      <c r="AV156" s="37"/>
    </row>
    <row r="157">
      <c r="AB157" s="33"/>
      <c r="AV157" s="37"/>
    </row>
    <row r="158">
      <c r="AB158" s="33"/>
      <c r="AV158" s="37"/>
    </row>
    <row r="159">
      <c r="AB159" s="33"/>
      <c r="AV159" s="37"/>
    </row>
    <row r="160">
      <c r="AB160" s="33"/>
      <c r="AV160" s="37"/>
    </row>
    <row r="161">
      <c r="AB161" s="33"/>
      <c r="AV161" s="37"/>
    </row>
    <row r="162">
      <c r="AB162" s="33"/>
      <c r="AV162" s="37"/>
    </row>
    <row r="163">
      <c r="AB163" s="33"/>
      <c r="AV163" s="37"/>
    </row>
    <row r="164">
      <c r="AB164" s="33"/>
      <c r="AV164" s="37"/>
    </row>
    <row r="165">
      <c r="AB165" s="33"/>
      <c r="AV165" s="37"/>
    </row>
    <row r="166">
      <c r="AB166" s="33"/>
      <c r="AV166" s="37"/>
    </row>
    <row r="167">
      <c r="AB167" s="33"/>
      <c r="AV167" s="37"/>
    </row>
    <row r="168">
      <c r="AB168" s="33"/>
      <c r="AV168" s="37"/>
    </row>
    <row r="169">
      <c r="AB169" s="33"/>
      <c r="AV169" s="37"/>
    </row>
    <row r="170">
      <c r="AB170" s="33"/>
      <c r="AV170" s="37"/>
    </row>
    <row r="171">
      <c r="AB171" s="33"/>
      <c r="AV171" s="37"/>
    </row>
    <row r="172">
      <c r="AB172" s="33"/>
      <c r="AV172" s="37"/>
    </row>
    <row r="173">
      <c r="AB173" s="33"/>
      <c r="AV173" s="37"/>
    </row>
    <row r="174">
      <c r="AB174" s="33"/>
      <c r="AV174" s="37"/>
    </row>
    <row r="175">
      <c r="AB175" s="33"/>
      <c r="AV175" s="37"/>
    </row>
    <row r="176">
      <c r="AB176" s="33"/>
      <c r="AV176" s="37"/>
    </row>
    <row r="177">
      <c r="AB177" s="33"/>
      <c r="AV177" s="37"/>
    </row>
    <row r="178">
      <c r="AB178" s="33"/>
      <c r="AV178" s="37"/>
    </row>
    <row r="179">
      <c r="AB179" s="33"/>
      <c r="AV179" s="37"/>
    </row>
    <row r="180">
      <c r="AB180" s="33"/>
      <c r="AV180" s="37"/>
    </row>
    <row r="181">
      <c r="AB181" s="33"/>
      <c r="AV181" s="37"/>
    </row>
    <row r="182">
      <c r="AB182" s="33"/>
      <c r="AV182" s="37"/>
    </row>
    <row r="183">
      <c r="AB183" s="33"/>
      <c r="AV183" s="37"/>
    </row>
    <row r="184">
      <c r="AB184" s="33"/>
      <c r="AV184" s="37"/>
    </row>
    <row r="185">
      <c r="AB185" s="33"/>
      <c r="AV185" s="37"/>
    </row>
    <row r="186">
      <c r="AB186" s="33"/>
      <c r="AV186" s="37"/>
    </row>
    <row r="187">
      <c r="AB187" s="33"/>
      <c r="AV187" s="37"/>
    </row>
    <row r="188">
      <c r="AB188" s="33"/>
      <c r="AV188" s="37"/>
    </row>
    <row r="189">
      <c r="AB189" s="33"/>
      <c r="AV189" s="37"/>
    </row>
    <row r="190">
      <c r="AB190" s="33"/>
      <c r="AV190" s="37"/>
    </row>
    <row r="191">
      <c r="AB191" s="33"/>
      <c r="AV191" s="37"/>
    </row>
    <row r="192">
      <c r="AB192" s="33"/>
      <c r="AV192" s="37"/>
    </row>
    <row r="193">
      <c r="AB193" s="33"/>
      <c r="AV193" s="37"/>
    </row>
    <row r="194">
      <c r="AB194" s="33"/>
      <c r="AV194" s="37"/>
    </row>
    <row r="195">
      <c r="AB195" s="33"/>
      <c r="AV195" s="37"/>
    </row>
    <row r="196">
      <c r="AB196" s="33"/>
      <c r="AV196" s="37"/>
    </row>
    <row r="197">
      <c r="AB197" s="33"/>
      <c r="AV197" s="37"/>
    </row>
    <row r="198">
      <c r="AB198" s="33"/>
      <c r="AV198" s="37"/>
    </row>
    <row r="199">
      <c r="AB199" s="33"/>
      <c r="AV199" s="37"/>
    </row>
    <row r="200">
      <c r="AB200" s="33"/>
      <c r="AV200" s="37"/>
    </row>
    <row r="201">
      <c r="AB201" s="33"/>
      <c r="AV201" s="37"/>
    </row>
    <row r="202">
      <c r="AB202" s="33"/>
      <c r="AV202" s="37"/>
    </row>
    <row r="203">
      <c r="AB203" s="33"/>
      <c r="AV203" s="37"/>
    </row>
    <row r="204">
      <c r="AB204" s="33"/>
      <c r="AV204" s="37"/>
    </row>
    <row r="205">
      <c r="AB205" s="33"/>
      <c r="AV205" s="37"/>
    </row>
    <row r="206">
      <c r="AB206" s="33"/>
      <c r="AV206" s="37"/>
    </row>
    <row r="207">
      <c r="AB207" s="33"/>
      <c r="AV207" s="37"/>
    </row>
    <row r="208">
      <c r="AB208" s="33"/>
      <c r="AV208" s="37"/>
    </row>
    <row r="209">
      <c r="AB209" s="33"/>
      <c r="AV209" s="37"/>
    </row>
    <row r="210">
      <c r="AB210" s="33"/>
      <c r="AV210" s="37"/>
    </row>
    <row r="211">
      <c r="AB211" s="33"/>
      <c r="AV211" s="37"/>
    </row>
    <row r="212">
      <c r="AB212" s="33"/>
      <c r="AV212" s="37"/>
    </row>
    <row r="213">
      <c r="AB213" s="33"/>
      <c r="AV213" s="37"/>
    </row>
    <row r="214">
      <c r="AB214" s="33"/>
      <c r="AV214" s="37"/>
    </row>
    <row r="215">
      <c r="AB215" s="33"/>
      <c r="AV215" s="37"/>
    </row>
    <row r="216">
      <c r="AB216" s="33"/>
      <c r="AV216" s="37"/>
    </row>
    <row r="217">
      <c r="AB217" s="33"/>
      <c r="AV217" s="37"/>
    </row>
    <row r="218">
      <c r="AB218" s="33"/>
      <c r="AV218" s="37"/>
    </row>
    <row r="219">
      <c r="AB219" s="33"/>
      <c r="AV219" s="37"/>
    </row>
    <row r="220">
      <c r="AB220" s="33"/>
      <c r="AV220" s="37"/>
    </row>
    <row r="221">
      <c r="AB221" s="33"/>
      <c r="AV221" s="37"/>
    </row>
    <row r="222">
      <c r="AB222" s="33"/>
      <c r="AV222" s="37"/>
    </row>
    <row r="223">
      <c r="AB223" s="33"/>
      <c r="AV223" s="37"/>
    </row>
    <row r="224">
      <c r="AB224" s="33"/>
      <c r="AV224" s="37"/>
    </row>
    <row r="225">
      <c r="AB225" s="33"/>
      <c r="AV225" s="37"/>
    </row>
    <row r="226">
      <c r="AB226" s="33"/>
      <c r="AV226" s="37"/>
    </row>
    <row r="227">
      <c r="AB227" s="33"/>
      <c r="AV227" s="37"/>
    </row>
    <row r="228">
      <c r="AB228" s="33"/>
      <c r="AV228" s="37"/>
    </row>
    <row r="229">
      <c r="AB229" s="33"/>
      <c r="AV229" s="37"/>
    </row>
    <row r="230">
      <c r="AB230" s="33"/>
      <c r="AV230" s="37"/>
    </row>
    <row r="231">
      <c r="AB231" s="33"/>
      <c r="AV231" s="37"/>
    </row>
    <row r="232">
      <c r="AB232" s="33"/>
      <c r="AV232" s="37"/>
    </row>
    <row r="233">
      <c r="AB233" s="33"/>
      <c r="AV233" s="37"/>
    </row>
    <row r="234">
      <c r="AB234" s="33"/>
      <c r="AV234" s="37"/>
    </row>
    <row r="235">
      <c r="AB235" s="33"/>
      <c r="AV235" s="37"/>
    </row>
    <row r="236">
      <c r="AB236" s="33"/>
      <c r="AV236" s="37"/>
    </row>
    <row r="237">
      <c r="AB237" s="33"/>
      <c r="AV237" s="37"/>
    </row>
    <row r="238">
      <c r="AB238" s="33"/>
      <c r="AV238" s="37"/>
    </row>
    <row r="239">
      <c r="AB239" s="33"/>
      <c r="AV239" s="37"/>
    </row>
    <row r="240">
      <c r="AB240" s="33"/>
      <c r="AV240" s="37"/>
    </row>
    <row r="241">
      <c r="AB241" s="33"/>
      <c r="AV241" s="37"/>
    </row>
    <row r="242">
      <c r="AB242" s="33"/>
      <c r="AV242" s="37"/>
    </row>
    <row r="243">
      <c r="AB243" s="33"/>
      <c r="AV243" s="37"/>
    </row>
    <row r="244">
      <c r="AB244" s="33"/>
      <c r="AV244" s="37"/>
    </row>
    <row r="245">
      <c r="AB245" s="33"/>
      <c r="AV245" s="37"/>
    </row>
    <row r="246">
      <c r="AB246" s="33"/>
      <c r="AV246" s="37"/>
    </row>
    <row r="247">
      <c r="AB247" s="33"/>
      <c r="AV247" s="37"/>
    </row>
    <row r="248">
      <c r="AB248" s="33"/>
      <c r="AV248" s="37"/>
    </row>
    <row r="249">
      <c r="AB249" s="33"/>
      <c r="AV249" s="37"/>
    </row>
    <row r="250">
      <c r="AB250" s="33"/>
      <c r="AV250" s="37"/>
    </row>
    <row r="251">
      <c r="AB251" s="33"/>
      <c r="AV251" s="37"/>
    </row>
    <row r="252">
      <c r="AB252" s="33"/>
      <c r="AV252" s="37"/>
    </row>
    <row r="253">
      <c r="AB253" s="33"/>
      <c r="AV253" s="37"/>
    </row>
    <row r="254">
      <c r="AB254" s="33"/>
      <c r="AV254" s="37"/>
    </row>
    <row r="255">
      <c r="AB255" s="33"/>
      <c r="AV255" s="37"/>
    </row>
    <row r="256">
      <c r="AB256" s="33"/>
      <c r="AV256" s="37"/>
    </row>
    <row r="257">
      <c r="AB257" s="33"/>
      <c r="AV257" s="37"/>
    </row>
    <row r="258">
      <c r="AB258" s="33"/>
      <c r="AV258" s="37"/>
    </row>
    <row r="259">
      <c r="AB259" s="33"/>
      <c r="AV259" s="37"/>
    </row>
    <row r="260">
      <c r="AB260" s="33"/>
      <c r="AV260" s="37"/>
    </row>
    <row r="261">
      <c r="AB261" s="33"/>
      <c r="AV261" s="37"/>
    </row>
    <row r="262">
      <c r="AB262" s="33"/>
      <c r="AV262" s="37"/>
    </row>
    <row r="263">
      <c r="AB263" s="33"/>
      <c r="AV263" s="37"/>
    </row>
    <row r="264">
      <c r="AB264" s="33"/>
      <c r="AV264" s="37"/>
    </row>
    <row r="265">
      <c r="AB265" s="33"/>
      <c r="AV265" s="37"/>
    </row>
    <row r="266">
      <c r="AB266" s="33"/>
      <c r="AV266" s="37"/>
    </row>
    <row r="267">
      <c r="AB267" s="33"/>
      <c r="AV267" s="37"/>
    </row>
    <row r="268">
      <c r="AB268" s="33"/>
      <c r="AV268" s="37"/>
    </row>
    <row r="269">
      <c r="AB269" s="33"/>
      <c r="AV269" s="37"/>
    </row>
    <row r="270">
      <c r="AB270" s="33"/>
      <c r="AV270" s="37"/>
    </row>
    <row r="271">
      <c r="AB271" s="33"/>
      <c r="AV271" s="37"/>
    </row>
    <row r="272">
      <c r="AB272" s="33"/>
      <c r="AV272" s="37"/>
    </row>
    <row r="273">
      <c r="AB273" s="33"/>
      <c r="AV273" s="37"/>
    </row>
    <row r="274">
      <c r="AB274" s="33"/>
      <c r="AV274" s="37"/>
    </row>
    <row r="275">
      <c r="AB275" s="33"/>
      <c r="AV275" s="37"/>
    </row>
    <row r="276">
      <c r="AB276" s="33"/>
      <c r="AV276" s="37"/>
    </row>
    <row r="277">
      <c r="AB277" s="33"/>
      <c r="AV277" s="37"/>
    </row>
    <row r="278">
      <c r="AB278" s="33"/>
      <c r="AV278" s="37"/>
    </row>
    <row r="279">
      <c r="AB279" s="33"/>
      <c r="AV279" s="37"/>
    </row>
    <row r="280">
      <c r="AB280" s="33"/>
      <c r="AV280" s="37"/>
    </row>
    <row r="281">
      <c r="AB281" s="33"/>
      <c r="AV281" s="37"/>
    </row>
    <row r="282">
      <c r="AB282" s="33"/>
      <c r="AV282" s="37"/>
    </row>
    <row r="283">
      <c r="AB283" s="33"/>
      <c r="AV283" s="37"/>
    </row>
    <row r="284">
      <c r="AB284" s="33"/>
      <c r="AV284" s="37"/>
    </row>
    <row r="285">
      <c r="AB285" s="33"/>
      <c r="AV285" s="37"/>
    </row>
    <row r="286">
      <c r="AB286" s="33"/>
      <c r="AV286" s="37"/>
    </row>
    <row r="287">
      <c r="AB287" s="33"/>
      <c r="AV287" s="37"/>
    </row>
    <row r="288">
      <c r="AB288" s="33"/>
      <c r="AV288" s="37"/>
    </row>
    <row r="289">
      <c r="AB289" s="33"/>
      <c r="AV289" s="37"/>
    </row>
    <row r="290">
      <c r="AB290" s="33"/>
      <c r="AV290" s="37"/>
    </row>
    <row r="291">
      <c r="AB291" s="33"/>
      <c r="AV291" s="37"/>
    </row>
    <row r="292">
      <c r="AB292" s="33"/>
      <c r="AV292" s="37"/>
    </row>
    <row r="293">
      <c r="AB293" s="33"/>
      <c r="AV293" s="37"/>
    </row>
    <row r="294">
      <c r="AB294" s="33"/>
      <c r="AV294" s="37"/>
    </row>
    <row r="295">
      <c r="AB295" s="33"/>
      <c r="AV295" s="37"/>
    </row>
    <row r="296">
      <c r="AB296" s="33"/>
      <c r="AV296" s="37"/>
    </row>
    <row r="297">
      <c r="AB297" s="33"/>
      <c r="AV297" s="37"/>
    </row>
    <row r="298">
      <c r="AB298" s="33"/>
      <c r="AV298" s="37"/>
    </row>
    <row r="299">
      <c r="AB299" s="33"/>
      <c r="AV299" s="37"/>
    </row>
    <row r="300">
      <c r="AB300" s="33"/>
      <c r="AV300" s="37"/>
    </row>
    <row r="301">
      <c r="AB301" s="33"/>
      <c r="AV301" s="37"/>
    </row>
    <row r="302">
      <c r="AB302" s="33"/>
      <c r="AV302" s="37"/>
    </row>
    <row r="303">
      <c r="AB303" s="33"/>
      <c r="AV303" s="37"/>
    </row>
    <row r="304">
      <c r="AB304" s="33"/>
      <c r="AV304" s="37"/>
    </row>
    <row r="305">
      <c r="AB305" s="33"/>
      <c r="AV305" s="37"/>
    </row>
    <row r="306">
      <c r="AB306" s="33"/>
      <c r="AV306" s="37"/>
    </row>
    <row r="307">
      <c r="AB307" s="33"/>
      <c r="AV307" s="37"/>
    </row>
    <row r="308">
      <c r="AB308" s="33"/>
      <c r="AV308" s="37"/>
    </row>
    <row r="309">
      <c r="AB309" s="33"/>
      <c r="AV309" s="37"/>
    </row>
    <row r="310">
      <c r="AB310" s="33"/>
      <c r="AV310" s="37"/>
    </row>
    <row r="311">
      <c r="AB311" s="33"/>
      <c r="AV311" s="37"/>
    </row>
    <row r="312">
      <c r="AB312" s="33"/>
      <c r="AV312" s="37"/>
    </row>
    <row r="313">
      <c r="AB313" s="33"/>
      <c r="AV313" s="37"/>
    </row>
    <row r="314">
      <c r="AB314" s="33"/>
      <c r="AV314" s="37"/>
    </row>
    <row r="315">
      <c r="AB315" s="33"/>
      <c r="AV315" s="37"/>
    </row>
    <row r="316">
      <c r="AB316" s="33"/>
      <c r="AV316" s="37"/>
    </row>
    <row r="317">
      <c r="AB317" s="33"/>
      <c r="AV317" s="37"/>
    </row>
    <row r="318">
      <c r="AB318" s="33"/>
      <c r="AV318" s="37"/>
    </row>
    <row r="319">
      <c r="AB319" s="33"/>
      <c r="AV319" s="37"/>
    </row>
    <row r="320">
      <c r="AB320" s="33"/>
      <c r="AV320" s="37"/>
    </row>
    <row r="321">
      <c r="AB321" s="33"/>
      <c r="AV321" s="37"/>
    </row>
    <row r="322">
      <c r="AB322" s="33"/>
      <c r="AV322" s="37"/>
    </row>
    <row r="323">
      <c r="AB323" s="33"/>
      <c r="AV323" s="37"/>
    </row>
    <row r="324">
      <c r="AB324" s="33"/>
      <c r="AV324" s="37"/>
    </row>
    <row r="325">
      <c r="AB325" s="33"/>
      <c r="AV325" s="37"/>
    </row>
    <row r="326">
      <c r="AB326" s="33"/>
      <c r="AV326" s="37"/>
    </row>
    <row r="327">
      <c r="AB327" s="33"/>
      <c r="AV327" s="37"/>
    </row>
    <row r="328">
      <c r="AB328" s="33"/>
      <c r="AV328" s="37"/>
    </row>
    <row r="329">
      <c r="AB329" s="33"/>
      <c r="AV329" s="37"/>
    </row>
    <row r="330">
      <c r="AB330" s="33"/>
      <c r="AV330" s="37"/>
    </row>
    <row r="331">
      <c r="AB331" s="33"/>
      <c r="AV331" s="37"/>
    </row>
    <row r="332">
      <c r="AB332" s="33"/>
      <c r="AV332" s="37"/>
    </row>
    <row r="333">
      <c r="AB333" s="33"/>
      <c r="AV333" s="37"/>
    </row>
    <row r="334">
      <c r="AB334" s="33"/>
      <c r="AV334" s="37"/>
    </row>
    <row r="335">
      <c r="AB335" s="33"/>
      <c r="AV335" s="37"/>
    </row>
    <row r="336">
      <c r="AB336" s="33"/>
      <c r="AV336" s="37"/>
    </row>
    <row r="337">
      <c r="AB337" s="33"/>
      <c r="AV337" s="37"/>
    </row>
    <row r="338">
      <c r="AB338" s="33"/>
      <c r="AV338" s="37"/>
    </row>
    <row r="339">
      <c r="AB339" s="33"/>
      <c r="AV339" s="37"/>
    </row>
    <row r="340">
      <c r="AB340" s="33"/>
      <c r="AV340" s="37"/>
    </row>
    <row r="341">
      <c r="AB341" s="33"/>
      <c r="AV341" s="37"/>
    </row>
    <row r="342">
      <c r="AB342" s="33"/>
      <c r="AV342" s="37"/>
    </row>
    <row r="343">
      <c r="AB343" s="33"/>
      <c r="AV343" s="37"/>
    </row>
    <row r="344">
      <c r="AB344" s="33"/>
      <c r="AV344" s="37"/>
    </row>
    <row r="345">
      <c r="AB345" s="33"/>
      <c r="AV345" s="37"/>
    </row>
    <row r="346">
      <c r="AB346" s="33"/>
      <c r="AV346" s="37"/>
    </row>
    <row r="347">
      <c r="AB347" s="33"/>
      <c r="AV347" s="37"/>
    </row>
    <row r="348">
      <c r="AB348" s="33"/>
      <c r="AV348" s="37"/>
    </row>
    <row r="349">
      <c r="AB349" s="33"/>
      <c r="AV349" s="37"/>
    </row>
    <row r="350">
      <c r="AB350" s="33"/>
      <c r="AV350" s="37"/>
    </row>
    <row r="351">
      <c r="AB351" s="33"/>
      <c r="AV351" s="37"/>
    </row>
    <row r="352">
      <c r="AB352" s="33"/>
      <c r="AV352" s="37"/>
    </row>
    <row r="353">
      <c r="AB353" s="33"/>
      <c r="AV353" s="37"/>
    </row>
    <row r="354">
      <c r="AB354" s="33"/>
      <c r="AV354" s="37"/>
    </row>
    <row r="355">
      <c r="AB355" s="33"/>
      <c r="AV355" s="37"/>
    </row>
    <row r="356">
      <c r="AB356" s="33"/>
      <c r="AV356" s="37"/>
    </row>
    <row r="357">
      <c r="AB357" s="33"/>
      <c r="AV357" s="37"/>
    </row>
    <row r="358">
      <c r="AB358" s="33"/>
      <c r="AV358" s="37"/>
    </row>
    <row r="359">
      <c r="AB359" s="33"/>
      <c r="AV359" s="37"/>
    </row>
    <row r="360">
      <c r="AB360" s="33"/>
      <c r="AV360" s="37"/>
    </row>
    <row r="361">
      <c r="AB361" s="33"/>
      <c r="AV361" s="37"/>
    </row>
    <row r="362">
      <c r="AB362" s="33"/>
      <c r="AV362" s="37"/>
    </row>
    <row r="363">
      <c r="AB363" s="33"/>
      <c r="AV363" s="37"/>
    </row>
    <row r="364">
      <c r="AB364" s="33"/>
      <c r="AV364" s="37"/>
    </row>
    <row r="365">
      <c r="AB365" s="33"/>
      <c r="AV365" s="37"/>
    </row>
    <row r="366">
      <c r="AB366" s="33"/>
      <c r="AV366" s="37"/>
    </row>
    <row r="367">
      <c r="AB367" s="33"/>
      <c r="AV367" s="37"/>
    </row>
    <row r="368">
      <c r="AB368" s="33"/>
      <c r="AV368" s="37"/>
    </row>
    <row r="369">
      <c r="AB369" s="33"/>
      <c r="AV369" s="37"/>
    </row>
    <row r="370">
      <c r="AB370" s="33"/>
      <c r="AV370" s="37"/>
    </row>
    <row r="371">
      <c r="AB371" s="33"/>
      <c r="AV371" s="37"/>
    </row>
    <row r="372">
      <c r="AB372" s="33"/>
      <c r="AV372" s="37"/>
    </row>
    <row r="373">
      <c r="AB373" s="33"/>
      <c r="AV373" s="37"/>
    </row>
    <row r="374">
      <c r="AB374" s="33"/>
      <c r="AV374" s="37"/>
    </row>
    <row r="375">
      <c r="AB375" s="33"/>
      <c r="AV375" s="37"/>
    </row>
    <row r="376">
      <c r="AB376" s="33"/>
      <c r="AV376" s="37"/>
    </row>
    <row r="377">
      <c r="AB377" s="33"/>
      <c r="AV377" s="37"/>
    </row>
    <row r="378">
      <c r="AB378" s="33"/>
      <c r="AV378" s="37"/>
    </row>
    <row r="379">
      <c r="AB379" s="33"/>
      <c r="AV379" s="37"/>
    </row>
    <row r="380">
      <c r="AB380" s="33"/>
      <c r="AV380" s="37"/>
    </row>
    <row r="381">
      <c r="AB381" s="33"/>
      <c r="AV381" s="37"/>
    </row>
    <row r="382">
      <c r="AB382" s="33"/>
      <c r="AV382" s="37"/>
    </row>
    <row r="383">
      <c r="AB383" s="33"/>
      <c r="AV383" s="37"/>
    </row>
    <row r="384">
      <c r="AB384" s="33"/>
      <c r="AV384" s="37"/>
    </row>
    <row r="385">
      <c r="AB385" s="33"/>
      <c r="AV385" s="37"/>
    </row>
    <row r="386">
      <c r="AB386" s="33"/>
      <c r="AV386" s="37"/>
    </row>
    <row r="387">
      <c r="AB387" s="33"/>
      <c r="AV387" s="37"/>
    </row>
    <row r="388">
      <c r="AB388" s="33"/>
      <c r="AV388" s="37"/>
    </row>
    <row r="389">
      <c r="AB389" s="33"/>
      <c r="AV389" s="37"/>
    </row>
    <row r="390">
      <c r="AB390" s="33"/>
      <c r="AV390" s="37"/>
    </row>
    <row r="391">
      <c r="AB391" s="33"/>
      <c r="AV391" s="37"/>
    </row>
    <row r="392">
      <c r="AB392" s="33"/>
      <c r="AV392" s="37"/>
    </row>
    <row r="393">
      <c r="AB393" s="33"/>
      <c r="AV393" s="37"/>
    </row>
    <row r="394">
      <c r="AB394" s="33"/>
      <c r="AV394" s="37"/>
    </row>
    <row r="395">
      <c r="AB395" s="33"/>
      <c r="AV395" s="37"/>
    </row>
    <row r="396">
      <c r="AB396" s="33"/>
      <c r="AV396" s="37"/>
    </row>
    <row r="397">
      <c r="AB397" s="33"/>
      <c r="AV397" s="37"/>
    </row>
    <row r="398">
      <c r="AB398" s="33"/>
      <c r="AV398" s="37"/>
    </row>
    <row r="399">
      <c r="AB399" s="33"/>
      <c r="AV399" s="37"/>
    </row>
    <row r="400">
      <c r="AB400" s="33"/>
      <c r="AV400" s="37"/>
    </row>
    <row r="401">
      <c r="AB401" s="33"/>
      <c r="AV401" s="37"/>
    </row>
    <row r="402">
      <c r="AB402" s="33"/>
      <c r="AV402" s="37"/>
    </row>
    <row r="403">
      <c r="AB403" s="33"/>
      <c r="AV403" s="37"/>
    </row>
    <row r="404">
      <c r="AB404" s="33"/>
      <c r="AV404" s="37"/>
    </row>
    <row r="405">
      <c r="AB405" s="33"/>
      <c r="AV405" s="37"/>
    </row>
    <row r="406">
      <c r="AB406" s="33"/>
      <c r="AV406" s="37"/>
    </row>
    <row r="407">
      <c r="AB407" s="33"/>
      <c r="AV407" s="37"/>
    </row>
    <row r="408">
      <c r="AB408" s="33"/>
      <c r="AV408" s="37"/>
    </row>
    <row r="409">
      <c r="AB409" s="33"/>
      <c r="AV409" s="37"/>
    </row>
    <row r="410">
      <c r="AB410" s="33"/>
      <c r="AV410" s="37"/>
    </row>
    <row r="411">
      <c r="AB411" s="33"/>
      <c r="AV411" s="37"/>
    </row>
    <row r="412">
      <c r="AB412" s="33"/>
      <c r="AV412" s="37"/>
    </row>
    <row r="413">
      <c r="AB413" s="33"/>
      <c r="AV413" s="37"/>
    </row>
    <row r="414">
      <c r="AB414" s="33"/>
      <c r="AV414" s="37"/>
    </row>
    <row r="415">
      <c r="AB415" s="33"/>
      <c r="AV415" s="37"/>
    </row>
    <row r="416">
      <c r="AB416" s="33"/>
      <c r="AV416" s="37"/>
    </row>
    <row r="417">
      <c r="AB417" s="33"/>
      <c r="AV417" s="37"/>
    </row>
    <row r="418">
      <c r="AB418" s="33"/>
      <c r="AV418" s="37"/>
    </row>
    <row r="419">
      <c r="AB419" s="33"/>
      <c r="AV419" s="37"/>
    </row>
    <row r="420">
      <c r="AB420" s="33"/>
      <c r="AV420" s="37"/>
    </row>
    <row r="421">
      <c r="AB421" s="33"/>
      <c r="AV421" s="37"/>
    </row>
    <row r="422">
      <c r="AB422" s="33"/>
      <c r="AV422" s="37"/>
    </row>
    <row r="423">
      <c r="AB423" s="33"/>
      <c r="AV423" s="37"/>
    </row>
    <row r="424">
      <c r="AB424" s="33"/>
      <c r="AV424" s="37"/>
    </row>
    <row r="425">
      <c r="AB425" s="33"/>
      <c r="AV425" s="37"/>
    </row>
    <row r="426">
      <c r="AB426" s="33"/>
      <c r="AV426" s="37"/>
    </row>
    <row r="427">
      <c r="AB427" s="33"/>
      <c r="AV427" s="37"/>
    </row>
    <row r="428">
      <c r="AB428" s="33"/>
      <c r="AV428" s="37"/>
    </row>
    <row r="429">
      <c r="AB429" s="33"/>
      <c r="AV429" s="37"/>
    </row>
    <row r="430">
      <c r="AB430" s="33"/>
      <c r="AV430" s="37"/>
    </row>
    <row r="431">
      <c r="AB431" s="33"/>
      <c r="AV431" s="37"/>
    </row>
    <row r="432">
      <c r="AB432" s="33"/>
      <c r="AV432" s="37"/>
    </row>
    <row r="433">
      <c r="AB433" s="33"/>
      <c r="AV433" s="37"/>
    </row>
    <row r="434">
      <c r="AB434" s="33"/>
      <c r="AV434" s="37"/>
    </row>
    <row r="435">
      <c r="AB435" s="33"/>
      <c r="AV435" s="37"/>
    </row>
    <row r="436">
      <c r="AB436" s="33"/>
      <c r="AV436" s="37"/>
    </row>
    <row r="437">
      <c r="AB437" s="33"/>
      <c r="AV437" s="37"/>
    </row>
    <row r="438">
      <c r="AB438" s="33"/>
      <c r="AV438" s="37"/>
    </row>
    <row r="439">
      <c r="AB439" s="33"/>
      <c r="AV439" s="37"/>
    </row>
    <row r="440">
      <c r="AB440" s="33"/>
      <c r="AV440" s="37"/>
    </row>
    <row r="441">
      <c r="AB441" s="33"/>
      <c r="AV441" s="37"/>
    </row>
    <row r="442">
      <c r="AB442" s="33"/>
      <c r="AV442" s="37"/>
    </row>
    <row r="443">
      <c r="AB443" s="33"/>
      <c r="AV443" s="37"/>
    </row>
    <row r="444">
      <c r="AB444" s="33"/>
      <c r="AV444" s="37"/>
    </row>
    <row r="445">
      <c r="AB445" s="33"/>
      <c r="AV445" s="37"/>
    </row>
    <row r="446">
      <c r="AB446" s="33"/>
      <c r="AV446" s="37"/>
    </row>
    <row r="447">
      <c r="AB447" s="33"/>
      <c r="AV447" s="37"/>
    </row>
    <row r="448">
      <c r="AB448" s="33"/>
      <c r="AV448" s="37"/>
    </row>
    <row r="449">
      <c r="AB449" s="33"/>
      <c r="AV449" s="37"/>
    </row>
    <row r="450">
      <c r="AB450" s="33"/>
      <c r="AV450" s="37"/>
    </row>
    <row r="451">
      <c r="AB451" s="33"/>
      <c r="AV451" s="37"/>
    </row>
    <row r="452">
      <c r="AB452" s="33"/>
      <c r="AV452" s="37"/>
    </row>
    <row r="453">
      <c r="AB453" s="33"/>
      <c r="AV453" s="37"/>
    </row>
    <row r="454">
      <c r="AB454" s="33"/>
      <c r="AV454" s="37"/>
    </row>
    <row r="455">
      <c r="AB455" s="33"/>
      <c r="AV455" s="37"/>
    </row>
    <row r="456">
      <c r="AB456" s="33"/>
      <c r="AV456" s="37"/>
    </row>
    <row r="457">
      <c r="AB457" s="33"/>
      <c r="AV457" s="37"/>
    </row>
    <row r="458">
      <c r="AB458" s="33"/>
      <c r="AV458" s="37"/>
    </row>
    <row r="459">
      <c r="AB459" s="33"/>
      <c r="AV459" s="37"/>
    </row>
    <row r="460">
      <c r="AB460" s="33"/>
      <c r="AV460" s="37"/>
    </row>
    <row r="461">
      <c r="AB461" s="33"/>
      <c r="AV461" s="37"/>
    </row>
    <row r="462">
      <c r="AB462" s="33"/>
      <c r="AV462" s="37"/>
    </row>
    <row r="463">
      <c r="AB463" s="33"/>
      <c r="AV463" s="37"/>
    </row>
    <row r="464">
      <c r="AB464" s="33"/>
      <c r="AV464" s="37"/>
    </row>
    <row r="465">
      <c r="AB465" s="33"/>
      <c r="AV465" s="37"/>
    </row>
    <row r="466">
      <c r="AB466" s="33"/>
      <c r="AV466" s="37"/>
    </row>
    <row r="467">
      <c r="AB467" s="33"/>
      <c r="AV467" s="37"/>
    </row>
    <row r="468">
      <c r="AB468" s="33"/>
      <c r="AV468" s="37"/>
    </row>
    <row r="469">
      <c r="AB469" s="33"/>
      <c r="AV469" s="37"/>
    </row>
    <row r="470">
      <c r="AB470" s="33"/>
      <c r="AV470" s="37"/>
    </row>
    <row r="471">
      <c r="AB471" s="33"/>
      <c r="AV471" s="37"/>
    </row>
    <row r="472">
      <c r="AB472" s="33"/>
      <c r="AV472" s="37"/>
    </row>
    <row r="473">
      <c r="AB473" s="33"/>
      <c r="AV473" s="37"/>
    </row>
    <row r="474">
      <c r="AB474" s="33"/>
      <c r="AV474" s="37"/>
    </row>
    <row r="475">
      <c r="AB475" s="33"/>
      <c r="AV475" s="37"/>
    </row>
    <row r="476">
      <c r="AB476" s="33"/>
      <c r="AV476" s="37"/>
    </row>
    <row r="477">
      <c r="AB477" s="33"/>
      <c r="AV477" s="37"/>
    </row>
    <row r="478">
      <c r="AB478" s="33"/>
      <c r="AV478" s="37"/>
    </row>
    <row r="479">
      <c r="AB479" s="33"/>
      <c r="AV479" s="37"/>
    </row>
    <row r="480">
      <c r="AB480" s="33"/>
      <c r="AV480" s="37"/>
    </row>
    <row r="481">
      <c r="AB481" s="33"/>
      <c r="AV481" s="37"/>
    </row>
    <row r="482">
      <c r="AB482" s="33"/>
      <c r="AV482" s="37"/>
    </row>
    <row r="483">
      <c r="AB483" s="33"/>
      <c r="AV483" s="37"/>
    </row>
    <row r="484">
      <c r="AB484" s="33"/>
      <c r="AV484" s="37"/>
    </row>
    <row r="485">
      <c r="AB485" s="33"/>
      <c r="AV485" s="37"/>
    </row>
    <row r="486">
      <c r="AB486" s="33"/>
      <c r="AV486" s="37"/>
    </row>
    <row r="487">
      <c r="AB487" s="33"/>
      <c r="AV487" s="37"/>
    </row>
    <row r="488">
      <c r="AB488" s="33"/>
      <c r="AV488" s="37"/>
    </row>
    <row r="489">
      <c r="AB489" s="33"/>
      <c r="AV489" s="37"/>
    </row>
    <row r="490">
      <c r="AB490" s="33"/>
      <c r="AV490" s="37"/>
    </row>
    <row r="491">
      <c r="AB491" s="33"/>
      <c r="AV491" s="37"/>
    </row>
    <row r="492">
      <c r="AB492" s="33"/>
      <c r="AV492" s="37"/>
    </row>
    <row r="493">
      <c r="AB493" s="33"/>
      <c r="AV493" s="37"/>
    </row>
    <row r="494">
      <c r="AB494" s="33"/>
      <c r="AV494" s="37"/>
    </row>
    <row r="495">
      <c r="AB495" s="33"/>
      <c r="AV495" s="37"/>
    </row>
    <row r="496">
      <c r="AB496" s="33"/>
      <c r="AV496" s="37"/>
    </row>
    <row r="497">
      <c r="AB497" s="33"/>
      <c r="AV497" s="37"/>
    </row>
    <row r="498">
      <c r="AB498" s="33"/>
      <c r="AV498" s="37"/>
    </row>
    <row r="499">
      <c r="AB499" s="33"/>
      <c r="AV499" s="37"/>
    </row>
    <row r="500">
      <c r="AB500" s="33"/>
      <c r="AV500" s="37"/>
    </row>
    <row r="501">
      <c r="AB501" s="33"/>
      <c r="AV501" s="37"/>
    </row>
    <row r="502">
      <c r="AB502" s="33"/>
      <c r="AV502" s="37"/>
    </row>
    <row r="503">
      <c r="AB503" s="33"/>
      <c r="AV503" s="37"/>
    </row>
    <row r="504">
      <c r="AB504" s="33"/>
      <c r="AV504" s="37"/>
    </row>
    <row r="505">
      <c r="AB505" s="33"/>
      <c r="AV505" s="37"/>
    </row>
    <row r="506">
      <c r="AB506" s="33"/>
      <c r="AV506" s="37"/>
    </row>
    <row r="507">
      <c r="AB507" s="33"/>
      <c r="AV507" s="37"/>
    </row>
    <row r="508">
      <c r="AB508" s="33"/>
      <c r="AV508" s="37"/>
    </row>
    <row r="509">
      <c r="AB509" s="33"/>
      <c r="AV509" s="37"/>
    </row>
    <row r="510">
      <c r="AB510" s="33"/>
      <c r="AV510" s="37"/>
    </row>
    <row r="511">
      <c r="AB511" s="33"/>
      <c r="AV511" s="37"/>
    </row>
    <row r="512">
      <c r="AB512" s="33"/>
      <c r="AV512" s="37"/>
    </row>
    <row r="513">
      <c r="AB513" s="33"/>
      <c r="AV513" s="37"/>
    </row>
    <row r="514">
      <c r="AB514" s="33"/>
      <c r="AV514" s="37"/>
    </row>
    <row r="515">
      <c r="AB515" s="33"/>
      <c r="AV515" s="37"/>
    </row>
    <row r="516">
      <c r="AB516" s="33"/>
      <c r="AV516" s="37"/>
    </row>
    <row r="517">
      <c r="AB517" s="33"/>
      <c r="AV517" s="37"/>
    </row>
    <row r="518">
      <c r="AB518" s="33"/>
      <c r="AV518" s="37"/>
    </row>
    <row r="519">
      <c r="AB519" s="33"/>
      <c r="AV519" s="37"/>
    </row>
    <row r="520">
      <c r="AB520" s="33"/>
      <c r="AV520" s="37"/>
    </row>
    <row r="521">
      <c r="AB521" s="33"/>
      <c r="AV521" s="37"/>
    </row>
    <row r="522">
      <c r="AB522" s="33"/>
      <c r="AV522" s="37"/>
    </row>
    <row r="523">
      <c r="AB523" s="33"/>
      <c r="AV523" s="37"/>
    </row>
    <row r="524">
      <c r="AB524" s="33"/>
      <c r="AV524" s="37"/>
    </row>
    <row r="525">
      <c r="AB525" s="33"/>
      <c r="AV525" s="37"/>
    </row>
    <row r="526">
      <c r="AB526" s="33"/>
      <c r="AV526" s="37"/>
    </row>
    <row r="527">
      <c r="AB527" s="33"/>
      <c r="AV527" s="37"/>
    </row>
    <row r="528">
      <c r="AB528" s="33"/>
      <c r="AV528" s="37"/>
    </row>
    <row r="529">
      <c r="AB529" s="33"/>
      <c r="AV529" s="37"/>
    </row>
    <row r="530">
      <c r="AB530" s="33"/>
      <c r="AV530" s="37"/>
    </row>
    <row r="531">
      <c r="AB531" s="33"/>
      <c r="AV531" s="37"/>
    </row>
    <row r="532">
      <c r="AB532" s="33"/>
      <c r="AV532" s="37"/>
    </row>
    <row r="533">
      <c r="AB533" s="33"/>
      <c r="AV533" s="37"/>
    </row>
    <row r="534">
      <c r="AB534" s="33"/>
      <c r="AV534" s="37"/>
    </row>
    <row r="535">
      <c r="AB535" s="33"/>
      <c r="AV535" s="37"/>
    </row>
    <row r="536">
      <c r="AB536" s="33"/>
      <c r="AV536" s="37"/>
    </row>
    <row r="537">
      <c r="AB537" s="33"/>
      <c r="AV537" s="37"/>
    </row>
    <row r="538">
      <c r="AB538" s="33"/>
      <c r="AV538" s="37"/>
    </row>
    <row r="539">
      <c r="AB539" s="33"/>
      <c r="AV539" s="37"/>
    </row>
    <row r="540">
      <c r="AB540" s="33"/>
      <c r="AV540" s="37"/>
    </row>
    <row r="541">
      <c r="AB541" s="33"/>
      <c r="AV541" s="37"/>
    </row>
    <row r="542">
      <c r="AB542" s="33"/>
      <c r="AV542" s="37"/>
    </row>
    <row r="543">
      <c r="AB543" s="33"/>
      <c r="AV543" s="37"/>
    </row>
    <row r="544">
      <c r="AB544" s="33"/>
      <c r="AV544" s="37"/>
    </row>
    <row r="545">
      <c r="AB545" s="33"/>
      <c r="AV545" s="37"/>
    </row>
    <row r="546">
      <c r="AB546" s="33"/>
      <c r="AV546" s="37"/>
    </row>
    <row r="547">
      <c r="AB547" s="33"/>
      <c r="AV547" s="37"/>
    </row>
    <row r="548">
      <c r="AB548" s="33"/>
      <c r="AV548" s="37"/>
    </row>
    <row r="549">
      <c r="AB549" s="33"/>
      <c r="AV549" s="37"/>
    </row>
    <row r="550">
      <c r="AB550" s="33"/>
      <c r="AV550" s="37"/>
    </row>
    <row r="551">
      <c r="AB551" s="33"/>
      <c r="AV551" s="37"/>
    </row>
    <row r="552">
      <c r="AB552" s="33"/>
      <c r="AV552" s="37"/>
    </row>
    <row r="553">
      <c r="AB553" s="33"/>
      <c r="AV553" s="37"/>
    </row>
    <row r="554">
      <c r="AB554" s="33"/>
      <c r="AV554" s="37"/>
    </row>
    <row r="555">
      <c r="AB555" s="33"/>
      <c r="AV555" s="37"/>
    </row>
    <row r="556">
      <c r="AB556" s="33"/>
      <c r="AV556" s="37"/>
    </row>
    <row r="557">
      <c r="AB557" s="33"/>
      <c r="AV557" s="37"/>
    </row>
    <row r="558">
      <c r="AB558" s="33"/>
      <c r="AV558" s="37"/>
    </row>
    <row r="559">
      <c r="AB559" s="33"/>
      <c r="AV559" s="37"/>
    </row>
    <row r="560">
      <c r="AB560" s="33"/>
      <c r="AV560" s="37"/>
    </row>
    <row r="561">
      <c r="AB561" s="33"/>
      <c r="AV561" s="37"/>
    </row>
    <row r="562">
      <c r="AB562" s="33"/>
      <c r="AV562" s="37"/>
    </row>
    <row r="563">
      <c r="AB563" s="33"/>
      <c r="AV563" s="37"/>
    </row>
    <row r="564">
      <c r="AB564" s="33"/>
      <c r="AV564" s="37"/>
    </row>
    <row r="565">
      <c r="AB565" s="33"/>
      <c r="AV565" s="37"/>
    </row>
    <row r="566">
      <c r="AB566" s="33"/>
      <c r="AV566" s="37"/>
    </row>
    <row r="567">
      <c r="AB567" s="33"/>
      <c r="AV567" s="37"/>
    </row>
    <row r="568">
      <c r="AB568" s="33"/>
      <c r="AV568" s="37"/>
    </row>
    <row r="569">
      <c r="AB569" s="33"/>
      <c r="AV569" s="37"/>
    </row>
    <row r="570">
      <c r="AB570" s="33"/>
      <c r="AV570" s="37"/>
    </row>
    <row r="571">
      <c r="AB571" s="33"/>
      <c r="AV571" s="37"/>
    </row>
    <row r="572">
      <c r="AB572" s="33"/>
      <c r="AV572" s="37"/>
    </row>
    <row r="573">
      <c r="AB573" s="33"/>
      <c r="AV573" s="37"/>
    </row>
    <row r="574">
      <c r="AB574" s="33"/>
      <c r="AV574" s="37"/>
    </row>
    <row r="575">
      <c r="AB575" s="33"/>
      <c r="AV575" s="37"/>
    </row>
    <row r="576">
      <c r="AB576" s="33"/>
      <c r="AV576" s="37"/>
    </row>
    <row r="577">
      <c r="AB577" s="33"/>
      <c r="AV577" s="37"/>
    </row>
    <row r="578">
      <c r="AB578" s="33"/>
      <c r="AV578" s="37"/>
    </row>
    <row r="579">
      <c r="AB579" s="33"/>
      <c r="AV579" s="37"/>
    </row>
    <row r="580">
      <c r="AB580" s="33"/>
      <c r="AV580" s="37"/>
    </row>
    <row r="581">
      <c r="AB581" s="33"/>
      <c r="AV581" s="37"/>
    </row>
    <row r="582">
      <c r="AB582" s="33"/>
      <c r="AV582" s="37"/>
    </row>
    <row r="583">
      <c r="AB583" s="33"/>
      <c r="AV583" s="37"/>
    </row>
    <row r="584">
      <c r="AB584" s="33"/>
      <c r="AV584" s="37"/>
    </row>
    <row r="585">
      <c r="AB585" s="33"/>
      <c r="AV585" s="37"/>
    </row>
    <row r="586">
      <c r="AB586" s="33"/>
      <c r="AV586" s="37"/>
    </row>
    <row r="587">
      <c r="AB587" s="33"/>
      <c r="AV587" s="37"/>
    </row>
    <row r="588">
      <c r="AB588" s="33"/>
      <c r="AV588" s="37"/>
    </row>
    <row r="589">
      <c r="AB589" s="33"/>
      <c r="AV589" s="37"/>
    </row>
    <row r="590">
      <c r="AB590" s="33"/>
      <c r="AV590" s="37"/>
    </row>
    <row r="591">
      <c r="AB591" s="33"/>
      <c r="AV591" s="37"/>
    </row>
    <row r="592">
      <c r="AB592" s="33"/>
      <c r="AV592" s="37"/>
    </row>
    <row r="593">
      <c r="AB593" s="33"/>
      <c r="AV593" s="37"/>
    </row>
    <row r="594">
      <c r="AB594" s="33"/>
      <c r="AV594" s="37"/>
    </row>
    <row r="595">
      <c r="AB595" s="33"/>
      <c r="AV595" s="37"/>
    </row>
    <row r="596">
      <c r="AB596" s="33"/>
      <c r="AV596" s="37"/>
    </row>
    <row r="597">
      <c r="AB597" s="33"/>
      <c r="AV597" s="37"/>
    </row>
    <row r="598">
      <c r="AB598" s="33"/>
      <c r="AV598" s="37"/>
    </row>
    <row r="599">
      <c r="AB599" s="33"/>
      <c r="AV599" s="37"/>
    </row>
    <row r="600">
      <c r="AB600" s="33"/>
      <c r="AV600" s="37"/>
    </row>
    <row r="601">
      <c r="AB601" s="33"/>
      <c r="AV601" s="37"/>
    </row>
    <row r="602">
      <c r="AB602" s="33"/>
      <c r="AV602" s="37"/>
    </row>
    <row r="603">
      <c r="AB603" s="33"/>
      <c r="AV603" s="37"/>
    </row>
    <row r="604">
      <c r="AB604" s="33"/>
      <c r="AV604" s="37"/>
    </row>
    <row r="605">
      <c r="AB605" s="33"/>
      <c r="AV605" s="37"/>
    </row>
    <row r="606">
      <c r="AB606" s="33"/>
      <c r="AV606" s="37"/>
    </row>
    <row r="607">
      <c r="AB607" s="33"/>
      <c r="AV607" s="37"/>
    </row>
    <row r="608">
      <c r="AB608" s="33"/>
      <c r="AV608" s="37"/>
    </row>
    <row r="609">
      <c r="AB609" s="33"/>
      <c r="AV609" s="37"/>
    </row>
    <row r="610">
      <c r="AB610" s="33"/>
      <c r="AV610" s="37"/>
    </row>
    <row r="611">
      <c r="AB611" s="33"/>
      <c r="AV611" s="37"/>
    </row>
    <row r="612">
      <c r="AB612" s="33"/>
      <c r="AV612" s="37"/>
    </row>
    <row r="613">
      <c r="AB613" s="33"/>
      <c r="AV613" s="37"/>
    </row>
    <row r="614">
      <c r="AB614" s="33"/>
      <c r="AV614" s="37"/>
    </row>
    <row r="615">
      <c r="AB615" s="33"/>
      <c r="AV615" s="37"/>
    </row>
    <row r="616">
      <c r="AB616" s="33"/>
      <c r="AV616" s="37"/>
    </row>
    <row r="617">
      <c r="AB617" s="33"/>
      <c r="AV617" s="37"/>
    </row>
    <row r="618">
      <c r="AB618" s="33"/>
      <c r="AV618" s="37"/>
    </row>
    <row r="619">
      <c r="AB619" s="33"/>
      <c r="AV619" s="37"/>
    </row>
    <row r="620">
      <c r="AB620" s="33"/>
      <c r="AV620" s="37"/>
    </row>
    <row r="621">
      <c r="AB621" s="33"/>
      <c r="AV621" s="37"/>
    </row>
    <row r="622">
      <c r="AB622" s="33"/>
      <c r="AV622" s="37"/>
    </row>
    <row r="623">
      <c r="AB623" s="33"/>
      <c r="AV623" s="37"/>
    </row>
    <row r="624">
      <c r="AB624" s="33"/>
      <c r="AV624" s="37"/>
    </row>
    <row r="625">
      <c r="AB625" s="33"/>
      <c r="AV625" s="37"/>
    </row>
    <row r="626">
      <c r="AB626" s="33"/>
      <c r="AV626" s="37"/>
    </row>
    <row r="627">
      <c r="AB627" s="33"/>
      <c r="AV627" s="37"/>
    </row>
    <row r="628">
      <c r="AB628" s="33"/>
      <c r="AV628" s="37"/>
    </row>
    <row r="629">
      <c r="AB629" s="33"/>
      <c r="AV629" s="37"/>
    </row>
    <row r="630">
      <c r="AB630" s="33"/>
      <c r="AV630" s="37"/>
    </row>
    <row r="631">
      <c r="AB631" s="33"/>
      <c r="AV631" s="37"/>
    </row>
    <row r="632">
      <c r="AB632" s="33"/>
      <c r="AV632" s="37"/>
    </row>
    <row r="633">
      <c r="AB633" s="33"/>
      <c r="AV633" s="37"/>
    </row>
    <row r="634">
      <c r="AB634" s="33"/>
      <c r="AV634" s="37"/>
    </row>
    <row r="635">
      <c r="AB635" s="33"/>
      <c r="AV635" s="37"/>
    </row>
    <row r="636">
      <c r="AB636" s="33"/>
      <c r="AV636" s="37"/>
    </row>
    <row r="637">
      <c r="AB637" s="33"/>
      <c r="AV637" s="37"/>
    </row>
    <row r="638">
      <c r="AB638" s="33"/>
      <c r="AV638" s="37"/>
    </row>
    <row r="639">
      <c r="AB639" s="33"/>
      <c r="AV639" s="37"/>
    </row>
    <row r="640">
      <c r="AB640" s="33"/>
      <c r="AV640" s="37"/>
    </row>
    <row r="641">
      <c r="AB641" s="33"/>
      <c r="AV641" s="37"/>
    </row>
    <row r="642">
      <c r="AB642" s="33"/>
      <c r="AV642" s="37"/>
    </row>
    <row r="643">
      <c r="AB643" s="33"/>
      <c r="AV643" s="37"/>
    </row>
    <row r="644">
      <c r="AB644" s="33"/>
      <c r="AV644" s="37"/>
    </row>
    <row r="645">
      <c r="AB645" s="33"/>
      <c r="AV645" s="37"/>
    </row>
    <row r="646">
      <c r="AB646" s="33"/>
      <c r="AV646" s="37"/>
    </row>
    <row r="647">
      <c r="AB647" s="33"/>
      <c r="AV647" s="37"/>
    </row>
    <row r="648">
      <c r="AB648" s="33"/>
      <c r="AV648" s="37"/>
    </row>
    <row r="649">
      <c r="AB649" s="33"/>
      <c r="AV649" s="37"/>
    </row>
    <row r="650">
      <c r="AB650" s="33"/>
      <c r="AV650" s="37"/>
    </row>
    <row r="651">
      <c r="AB651" s="33"/>
      <c r="AV651" s="37"/>
    </row>
    <row r="652">
      <c r="AB652" s="33"/>
      <c r="AV652" s="37"/>
    </row>
    <row r="653">
      <c r="AB653" s="33"/>
      <c r="AV653" s="37"/>
    </row>
    <row r="654">
      <c r="AB654" s="33"/>
      <c r="AV654" s="37"/>
    </row>
    <row r="655">
      <c r="AB655" s="33"/>
      <c r="AV655" s="37"/>
    </row>
    <row r="656">
      <c r="AB656" s="33"/>
      <c r="AV656" s="37"/>
    </row>
    <row r="657">
      <c r="AB657" s="33"/>
      <c r="AV657" s="37"/>
    </row>
    <row r="658">
      <c r="AB658" s="33"/>
      <c r="AV658" s="37"/>
    </row>
    <row r="659">
      <c r="AB659" s="33"/>
      <c r="AV659" s="37"/>
    </row>
    <row r="660">
      <c r="AB660" s="33"/>
      <c r="AV660" s="37"/>
    </row>
    <row r="661">
      <c r="AB661" s="33"/>
      <c r="AV661" s="37"/>
    </row>
    <row r="662">
      <c r="AB662" s="33"/>
      <c r="AV662" s="37"/>
    </row>
    <row r="663">
      <c r="AB663" s="33"/>
      <c r="AV663" s="37"/>
    </row>
    <row r="664">
      <c r="AB664" s="33"/>
      <c r="AV664" s="37"/>
    </row>
    <row r="665">
      <c r="AB665" s="33"/>
      <c r="AV665" s="37"/>
    </row>
    <row r="666">
      <c r="AB666" s="33"/>
      <c r="AV666" s="37"/>
    </row>
    <row r="667">
      <c r="AB667" s="33"/>
      <c r="AV667" s="37"/>
    </row>
    <row r="668">
      <c r="AB668" s="33"/>
      <c r="AV668" s="37"/>
    </row>
    <row r="669">
      <c r="AB669" s="33"/>
      <c r="AV669" s="37"/>
    </row>
    <row r="670">
      <c r="AB670" s="33"/>
      <c r="AV670" s="37"/>
    </row>
    <row r="671">
      <c r="AB671" s="33"/>
      <c r="AV671" s="37"/>
    </row>
    <row r="672">
      <c r="AB672" s="33"/>
      <c r="AV672" s="37"/>
    </row>
    <row r="673">
      <c r="AB673" s="33"/>
      <c r="AV673" s="37"/>
    </row>
    <row r="674">
      <c r="AB674" s="33"/>
      <c r="AV674" s="37"/>
    </row>
    <row r="675">
      <c r="AB675" s="33"/>
      <c r="AV675" s="37"/>
    </row>
    <row r="676">
      <c r="AB676" s="33"/>
      <c r="AV676" s="37"/>
    </row>
    <row r="677">
      <c r="AB677" s="33"/>
      <c r="AV677" s="37"/>
    </row>
    <row r="678">
      <c r="AB678" s="33"/>
      <c r="AV678" s="37"/>
    </row>
    <row r="679">
      <c r="AB679" s="33"/>
      <c r="AV679" s="37"/>
    </row>
    <row r="680">
      <c r="AB680" s="33"/>
      <c r="AV680" s="37"/>
    </row>
    <row r="681">
      <c r="AB681" s="33"/>
      <c r="AV681" s="37"/>
    </row>
    <row r="682">
      <c r="AB682" s="33"/>
      <c r="AV682" s="37"/>
    </row>
    <row r="683">
      <c r="AB683" s="33"/>
      <c r="AV683" s="37"/>
    </row>
    <row r="684">
      <c r="AB684" s="33"/>
      <c r="AV684" s="37"/>
    </row>
    <row r="685">
      <c r="AB685" s="33"/>
      <c r="AV685" s="37"/>
    </row>
    <row r="686">
      <c r="AB686" s="33"/>
      <c r="AV686" s="37"/>
    </row>
    <row r="687">
      <c r="AB687" s="33"/>
      <c r="AV687" s="37"/>
    </row>
    <row r="688">
      <c r="AB688" s="33"/>
      <c r="AV688" s="37"/>
    </row>
    <row r="689">
      <c r="AB689" s="33"/>
      <c r="AV689" s="37"/>
    </row>
    <row r="690">
      <c r="AB690" s="33"/>
      <c r="AV690" s="37"/>
    </row>
    <row r="691">
      <c r="AB691" s="33"/>
      <c r="AV691" s="37"/>
    </row>
    <row r="692">
      <c r="AB692" s="33"/>
      <c r="AV692" s="37"/>
    </row>
    <row r="693">
      <c r="AB693" s="33"/>
      <c r="AV693" s="37"/>
    </row>
    <row r="694">
      <c r="AB694" s="33"/>
      <c r="AV694" s="37"/>
    </row>
    <row r="695">
      <c r="AB695" s="33"/>
      <c r="AV695" s="37"/>
    </row>
    <row r="696">
      <c r="AB696" s="33"/>
      <c r="AV696" s="37"/>
    </row>
    <row r="697">
      <c r="AB697" s="33"/>
      <c r="AV697" s="37"/>
    </row>
    <row r="698">
      <c r="AB698" s="33"/>
      <c r="AV698" s="37"/>
    </row>
    <row r="699">
      <c r="AB699" s="33"/>
      <c r="AV699" s="37"/>
    </row>
    <row r="700">
      <c r="AB700" s="33"/>
      <c r="AV700" s="37"/>
    </row>
    <row r="701">
      <c r="AB701" s="33"/>
      <c r="AV701" s="37"/>
    </row>
    <row r="702">
      <c r="AB702" s="33"/>
      <c r="AV702" s="37"/>
    </row>
    <row r="703">
      <c r="AB703" s="33"/>
      <c r="AV703" s="37"/>
    </row>
    <row r="704">
      <c r="AB704" s="33"/>
      <c r="AV704" s="37"/>
    </row>
    <row r="705">
      <c r="AB705" s="33"/>
      <c r="AV705" s="37"/>
    </row>
    <row r="706">
      <c r="AB706" s="33"/>
      <c r="AV706" s="37"/>
    </row>
    <row r="707">
      <c r="AB707" s="33"/>
      <c r="AV707" s="37"/>
    </row>
    <row r="708">
      <c r="AB708" s="33"/>
      <c r="AV708" s="37"/>
    </row>
    <row r="709">
      <c r="AB709" s="33"/>
      <c r="AV709" s="37"/>
    </row>
    <row r="710">
      <c r="AB710" s="33"/>
      <c r="AV710" s="37"/>
    </row>
    <row r="711">
      <c r="AB711" s="33"/>
      <c r="AV711" s="37"/>
    </row>
    <row r="712">
      <c r="AB712" s="33"/>
      <c r="AV712" s="37"/>
    </row>
    <row r="713">
      <c r="AB713" s="33"/>
      <c r="AV713" s="37"/>
    </row>
    <row r="714">
      <c r="AB714" s="33"/>
      <c r="AV714" s="37"/>
    </row>
    <row r="715">
      <c r="AB715" s="33"/>
      <c r="AV715" s="37"/>
    </row>
    <row r="716">
      <c r="AB716" s="33"/>
      <c r="AV716" s="37"/>
    </row>
    <row r="717">
      <c r="AB717" s="33"/>
      <c r="AV717" s="37"/>
    </row>
    <row r="718">
      <c r="AB718" s="33"/>
      <c r="AV718" s="37"/>
    </row>
    <row r="719">
      <c r="AB719" s="33"/>
      <c r="AV719" s="37"/>
    </row>
    <row r="720">
      <c r="AB720" s="33"/>
      <c r="AV720" s="37"/>
    </row>
    <row r="721">
      <c r="AB721" s="33"/>
      <c r="AV721" s="37"/>
    </row>
    <row r="722">
      <c r="AB722" s="33"/>
      <c r="AV722" s="37"/>
    </row>
    <row r="723">
      <c r="AB723" s="33"/>
      <c r="AV723" s="37"/>
    </row>
    <row r="724">
      <c r="AB724" s="33"/>
      <c r="AV724" s="37"/>
    </row>
    <row r="725">
      <c r="AB725" s="33"/>
      <c r="AV725" s="37"/>
    </row>
    <row r="726">
      <c r="AB726" s="33"/>
      <c r="AV726" s="37"/>
    </row>
    <row r="727">
      <c r="AB727" s="33"/>
      <c r="AV727" s="37"/>
    </row>
    <row r="728">
      <c r="AB728" s="33"/>
      <c r="AV728" s="37"/>
    </row>
    <row r="729">
      <c r="AB729" s="33"/>
      <c r="AV729" s="37"/>
    </row>
    <row r="730">
      <c r="AB730" s="33"/>
      <c r="AV730" s="37"/>
    </row>
    <row r="731">
      <c r="AB731" s="33"/>
      <c r="AV731" s="37"/>
    </row>
    <row r="732">
      <c r="AB732" s="33"/>
      <c r="AV732" s="37"/>
    </row>
    <row r="733">
      <c r="AB733" s="33"/>
      <c r="AV733" s="37"/>
    </row>
    <row r="734">
      <c r="AB734" s="33"/>
      <c r="AV734" s="37"/>
    </row>
    <row r="735">
      <c r="AB735" s="33"/>
      <c r="AV735" s="37"/>
    </row>
    <row r="736">
      <c r="AB736" s="33"/>
      <c r="AV736" s="37"/>
    </row>
    <row r="737">
      <c r="AB737" s="33"/>
      <c r="AV737" s="37"/>
    </row>
    <row r="738">
      <c r="AB738" s="33"/>
      <c r="AV738" s="37"/>
    </row>
    <row r="739">
      <c r="AB739" s="33"/>
      <c r="AV739" s="37"/>
    </row>
    <row r="740">
      <c r="AB740" s="33"/>
      <c r="AV740" s="37"/>
    </row>
    <row r="741">
      <c r="AB741" s="33"/>
      <c r="AV741" s="37"/>
    </row>
    <row r="742">
      <c r="AB742" s="33"/>
      <c r="AV742" s="37"/>
    </row>
    <row r="743">
      <c r="AB743" s="33"/>
      <c r="AV743" s="37"/>
    </row>
    <row r="744">
      <c r="AB744" s="33"/>
      <c r="AV744" s="37"/>
    </row>
    <row r="745">
      <c r="AB745" s="33"/>
      <c r="AV745" s="37"/>
    </row>
    <row r="746">
      <c r="AB746" s="33"/>
      <c r="AV746" s="37"/>
    </row>
    <row r="747">
      <c r="AB747" s="33"/>
      <c r="AV747" s="37"/>
    </row>
    <row r="748">
      <c r="AB748" s="33"/>
      <c r="AV748" s="37"/>
    </row>
    <row r="749">
      <c r="AB749" s="33"/>
      <c r="AV749" s="37"/>
    </row>
    <row r="750">
      <c r="AB750" s="33"/>
      <c r="AV750" s="37"/>
    </row>
    <row r="751">
      <c r="AB751" s="33"/>
      <c r="AV751" s="37"/>
    </row>
    <row r="752">
      <c r="AB752" s="33"/>
      <c r="AV752" s="37"/>
    </row>
    <row r="753">
      <c r="AB753" s="33"/>
      <c r="AV753" s="37"/>
    </row>
    <row r="754">
      <c r="AB754" s="33"/>
      <c r="AV754" s="37"/>
    </row>
    <row r="755">
      <c r="AB755" s="33"/>
      <c r="AV755" s="37"/>
    </row>
    <row r="756">
      <c r="AB756" s="33"/>
      <c r="AV756" s="37"/>
    </row>
    <row r="757">
      <c r="AB757" s="33"/>
      <c r="AV757" s="37"/>
    </row>
    <row r="758">
      <c r="AB758" s="33"/>
      <c r="AV758" s="37"/>
    </row>
    <row r="759">
      <c r="AB759" s="33"/>
      <c r="AV759" s="37"/>
    </row>
    <row r="760">
      <c r="AB760" s="33"/>
      <c r="AV760" s="37"/>
    </row>
    <row r="761">
      <c r="AB761" s="33"/>
      <c r="AV761" s="37"/>
    </row>
    <row r="762">
      <c r="AB762" s="33"/>
      <c r="AV762" s="37"/>
    </row>
    <row r="763">
      <c r="AB763" s="33"/>
      <c r="AV763" s="37"/>
    </row>
    <row r="764">
      <c r="AB764" s="33"/>
      <c r="AV764" s="37"/>
    </row>
    <row r="765">
      <c r="AB765" s="33"/>
      <c r="AV765" s="37"/>
    </row>
    <row r="766">
      <c r="AB766" s="33"/>
      <c r="AV766" s="37"/>
    </row>
    <row r="767">
      <c r="AB767" s="33"/>
      <c r="AV767" s="37"/>
    </row>
    <row r="768">
      <c r="AB768" s="33"/>
      <c r="AV768" s="37"/>
    </row>
    <row r="769">
      <c r="AB769" s="33"/>
      <c r="AV769" s="37"/>
    </row>
    <row r="770">
      <c r="AB770" s="33"/>
      <c r="AV770" s="37"/>
    </row>
    <row r="771">
      <c r="AB771" s="33"/>
      <c r="AV771" s="37"/>
    </row>
    <row r="772">
      <c r="AB772" s="33"/>
      <c r="AV772" s="37"/>
    </row>
    <row r="773">
      <c r="AB773" s="33"/>
      <c r="AV773" s="37"/>
    </row>
    <row r="774">
      <c r="AB774" s="33"/>
      <c r="AV774" s="37"/>
    </row>
    <row r="775">
      <c r="AB775" s="33"/>
      <c r="AV775" s="37"/>
    </row>
    <row r="776">
      <c r="AB776" s="33"/>
      <c r="AV776" s="37"/>
    </row>
    <row r="777">
      <c r="AB777" s="33"/>
      <c r="AV777" s="37"/>
    </row>
    <row r="778">
      <c r="AB778" s="33"/>
      <c r="AV778" s="37"/>
    </row>
    <row r="779">
      <c r="AB779" s="33"/>
      <c r="AV779" s="37"/>
    </row>
    <row r="780">
      <c r="AB780" s="33"/>
      <c r="AV780" s="37"/>
    </row>
    <row r="781">
      <c r="AB781" s="33"/>
      <c r="AV781" s="37"/>
    </row>
    <row r="782">
      <c r="AB782" s="33"/>
      <c r="AV782" s="37"/>
    </row>
    <row r="783">
      <c r="AB783" s="33"/>
      <c r="AV783" s="37"/>
    </row>
    <row r="784">
      <c r="AB784" s="33"/>
      <c r="AV784" s="37"/>
    </row>
    <row r="785">
      <c r="AB785" s="33"/>
      <c r="AV785" s="37"/>
    </row>
    <row r="786">
      <c r="AB786" s="33"/>
      <c r="AV786" s="37"/>
    </row>
    <row r="787">
      <c r="AB787" s="33"/>
      <c r="AV787" s="37"/>
    </row>
    <row r="788">
      <c r="AB788" s="33"/>
      <c r="AV788" s="37"/>
    </row>
    <row r="789">
      <c r="AB789" s="33"/>
      <c r="AV789" s="37"/>
    </row>
    <row r="790">
      <c r="AB790" s="33"/>
      <c r="AV790" s="37"/>
    </row>
    <row r="791">
      <c r="AB791" s="33"/>
      <c r="AV791" s="37"/>
    </row>
    <row r="792">
      <c r="AB792" s="33"/>
      <c r="AV792" s="37"/>
    </row>
    <row r="793">
      <c r="AB793" s="33"/>
      <c r="AV793" s="37"/>
    </row>
    <row r="794">
      <c r="AB794" s="33"/>
      <c r="AV794" s="37"/>
    </row>
    <row r="795">
      <c r="AB795" s="33"/>
      <c r="AV795" s="37"/>
    </row>
    <row r="796">
      <c r="AB796" s="33"/>
      <c r="AV796" s="37"/>
    </row>
    <row r="797">
      <c r="AB797" s="33"/>
      <c r="AV797" s="37"/>
    </row>
    <row r="798">
      <c r="AB798" s="33"/>
      <c r="AV798" s="37"/>
    </row>
    <row r="799">
      <c r="AB799" s="33"/>
      <c r="AV799" s="37"/>
    </row>
    <row r="800">
      <c r="AB800" s="33"/>
      <c r="AV800" s="37"/>
    </row>
    <row r="801">
      <c r="AB801" s="33"/>
      <c r="AV801" s="37"/>
    </row>
    <row r="802">
      <c r="AB802" s="33"/>
      <c r="AV802" s="37"/>
    </row>
    <row r="803">
      <c r="AB803" s="33"/>
      <c r="AV803" s="37"/>
    </row>
    <row r="804">
      <c r="AB804" s="33"/>
      <c r="AV804" s="37"/>
    </row>
    <row r="805">
      <c r="AB805" s="33"/>
      <c r="AV805" s="37"/>
    </row>
    <row r="806">
      <c r="AB806" s="33"/>
      <c r="AV806" s="37"/>
    </row>
    <row r="807">
      <c r="AB807" s="33"/>
      <c r="AV807" s="37"/>
    </row>
    <row r="808">
      <c r="AB808" s="33"/>
      <c r="AV808" s="37"/>
    </row>
    <row r="809">
      <c r="AB809" s="33"/>
      <c r="AV809" s="37"/>
    </row>
    <row r="810">
      <c r="AB810" s="33"/>
      <c r="AV810" s="37"/>
    </row>
    <row r="811">
      <c r="AB811" s="33"/>
      <c r="AV811" s="37"/>
    </row>
    <row r="812">
      <c r="AB812" s="33"/>
      <c r="AV812" s="37"/>
    </row>
    <row r="813">
      <c r="AB813" s="33"/>
      <c r="AV813" s="37"/>
    </row>
    <row r="814">
      <c r="AB814" s="33"/>
      <c r="AV814" s="37"/>
    </row>
    <row r="815">
      <c r="AB815" s="33"/>
      <c r="AV815" s="37"/>
    </row>
    <row r="816">
      <c r="AB816" s="33"/>
      <c r="AV816" s="37"/>
    </row>
    <row r="817">
      <c r="AB817" s="33"/>
      <c r="AV817" s="37"/>
    </row>
    <row r="818">
      <c r="AB818" s="33"/>
      <c r="AV818" s="37"/>
    </row>
    <row r="819">
      <c r="AB819" s="33"/>
      <c r="AV819" s="37"/>
    </row>
    <row r="820">
      <c r="AB820" s="33"/>
      <c r="AV820" s="37"/>
    </row>
    <row r="821">
      <c r="AB821" s="33"/>
      <c r="AV821" s="37"/>
    </row>
    <row r="822">
      <c r="AB822" s="33"/>
      <c r="AV822" s="37"/>
    </row>
    <row r="823">
      <c r="AB823" s="33"/>
      <c r="AV823" s="37"/>
    </row>
    <row r="824">
      <c r="AB824" s="33"/>
      <c r="AV824" s="37"/>
    </row>
    <row r="825">
      <c r="AB825" s="33"/>
      <c r="AV825" s="37"/>
    </row>
    <row r="826">
      <c r="AB826" s="33"/>
      <c r="AV826" s="37"/>
    </row>
    <row r="827">
      <c r="AB827" s="33"/>
      <c r="AV827" s="37"/>
    </row>
    <row r="828">
      <c r="AB828" s="33"/>
      <c r="AV828" s="37"/>
    </row>
    <row r="829">
      <c r="AB829" s="33"/>
      <c r="AV829" s="37"/>
    </row>
    <row r="830">
      <c r="AB830" s="33"/>
      <c r="AV830" s="37"/>
    </row>
    <row r="831">
      <c r="AB831" s="33"/>
      <c r="AV831" s="37"/>
    </row>
    <row r="832">
      <c r="AB832" s="33"/>
      <c r="AV832" s="37"/>
    </row>
    <row r="833">
      <c r="AB833" s="33"/>
      <c r="AV833" s="37"/>
    </row>
    <row r="834">
      <c r="AB834" s="33"/>
      <c r="AV834" s="37"/>
    </row>
    <row r="835">
      <c r="AB835" s="33"/>
      <c r="AV835" s="37"/>
    </row>
    <row r="836">
      <c r="AB836" s="33"/>
      <c r="AV836" s="37"/>
    </row>
    <row r="837">
      <c r="AB837" s="33"/>
      <c r="AV837" s="37"/>
    </row>
    <row r="838">
      <c r="AB838" s="33"/>
      <c r="AV838" s="37"/>
    </row>
    <row r="839">
      <c r="AB839" s="33"/>
      <c r="AV839" s="37"/>
    </row>
    <row r="840">
      <c r="AB840" s="33"/>
      <c r="AV840" s="37"/>
    </row>
    <row r="841">
      <c r="AB841" s="33"/>
      <c r="AV841" s="37"/>
    </row>
    <row r="842">
      <c r="AB842" s="33"/>
      <c r="AV842" s="37"/>
    </row>
    <row r="843">
      <c r="AB843" s="33"/>
      <c r="AV843" s="37"/>
    </row>
    <row r="844">
      <c r="AB844" s="33"/>
      <c r="AV844" s="37"/>
    </row>
    <row r="845">
      <c r="AB845" s="33"/>
      <c r="AV845" s="37"/>
    </row>
    <row r="846">
      <c r="AB846" s="33"/>
      <c r="AV846" s="37"/>
    </row>
    <row r="847">
      <c r="AB847" s="33"/>
      <c r="AV847" s="37"/>
    </row>
    <row r="848">
      <c r="AB848" s="33"/>
      <c r="AV848" s="37"/>
    </row>
    <row r="849">
      <c r="AB849" s="33"/>
      <c r="AV849" s="37"/>
    </row>
    <row r="850">
      <c r="AB850" s="33"/>
      <c r="AV850" s="37"/>
    </row>
    <row r="851">
      <c r="AB851" s="33"/>
      <c r="AV851" s="37"/>
    </row>
    <row r="852">
      <c r="AB852" s="33"/>
      <c r="AV852" s="37"/>
    </row>
    <row r="853">
      <c r="AB853" s="33"/>
      <c r="AV853" s="37"/>
    </row>
    <row r="854">
      <c r="AB854" s="33"/>
      <c r="AV854" s="37"/>
    </row>
    <row r="855">
      <c r="AB855" s="33"/>
      <c r="AV855" s="37"/>
    </row>
    <row r="856">
      <c r="AB856" s="33"/>
      <c r="AV856" s="37"/>
    </row>
    <row r="857">
      <c r="AB857" s="33"/>
      <c r="AV857" s="37"/>
    </row>
    <row r="858">
      <c r="AB858" s="33"/>
      <c r="AV858" s="37"/>
    </row>
    <row r="859">
      <c r="AB859" s="33"/>
      <c r="AV859" s="37"/>
    </row>
    <row r="860">
      <c r="AB860" s="33"/>
      <c r="AV860" s="37"/>
    </row>
    <row r="861">
      <c r="AB861" s="33"/>
      <c r="AV861" s="37"/>
    </row>
    <row r="862">
      <c r="AB862" s="33"/>
      <c r="AV862" s="37"/>
    </row>
    <row r="863">
      <c r="AB863" s="33"/>
      <c r="AV863" s="37"/>
    </row>
    <row r="864">
      <c r="AB864" s="33"/>
      <c r="AV864" s="37"/>
    </row>
    <row r="865">
      <c r="AB865" s="33"/>
      <c r="AV865" s="37"/>
    </row>
    <row r="866">
      <c r="AB866" s="33"/>
      <c r="AV866" s="37"/>
    </row>
    <row r="867">
      <c r="AB867" s="33"/>
      <c r="AV867" s="37"/>
    </row>
    <row r="868">
      <c r="AB868" s="33"/>
      <c r="AV868" s="37"/>
    </row>
    <row r="869">
      <c r="AB869" s="33"/>
      <c r="AV869" s="37"/>
    </row>
    <row r="870">
      <c r="AB870" s="33"/>
      <c r="AV870" s="37"/>
    </row>
    <row r="871">
      <c r="AB871" s="33"/>
      <c r="AV871" s="37"/>
    </row>
    <row r="872">
      <c r="AB872" s="33"/>
      <c r="AV872" s="37"/>
    </row>
    <row r="873">
      <c r="AB873" s="33"/>
      <c r="AV873" s="37"/>
    </row>
    <row r="874">
      <c r="AB874" s="33"/>
      <c r="AV874" s="37"/>
    </row>
    <row r="875">
      <c r="AB875" s="33"/>
      <c r="AV875" s="37"/>
    </row>
    <row r="876">
      <c r="AB876" s="33"/>
      <c r="AV876" s="37"/>
    </row>
    <row r="877">
      <c r="AB877" s="33"/>
      <c r="AV877" s="37"/>
    </row>
    <row r="878">
      <c r="AB878" s="33"/>
      <c r="AV878" s="37"/>
    </row>
    <row r="879">
      <c r="AB879" s="33"/>
      <c r="AV879" s="37"/>
    </row>
    <row r="880">
      <c r="AB880" s="33"/>
      <c r="AV880" s="37"/>
    </row>
    <row r="881">
      <c r="AB881" s="33"/>
      <c r="AV881" s="37"/>
    </row>
    <row r="882">
      <c r="AB882" s="33"/>
      <c r="AV882" s="37"/>
    </row>
    <row r="883">
      <c r="AB883" s="33"/>
      <c r="AV883" s="37"/>
    </row>
    <row r="884">
      <c r="AB884" s="33"/>
      <c r="AV884" s="37"/>
    </row>
    <row r="885">
      <c r="AB885" s="33"/>
      <c r="AV885" s="37"/>
    </row>
    <row r="886">
      <c r="AB886" s="33"/>
      <c r="AV886" s="37"/>
    </row>
    <row r="887">
      <c r="AB887" s="33"/>
      <c r="AV887" s="37"/>
    </row>
    <row r="888">
      <c r="AB888" s="33"/>
      <c r="AV888" s="37"/>
    </row>
    <row r="889">
      <c r="AB889" s="33"/>
      <c r="AV889" s="37"/>
    </row>
    <row r="890">
      <c r="AB890" s="33"/>
      <c r="AV890" s="37"/>
    </row>
    <row r="891">
      <c r="AB891" s="33"/>
      <c r="AV891" s="37"/>
    </row>
    <row r="892">
      <c r="AB892" s="33"/>
      <c r="AV892" s="37"/>
    </row>
    <row r="893">
      <c r="AB893" s="33"/>
      <c r="AV893" s="37"/>
    </row>
    <row r="894">
      <c r="AB894" s="33"/>
      <c r="AV894" s="37"/>
    </row>
    <row r="895">
      <c r="AB895" s="33"/>
      <c r="AV895" s="37"/>
    </row>
    <row r="896">
      <c r="AB896" s="33"/>
      <c r="AV896" s="37"/>
    </row>
    <row r="897">
      <c r="AB897" s="33"/>
      <c r="AV897" s="37"/>
    </row>
    <row r="898">
      <c r="AB898" s="33"/>
      <c r="AV898" s="37"/>
    </row>
    <row r="899">
      <c r="AB899" s="33"/>
      <c r="AV899" s="37"/>
    </row>
    <row r="900">
      <c r="AB900" s="33"/>
      <c r="AV900" s="37"/>
    </row>
    <row r="901">
      <c r="AB901" s="33"/>
      <c r="AV901" s="37"/>
    </row>
    <row r="902">
      <c r="AB902" s="33"/>
      <c r="AV902" s="37"/>
    </row>
    <row r="903">
      <c r="AB903" s="33"/>
      <c r="AV903" s="37"/>
    </row>
    <row r="904">
      <c r="AB904" s="33"/>
      <c r="AV904" s="37"/>
    </row>
    <row r="905">
      <c r="AB905" s="33"/>
      <c r="AV905" s="37"/>
    </row>
    <row r="906">
      <c r="AB906" s="33"/>
      <c r="AV906" s="37"/>
    </row>
    <row r="907">
      <c r="AB907" s="33"/>
      <c r="AV907" s="37"/>
    </row>
    <row r="908">
      <c r="AB908" s="33"/>
      <c r="AV908" s="37"/>
    </row>
    <row r="909">
      <c r="AB909" s="33"/>
      <c r="AV909" s="37"/>
    </row>
    <row r="910">
      <c r="AB910" s="33"/>
      <c r="AV910" s="37"/>
    </row>
    <row r="911">
      <c r="AB911" s="33"/>
      <c r="AV911" s="37"/>
    </row>
    <row r="912">
      <c r="AB912" s="33"/>
      <c r="AV912" s="37"/>
    </row>
    <row r="913">
      <c r="AB913" s="33"/>
      <c r="AV913" s="37"/>
    </row>
    <row r="914">
      <c r="AB914" s="33"/>
      <c r="AV914" s="37"/>
    </row>
    <row r="915">
      <c r="AB915" s="33"/>
      <c r="AV915" s="37"/>
    </row>
    <row r="916">
      <c r="AB916" s="33"/>
      <c r="AV916" s="37"/>
    </row>
    <row r="917">
      <c r="AB917" s="33"/>
      <c r="AV917" s="37"/>
    </row>
    <row r="918">
      <c r="AB918" s="33"/>
      <c r="AV918" s="37"/>
    </row>
    <row r="919">
      <c r="AB919" s="33"/>
      <c r="AV919" s="37"/>
    </row>
    <row r="920">
      <c r="AB920" s="33"/>
      <c r="AV920" s="37"/>
    </row>
    <row r="921">
      <c r="AB921" s="33"/>
      <c r="AV921" s="37"/>
    </row>
    <row r="922">
      <c r="AB922" s="33"/>
      <c r="AV922" s="37"/>
    </row>
    <row r="923">
      <c r="AB923" s="33"/>
      <c r="AV923" s="37"/>
    </row>
    <row r="924">
      <c r="AB924" s="33"/>
      <c r="AV924" s="37"/>
    </row>
    <row r="925">
      <c r="AB925" s="33"/>
      <c r="AV925" s="37"/>
    </row>
    <row r="926">
      <c r="AB926" s="33"/>
      <c r="AV926" s="37"/>
    </row>
    <row r="927">
      <c r="AB927" s="33"/>
      <c r="AV927" s="37"/>
    </row>
    <row r="928">
      <c r="AB928" s="33"/>
      <c r="AV928" s="37"/>
    </row>
    <row r="929">
      <c r="AB929" s="33"/>
      <c r="AV929" s="37"/>
    </row>
    <row r="930">
      <c r="AB930" s="33"/>
      <c r="AV930" s="37"/>
    </row>
    <row r="931">
      <c r="AB931" s="33"/>
      <c r="AV931" s="37"/>
    </row>
    <row r="932">
      <c r="AB932" s="33"/>
      <c r="AV932" s="37"/>
    </row>
    <row r="933">
      <c r="AB933" s="33"/>
      <c r="AV933" s="37"/>
    </row>
    <row r="934">
      <c r="AB934" s="33"/>
      <c r="AV934" s="37"/>
    </row>
    <row r="935">
      <c r="AB935" s="33"/>
      <c r="AV935" s="37"/>
    </row>
    <row r="936">
      <c r="AB936" s="33"/>
      <c r="AV936" s="37"/>
    </row>
    <row r="937">
      <c r="AB937" s="33"/>
      <c r="AV937" s="37"/>
    </row>
    <row r="938">
      <c r="AB938" s="33"/>
      <c r="AV938" s="37"/>
    </row>
    <row r="939">
      <c r="AB939" s="33"/>
      <c r="AV939" s="37"/>
    </row>
    <row r="940">
      <c r="AB940" s="33"/>
      <c r="AV940" s="37"/>
    </row>
    <row r="941">
      <c r="AB941" s="33"/>
      <c r="AV941" s="37"/>
    </row>
    <row r="942">
      <c r="AB942" s="33"/>
      <c r="AV942" s="37"/>
    </row>
    <row r="943">
      <c r="AB943" s="33"/>
      <c r="AV943" s="37"/>
    </row>
    <row r="944">
      <c r="AB944" s="33"/>
      <c r="AV944" s="37"/>
    </row>
    <row r="945">
      <c r="AB945" s="33"/>
      <c r="AV945" s="37"/>
    </row>
    <row r="946">
      <c r="AB946" s="33"/>
      <c r="AV946" s="37"/>
    </row>
    <row r="947">
      <c r="AB947" s="33"/>
      <c r="AV947" s="37"/>
    </row>
    <row r="948">
      <c r="AB948" s="33"/>
      <c r="AV948" s="37"/>
    </row>
    <row r="949">
      <c r="AB949" s="33"/>
      <c r="AV949" s="37"/>
    </row>
    <row r="950">
      <c r="AB950" s="33"/>
      <c r="AV950" s="37"/>
    </row>
    <row r="951">
      <c r="AB951" s="33"/>
      <c r="AV951" s="37"/>
    </row>
    <row r="952">
      <c r="AB952" s="33"/>
      <c r="AV952" s="37"/>
    </row>
    <row r="953">
      <c r="AB953" s="33"/>
      <c r="AV953" s="37"/>
    </row>
    <row r="954">
      <c r="AB954" s="33"/>
      <c r="AV954" s="37"/>
    </row>
    <row r="955">
      <c r="AB955" s="33"/>
      <c r="AV955" s="37"/>
    </row>
    <row r="956">
      <c r="AB956" s="33"/>
      <c r="AV956" s="37"/>
    </row>
    <row r="957">
      <c r="AB957" s="33"/>
      <c r="AV957" s="37"/>
    </row>
    <row r="958">
      <c r="AB958" s="33"/>
      <c r="AV958" s="37"/>
    </row>
    <row r="959">
      <c r="AB959" s="33"/>
      <c r="AV959" s="37"/>
    </row>
    <row r="960">
      <c r="AB960" s="33"/>
      <c r="AV960" s="37"/>
    </row>
    <row r="961">
      <c r="AB961" s="33"/>
      <c r="AV961" s="37"/>
    </row>
    <row r="962">
      <c r="AB962" s="33"/>
      <c r="AV962" s="37"/>
    </row>
    <row r="963">
      <c r="AB963" s="33"/>
      <c r="AV963" s="37"/>
    </row>
    <row r="964">
      <c r="AB964" s="33"/>
      <c r="AV964" s="37"/>
    </row>
    <row r="965">
      <c r="AB965" s="33"/>
      <c r="AV965" s="37"/>
    </row>
    <row r="966">
      <c r="AB966" s="33"/>
      <c r="AV966" s="37"/>
    </row>
    <row r="967">
      <c r="AB967" s="33"/>
      <c r="AV967" s="37"/>
    </row>
    <row r="968">
      <c r="AB968" s="33"/>
      <c r="AV968" s="37"/>
    </row>
    <row r="969">
      <c r="AB969" s="33"/>
      <c r="AV969" s="37"/>
    </row>
    <row r="970">
      <c r="AB970" s="33"/>
      <c r="AV970" s="37"/>
    </row>
    <row r="971">
      <c r="AB971" s="33"/>
      <c r="AV971" s="37"/>
    </row>
    <row r="972">
      <c r="AB972" s="33"/>
      <c r="AV972" s="37"/>
    </row>
    <row r="973">
      <c r="AB973" s="33"/>
      <c r="AV973" s="37"/>
    </row>
    <row r="974">
      <c r="AB974" s="33"/>
      <c r="AV974" s="37"/>
    </row>
    <row r="975">
      <c r="AB975" s="33"/>
      <c r="AV975" s="37"/>
    </row>
    <row r="976">
      <c r="AB976" s="33"/>
      <c r="AV976" s="37"/>
    </row>
    <row r="977">
      <c r="AB977" s="33"/>
      <c r="AV977" s="37"/>
    </row>
    <row r="978">
      <c r="AB978" s="33"/>
      <c r="AV978" s="37"/>
    </row>
    <row r="979">
      <c r="AB979" s="33"/>
      <c r="AV979" s="37"/>
    </row>
    <row r="980">
      <c r="AB980" s="33"/>
      <c r="AV980" s="37"/>
    </row>
    <row r="981">
      <c r="AB981" s="33"/>
      <c r="AV981" s="37"/>
    </row>
    <row r="982">
      <c r="AB982" s="33"/>
      <c r="AV982" s="37"/>
    </row>
    <row r="983">
      <c r="AB983" s="33"/>
      <c r="AV983" s="37"/>
    </row>
    <row r="984">
      <c r="AB984" s="33"/>
      <c r="AV984" s="37"/>
    </row>
    <row r="985">
      <c r="AB985" s="33"/>
      <c r="AV985" s="37"/>
    </row>
    <row r="986">
      <c r="AB986" s="33"/>
      <c r="AV986" s="37"/>
    </row>
    <row r="987">
      <c r="AB987" s="33"/>
      <c r="AV987" s="37"/>
    </row>
    <row r="988">
      <c r="AB988" s="33"/>
      <c r="AV988" s="37"/>
    </row>
    <row r="989">
      <c r="AB989" s="33"/>
      <c r="AV989" s="37"/>
    </row>
    <row r="990">
      <c r="AB990" s="33"/>
      <c r="AV990" s="37"/>
    </row>
    <row r="991">
      <c r="AB991" s="33"/>
      <c r="AV991" s="37"/>
    </row>
    <row r="992">
      <c r="AB992" s="33"/>
      <c r="AV992" s="37"/>
    </row>
    <row r="993">
      <c r="AB993" s="33"/>
      <c r="AV993" s="37"/>
    </row>
    <row r="994">
      <c r="AB994" s="33"/>
      <c r="AV994" s="37"/>
    </row>
    <row r="995">
      <c r="AB995" s="33"/>
      <c r="AV995" s="37"/>
    </row>
    <row r="996">
      <c r="AB996" s="33"/>
      <c r="AV996" s="37"/>
    </row>
    <row r="997">
      <c r="AB997" s="33"/>
      <c r="AV997" s="37"/>
    </row>
    <row r="998">
      <c r="AB998" s="33"/>
      <c r="AV998" s="37"/>
    </row>
    <row r="999">
      <c r="AB999" s="33"/>
      <c r="AV999" s="37"/>
    </row>
    <row r="1000">
      <c r="AB1000" s="33"/>
      <c r="AV1000" s="37"/>
    </row>
    <row r="1001">
      <c r="AB1001" s="33"/>
      <c r="AV1001" s="37"/>
    </row>
  </sheetData>
  <autoFilter ref="$A$6:$BG$124"/>
  <mergeCells count="2">
    <mergeCell ref="A1:BF1"/>
    <mergeCell ref="BB5:BF5"/>
  </mergeCells>
  <dataValidations>
    <dataValidation type="list" allowBlank="1" showErrorMessage="1" sqref="P7:P123">
      <formula1>Regionalizacion</formula1>
    </dataValidation>
    <dataValidation type="list" allowBlank="1" showErrorMessage="1" sqref="R7:R123">
      <formula1>NivelPrePos</formula1>
    </dataValidation>
  </dataValidations>
  <hyperlinks>
    <hyperlink r:id="rId2" ref="AD7"/>
    <hyperlink r:id="rId3" ref="AD8"/>
    <hyperlink r:id="rId4" ref="Y9"/>
    <hyperlink r:id="rId5" ref="AA9"/>
    <hyperlink r:id="rId6" ref="AD9"/>
    <hyperlink r:id="rId7" ref="AU9"/>
    <hyperlink r:id="rId8" ref="Y10"/>
    <hyperlink r:id="rId9" ref="AD10"/>
    <hyperlink r:id="rId10" ref="AU10"/>
    <hyperlink r:id="rId11" ref="Y11"/>
    <hyperlink r:id="rId12" ref="AA11"/>
    <hyperlink r:id="rId13" ref="AD11"/>
    <hyperlink r:id="rId14" ref="AU11"/>
    <hyperlink r:id="rId15" ref="AD12"/>
    <hyperlink r:id="rId16" ref="AU12"/>
    <hyperlink r:id="rId17" ref="N13"/>
    <hyperlink r:id="rId18" ref="AD13"/>
    <hyperlink r:id="rId19" ref="AU13"/>
    <hyperlink r:id="rId20" ref="BF13"/>
    <hyperlink r:id="rId21" ref="AD14"/>
    <hyperlink r:id="rId22" ref="AD15"/>
    <hyperlink r:id="rId23" ref="AD17"/>
    <hyperlink r:id="rId24" ref="AD18"/>
    <hyperlink r:id="rId25" ref="AA19"/>
    <hyperlink r:id="rId26" ref="AD19"/>
    <hyperlink r:id="rId27" ref="AU19"/>
    <hyperlink r:id="rId28" ref="AD20"/>
    <hyperlink r:id="rId29" ref="AD21"/>
    <hyperlink r:id="rId30" ref="AD22"/>
    <hyperlink r:id="rId31" ref="AD23"/>
    <hyperlink r:id="rId32" ref="AD24"/>
    <hyperlink r:id="rId33" ref="AD25"/>
    <hyperlink r:id="rId34" ref="Y26"/>
    <hyperlink r:id="rId35" ref="AA26"/>
    <hyperlink r:id="rId36" ref="AD26"/>
    <hyperlink r:id="rId37" ref="AD27"/>
    <hyperlink r:id="rId38" ref="AD28"/>
    <hyperlink r:id="rId39" ref="AD29"/>
    <hyperlink r:id="rId40" ref="Y30"/>
    <hyperlink r:id="rId41" ref="AD30"/>
    <hyperlink r:id="rId42" ref="AU30"/>
    <hyperlink r:id="rId43" ref="AD31"/>
    <hyperlink r:id="rId44" ref="AD32"/>
    <hyperlink r:id="rId45" ref="AD33"/>
    <hyperlink r:id="rId46" ref="AD34"/>
    <hyperlink r:id="rId47" ref="AD35"/>
    <hyperlink r:id="rId48" ref="AD36"/>
    <hyperlink r:id="rId49" ref="AD37"/>
    <hyperlink r:id="rId50" ref="AD38"/>
    <hyperlink r:id="rId51" ref="AD39"/>
    <hyperlink r:id="rId52" ref="AU39"/>
    <hyperlink r:id="rId53" ref="AD40"/>
    <hyperlink r:id="rId54" ref="AD41"/>
    <hyperlink r:id="rId55" ref="AD42"/>
    <hyperlink r:id="rId56" ref="AD43"/>
    <hyperlink r:id="rId57" ref="AU43"/>
    <hyperlink r:id="rId58" ref="AD44"/>
    <hyperlink r:id="rId59" ref="AD45"/>
    <hyperlink r:id="rId60" ref="AD46"/>
    <hyperlink r:id="rId61" ref="Y47"/>
    <hyperlink r:id="rId62" ref="AD47"/>
    <hyperlink r:id="rId63" ref="Y48"/>
    <hyperlink r:id="rId64" ref="AD48"/>
    <hyperlink r:id="rId65" ref="AD49"/>
    <hyperlink r:id="rId66" ref="AD50"/>
    <hyperlink r:id="rId67" ref="AD51"/>
    <hyperlink r:id="rId68" ref="AD52"/>
    <hyperlink r:id="rId69" ref="Y53"/>
    <hyperlink r:id="rId70" ref="Z53"/>
    <hyperlink r:id="rId71" ref="AA53"/>
    <hyperlink r:id="rId72" ref="AD53"/>
    <hyperlink r:id="rId73" ref="AU53"/>
    <hyperlink r:id="rId74" ref="Y54"/>
    <hyperlink r:id="rId75" ref="AD54"/>
    <hyperlink r:id="rId76" ref="AU54"/>
    <hyperlink r:id="rId77" ref="AD55"/>
    <hyperlink r:id="rId78" ref="Y56"/>
    <hyperlink r:id="rId79" ref="Z56"/>
    <hyperlink r:id="rId80" ref="AA56"/>
    <hyperlink r:id="rId81" ref="AD56"/>
    <hyperlink r:id="rId82" ref="AU56"/>
    <hyperlink r:id="rId83" ref="AD57"/>
    <hyperlink r:id="rId84" ref="AD58"/>
    <hyperlink r:id="rId85" ref="AU58"/>
    <hyperlink r:id="rId86" ref="AD59"/>
    <hyperlink r:id="rId87" ref="AA60"/>
    <hyperlink r:id="rId88" ref="AD60"/>
    <hyperlink r:id="rId89" ref="AU60"/>
    <hyperlink r:id="rId90" ref="AD61"/>
    <hyperlink r:id="rId91" ref="AD62"/>
    <hyperlink r:id="rId92" ref="AD63"/>
    <hyperlink r:id="rId93" ref="Y64"/>
    <hyperlink r:id="rId94" ref="AA64"/>
    <hyperlink r:id="rId95" ref="AD64"/>
    <hyperlink r:id="rId96" ref="AU64"/>
    <hyperlink r:id="rId97" ref="Y65"/>
    <hyperlink r:id="rId98" ref="AD65"/>
    <hyperlink r:id="rId99" ref="AD66"/>
    <hyperlink r:id="rId100" ref="AD67"/>
    <hyperlink r:id="rId101" ref="AD68"/>
    <hyperlink r:id="rId102" ref="Z69"/>
    <hyperlink r:id="rId103" ref="AA69"/>
    <hyperlink r:id="rId104" ref="AD69"/>
    <hyperlink r:id="rId105" ref="AU69"/>
    <hyperlink r:id="rId106" ref="Y70"/>
    <hyperlink r:id="rId107" ref="AA70"/>
    <hyperlink r:id="rId108" ref="AD70"/>
    <hyperlink r:id="rId109" ref="AU70"/>
    <hyperlink r:id="rId110" ref="Y71"/>
    <hyperlink r:id="rId111" ref="Z71"/>
    <hyperlink r:id="rId112" ref="AA71"/>
    <hyperlink r:id="rId113" ref="AD71"/>
    <hyperlink r:id="rId114" ref="AU71"/>
    <hyperlink r:id="rId115" ref="AA72"/>
    <hyperlink r:id="rId116" ref="AD72"/>
    <hyperlink r:id="rId117" ref="AU72"/>
    <hyperlink r:id="rId118" ref="AD73"/>
    <hyperlink r:id="rId119" ref="AD74"/>
    <hyperlink r:id="rId120" ref="Y75"/>
    <hyperlink r:id="rId121" ref="AD75"/>
    <hyperlink r:id="rId122" ref="AU75"/>
    <hyperlink r:id="rId123" ref="AA76"/>
    <hyperlink r:id="rId124" ref="AD76"/>
    <hyperlink r:id="rId125" ref="AU76"/>
    <hyperlink r:id="rId126" ref="AD77"/>
    <hyperlink r:id="rId127" ref="AD78"/>
    <hyperlink r:id="rId128" ref="AD79"/>
    <hyperlink r:id="rId129" ref="AU79"/>
    <hyperlink r:id="rId130" ref="AD80"/>
    <hyperlink r:id="rId131" ref="AD81"/>
    <hyperlink r:id="rId132" ref="Y82"/>
    <hyperlink r:id="rId133" ref="AD82"/>
    <hyperlink r:id="rId134" ref="AU82"/>
    <hyperlink r:id="rId135" ref="AD83"/>
    <hyperlink r:id="rId136" ref="AD84"/>
    <hyperlink r:id="rId137" ref="AU84"/>
    <hyperlink r:id="rId138" ref="Y85"/>
    <hyperlink r:id="rId139" ref="AD85"/>
    <hyperlink r:id="rId140" ref="AU85"/>
    <hyperlink r:id="rId141" ref="AD86"/>
    <hyperlink r:id="rId142" ref="Y87"/>
    <hyperlink r:id="rId143" ref="AD87"/>
    <hyperlink r:id="rId144" ref="Y88"/>
    <hyperlink r:id="rId145" ref="AD88"/>
    <hyperlink r:id="rId146" ref="AD89"/>
    <hyperlink r:id="rId147" ref="Y90"/>
    <hyperlink r:id="rId148" ref="AD90"/>
    <hyperlink r:id="rId149" ref="AD91"/>
    <hyperlink r:id="rId150" ref="AD92"/>
    <hyperlink r:id="rId151" ref="AD93"/>
    <hyperlink r:id="rId152" ref="Y94"/>
    <hyperlink r:id="rId153" ref="Z94"/>
    <hyperlink r:id="rId154" ref="AA94"/>
    <hyperlink r:id="rId155" ref="AD94"/>
    <hyperlink r:id="rId156" ref="AD95"/>
    <hyperlink r:id="rId157" ref="AD96"/>
    <hyperlink r:id="rId158" ref="AD97"/>
    <hyperlink r:id="rId159" ref="AD98"/>
    <hyperlink r:id="rId160" ref="Y99"/>
    <hyperlink r:id="rId161" ref="AD99"/>
    <hyperlink r:id="rId162" ref="AD100"/>
    <hyperlink r:id="rId163" ref="AD101"/>
    <hyperlink r:id="rId164" ref="AD102"/>
    <hyperlink r:id="rId165" ref="Y103"/>
    <hyperlink r:id="rId166" ref="AD103"/>
    <hyperlink r:id="rId167" ref="AD104"/>
    <hyperlink r:id="rId168" ref="AD105"/>
    <hyperlink r:id="rId169" ref="AD106"/>
    <hyperlink r:id="rId170" ref="AD107"/>
    <hyperlink r:id="rId171" ref="AD108"/>
    <hyperlink r:id="rId172" ref="AU108"/>
    <hyperlink r:id="rId173" ref="AD109"/>
    <hyperlink r:id="rId174" ref="H110"/>
    <hyperlink r:id="rId175" ref="AD110"/>
    <hyperlink r:id="rId176" ref="H111"/>
    <hyperlink r:id="rId177" ref="AD111"/>
    <hyperlink r:id="rId178" ref="Y112"/>
    <hyperlink r:id="rId179" ref="Z112"/>
    <hyperlink r:id="rId180" ref="AD112"/>
    <hyperlink r:id="rId181" ref="AU112"/>
    <hyperlink r:id="rId182" ref="Z113"/>
    <hyperlink r:id="rId183" ref="AD113"/>
    <hyperlink r:id="rId184" ref="AU113"/>
    <hyperlink r:id="rId185" ref="AD114"/>
    <hyperlink r:id="rId186" ref="Y115"/>
    <hyperlink r:id="rId187" ref="AD115"/>
    <hyperlink r:id="rId188" ref="AU115"/>
    <hyperlink r:id="rId189" ref="AD116"/>
    <hyperlink r:id="rId190" ref="AU116"/>
    <hyperlink r:id="rId191" ref="Y117"/>
    <hyperlink r:id="rId192" ref="AD117"/>
    <hyperlink r:id="rId193" ref="AD118"/>
    <hyperlink r:id="rId194" ref="AU118"/>
    <hyperlink r:id="rId195" ref="AD119"/>
    <hyperlink r:id="rId196" ref="AD120"/>
    <hyperlink r:id="rId197" ref="Y121"/>
    <hyperlink r:id="rId198" ref="AD121"/>
    <hyperlink r:id="rId199" ref="AU121"/>
    <hyperlink r:id="rId200" ref="AD122"/>
    <hyperlink r:id="rId201" ref="AU122"/>
    <hyperlink r:id="rId202" ref="AD123"/>
    <hyperlink r:id="rId203" ref="AU123"/>
    <hyperlink r:id="rId204" ref="AD124"/>
  </hyperlinks>
  <printOptions horizontalCentered="1" verticalCentered="1"/>
  <pageMargins bottom="0.4724409448818898" footer="0.0" header="0.0" left="0.7086614173228347" right="0.1968503937007874" top="0.5905511811023623"/>
  <pageSetup scale="60" orientation="landscape"/>
  <headerFooter>
    <oddHeader>&amp;CCentro de Gestión de la Calidad y la Acreditación Institucional</oddHeader>
    <oddFooter>&amp;R&amp;F</oddFooter>
  </headerFooter>
  <drawing r:id="rId205"/>
  <legacyDrawing r:id="rId206"/>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theme="0"/>
    <pageSetUpPr/>
  </sheetPr>
  <sheetViews>
    <sheetView workbookViewId="0"/>
  </sheetViews>
  <sheetFormatPr customHeight="1" defaultColWidth="12.63" defaultRowHeight="15.0"/>
  <cols>
    <col customWidth="1" min="1" max="1" width="7.75"/>
    <col customWidth="1" min="2" max="2" width="71.13"/>
    <col customWidth="1" min="3" max="3" width="20.13"/>
    <col customWidth="1" min="4" max="4" width="44.13"/>
    <col customWidth="1" min="5" max="5" width="13.75"/>
    <col customWidth="1" min="6" max="6" width="26.75"/>
    <col customWidth="1" min="7" max="7" width="44.75"/>
    <col customWidth="1" min="8" max="8" width="19.88"/>
    <col customWidth="1" min="9" max="9" width="35.63"/>
    <col customWidth="1" min="10" max="26" width="10.63"/>
  </cols>
  <sheetData>
    <row r="1" ht="36.0" customHeight="1">
      <c r="A1" s="281" t="s">
        <v>781</v>
      </c>
      <c r="B1" s="282" t="s">
        <v>20</v>
      </c>
      <c r="C1" s="283" t="s">
        <v>782</v>
      </c>
      <c r="D1" s="284" t="s">
        <v>783</v>
      </c>
      <c r="E1" s="285" t="s">
        <v>784</v>
      </c>
      <c r="F1" s="286" t="s">
        <v>785</v>
      </c>
      <c r="G1" s="286" t="s">
        <v>786</v>
      </c>
      <c r="H1" s="287" t="s">
        <v>787</v>
      </c>
      <c r="I1" s="288" t="s">
        <v>788</v>
      </c>
    </row>
    <row r="2" ht="12.75" customHeight="1">
      <c r="A2" s="289">
        <f>Consolidado!A7</f>
        <v>1</v>
      </c>
      <c r="B2" s="290" t="str">
        <f>Consolidado!D7</f>
        <v>Artes Plásticas</v>
      </c>
      <c r="C2" s="291">
        <f>Consolidado!AJ7</f>
        <v>47037</v>
      </c>
      <c r="D2" s="292" t="str">
        <f t="shared" ref="D2:D119" si="1">LET(
  _xlpm.h, TODAY(),
  IF(ISBLANK(C2),
     "SIN FECHA",
     LET(
       _xlpm.dC, C2 - _xlpm.h,
       _xlpm.fC, IF(_xlpm.dC&gt;=0, _xlpm.dC, 99999),
       IF(_xlpm.fC=99999,
          "YA SE VENCIÓ",
          "EL VENCIMIENTO DE RC se vence en " &amp; _xlpm.fC &amp; " días"
       )
     )
  )
)</f>
        <v>EL VENCIMIENTO DE RC se vence en 912 días</v>
      </c>
      <c r="E2" s="293">
        <f t="shared" ref="E2:E119" si="2">LET(
  _xlpm.m, C2 - TODAY(),
  _xlpm.m
)</f>
        <v>912</v>
      </c>
      <c r="F2" s="294">
        <f>Consolidado!AH7</f>
        <v>46610</v>
      </c>
      <c r="G2" s="295" t="str">
        <f t="shared" ref="G2:G119" si="3">LET(
  _xlpm.h, TODAY(),
  IF(ISBLANK(F2),
     "SIN FECHA",
     LET(
       _xlpm.dC, F2 - _xlpm.h,
       _xlpm.fC, IF(_xlpm.dC&gt;=0, _xlpm.dC, 99999),
       IF(_xlpm.fC=99999,
          "YA SE VENCIÓ",
          "EL VENCIMIENTO DE RC se vence en " &amp; _xlpm.fC &amp; " días"
       )
     )
  )
)</f>
        <v>EL VENCIMIENTO DE RC se vence en 485 días</v>
      </c>
      <c r="H2" s="293">
        <f t="shared" ref="H2:H119" si="4">LET(
  _xlpm.m, F2 - TODAY(),
  _xlpm.m
)</f>
        <v>485</v>
      </c>
      <c r="I2" s="296"/>
    </row>
    <row r="3" ht="12.75" customHeight="1">
      <c r="A3" s="289">
        <f>Consolidado!A8</f>
        <v>2</v>
      </c>
      <c r="B3" s="290" t="str">
        <f>Consolidado!D8</f>
        <v>Maestría en Música </v>
      </c>
      <c r="C3" s="291">
        <f>Consolidado!AJ8</f>
        <v>47037</v>
      </c>
      <c r="D3" s="292" t="str">
        <f t="shared" si="1"/>
        <v>EL VENCIMIENTO DE RC se vence en 912 días</v>
      </c>
      <c r="E3" s="293">
        <f t="shared" si="2"/>
        <v>912</v>
      </c>
      <c r="F3" s="294">
        <f>Consolidado!AH8</f>
        <v>46610</v>
      </c>
      <c r="G3" s="295" t="str">
        <f t="shared" si="3"/>
        <v>EL VENCIMIENTO DE RC se vence en 485 días</v>
      </c>
      <c r="H3" s="293">
        <f t="shared" si="4"/>
        <v>485</v>
      </c>
      <c r="I3" s="296"/>
    </row>
    <row r="4" ht="12.75" customHeight="1">
      <c r="A4" s="289">
        <f>Consolidado!A9</f>
        <v>3</v>
      </c>
      <c r="B4" s="290" t="str">
        <f>Consolidado!D9</f>
        <v>Licenciatura en Música</v>
      </c>
      <c r="C4" s="291">
        <f>Consolidado!AJ9</f>
        <v>47517</v>
      </c>
      <c r="D4" s="292" t="str">
        <f t="shared" si="1"/>
        <v>EL VENCIMIENTO DE RC se vence en 1392 días</v>
      </c>
      <c r="E4" s="293">
        <f t="shared" si="2"/>
        <v>1392</v>
      </c>
      <c r="F4" s="294">
        <f>Consolidado!AH9</f>
        <v>47090</v>
      </c>
      <c r="G4" s="295" t="str">
        <f t="shared" si="3"/>
        <v>EL VENCIMIENTO DE RC se vence en 965 días</v>
      </c>
      <c r="H4" s="293">
        <f t="shared" si="4"/>
        <v>965</v>
      </c>
      <c r="I4" s="296" t="s">
        <v>789</v>
      </c>
    </row>
    <row r="5" ht="12.75" customHeight="1">
      <c r="A5" s="289">
        <f>Consolidado!A10</f>
        <v>4</v>
      </c>
      <c r="B5" s="290" t="str">
        <f>Consolidado!D10</f>
        <v>Música Instrumental</v>
      </c>
      <c r="C5" s="291">
        <f>Consolidado!AJ10</f>
        <v>47517</v>
      </c>
      <c r="D5" s="292" t="str">
        <f t="shared" si="1"/>
        <v>EL VENCIMIENTO DE RC se vence en 1392 días</v>
      </c>
      <c r="E5" s="293">
        <f t="shared" si="2"/>
        <v>1392</v>
      </c>
      <c r="F5" s="294">
        <f>Consolidado!AH10</f>
        <v>47090</v>
      </c>
      <c r="G5" s="295" t="str">
        <f t="shared" si="3"/>
        <v>EL VENCIMIENTO DE RC se vence en 965 días</v>
      </c>
      <c r="H5" s="293">
        <f t="shared" si="4"/>
        <v>965</v>
      </c>
      <c r="I5" s="296"/>
    </row>
    <row r="6" ht="12.75" customHeight="1">
      <c r="A6" s="289">
        <f>Consolidado!A11</f>
        <v>5</v>
      </c>
      <c r="B6" s="290" t="str">
        <f>Consolidado!D11</f>
        <v>Diseño Gráfico</v>
      </c>
      <c r="C6" s="291">
        <f>Consolidado!AJ11</f>
        <v>47593</v>
      </c>
      <c r="D6" s="292" t="str">
        <f t="shared" si="1"/>
        <v>EL VENCIMIENTO DE RC se vence en 1468 días</v>
      </c>
      <c r="E6" s="293">
        <f t="shared" si="2"/>
        <v>1468</v>
      </c>
      <c r="F6" s="294">
        <f>Consolidado!AH11</f>
        <v>47169</v>
      </c>
      <c r="G6" s="295" t="str">
        <f t="shared" si="3"/>
        <v>EL VENCIMIENTO DE RC se vence en 1044 días</v>
      </c>
      <c r="H6" s="293">
        <f t="shared" si="4"/>
        <v>1044</v>
      </c>
      <c r="I6" s="296" t="s">
        <v>790</v>
      </c>
    </row>
    <row r="7" ht="12.75" customHeight="1">
      <c r="A7" s="289">
        <f>Consolidado!A12</f>
        <v>6</v>
      </c>
      <c r="B7" s="290" t="str">
        <f>Consolidado!D12</f>
        <v>Dirección de Banda</v>
      </c>
      <c r="C7" s="291">
        <f>Consolidado!AJ12</f>
        <v>47593</v>
      </c>
      <c r="D7" s="292" t="str">
        <f t="shared" si="1"/>
        <v>EL VENCIMIENTO DE RC se vence en 1468 días</v>
      </c>
      <c r="E7" s="293">
        <f t="shared" si="2"/>
        <v>1468</v>
      </c>
      <c r="F7" s="294">
        <f>Consolidado!AH12</f>
        <v>47169</v>
      </c>
      <c r="G7" s="295" t="str">
        <f t="shared" si="3"/>
        <v>EL VENCIMIENTO DE RC se vence en 1044 días</v>
      </c>
      <c r="H7" s="293">
        <f t="shared" si="4"/>
        <v>1044</v>
      </c>
      <c r="I7" s="296"/>
    </row>
    <row r="8" ht="12.75" customHeight="1">
      <c r="A8" s="289">
        <f>Consolidado!A13</f>
        <v>7</v>
      </c>
      <c r="B8" s="290" t="str">
        <f>Consolidado!D13</f>
        <v>Ingeniería Agroindustrial</v>
      </c>
      <c r="C8" s="291">
        <f>Consolidado!AJ13</f>
        <v>46585</v>
      </c>
      <c r="D8" s="292" t="str">
        <f t="shared" si="1"/>
        <v>EL VENCIMIENTO DE RC se vence en 460 días</v>
      </c>
      <c r="E8" s="293">
        <f t="shared" si="2"/>
        <v>460</v>
      </c>
      <c r="F8" s="294">
        <f>Consolidado!AH13</f>
        <v>46159</v>
      </c>
      <c r="G8" s="295" t="str">
        <f t="shared" si="3"/>
        <v>EL VENCIMIENTO DE RC se vence en 34 días</v>
      </c>
      <c r="H8" s="293">
        <f t="shared" si="4"/>
        <v>34</v>
      </c>
      <c r="I8" s="296"/>
    </row>
    <row r="9" ht="12.75" customHeight="1">
      <c r="A9" s="289">
        <f>Consolidado!A14</f>
        <v>8</v>
      </c>
      <c r="B9" s="290" t="str">
        <f>Consolidado!D14</f>
        <v>Especialización en Sanidad en Producción Agraria Integrada</v>
      </c>
      <c r="C9" s="291">
        <f>Consolidado!AJ14</f>
        <v>46815</v>
      </c>
      <c r="D9" s="292" t="str">
        <f t="shared" si="1"/>
        <v>EL VENCIMIENTO DE RC se vence en 690 días</v>
      </c>
      <c r="E9" s="293">
        <f t="shared" si="2"/>
        <v>690</v>
      </c>
      <c r="F9" s="294">
        <f>Consolidado!AH14</f>
        <v>46390</v>
      </c>
      <c r="G9" s="295" t="str">
        <f t="shared" si="3"/>
        <v>EL VENCIMIENTO DE RC se vence en 265 días</v>
      </c>
      <c r="H9" s="293">
        <f t="shared" si="4"/>
        <v>265</v>
      </c>
      <c r="I9" s="296"/>
    </row>
    <row r="10" ht="12.75" customHeight="1">
      <c r="A10" s="289">
        <f>Consolidado!A15</f>
        <v>9</v>
      </c>
      <c r="B10" s="290" t="str">
        <f>Consolidado!D15</f>
        <v>Especialización en Gestión Integral del Recurso Hídrico</v>
      </c>
      <c r="C10" s="291">
        <f>Consolidado!AJ15</f>
        <v>47174</v>
      </c>
      <c r="D10" s="292" t="str">
        <f t="shared" si="1"/>
        <v>EL VENCIMIENTO DE RC se vence en 1049 días</v>
      </c>
      <c r="E10" s="293">
        <f t="shared" si="2"/>
        <v>1049</v>
      </c>
      <c r="F10" s="294">
        <f>Consolidado!AH15</f>
        <v>46746</v>
      </c>
      <c r="G10" s="295" t="str">
        <f t="shared" si="3"/>
        <v>EL VENCIMIENTO DE RC se vence en 621 días</v>
      </c>
      <c r="H10" s="293">
        <f t="shared" si="4"/>
        <v>621</v>
      </c>
      <c r="I10" s="296" t="s">
        <v>791</v>
      </c>
    </row>
    <row r="11" ht="12.75" customHeight="1">
      <c r="A11" s="289" t="str">
        <f>Consolidado!A16</f>
        <v/>
      </c>
      <c r="B11" s="290" t="str">
        <f>Consolidado!D16</f>
        <v/>
      </c>
      <c r="C11" s="291" t="str">
        <f>Consolidado!AJ16</f>
        <v/>
      </c>
      <c r="D11" s="292" t="str">
        <f t="shared" si="1"/>
        <v>SIN FECHA</v>
      </c>
      <c r="E11" s="293">
        <f t="shared" si="2"/>
        <v>-46125</v>
      </c>
      <c r="F11" s="294" t="str">
        <f>Consolidado!AH16</f>
        <v/>
      </c>
      <c r="G11" s="295" t="str">
        <f t="shared" si="3"/>
        <v>SIN FECHA</v>
      </c>
      <c r="H11" s="293">
        <f t="shared" si="4"/>
        <v>-46125</v>
      </c>
      <c r="I11" s="296" t="s">
        <v>789</v>
      </c>
    </row>
    <row r="12" ht="12.75" customHeight="1">
      <c r="A12" s="289">
        <f>Consolidado!A17</f>
        <v>11</v>
      </c>
      <c r="B12" s="290" t="str">
        <f>Consolidado!D17</f>
        <v>Maestría en Ciencias Agrarias </v>
      </c>
      <c r="C12" s="291">
        <f>Consolidado!AJ17</f>
        <v>47272</v>
      </c>
      <c r="D12" s="292" t="str">
        <f t="shared" si="1"/>
        <v>EL VENCIMIENTO DE RC se vence en 1147 días</v>
      </c>
      <c r="E12" s="293">
        <f t="shared" si="2"/>
        <v>1147</v>
      </c>
      <c r="F12" s="294">
        <f>Consolidado!AH17</f>
        <v>46846</v>
      </c>
      <c r="G12" s="295" t="str">
        <f t="shared" si="3"/>
        <v>EL VENCIMIENTO DE RC se vence en 721 días</v>
      </c>
      <c r="H12" s="293">
        <f t="shared" si="4"/>
        <v>721</v>
      </c>
      <c r="I12" s="296" t="s">
        <v>792</v>
      </c>
    </row>
    <row r="13" ht="12.75" customHeight="1">
      <c r="A13" s="289">
        <f>Consolidado!A18</f>
        <v>12</v>
      </c>
      <c r="B13" s="290" t="str">
        <f>Consolidado!D18</f>
        <v>Doctorado en Ciencias Agrarias y Agroindustriales </v>
      </c>
      <c r="C13" s="291">
        <f>Consolidado!AJ18</f>
        <v>47305</v>
      </c>
      <c r="D13" s="292" t="str">
        <f t="shared" si="1"/>
        <v>EL VENCIMIENTO DE RC se vence en 1180 días</v>
      </c>
      <c r="E13" s="293">
        <f t="shared" si="2"/>
        <v>1180</v>
      </c>
      <c r="F13" s="294">
        <f>Consolidado!AH18</f>
        <v>46879</v>
      </c>
      <c r="G13" s="295" t="str">
        <f t="shared" si="3"/>
        <v>EL VENCIMIENTO DE RC se vence en 754 días</v>
      </c>
      <c r="H13" s="293">
        <f t="shared" si="4"/>
        <v>754</v>
      </c>
      <c r="I13" s="296"/>
    </row>
    <row r="14" ht="12.75" customHeight="1">
      <c r="A14" s="289">
        <f>Consolidado!A19</f>
        <v>13</v>
      </c>
      <c r="B14" s="290" t="str">
        <f>Consolidado!D19</f>
        <v>Ingeniería Forestal</v>
      </c>
      <c r="C14" s="291">
        <f>Consolidado!AJ19</f>
        <v>48328</v>
      </c>
      <c r="D14" s="292" t="str">
        <f t="shared" si="1"/>
        <v>EL VENCIMIENTO DE RC se vence en 2203 días</v>
      </c>
      <c r="E14" s="293">
        <f t="shared" si="2"/>
        <v>2203</v>
      </c>
      <c r="F14" s="294">
        <f>Consolidado!AH19</f>
        <v>47903</v>
      </c>
      <c r="G14" s="295" t="str">
        <f t="shared" si="3"/>
        <v>EL VENCIMIENTO DE RC se vence en 1778 días</v>
      </c>
      <c r="H14" s="293">
        <f t="shared" si="4"/>
        <v>1778</v>
      </c>
      <c r="I14" s="296" t="s">
        <v>791</v>
      </c>
    </row>
    <row r="15" ht="12.75" customHeight="1">
      <c r="A15" s="289">
        <f>Consolidado!A20</f>
        <v>14</v>
      </c>
      <c r="B15" s="290" t="str">
        <f>Consolidado!D20</f>
        <v>Contaduría Pública </v>
      </c>
      <c r="C15" s="291">
        <f>Consolidado!AJ20</f>
        <v>48546</v>
      </c>
      <c r="D15" s="292" t="str">
        <f t="shared" si="1"/>
        <v>EL VENCIMIENTO DE RC se vence en 2421 días</v>
      </c>
      <c r="E15" s="293">
        <f t="shared" si="2"/>
        <v>2421</v>
      </c>
      <c r="F15" s="294">
        <f>Consolidado!AH20</f>
        <v>48119</v>
      </c>
      <c r="G15" s="295" t="str">
        <f t="shared" si="3"/>
        <v>EL VENCIMIENTO DE RC se vence en 1994 días</v>
      </c>
      <c r="H15" s="293">
        <f t="shared" si="4"/>
        <v>1994</v>
      </c>
      <c r="I15" s="296"/>
    </row>
    <row r="16" ht="12.75" customHeight="1">
      <c r="A16" s="289">
        <f>Consolidado!A21</f>
        <v>15</v>
      </c>
      <c r="B16" s="290" t="str">
        <f>Consolidado!D21</f>
        <v>Especialización en Gerencia de Impuestos</v>
      </c>
      <c r="C16" s="291">
        <f>Consolidado!AJ21</f>
        <v>46374</v>
      </c>
      <c r="D16" s="292" t="str">
        <f t="shared" si="1"/>
        <v>EL VENCIMIENTO DE RC se vence en 249 días</v>
      </c>
      <c r="E16" s="293">
        <f t="shared" si="2"/>
        <v>249</v>
      </c>
      <c r="F16" s="294">
        <f>Consolidado!AH21</f>
        <v>45948</v>
      </c>
      <c r="G16" s="295" t="str">
        <f t="shared" si="3"/>
        <v>YA SE VENCIÓ</v>
      </c>
      <c r="H16" s="293">
        <f t="shared" si="4"/>
        <v>-177</v>
      </c>
      <c r="I16" s="296"/>
    </row>
    <row r="17" ht="12.75" customHeight="1">
      <c r="A17" s="289">
        <f>Consolidado!A22</f>
        <v>16</v>
      </c>
      <c r="B17" s="290" t="str">
        <f>Consolidado!D22</f>
        <v>Especialización en Revisoría Fiscal y Auditoría Internacional</v>
      </c>
      <c r="C17" s="291">
        <f>Consolidado!AJ22</f>
        <v>46374</v>
      </c>
      <c r="D17" s="292" t="str">
        <f t="shared" si="1"/>
        <v>EL VENCIMIENTO DE RC se vence en 249 días</v>
      </c>
      <c r="E17" s="293">
        <f t="shared" si="2"/>
        <v>249</v>
      </c>
      <c r="F17" s="294">
        <f>Consolidado!AH22</f>
        <v>45948</v>
      </c>
      <c r="G17" s="295" t="str">
        <f t="shared" si="3"/>
        <v>YA SE VENCIÓ</v>
      </c>
      <c r="H17" s="293">
        <f t="shared" si="4"/>
        <v>-177</v>
      </c>
      <c r="I17" s="296"/>
    </row>
    <row r="18" ht="12.75" customHeight="1">
      <c r="A18" s="289">
        <f>Consolidado!A23</f>
        <v>17</v>
      </c>
      <c r="B18" s="290" t="str">
        <f>Consolidado!D23</f>
        <v>Especialización en Gerencia de Proyectos</v>
      </c>
      <c r="C18" s="291">
        <f>Consolidado!AJ23</f>
        <v>46374</v>
      </c>
      <c r="D18" s="292" t="str">
        <f t="shared" si="1"/>
        <v>EL VENCIMIENTO DE RC se vence en 249 días</v>
      </c>
      <c r="E18" s="293">
        <f t="shared" si="2"/>
        <v>249</v>
      </c>
      <c r="F18" s="294">
        <f>Consolidado!AH23</f>
        <v>45948</v>
      </c>
      <c r="G18" s="295" t="str">
        <f t="shared" si="3"/>
        <v>YA SE VENCIÓ</v>
      </c>
      <c r="H18" s="293">
        <f t="shared" si="4"/>
        <v>-177</v>
      </c>
      <c r="I18" s="296"/>
    </row>
    <row r="19" ht="12.75" customHeight="1">
      <c r="A19" s="289">
        <f>Consolidado!A24</f>
        <v>18</v>
      </c>
      <c r="B19" s="290" t="str">
        <f>Consolidado!D24</f>
        <v>Especialización en Mercadeo Corporativo</v>
      </c>
      <c r="C19" s="291">
        <f>Consolidado!AJ24</f>
        <v>46534</v>
      </c>
      <c r="D19" s="292" t="str">
        <f t="shared" si="1"/>
        <v>EL VENCIMIENTO DE RC se vence en 409 días</v>
      </c>
      <c r="E19" s="293">
        <f t="shared" si="2"/>
        <v>409</v>
      </c>
      <c r="F19" s="294">
        <f>Consolidado!AH24</f>
        <v>46108</v>
      </c>
      <c r="G19" s="295" t="str">
        <f t="shared" si="3"/>
        <v>YA SE VENCIÓ</v>
      </c>
      <c r="H19" s="293">
        <f t="shared" si="4"/>
        <v>-17</v>
      </c>
      <c r="I19" s="296"/>
    </row>
    <row r="20" ht="12.75" customHeight="1">
      <c r="A20" s="289">
        <f>Consolidado!A25</f>
        <v>19</v>
      </c>
      <c r="B20" s="290" t="str">
        <f>Consolidado!D25</f>
        <v>Especialización en Gerencia de Proyectos</v>
      </c>
      <c r="C20" s="291">
        <f>Consolidado!AJ25</f>
        <v>46568</v>
      </c>
      <c r="D20" s="292" t="str">
        <f t="shared" si="1"/>
        <v>EL VENCIMIENTO DE RC se vence en 443 días</v>
      </c>
      <c r="E20" s="293">
        <f t="shared" si="2"/>
        <v>443</v>
      </c>
      <c r="F20" s="294">
        <f>Consolidado!AH25</f>
        <v>46142</v>
      </c>
      <c r="G20" s="295" t="str">
        <f t="shared" si="3"/>
        <v>EL VENCIMIENTO DE RC se vence en 17 días</v>
      </c>
      <c r="H20" s="293">
        <f t="shared" si="4"/>
        <v>17</v>
      </c>
      <c r="I20" s="296"/>
    </row>
    <row r="21" ht="12.75" customHeight="1">
      <c r="A21" s="289">
        <f>Consolidado!A26</f>
        <v>20</v>
      </c>
      <c r="B21" s="290" t="str">
        <f>Consolidado!D26</f>
        <v>Administración de Empresas</v>
      </c>
      <c r="C21" s="291">
        <f>Consolidado!AJ26</f>
        <v>46658</v>
      </c>
      <c r="D21" s="292" t="str">
        <f t="shared" si="1"/>
        <v>EL VENCIMIENTO DE RC se vence en 533 días</v>
      </c>
      <c r="E21" s="293">
        <f t="shared" si="2"/>
        <v>533</v>
      </c>
      <c r="F21" s="294">
        <f>Consolidado!AH26</f>
        <v>46231</v>
      </c>
      <c r="G21" s="295" t="str">
        <f t="shared" si="3"/>
        <v>EL VENCIMIENTO DE RC se vence en 106 días</v>
      </c>
      <c r="H21" s="293">
        <f t="shared" si="4"/>
        <v>106</v>
      </c>
      <c r="I21" s="296"/>
    </row>
    <row r="22" ht="12.75" customHeight="1">
      <c r="A22" s="289">
        <f>Consolidado!A27</f>
        <v>21</v>
      </c>
      <c r="B22" s="290" t="str">
        <f>Consolidado!D27</f>
        <v>Maestría en Gestión de Organizaciones y Proyectos</v>
      </c>
      <c r="C22" s="291">
        <f>Consolidado!AJ27</f>
        <v>46802</v>
      </c>
      <c r="D22" s="292" t="str">
        <f t="shared" si="1"/>
        <v>EL VENCIMIENTO DE RC se vence en 677 días</v>
      </c>
      <c r="E22" s="293">
        <f t="shared" si="2"/>
        <v>677</v>
      </c>
      <c r="F22" s="294">
        <f>Consolidado!AH27</f>
        <v>46375</v>
      </c>
      <c r="G22" s="295" t="str">
        <f t="shared" si="3"/>
        <v>EL VENCIMIENTO DE RC se vence en 250 días</v>
      </c>
      <c r="H22" s="293">
        <f t="shared" si="4"/>
        <v>250</v>
      </c>
      <c r="I22" s="296"/>
    </row>
    <row r="23" ht="12.75" customHeight="1">
      <c r="A23" s="289">
        <f>Consolidado!A28</f>
        <v>22</v>
      </c>
      <c r="B23" s="290" t="str">
        <f>Consolidado!D28</f>
        <v>Maestría en Economía Regional y Políticas Públicas</v>
      </c>
      <c r="C23" s="291">
        <f>Consolidado!AJ28</f>
        <v>47174</v>
      </c>
      <c r="D23" s="292" t="str">
        <f t="shared" si="1"/>
        <v>EL VENCIMIENTO DE RC se vence en 1049 días</v>
      </c>
      <c r="E23" s="293">
        <f t="shared" si="2"/>
        <v>1049</v>
      </c>
      <c r="F23" s="294">
        <f>Consolidado!AH28</f>
        <v>46746</v>
      </c>
      <c r="G23" s="295" t="str">
        <f t="shared" si="3"/>
        <v>EL VENCIMIENTO DE RC se vence en 621 días</v>
      </c>
      <c r="H23" s="293">
        <f t="shared" si="4"/>
        <v>621</v>
      </c>
      <c r="I23" s="296"/>
    </row>
    <row r="24" ht="12.75" customHeight="1">
      <c r="A24" s="289">
        <f>Consolidado!A29</f>
        <v>23</v>
      </c>
      <c r="B24" s="290" t="str">
        <f>Consolidado!D29</f>
        <v>Maestría en Gestión del Conocimiento y la Innovación</v>
      </c>
      <c r="C24" s="291">
        <f>Consolidado!AJ29</f>
        <v>47235</v>
      </c>
      <c r="D24" s="292" t="str">
        <f t="shared" si="1"/>
        <v>EL VENCIMIENTO DE RC se vence en 1110 días</v>
      </c>
      <c r="E24" s="293">
        <f t="shared" si="2"/>
        <v>1110</v>
      </c>
      <c r="F24" s="294">
        <f>Consolidado!AH29</f>
        <v>46810</v>
      </c>
      <c r="G24" s="295" t="str">
        <f t="shared" si="3"/>
        <v>EL VENCIMIENTO DE RC se vence en 685 días</v>
      </c>
      <c r="H24" s="293">
        <f t="shared" si="4"/>
        <v>685</v>
      </c>
      <c r="I24" s="296"/>
    </row>
    <row r="25" ht="12.75" customHeight="1">
      <c r="A25" s="289">
        <f>Consolidado!A30</f>
        <v>24</v>
      </c>
      <c r="B25" s="290" t="str">
        <f>Consolidado!D30</f>
        <v>Economía</v>
      </c>
      <c r="C25" s="291">
        <f>Consolidado!AJ30</f>
        <v>47628</v>
      </c>
      <c r="D25" s="292" t="str">
        <f t="shared" si="1"/>
        <v>EL VENCIMIENTO DE RC se vence en 1503 días</v>
      </c>
      <c r="E25" s="293">
        <f t="shared" si="2"/>
        <v>1503</v>
      </c>
      <c r="F25" s="294">
        <f>Consolidado!AH30</f>
        <v>47202</v>
      </c>
      <c r="G25" s="295" t="str">
        <f t="shared" si="3"/>
        <v>EL VENCIMIENTO DE RC se vence en 1077 días</v>
      </c>
      <c r="H25" s="293">
        <f t="shared" si="4"/>
        <v>1077</v>
      </c>
      <c r="I25" s="296"/>
    </row>
    <row r="26" ht="12.75" customHeight="1">
      <c r="A26" s="289">
        <f>Consolidado!A31</f>
        <v>25</v>
      </c>
      <c r="B26" s="290" t="str">
        <f>Consolidado!D31</f>
        <v>Maestría en Estudios Interdisciplinarios del Desarrollo</v>
      </c>
      <c r="C26" s="291">
        <f>Consolidado!AJ31</f>
        <v>47731</v>
      </c>
      <c r="D26" s="292" t="str">
        <f t="shared" si="1"/>
        <v>EL VENCIMIENTO DE RC se vence en 1606 días</v>
      </c>
      <c r="E26" s="293">
        <f t="shared" si="2"/>
        <v>1606</v>
      </c>
      <c r="F26" s="294">
        <f>Consolidado!AH31</f>
        <v>47304</v>
      </c>
      <c r="G26" s="295" t="str">
        <f t="shared" si="3"/>
        <v>EL VENCIMIENTO DE RC se vence en 1179 días</v>
      </c>
      <c r="H26" s="293">
        <f t="shared" si="4"/>
        <v>1179</v>
      </c>
      <c r="I26" s="296"/>
    </row>
    <row r="27" ht="12.75" customHeight="1">
      <c r="A27" s="289">
        <f>Consolidado!A32</f>
        <v>26</v>
      </c>
      <c r="B27" s="290" t="str">
        <f>Consolidado!D32</f>
        <v>Turismo</v>
      </c>
      <c r="C27" s="291">
        <f>Consolidado!AJ32</f>
        <v>48377</v>
      </c>
      <c r="D27" s="292" t="str">
        <f t="shared" si="1"/>
        <v>EL VENCIMIENTO DE RC se vence en 2252 días</v>
      </c>
      <c r="E27" s="293">
        <f t="shared" si="2"/>
        <v>2252</v>
      </c>
      <c r="F27" s="294">
        <f>Consolidado!AH32</f>
        <v>47950</v>
      </c>
      <c r="G27" s="295" t="str">
        <f t="shared" si="3"/>
        <v>EL VENCIMIENTO DE RC se vence en 1825 días</v>
      </c>
      <c r="H27" s="293">
        <f t="shared" si="4"/>
        <v>1825</v>
      </c>
      <c r="I27" s="296"/>
    </row>
    <row r="28" ht="12.75" customHeight="1">
      <c r="A28" s="289">
        <f>Consolidado!A33</f>
        <v>27</v>
      </c>
      <c r="B28" s="290" t="str">
        <f>Consolidado!D33</f>
        <v>Maestría en Desarrollo Humano y Salud</v>
      </c>
      <c r="C28" s="291">
        <f>Consolidado!AJ33</f>
        <v>47045</v>
      </c>
      <c r="D28" s="292" t="str">
        <f t="shared" si="1"/>
        <v>EL VENCIMIENTO DE RC se vence en 920 días</v>
      </c>
      <c r="E28" s="293">
        <f t="shared" si="2"/>
        <v>920</v>
      </c>
      <c r="F28" s="294">
        <f>Consolidado!AH33</f>
        <v>46618</v>
      </c>
      <c r="G28" s="295" t="str">
        <f t="shared" si="3"/>
        <v>EL VENCIMIENTO DE RC se vence en 493 días</v>
      </c>
      <c r="H28" s="293">
        <f t="shared" si="4"/>
        <v>493</v>
      </c>
      <c r="I28" s="296"/>
    </row>
    <row r="29" ht="12.75" customHeight="1">
      <c r="A29" s="289">
        <f>Consolidado!A34</f>
        <v>28</v>
      </c>
      <c r="B29" s="290" t="str">
        <f>Consolidado!D34</f>
        <v>Fonoaudiología</v>
      </c>
      <c r="C29" s="291">
        <f>Consolidado!AJ34</f>
        <v>47299</v>
      </c>
      <c r="D29" s="292" t="str">
        <f t="shared" si="1"/>
        <v>EL VENCIMIENTO DE RC se vence en 1174 días</v>
      </c>
      <c r="E29" s="293">
        <f t="shared" si="2"/>
        <v>1174</v>
      </c>
      <c r="F29" s="294">
        <f>Consolidado!AH34</f>
        <v>46873</v>
      </c>
      <c r="G29" s="295" t="str">
        <f t="shared" si="3"/>
        <v>EL VENCIMIENTO DE RC se vence en 748 días</v>
      </c>
      <c r="H29" s="293">
        <f t="shared" si="4"/>
        <v>748</v>
      </c>
      <c r="I29" s="296"/>
    </row>
    <row r="30" ht="12.75" customHeight="1">
      <c r="A30" s="289">
        <f>Consolidado!A35</f>
        <v>29</v>
      </c>
      <c r="B30" s="290" t="str">
        <f>Consolidado!D35</f>
        <v>Especialización en Anestesiología</v>
      </c>
      <c r="C30" s="291">
        <f>Consolidado!AJ35</f>
        <v>47334</v>
      </c>
      <c r="D30" s="292" t="str">
        <f t="shared" si="1"/>
        <v>EL VENCIMIENTO DE RC se vence en 1209 días</v>
      </c>
      <c r="E30" s="293">
        <f t="shared" si="2"/>
        <v>1209</v>
      </c>
      <c r="F30" s="294">
        <f>Consolidado!AH35</f>
        <v>46908</v>
      </c>
      <c r="G30" s="295" t="str">
        <f t="shared" si="3"/>
        <v>EL VENCIMIENTO DE RC se vence en 783 días</v>
      </c>
      <c r="H30" s="293">
        <f t="shared" si="4"/>
        <v>783</v>
      </c>
      <c r="I30" s="296"/>
    </row>
    <row r="31" ht="12.75" customHeight="1">
      <c r="A31" s="289">
        <f>Consolidado!A36</f>
        <v>30</v>
      </c>
      <c r="B31" s="290" t="str">
        <f>Consolidado!D36</f>
        <v>Especialización en Pediatría</v>
      </c>
      <c r="C31" s="291">
        <f>Consolidado!AJ36</f>
        <v>47334</v>
      </c>
      <c r="D31" s="292" t="str">
        <f t="shared" si="1"/>
        <v>EL VENCIMIENTO DE RC se vence en 1209 días</v>
      </c>
      <c r="E31" s="293">
        <f t="shared" si="2"/>
        <v>1209</v>
      </c>
      <c r="F31" s="294">
        <f>Consolidado!AH36</f>
        <v>46908</v>
      </c>
      <c r="G31" s="295" t="str">
        <f t="shared" si="3"/>
        <v>EL VENCIMIENTO DE RC se vence en 783 días</v>
      </c>
      <c r="H31" s="293">
        <f t="shared" si="4"/>
        <v>783</v>
      </c>
      <c r="I31" s="296"/>
    </row>
    <row r="32" ht="12.75" customHeight="1">
      <c r="A32" s="289">
        <f>Consolidado!A37</f>
        <v>31</v>
      </c>
      <c r="B32" s="290" t="str">
        <f>Consolidado!D37</f>
        <v>Especialización en Ginecología y Obstetricia</v>
      </c>
      <c r="C32" s="291">
        <f>Consolidado!AJ37</f>
        <v>47545</v>
      </c>
      <c r="D32" s="292" t="str">
        <f t="shared" si="1"/>
        <v>EL VENCIMIENTO DE RC se vence en 1420 días</v>
      </c>
      <c r="E32" s="293">
        <f t="shared" si="2"/>
        <v>1420</v>
      </c>
      <c r="F32" s="294">
        <f>Consolidado!AH37</f>
        <v>47121</v>
      </c>
      <c r="G32" s="295" t="str">
        <f t="shared" si="3"/>
        <v>EL VENCIMIENTO DE RC se vence en 996 días</v>
      </c>
      <c r="H32" s="293">
        <f t="shared" si="4"/>
        <v>996</v>
      </c>
      <c r="I32" s="296"/>
    </row>
    <row r="33" ht="12.75" customHeight="1">
      <c r="A33" s="289">
        <f>Consolidado!A38</f>
        <v>32</v>
      </c>
      <c r="B33" s="290" t="str">
        <f>Consolidado!D38</f>
        <v>Especialización en Cirugía General</v>
      </c>
      <c r="C33" s="291">
        <f>Consolidado!AJ38</f>
        <v>47578</v>
      </c>
      <c r="D33" s="292" t="str">
        <f t="shared" si="1"/>
        <v>EL VENCIMIENTO DE RC se vence en 1453 días</v>
      </c>
      <c r="E33" s="293">
        <f t="shared" si="2"/>
        <v>1453</v>
      </c>
      <c r="F33" s="294">
        <f>Consolidado!AH38</f>
        <v>47154</v>
      </c>
      <c r="G33" s="295" t="str">
        <f t="shared" si="3"/>
        <v>EL VENCIMIENTO DE RC se vence en 1029 días</v>
      </c>
      <c r="H33" s="293">
        <f t="shared" si="4"/>
        <v>1029</v>
      </c>
      <c r="I33" s="296"/>
    </row>
    <row r="34" ht="12.75" customHeight="1">
      <c r="A34" s="289">
        <f>Consolidado!A39</f>
        <v>33</v>
      </c>
      <c r="B34" s="290" t="str">
        <f>Consolidado!D39</f>
        <v>Enfermería</v>
      </c>
      <c r="C34" s="291">
        <f>Consolidado!AJ39</f>
        <v>47718</v>
      </c>
      <c r="D34" s="292" t="str">
        <f t="shared" si="1"/>
        <v>EL VENCIMIENTO DE RC se vence en 1593 días</v>
      </c>
      <c r="E34" s="293">
        <f t="shared" si="2"/>
        <v>1593</v>
      </c>
      <c r="F34" s="294">
        <f>Consolidado!AH39</f>
        <v>47292</v>
      </c>
      <c r="G34" s="295" t="str">
        <f t="shared" si="3"/>
        <v>EL VENCIMIENTO DE RC se vence en 1167 días</v>
      </c>
      <c r="H34" s="293">
        <f t="shared" si="4"/>
        <v>1167</v>
      </c>
      <c r="I34" s="296"/>
    </row>
    <row r="35" ht="12.75" customHeight="1">
      <c r="A35" s="289">
        <f>Consolidado!A40</f>
        <v>34</v>
      </c>
      <c r="B35" s="290" t="str">
        <f>Consolidado!D40</f>
        <v>Especialización en Intervención del Lenguaje Infantil </v>
      </c>
      <c r="C35" s="291">
        <f>Consolidado!AJ40</f>
        <v>47656</v>
      </c>
      <c r="D35" s="292" t="str">
        <f t="shared" si="1"/>
        <v>EL VENCIMIENTO DE RC se vence en 1531 días</v>
      </c>
      <c r="E35" s="293">
        <f t="shared" si="2"/>
        <v>1531</v>
      </c>
      <c r="F35" s="294">
        <f>Consolidado!AH40</f>
        <v>47230</v>
      </c>
      <c r="G35" s="295" t="str">
        <f t="shared" si="3"/>
        <v>EL VENCIMIENTO DE RC se vence en 1105 días</v>
      </c>
      <c r="H35" s="293">
        <f t="shared" si="4"/>
        <v>1105</v>
      </c>
      <c r="I35" s="296"/>
    </row>
    <row r="36" ht="12.75" customHeight="1">
      <c r="A36" s="289">
        <f>Consolidado!A41</f>
        <v>35</v>
      </c>
      <c r="B36" s="290" t="str">
        <f>Consolidado!D41</f>
        <v>Especialización en Medicina Interna</v>
      </c>
      <c r="C36" s="291">
        <f>Consolidado!AJ41</f>
        <v>47663</v>
      </c>
      <c r="D36" s="292" t="str">
        <f t="shared" si="1"/>
        <v>EL VENCIMIENTO DE RC se vence en 1538 días</v>
      </c>
      <c r="E36" s="293">
        <f t="shared" si="2"/>
        <v>1538</v>
      </c>
      <c r="F36" s="294">
        <f>Consolidado!AH41</f>
        <v>47237</v>
      </c>
      <c r="G36" s="295" t="str">
        <f t="shared" si="3"/>
        <v>EL VENCIMIENTO DE RC se vence en 1112 días</v>
      </c>
      <c r="H36" s="293">
        <f t="shared" si="4"/>
        <v>1112</v>
      </c>
      <c r="I36" s="296"/>
    </row>
    <row r="37" ht="12.75" customHeight="1">
      <c r="A37" s="289">
        <f>Consolidado!A42</f>
        <v>36</v>
      </c>
      <c r="B37" s="290" t="str">
        <f>Consolidado!D42</f>
        <v>Especialización en Medicina Familiar</v>
      </c>
      <c r="C37" s="291">
        <f>Consolidado!AJ42</f>
        <v>47663</v>
      </c>
      <c r="D37" s="292" t="str">
        <f t="shared" si="1"/>
        <v>EL VENCIMIENTO DE RC se vence en 1538 días</v>
      </c>
      <c r="E37" s="293">
        <f t="shared" si="2"/>
        <v>1538</v>
      </c>
      <c r="F37" s="294">
        <f>Consolidado!AH42</f>
        <v>47237</v>
      </c>
      <c r="G37" s="295" t="str">
        <f t="shared" si="3"/>
        <v>EL VENCIMIENTO DE RC se vence en 1112 días</v>
      </c>
      <c r="H37" s="293">
        <f t="shared" si="4"/>
        <v>1112</v>
      </c>
      <c r="I37" s="296"/>
    </row>
    <row r="38" ht="12.75" customHeight="1">
      <c r="A38" s="289">
        <f>Consolidado!A43</f>
        <v>37</v>
      </c>
      <c r="B38" s="290" t="str">
        <f>Consolidado!D43</f>
        <v>Fisioterapia</v>
      </c>
      <c r="C38" s="291">
        <f>Consolidado!AJ43</f>
        <v>47669</v>
      </c>
      <c r="D38" s="292" t="str">
        <f t="shared" si="1"/>
        <v>EL VENCIMIENTO DE RC se vence en 1544 días</v>
      </c>
      <c r="E38" s="293">
        <f t="shared" si="2"/>
        <v>1544</v>
      </c>
      <c r="F38" s="294">
        <f>Consolidado!AH43</f>
        <v>47243</v>
      </c>
      <c r="G38" s="295" t="str">
        <f t="shared" si="3"/>
        <v>EL VENCIMIENTO DE RC se vence en 1118 días</v>
      </c>
      <c r="H38" s="293">
        <f t="shared" si="4"/>
        <v>1118</v>
      </c>
      <c r="I38" s="296"/>
    </row>
    <row r="39" ht="12.75" customHeight="1">
      <c r="A39" s="289">
        <f>Consolidado!A44</f>
        <v>38</v>
      </c>
      <c r="B39" s="290" t="str">
        <f>Consolidado!D44</f>
        <v>Especialización en Seguridad y Salud en el Trabajo</v>
      </c>
      <c r="C39" s="291">
        <f>Consolidado!AJ44</f>
        <v>47738</v>
      </c>
      <c r="D39" s="292" t="str">
        <f t="shared" si="1"/>
        <v>EL VENCIMIENTO DE RC se vence en 1613 días</v>
      </c>
      <c r="E39" s="293">
        <f t="shared" si="2"/>
        <v>1613</v>
      </c>
      <c r="F39" s="294">
        <f>Consolidado!AH44</f>
        <v>47311</v>
      </c>
      <c r="G39" s="295" t="str">
        <f t="shared" si="3"/>
        <v>EL VENCIMIENTO DE RC se vence en 1186 días</v>
      </c>
      <c r="H39" s="293">
        <f t="shared" si="4"/>
        <v>1186</v>
      </c>
      <c r="I39" s="296"/>
    </row>
    <row r="40" ht="12.75" customHeight="1">
      <c r="A40" s="289">
        <f>Consolidado!A45</f>
        <v>39</v>
      </c>
      <c r="B40" s="290" t="str">
        <f>Consolidado!D45</f>
        <v>Enfermería (S.Q)</v>
      </c>
      <c r="C40" s="291">
        <f>Consolidado!AJ45</f>
        <v>48546</v>
      </c>
      <c r="D40" s="292" t="str">
        <f t="shared" si="1"/>
        <v>EL VENCIMIENTO DE RC se vence en 2421 días</v>
      </c>
      <c r="E40" s="293">
        <f t="shared" si="2"/>
        <v>2421</v>
      </c>
      <c r="F40" s="294">
        <f>Consolidado!AH45</f>
        <v>48119</v>
      </c>
      <c r="G40" s="295" t="str">
        <f t="shared" si="3"/>
        <v>EL VENCIMIENTO DE RC se vence en 1994 días</v>
      </c>
      <c r="H40" s="293">
        <f t="shared" si="4"/>
        <v>1994</v>
      </c>
      <c r="I40" s="296"/>
    </row>
    <row r="41" ht="12.75" customHeight="1">
      <c r="A41" s="289">
        <f>Consolidado!A46</f>
        <v>40</v>
      </c>
      <c r="B41" s="290" t="str">
        <f>Consolidado!D46</f>
        <v>Licenciatura en Lenguas Modernas con énfasis en Inglés y Francés (Santander de Quilichao)</v>
      </c>
      <c r="C41" s="291">
        <f>Consolidado!AJ46</f>
        <v>46374</v>
      </c>
      <c r="D41" s="292" t="str">
        <f t="shared" si="1"/>
        <v>EL VENCIMIENTO DE RC se vence en 249 días</v>
      </c>
      <c r="E41" s="293">
        <f t="shared" si="2"/>
        <v>249</v>
      </c>
      <c r="F41" s="294">
        <f>Consolidado!AH46</f>
        <v>45948</v>
      </c>
      <c r="G41" s="295" t="str">
        <f t="shared" si="3"/>
        <v>YA SE VENCIÓ</v>
      </c>
      <c r="H41" s="293">
        <f t="shared" si="4"/>
        <v>-177</v>
      </c>
      <c r="I41" s="296"/>
    </row>
    <row r="42" ht="12.75" customHeight="1">
      <c r="A42" s="289">
        <f>Consolidado!A47</f>
        <v>41</v>
      </c>
      <c r="B42" s="290" t="str">
        <f>Consolidado!D47</f>
        <v>Filosofía</v>
      </c>
      <c r="C42" s="291">
        <f>Consolidado!AJ47</f>
        <v>46534</v>
      </c>
      <c r="D42" s="292" t="str">
        <f t="shared" si="1"/>
        <v>EL VENCIMIENTO DE RC se vence en 409 días</v>
      </c>
      <c r="E42" s="293">
        <f t="shared" si="2"/>
        <v>409</v>
      </c>
      <c r="F42" s="294">
        <f>Consolidado!AH47</f>
        <v>46108</v>
      </c>
      <c r="G42" s="295" t="str">
        <f t="shared" si="3"/>
        <v>YA SE VENCIÓ</v>
      </c>
      <c r="H42" s="293">
        <f t="shared" si="4"/>
        <v>-17</v>
      </c>
      <c r="I42" s="296"/>
    </row>
    <row r="43" ht="12.75" customHeight="1">
      <c r="A43" s="289">
        <f>Consolidado!A48</f>
        <v>42</v>
      </c>
      <c r="B43" s="290" t="str">
        <f>Consolidado!D48</f>
        <v>Geografía del Desarrollo Regional y Ambiental</v>
      </c>
      <c r="C43" s="291">
        <f>Consolidado!AJ48</f>
        <v>46570</v>
      </c>
      <c r="D43" s="292" t="str">
        <f t="shared" si="1"/>
        <v>EL VENCIMIENTO DE RC se vence en 445 días</v>
      </c>
      <c r="E43" s="293">
        <f t="shared" si="2"/>
        <v>445</v>
      </c>
      <c r="F43" s="294">
        <f>Consolidado!AH48</f>
        <v>46144</v>
      </c>
      <c r="G43" s="295" t="str">
        <f t="shared" si="3"/>
        <v>EL VENCIMIENTO DE RC se vence en 19 días</v>
      </c>
      <c r="H43" s="293">
        <f t="shared" si="4"/>
        <v>19</v>
      </c>
      <c r="I43" s="296"/>
    </row>
    <row r="44" ht="12.75" customHeight="1">
      <c r="A44" s="289">
        <f>Consolidado!A49</f>
        <v>43</v>
      </c>
      <c r="B44" s="290" t="str">
        <f>Consolidado!D49</f>
        <v>Doctorado en Antropología</v>
      </c>
      <c r="C44" s="291">
        <f>Consolidado!AJ49</f>
        <v>46623</v>
      </c>
      <c r="D44" s="292" t="str">
        <f t="shared" si="1"/>
        <v>EL VENCIMIENTO DE RC se vence en 498 días</v>
      </c>
      <c r="E44" s="293">
        <f t="shared" si="2"/>
        <v>498</v>
      </c>
      <c r="F44" s="294">
        <f>Consolidado!AH49</f>
        <v>46197</v>
      </c>
      <c r="G44" s="295" t="str">
        <f t="shared" si="3"/>
        <v>EL VENCIMIENTO DE RC se vence en 72 días</v>
      </c>
      <c r="H44" s="293">
        <f t="shared" si="4"/>
        <v>72</v>
      </c>
      <c r="I44" s="296"/>
    </row>
    <row r="45" ht="12.75" customHeight="1">
      <c r="A45" s="289">
        <f>Consolidado!A50</f>
        <v>44</v>
      </c>
      <c r="B45" s="290" t="str">
        <f>Consolidado!D50</f>
        <v>Maestría en Antropología</v>
      </c>
      <c r="C45" s="291">
        <f>Consolidado!AJ50</f>
        <v>47233</v>
      </c>
      <c r="D45" s="292" t="str">
        <f t="shared" si="1"/>
        <v>EL VENCIMIENTO DE RC se vence en 1108 días</v>
      </c>
      <c r="E45" s="293">
        <f t="shared" si="2"/>
        <v>1108</v>
      </c>
      <c r="F45" s="294">
        <f>Consolidado!AH50</f>
        <v>46808</v>
      </c>
      <c r="G45" s="295" t="str">
        <f t="shared" si="3"/>
        <v>EL VENCIMIENTO DE RC se vence en 683 días</v>
      </c>
      <c r="H45" s="293">
        <f t="shared" si="4"/>
        <v>683</v>
      </c>
      <c r="I45" s="296"/>
    </row>
    <row r="46" ht="12.75" customHeight="1">
      <c r="A46" s="289">
        <f>Consolidado!A51</f>
        <v>45</v>
      </c>
      <c r="B46" s="290" t="str">
        <f>Consolidado!D51</f>
        <v>Maestría en Ciencias Humanas </v>
      </c>
      <c r="C46" s="291">
        <f>Consolidado!AJ51</f>
        <v>47272</v>
      </c>
      <c r="D46" s="292" t="str">
        <f t="shared" si="1"/>
        <v>EL VENCIMIENTO DE RC se vence en 1147 días</v>
      </c>
      <c r="E46" s="293">
        <f t="shared" si="2"/>
        <v>1147</v>
      </c>
      <c r="F46" s="294">
        <f>Consolidado!AH51</f>
        <v>46846</v>
      </c>
      <c r="G46" s="295" t="str">
        <f t="shared" si="3"/>
        <v>EL VENCIMIENTO DE RC se vence en 721 días</v>
      </c>
      <c r="H46" s="293">
        <f t="shared" si="4"/>
        <v>721</v>
      </c>
      <c r="I46" s="296"/>
    </row>
    <row r="47" ht="12.75" customHeight="1">
      <c r="A47" s="289">
        <f>Consolidado!A52</f>
        <v>46</v>
      </c>
      <c r="B47" s="290" t="str">
        <f>Consolidado!D52</f>
        <v>Doctorado en Ciencias Humanas</v>
      </c>
      <c r="C47" s="291">
        <f>Consolidado!AJ52</f>
        <v>47535</v>
      </c>
      <c r="D47" s="292" t="str">
        <f t="shared" si="1"/>
        <v>EL VENCIMIENTO DE RC se vence en 1410 días</v>
      </c>
      <c r="E47" s="293">
        <f t="shared" si="2"/>
        <v>1410</v>
      </c>
      <c r="F47" s="294">
        <f>Consolidado!AH52</f>
        <v>47108</v>
      </c>
      <c r="G47" s="295" t="str">
        <f t="shared" si="3"/>
        <v>EL VENCIMIENTO DE RC se vence en 983 días</v>
      </c>
      <c r="H47" s="293">
        <f t="shared" si="4"/>
        <v>983</v>
      </c>
      <c r="I47" s="296"/>
    </row>
    <row r="48" ht="12.75" customHeight="1">
      <c r="A48" s="289">
        <f>Consolidado!A53</f>
        <v>47</v>
      </c>
      <c r="B48" s="290" t="str">
        <f>Consolidado!D53</f>
        <v>Licenciatura en Lenguas Modernas con Énfasis en Inglés y Francés</v>
      </c>
      <c r="C48" s="291">
        <f>Consolidado!AJ53</f>
        <v>47593</v>
      </c>
      <c r="D48" s="292" t="str">
        <f t="shared" si="1"/>
        <v>EL VENCIMIENTO DE RC se vence en 1468 días</v>
      </c>
      <c r="E48" s="293">
        <f t="shared" si="2"/>
        <v>1468</v>
      </c>
      <c r="F48" s="294">
        <f>Consolidado!AH53</f>
        <v>47169</v>
      </c>
      <c r="G48" s="295" t="str">
        <f t="shared" si="3"/>
        <v>EL VENCIMIENTO DE RC se vence en 1044 días</v>
      </c>
      <c r="H48" s="293">
        <f t="shared" si="4"/>
        <v>1044</v>
      </c>
      <c r="I48" s="296"/>
    </row>
    <row r="49" ht="12.75" customHeight="1">
      <c r="A49" s="289">
        <f>Consolidado!A54</f>
        <v>48</v>
      </c>
      <c r="B49" s="290" t="str">
        <f>Consolidado!D54</f>
        <v>Historia</v>
      </c>
      <c r="C49" s="291">
        <f>Consolidado!AJ54</f>
        <v>47593</v>
      </c>
      <c r="D49" s="292" t="str">
        <f t="shared" si="1"/>
        <v>EL VENCIMIENTO DE RC se vence en 1468 días</v>
      </c>
      <c r="E49" s="293">
        <f t="shared" si="2"/>
        <v>1468</v>
      </c>
      <c r="F49" s="294">
        <f>Consolidado!AH54</f>
        <v>47169</v>
      </c>
      <c r="G49" s="295" t="str">
        <f t="shared" si="3"/>
        <v>EL VENCIMIENTO DE RC se vence en 1044 días</v>
      </c>
      <c r="H49" s="293">
        <f t="shared" si="4"/>
        <v>1044</v>
      </c>
      <c r="I49" s="296"/>
    </row>
    <row r="50" ht="12.75" customHeight="1">
      <c r="A50" s="289">
        <f>Consolidado!A55</f>
        <v>49</v>
      </c>
      <c r="B50" s="290" t="str">
        <f>Consolidado!D55</f>
        <v>Maestría en Artes Integradas con el Ambiente </v>
      </c>
      <c r="C50" s="291">
        <f>Consolidado!AJ55</f>
        <v>47650</v>
      </c>
      <c r="D50" s="292" t="str">
        <f t="shared" si="1"/>
        <v>EL VENCIMIENTO DE RC se vence en 1525 días</v>
      </c>
      <c r="E50" s="293">
        <f t="shared" si="2"/>
        <v>1525</v>
      </c>
      <c r="F50" s="294">
        <f>Consolidado!AH55</f>
        <v>47224</v>
      </c>
      <c r="G50" s="295" t="str">
        <f t="shared" si="3"/>
        <v>EL VENCIMIENTO DE RC se vence en 1099 días</v>
      </c>
      <c r="H50" s="293">
        <f t="shared" si="4"/>
        <v>1099</v>
      </c>
      <c r="I50" s="296"/>
    </row>
    <row r="51" ht="12.75" customHeight="1">
      <c r="A51" s="289">
        <f>Consolidado!A56</f>
        <v>50</v>
      </c>
      <c r="B51" s="290" t="str">
        <f>Consolidado!D56</f>
        <v>Licenciatura en Literatura y Lengua Castellana</v>
      </c>
      <c r="C51" s="291">
        <f>Consolidado!AJ56</f>
        <v>47718</v>
      </c>
      <c r="D51" s="292" t="str">
        <f t="shared" si="1"/>
        <v>EL VENCIMIENTO DE RC se vence en 1593 días</v>
      </c>
      <c r="E51" s="293">
        <f t="shared" si="2"/>
        <v>1593</v>
      </c>
      <c r="F51" s="294">
        <f>Consolidado!AH56</f>
        <v>47292</v>
      </c>
      <c r="G51" s="295" t="str">
        <f t="shared" si="3"/>
        <v>EL VENCIMIENTO DE RC se vence en 1167 días</v>
      </c>
      <c r="H51" s="293">
        <f t="shared" si="4"/>
        <v>1167</v>
      </c>
      <c r="I51" s="296"/>
    </row>
    <row r="52" ht="12.75" customHeight="1">
      <c r="A52" s="289">
        <f>Consolidado!A57</f>
        <v>51</v>
      </c>
      <c r="B52" s="290" t="str">
        <f>Consolidado!D57</f>
        <v>Licenciatura en Etnoeducación y Ciencias Sociales</v>
      </c>
      <c r="C52" s="291">
        <f>Consolidado!AJ57</f>
        <v>48565</v>
      </c>
      <c r="D52" s="292" t="str">
        <f t="shared" si="1"/>
        <v>EL VENCIMIENTO DE RC se vence en 2440 días</v>
      </c>
      <c r="E52" s="293">
        <f t="shared" si="2"/>
        <v>2440</v>
      </c>
      <c r="F52" s="294">
        <f>Consolidado!AH57</f>
        <v>48138</v>
      </c>
      <c r="G52" s="295" t="str">
        <f t="shared" si="3"/>
        <v>EL VENCIMIENTO DE RC se vence en 2013 días</v>
      </c>
      <c r="H52" s="293">
        <f t="shared" si="4"/>
        <v>2013</v>
      </c>
      <c r="I52" s="296"/>
    </row>
    <row r="53" ht="12.75" customHeight="1">
      <c r="A53" s="289">
        <f>Consolidado!A58</f>
        <v>52</v>
      </c>
      <c r="B53" s="290" t="str">
        <f>Consolidado!D58</f>
        <v>Antropología </v>
      </c>
      <c r="C53" s="291">
        <f>Consolidado!AJ58</f>
        <v>48022</v>
      </c>
      <c r="D53" s="292" t="str">
        <f t="shared" si="1"/>
        <v>EL VENCIMIENTO DE RC se vence en 1897 días</v>
      </c>
      <c r="E53" s="293">
        <f t="shared" si="2"/>
        <v>1897</v>
      </c>
      <c r="F53" s="294">
        <f>Consolidado!AH58</f>
        <v>47596</v>
      </c>
      <c r="G53" s="295" t="str">
        <f t="shared" si="3"/>
        <v>EL VENCIMIENTO DE RC se vence en 1471 días</v>
      </c>
      <c r="H53" s="293">
        <f t="shared" si="4"/>
        <v>1471</v>
      </c>
      <c r="I53" s="296"/>
    </row>
    <row r="54" ht="12.75" customHeight="1">
      <c r="A54" s="289">
        <f>Consolidado!A59</f>
        <v>53</v>
      </c>
      <c r="B54" s="290" t="str">
        <f>Consolidado!D59</f>
        <v>Especialización en Educación Comunitaria</v>
      </c>
      <c r="C54" s="291" t="str">
        <f>Consolidado!AJ59</f>
        <v/>
      </c>
      <c r="D54" s="292" t="str">
        <f t="shared" si="1"/>
        <v>SIN FECHA</v>
      </c>
      <c r="E54" s="293">
        <f t="shared" si="2"/>
        <v>-46125</v>
      </c>
      <c r="F54" s="294" t="str">
        <f>Consolidado!AH59</f>
        <v/>
      </c>
      <c r="G54" s="295" t="str">
        <f t="shared" si="3"/>
        <v>SIN FECHA</v>
      </c>
      <c r="H54" s="293">
        <f t="shared" si="4"/>
        <v>-46125</v>
      </c>
      <c r="I54" s="296"/>
    </row>
    <row r="55" ht="12.75" customHeight="1">
      <c r="A55" s="289">
        <f>Consolidado!A60</f>
        <v>54</v>
      </c>
      <c r="B55" s="290" t="str">
        <f>Consolidado!D60</f>
        <v>Ingeniería Física</v>
      </c>
      <c r="C55" s="291">
        <f>Consolidado!AJ60</f>
        <v>48546</v>
      </c>
      <c r="D55" s="292" t="str">
        <f t="shared" si="1"/>
        <v>EL VENCIMIENTO DE RC se vence en 2421 días</v>
      </c>
      <c r="E55" s="293">
        <f t="shared" si="2"/>
        <v>2421</v>
      </c>
      <c r="F55" s="294">
        <f>Consolidado!AH60</f>
        <v>48119</v>
      </c>
      <c r="G55" s="295" t="str">
        <f t="shared" si="3"/>
        <v>EL VENCIMIENTO DE RC se vence en 1994 días</v>
      </c>
      <c r="H55" s="293">
        <f t="shared" si="4"/>
        <v>1994</v>
      </c>
      <c r="I55" s="296"/>
    </row>
    <row r="56" ht="12.75" customHeight="1">
      <c r="A56" s="289">
        <f>Consolidado!A61</f>
        <v>55</v>
      </c>
      <c r="B56" s="290" t="str">
        <f>Consolidado!D61</f>
        <v>Maestría en Educación Popular</v>
      </c>
      <c r="C56" s="291">
        <f>Consolidado!AJ61</f>
        <v>46716</v>
      </c>
      <c r="D56" s="292" t="str">
        <f t="shared" si="1"/>
        <v>EL VENCIMIENTO DE RC se vence en 591 días</v>
      </c>
      <c r="E56" s="293">
        <f t="shared" si="2"/>
        <v>591</v>
      </c>
      <c r="F56" s="294">
        <f>Consolidado!AH61</f>
        <v>46290</v>
      </c>
      <c r="G56" s="295" t="str">
        <f t="shared" si="3"/>
        <v>EL VENCIMIENTO DE RC se vence en 165 días</v>
      </c>
      <c r="H56" s="293">
        <f t="shared" si="4"/>
        <v>165</v>
      </c>
      <c r="I56" s="296"/>
    </row>
    <row r="57" ht="12.75" customHeight="1">
      <c r="A57" s="289">
        <f>Consolidado!A62</f>
        <v>56</v>
      </c>
      <c r="B57" s="290" t="str">
        <f>Consolidado!D62</f>
        <v>Maestría en Educación Popular (Santander de Quilichao)</v>
      </c>
      <c r="C57" s="291">
        <f>Consolidado!AJ62</f>
        <v>46802</v>
      </c>
      <c r="D57" s="292" t="str">
        <f t="shared" si="1"/>
        <v>EL VENCIMIENTO DE RC se vence en 677 días</v>
      </c>
      <c r="E57" s="293">
        <f t="shared" si="2"/>
        <v>677</v>
      </c>
      <c r="F57" s="294">
        <f>Consolidado!AH62</f>
        <v>46375</v>
      </c>
      <c r="G57" s="295" t="str">
        <f t="shared" si="3"/>
        <v>EL VENCIMIENTO DE RC se vence en 250 días</v>
      </c>
      <c r="H57" s="293">
        <f t="shared" si="4"/>
        <v>250</v>
      </c>
      <c r="I57" s="296" t="s">
        <v>793</v>
      </c>
    </row>
    <row r="58" ht="12.75" customHeight="1">
      <c r="A58" s="289">
        <f>Consolidado!A63</f>
        <v>57</v>
      </c>
      <c r="B58" s="290" t="str">
        <f>Consolidado!D63</f>
        <v>Maestría en Educación (MI)</v>
      </c>
      <c r="C58" s="291">
        <f>Consolidado!AJ63</f>
        <v>46842</v>
      </c>
      <c r="D58" s="292" t="str">
        <f t="shared" si="1"/>
        <v>EL VENCIMIENTO DE RC se vence en 717 días</v>
      </c>
      <c r="E58" s="293">
        <f t="shared" si="2"/>
        <v>717</v>
      </c>
      <c r="F58" s="294">
        <f>Consolidado!AH63</f>
        <v>46417</v>
      </c>
      <c r="G58" s="295" t="str">
        <f t="shared" si="3"/>
        <v>EL VENCIMIENTO DE RC se vence en 292 días</v>
      </c>
      <c r="H58" s="293">
        <f t="shared" si="4"/>
        <v>292</v>
      </c>
      <c r="I58" s="296"/>
    </row>
    <row r="59" ht="12.75" customHeight="1">
      <c r="A59" s="289">
        <f>Consolidado!A64</f>
        <v>58</v>
      </c>
      <c r="B59" s="290" t="str">
        <f>Consolidado!D64</f>
        <v>Biología</v>
      </c>
      <c r="C59" s="291">
        <f>Consolidado!AJ64</f>
        <v>46873</v>
      </c>
      <c r="D59" s="292" t="str">
        <f t="shared" si="1"/>
        <v>EL VENCIMIENTO DE RC se vence en 748 días</v>
      </c>
      <c r="E59" s="293">
        <f t="shared" si="2"/>
        <v>748</v>
      </c>
      <c r="F59" s="294">
        <f>Consolidado!AH64</f>
        <v>46446</v>
      </c>
      <c r="G59" s="295" t="str">
        <f t="shared" si="3"/>
        <v>EL VENCIMIENTO DE RC se vence en 321 días</v>
      </c>
      <c r="H59" s="293">
        <f t="shared" si="4"/>
        <v>321</v>
      </c>
      <c r="I59" s="296"/>
    </row>
    <row r="60" ht="12.75" customHeight="1">
      <c r="A60" s="289">
        <f>Consolidado!A65</f>
        <v>59</v>
      </c>
      <c r="B60" s="290" t="str">
        <f>Consolidado!D65</f>
        <v>Maestría en Ingeniería Física</v>
      </c>
      <c r="C60" s="291">
        <f>Consolidado!AJ65</f>
        <v>47006</v>
      </c>
      <c r="D60" s="292" t="str">
        <f t="shared" si="1"/>
        <v>EL VENCIMIENTO DE RC se vence en 881 días</v>
      </c>
      <c r="E60" s="293">
        <f t="shared" si="2"/>
        <v>881</v>
      </c>
      <c r="F60" s="294">
        <f>Consolidado!AH65</f>
        <v>46578</v>
      </c>
      <c r="G60" s="295" t="str">
        <f t="shared" si="3"/>
        <v>EL VENCIMIENTO DE RC se vence en 453 días</v>
      </c>
      <c r="H60" s="293">
        <f t="shared" si="4"/>
        <v>453</v>
      </c>
      <c r="I60" s="296"/>
    </row>
    <row r="61" ht="12.75" customHeight="1">
      <c r="A61" s="289">
        <f>Consolidado!A66</f>
        <v>60</v>
      </c>
      <c r="B61" s="290" t="str">
        <f>Consolidado!D66</f>
        <v>Maestría en Biología</v>
      </c>
      <c r="C61" s="291">
        <f>Consolidado!AJ66</f>
        <v>47012</v>
      </c>
      <c r="D61" s="292" t="str">
        <f t="shared" si="1"/>
        <v>EL VENCIMIENTO DE RC se vence en 887 días</v>
      </c>
      <c r="E61" s="293">
        <f t="shared" si="2"/>
        <v>887</v>
      </c>
      <c r="F61" s="294">
        <f>Consolidado!AH66</f>
        <v>46584</v>
      </c>
      <c r="G61" s="295" t="str">
        <f t="shared" si="3"/>
        <v>EL VENCIMIENTO DE RC se vence en 459 días</v>
      </c>
      <c r="H61" s="293">
        <f t="shared" si="4"/>
        <v>459</v>
      </c>
      <c r="I61" s="296"/>
    </row>
    <row r="62" ht="12.75" customHeight="1">
      <c r="A62" s="289">
        <f>Consolidado!A67</f>
        <v>61</v>
      </c>
      <c r="B62" s="290" t="str">
        <f>Consolidado!D67</f>
        <v>Maestría en Educación, Estudios del Cuerpo y la Motricidad</v>
      </c>
      <c r="C62" s="291">
        <f>Consolidado!AJ67</f>
        <v>47097</v>
      </c>
      <c r="D62" s="292" t="str">
        <f t="shared" si="1"/>
        <v>EL VENCIMIENTO DE RC se vence en 972 días</v>
      </c>
      <c r="E62" s="293">
        <f t="shared" si="2"/>
        <v>972</v>
      </c>
      <c r="F62" s="294">
        <f>Consolidado!AH67</f>
        <v>46670</v>
      </c>
      <c r="G62" s="295" t="str">
        <f t="shared" si="3"/>
        <v>EL VENCIMIENTO DE RC se vence en 545 días</v>
      </c>
      <c r="H62" s="293">
        <f t="shared" si="4"/>
        <v>545</v>
      </c>
      <c r="I62" s="296"/>
    </row>
    <row r="63" ht="12.75" customHeight="1">
      <c r="A63" s="289">
        <f>Consolidado!A68</f>
        <v>62</v>
      </c>
      <c r="B63" s="290" t="str">
        <f>Consolidado!D68</f>
        <v>Maestría en Educación Superior</v>
      </c>
      <c r="C63" s="291">
        <f>Consolidado!AJ68</f>
        <v>47110</v>
      </c>
      <c r="D63" s="292" t="str">
        <f t="shared" si="1"/>
        <v>EL VENCIMIENTO DE RC se vence en 985 días</v>
      </c>
      <c r="E63" s="293">
        <f t="shared" si="2"/>
        <v>985</v>
      </c>
      <c r="F63" s="294">
        <f>Consolidado!AH68</f>
        <v>46683</v>
      </c>
      <c r="G63" s="295" t="str">
        <f t="shared" si="3"/>
        <v>EL VENCIMIENTO DE RC se vence en 558 días</v>
      </c>
      <c r="H63" s="293">
        <f t="shared" si="4"/>
        <v>558</v>
      </c>
      <c r="I63" s="296"/>
    </row>
    <row r="64" ht="12.75" customHeight="1">
      <c r="A64" s="289">
        <f>Consolidado!A69</f>
        <v>63</v>
      </c>
      <c r="B64" s="290" t="str">
        <f>Consolidado!D69</f>
        <v>Licenciatura en Educación Física, Recreación y Deportes</v>
      </c>
      <c r="C64" s="291">
        <f>Consolidado!AJ69</f>
        <v>47178</v>
      </c>
      <c r="D64" s="292" t="str">
        <f t="shared" si="1"/>
        <v>EL VENCIMIENTO DE RC se vence en 1053 días</v>
      </c>
      <c r="E64" s="293">
        <f t="shared" si="2"/>
        <v>1053</v>
      </c>
      <c r="F64" s="294">
        <f>Consolidado!AH69</f>
        <v>46753</v>
      </c>
      <c r="G64" s="295" t="str">
        <f t="shared" si="3"/>
        <v>EL VENCIMIENTO DE RC se vence en 628 días</v>
      </c>
      <c r="H64" s="293">
        <f t="shared" si="4"/>
        <v>628</v>
      </c>
      <c r="I64" s="296"/>
    </row>
    <row r="65" ht="12.75" customHeight="1">
      <c r="A65" s="289">
        <f>Consolidado!A70</f>
        <v>64</v>
      </c>
      <c r="B65" s="290" t="str">
        <f>Consolidado!D70</f>
        <v>Licenciatura en Educación Artística</v>
      </c>
      <c r="C65" s="291">
        <f>Consolidado!AJ70</f>
        <v>47178</v>
      </c>
      <c r="D65" s="292" t="str">
        <f t="shared" si="1"/>
        <v>EL VENCIMIENTO DE RC se vence en 1053 días</v>
      </c>
      <c r="E65" s="293">
        <f t="shared" si="2"/>
        <v>1053</v>
      </c>
      <c r="F65" s="294">
        <f>Consolidado!AH70</f>
        <v>46753</v>
      </c>
      <c r="G65" s="295" t="str">
        <f t="shared" si="3"/>
        <v>EL VENCIMIENTO DE RC se vence en 628 días</v>
      </c>
      <c r="H65" s="293">
        <f t="shared" si="4"/>
        <v>628</v>
      </c>
      <c r="I65" s="296"/>
    </row>
    <row r="66" ht="12.75" customHeight="1">
      <c r="A66" s="289">
        <f>Consolidado!A71</f>
        <v>65</v>
      </c>
      <c r="B66" s="290" t="str">
        <f>Consolidado!D71</f>
        <v>Licenciatura en Ciencias Naturales y Educación Ambiental</v>
      </c>
      <c r="C66" s="291">
        <f>Consolidado!AJ71</f>
        <v>47517</v>
      </c>
      <c r="D66" s="292" t="str">
        <f t="shared" si="1"/>
        <v>EL VENCIMIENTO DE RC se vence en 1392 días</v>
      </c>
      <c r="E66" s="293">
        <f t="shared" si="2"/>
        <v>1392</v>
      </c>
      <c r="F66" s="294">
        <f>Consolidado!AH71</f>
        <v>47090</v>
      </c>
      <c r="G66" s="295" t="str">
        <f t="shared" si="3"/>
        <v>EL VENCIMIENTO DE RC se vence en 965 días</v>
      </c>
      <c r="H66" s="293">
        <f t="shared" si="4"/>
        <v>965</v>
      </c>
      <c r="I66" s="296"/>
    </row>
    <row r="67" ht="12.75" customHeight="1">
      <c r="A67" s="289">
        <f>Consolidado!A72</f>
        <v>66</v>
      </c>
      <c r="B67" s="290" t="str">
        <f>Consolidado!D72</f>
        <v>Licenciatura en Educación Básica Primaria</v>
      </c>
      <c r="C67" s="291">
        <f>Consolidado!AJ72</f>
        <v>47517</v>
      </c>
      <c r="D67" s="292" t="str">
        <f t="shared" si="1"/>
        <v>EL VENCIMIENTO DE RC se vence en 1392 días</v>
      </c>
      <c r="E67" s="293">
        <f t="shared" si="2"/>
        <v>1392</v>
      </c>
      <c r="F67" s="294">
        <f>Consolidado!AH72</f>
        <v>47090</v>
      </c>
      <c r="G67" s="295" t="str">
        <f t="shared" si="3"/>
        <v>EL VENCIMIENTO DE RC se vence en 965 días</v>
      </c>
      <c r="H67" s="293">
        <f t="shared" si="4"/>
        <v>965</v>
      </c>
      <c r="I67" s="296" t="s">
        <v>794</v>
      </c>
    </row>
    <row r="68" ht="12.75" customHeight="1">
      <c r="A68" s="289">
        <f>Consolidado!A73</f>
        <v>67</v>
      </c>
      <c r="B68" s="290" t="str">
        <f>Consolidado!D73</f>
        <v>Maestría en Deporte y Actividad Física </v>
      </c>
      <c r="C68" s="291">
        <f>Consolidado!AJ73</f>
        <v>47535</v>
      </c>
      <c r="D68" s="292" t="str">
        <f t="shared" si="1"/>
        <v>EL VENCIMIENTO DE RC se vence en 1410 días</v>
      </c>
      <c r="E68" s="293">
        <f t="shared" si="2"/>
        <v>1410</v>
      </c>
      <c r="F68" s="294">
        <f>Consolidado!AH73</f>
        <v>47108</v>
      </c>
      <c r="G68" s="295" t="str">
        <f t="shared" si="3"/>
        <v>EL VENCIMIENTO DE RC se vence en 983 días</v>
      </c>
      <c r="H68" s="293">
        <f t="shared" si="4"/>
        <v>983</v>
      </c>
      <c r="I68" s="296" t="s">
        <v>791</v>
      </c>
    </row>
    <row r="69" ht="12.75" customHeight="1">
      <c r="A69" s="289">
        <f>Consolidado!A74</f>
        <v>68</v>
      </c>
      <c r="B69" s="290" t="str">
        <f>Consolidado!D74</f>
        <v>Doctorado en Ciencias Matemáticas</v>
      </c>
      <c r="C69" s="291">
        <f>Consolidado!AJ74</f>
        <v>47594</v>
      </c>
      <c r="D69" s="292" t="str">
        <f t="shared" si="1"/>
        <v>EL VENCIMIENTO DE RC se vence en 1469 días</v>
      </c>
      <c r="E69" s="293">
        <f t="shared" si="2"/>
        <v>1469</v>
      </c>
      <c r="F69" s="294">
        <f>Consolidado!AH74</f>
        <v>47170</v>
      </c>
      <c r="G69" s="295" t="str">
        <f t="shared" si="3"/>
        <v>EL VENCIMIENTO DE RC se vence en 1045 días</v>
      </c>
      <c r="H69" s="293">
        <f t="shared" si="4"/>
        <v>1045</v>
      </c>
      <c r="I69" s="296"/>
    </row>
    <row r="70" ht="12.75" customHeight="1">
      <c r="A70" s="289">
        <f>Consolidado!A75</f>
        <v>69</v>
      </c>
      <c r="B70" s="290" t="str">
        <f>Consolidado!D75</f>
        <v>Matemáticas</v>
      </c>
      <c r="C70" s="291">
        <f>Consolidado!AJ75</f>
        <v>47611</v>
      </c>
      <c r="D70" s="292" t="str">
        <f t="shared" si="1"/>
        <v>EL VENCIMIENTO DE RC se vence en 1486 días</v>
      </c>
      <c r="E70" s="293">
        <f t="shared" si="2"/>
        <v>1486</v>
      </c>
      <c r="F70" s="294">
        <f>Consolidado!AH75</f>
        <v>47185</v>
      </c>
      <c r="G70" s="295" t="str">
        <f t="shared" si="3"/>
        <v>EL VENCIMIENTO DE RC se vence en 1060 días</v>
      </c>
      <c r="H70" s="293">
        <f t="shared" si="4"/>
        <v>1060</v>
      </c>
      <c r="I70" s="296"/>
    </row>
    <row r="71" ht="12.75" customHeight="1">
      <c r="A71" s="289">
        <f>Consolidado!A76</f>
        <v>70</v>
      </c>
      <c r="B71" s="290" t="str">
        <f>Consolidado!D76</f>
        <v>Química</v>
      </c>
      <c r="C71" s="291">
        <f>Consolidado!AJ76</f>
        <v>47632</v>
      </c>
      <c r="D71" s="292" t="str">
        <f t="shared" si="1"/>
        <v>EL VENCIMIENTO DE RC se vence en 1507 días</v>
      </c>
      <c r="E71" s="293">
        <f t="shared" si="2"/>
        <v>1507</v>
      </c>
      <c r="F71" s="294">
        <f>Consolidado!AH76</f>
        <v>47206</v>
      </c>
      <c r="G71" s="295" t="str">
        <f t="shared" si="3"/>
        <v>EL VENCIMIENTO DE RC se vence en 1081 días</v>
      </c>
      <c r="H71" s="293">
        <f t="shared" si="4"/>
        <v>1081</v>
      </c>
      <c r="I71" s="296"/>
    </row>
    <row r="72" ht="12.75" customHeight="1">
      <c r="A72" s="289">
        <f>Consolidado!A77</f>
        <v>71</v>
      </c>
      <c r="B72" s="290" t="str">
        <f>Consolidado!D77</f>
        <v>Especialización en Educación y Discapacidad </v>
      </c>
      <c r="C72" s="291">
        <f>Consolidado!AJ77</f>
        <v>47640</v>
      </c>
      <c r="D72" s="292" t="str">
        <f t="shared" si="1"/>
        <v>EL VENCIMIENTO DE RC se vence en 1515 días</v>
      </c>
      <c r="E72" s="293">
        <f t="shared" si="2"/>
        <v>1515</v>
      </c>
      <c r="F72" s="294">
        <f>Consolidado!AH77</f>
        <v>47214</v>
      </c>
      <c r="G72" s="295" t="str">
        <f t="shared" si="3"/>
        <v>EL VENCIMIENTO DE RC se vence en 1089 días</v>
      </c>
      <c r="H72" s="293">
        <f t="shared" si="4"/>
        <v>1089</v>
      </c>
      <c r="I72" s="296"/>
    </row>
    <row r="73" ht="12.75" customHeight="1">
      <c r="A73" s="289">
        <f>Consolidado!A78</f>
        <v>72</v>
      </c>
      <c r="B73" s="290" t="str">
        <f>Consolidado!D78</f>
        <v>Maestría en Ciencias Matemáticas</v>
      </c>
      <c r="C73" s="291">
        <f>Consolidado!AJ78</f>
        <v>47720</v>
      </c>
      <c r="D73" s="292" t="str">
        <f t="shared" si="1"/>
        <v>EL VENCIMIENTO DE RC se vence en 1595 días</v>
      </c>
      <c r="E73" s="293">
        <f t="shared" si="2"/>
        <v>1595</v>
      </c>
      <c r="F73" s="294">
        <f>Consolidado!AH78</f>
        <v>47294</v>
      </c>
      <c r="G73" s="295" t="str">
        <f t="shared" si="3"/>
        <v>EL VENCIMIENTO DE RC se vence en 1169 días</v>
      </c>
      <c r="H73" s="293">
        <f t="shared" si="4"/>
        <v>1169</v>
      </c>
      <c r="I73" s="296"/>
    </row>
    <row r="74" ht="12.75" customHeight="1">
      <c r="A74" s="289">
        <f>Consolidado!A79</f>
        <v>73</v>
      </c>
      <c r="B74" s="290" t="str">
        <f>Consolidado!D79</f>
        <v>Doctorado en Ciencias de la Educación</v>
      </c>
      <c r="C74" s="291">
        <f>Consolidado!AJ79</f>
        <v>47746</v>
      </c>
      <c r="D74" s="292" t="str">
        <f t="shared" si="1"/>
        <v>EL VENCIMIENTO DE RC se vence en 1621 días</v>
      </c>
      <c r="E74" s="293">
        <f t="shared" si="2"/>
        <v>1621</v>
      </c>
      <c r="F74" s="294">
        <f>Consolidado!AH79</f>
        <v>47319</v>
      </c>
      <c r="G74" s="295" t="str">
        <f t="shared" si="3"/>
        <v>EL VENCIMIENTO DE RC se vence en 1194 días</v>
      </c>
      <c r="H74" s="293">
        <f t="shared" si="4"/>
        <v>1194</v>
      </c>
      <c r="I74" s="296"/>
    </row>
    <row r="75" ht="12.75" customHeight="1">
      <c r="A75" s="289">
        <f>Consolidado!A80</f>
        <v>74</v>
      </c>
      <c r="B75" s="290" t="str">
        <f>Consolidado!D80</f>
        <v>Doctorado en Etnobiología y Estudios Bioculturales</v>
      </c>
      <c r="C75" s="291">
        <f>Consolidado!AJ80</f>
        <v>47753</v>
      </c>
      <c r="D75" s="292" t="str">
        <f t="shared" si="1"/>
        <v>EL VENCIMIENTO DE RC se vence en 1628 días</v>
      </c>
      <c r="E75" s="293">
        <f t="shared" si="2"/>
        <v>1628</v>
      </c>
      <c r="F75" s="294">
        <f>Consolidado!AH80</f>
        <v>47326</v>
      </c>
      <c r="G75" s="295" t="str">
        <f t="shared" si="3"/>
        <v>EL VENCIMIENTO DE RC se vence en 1201 días</v>
      </c>
      <c r="H75" s="293">
        <f t="shared" si="4"/>
        <v>1201</v>
      </c>
      <c r="I75" s="296"/>
    </row>
    <row r="76" ht="12.75" customHeight="1">
      <c r="A76" s="289">
        <f>Consolidado!A81</f>
        <v>75</v>
      </c>
      <c r="B76" s="290" t="str">
        <f>Consolidado!D81</f>
        <v>Doctorado en Ciencias Química</v>
      </c>
      <c r="C76" s="291">
        <f>Consolidado!AJ81</f>
        <v>47753</v>
      </c>
      <c r="D76" s="292" t="str">
        <f t="shared" si="1"/>
        <v>EL VENCIMIENTO DE RC se vence en 1628 días</v>
      </c>
      <c r="E76" s="293">
        <f t="shared" si="2"/>
        <v>1628</v>
      </c>
      <c r="F76" s="294">
        <f>Consolidado!AH81</f>
        <v>47326</v>
      </c>
      <c r="G76" s="295" t="str">
        <f t="shared" si="3"/>
        <v>EL VENCIMIENTO DE RC se vence en 1201 días</v>
      </c>
      <c r="H76" s="293">
        <f t="shared" si="4"/>
        <v>1201</v>
      </c>
      <c r="I76" s="296"/>
    </row>
    <row r="77" ht="12.75" customHeight="1">
      <c r="A77" s="289">
        <f>Consolidado!A82</f>
        <v>76</v>
      </c>
      <c r="B77" s="290" t="str">
        <f>Consolidado!D82</f>
        <v>Maestría en Recursos Hidrobiológicos Continentales</v>
      </c>
      <c r="C77" s="291">
        <f>Consolidado!AJ82</f>
        <v>47810</v>
      </c>
      <c r="D77" s="292" t="str">
        <f t="shared" si="1"/>
        <v>EL VENCIMIENTO DE RC se vence en 1685 días</v>
      </c>
      <c r="E77" s="293">
        <f t="shared" si="2"/>
        <v>1685</v>
      </c>
      <c r="F77" s="294">
        <f>Consolidado!AH82</f>
        <v>47384</v>
      </c>
      <c r="G77" s="295" t="str">
        <f t="shared" si="3"/>
        <v>EL VENCIMIENTO DE RC se vence en 1259 días</v>
      </c>
      <c r="H77" s="293">
        <f t="shared" si="4"/>
        <v>1259</v>
      </c>
      <c r="I77" s="296"/>
    </row>
    <row r="78" ht="12.75" customHeight="1">
      <c r="A78" s="289">
        <f>Consolidado!A83</f>
        <v>77</v>
      </c>
      <c r="B78" s="290" t="str">
        <f>Consolidado!D83</f>
        <v>Maestría en Ciencias Química</v>
      </c>
      <c r="C78" s="291">
        <f>Consolidado!AJ83</f>
        <v>47822</v>
      </c>
      <c r="D78" s="292" t="str">
        <f t="shared" si="1"/>
        <v>EL VENCIMIENTO DE RC se vence en 1697 días</v>
      </c>
      <c r="E78" s="293">
        <f t="shared" si="2"/>
        <v>1697</v>
      </c>
      <c r="F78" s="294">
        <f>Consolidado!AH83</f>
        <v>47396</v>
      </c>
      <c r="G78" s="295" t="str">
        <f t="shared" si="3"/>
        <v>EL VENCIMIENTO DE RC se vence en 1271 días</v>
      </c>
      <c r="H78" s="293">
        <f t="shared" si="4"/>
        <v>1271</v>
      </c>
      <c r="I78" s="296"/>
    </row>
    <row r="79" ht="12.75" customHeight="1">
      <c r="A79" s="289">
        <f>Consolidado!A84</f>
        <v>78</v>
      </c>
      <c r="B79" s="290" t="str">
        <f>Consolidado!D84</f>
        <v>Doctorado en Ciencias Ambientales</v>
      </c>
      <c r="C79" s="291">
        <f>Consolidado!AJ84</f>
        <v>47892</v>
      </c>
      <c r="D79" s="292" t="str">
        <f t="shared" si="1"/>
        <v>EL VENCIMIENTO DE RC se vence en 1767 días</v>
      </c>
      <c r="E79" s="293">
        <f t="shared" si="2"/>
        <v>1767</v>
      </c>
      <c r="F79" s="294">
        <f>Consolidado!AH84</f>
        <v>47465</v>
      </c>
      <c r="G79" s="295" t="str">
        <f t="shared" si="3"/>
        <v>EL VENCIMIENTO DE RC se vence en 1340 días</v>
      </c>
      <c r="H79" s="293">
        <f t="shared" si="4"/>
        <v>1340</v>
      </c>
      <c r="I79" s="296"/>
    </row>
    <row r="80" ht="12.75" customHeight="1">
      <c r="A80" s="289">
        <f>Consolidado!A85</f>
        <v>79</v>
      </c>
      <c r="B80" s="290" t="str">
        <f>Consolidado!D85</f>
        <v>Licenciatura en Matemáticas</v>
      </c>
      <c r="C80" s="291">
        <f>Consolidado!AJ85</f>
        <v>47907</v>
      </c>
      <c r="D80" s="292" t="str">
        <f t="shared" si="1"/>
        <v>EL VENCIMIENTO DE RC se vence en 1782 días</v>
      </c>
      <c r="E80" s="293">
        <f t="shared" si="2"/>
        <v>1782</v>
      </c>
      <c r="F80" s="294">
        <f>Consolidado!AH85</f>
        <v>47480</v>
      </c>
      <c r="G80" s="295" t="str">
        <f t="shared" si="3"/>
        <v>EL VENCIMIENTO DE RC se vence en 1355 días</v>
      </c>
      <c r="H80" s="293">
        <f t="shared" si="4"/>
        <v>1355</v>
      </c>
      <c r="I80" s="296"/>
    </row>
    <row r="81" ht="12.75" customHeight="1">
      <c r="A81" s="289">
        <f>Consolidado!A86</f>
        <v>80</v>
      </c>
      <c r="B81" s="290" t="str">
        <f>Consolidado!D86</f>
        <v>Maestría en Bioingeniería</v>
      </c>
      <c r="C81" s="291">
        <f>Consolidado!AJ86</f>
        <v>48525</v>
      </c>
      <c r="D81" s="292" t="str">
        <f t="shared" si="1"/>
        <v>EL VENCIMIENTO DE RC se vence en 2400 días</v>
      </c>
      <c r="E81" s="293">
        <f t="shared" si="2"/>
        <v>2400</v>
      </c>
      <c r="F81" s="294">
        <f>Consolidado!AH86</f>
        <v>48098</v>
      </c>
      <c r="G81" s="295" t="str">
        <f t="shared" si="3"/>
        <v>EL VENCIMIENTO DE RC se vence en 1973 días</v>
      </c>
      <c r="H81" s="293">
        <f t="shared" si="4"/>
        <v>1973</v>
      </c>
      <c r="I81" s="296"/>
    </row>
    <row r="82" ht="12.75" customHeight="1">
      <c r="A82" s="289">
        <f>Consolidado!A87</f>
        <v>81</v>
      </c>
      <c r="B82" s="290" t="str">
        <f>Consolidado!D87</f>
        <v>Derecho </v>
      </c>
      <c r="C82" s="291">
        <f>Consolidado!AJ87</f>
        <v>46261</v>
      </c>
      <c r="D82" s="292" t="str">
        <f t="shared" si="1"/>
        <v>EL VENCIMIENTO DE RC se vence en 136 días</v>
      </c>
      <c r="E82" s="293">
        <f t="shared" si="2"/>
        <v>136</v>
      </c>
      <c r="F82" s="294">
        <f>Consolidado!AH87</f>
        <v>45835</v>
      </c>
      <c r="G82" s="295" t="str">
        <f t="shared" si="3"/>
        <v>YA SE VENCIÓ</v>
      </c>
      <c r="H82" s="293">
        <f t="shared" si="4"/>
        <v>-290</v>
      </c>
      <c r="I82" s="296"/>
    </row>
    <row r="83" ht="12.75" customHeight="1">
      <c r="A83" s="289">
        <f>Consolidado!A88</f>
        <v>82</v>
      </c>
      <c r="B83" s="290" t="str">
        <f>Consolidado!D88</f>
        <v>Comunicación Social</v>
      </c>
      <c r="C83" s="291">
        <f>Consolidado!AJ88</f>
        <v>48648</v>
      </c>
      <c r="D83" s="292" t="str">
        <f t="shared" si="1"/>
        <v>EL VENCIMIENTO DE RC se vence en 2523 días</v>
      </c>
      <c r="E83" s="293">
        <f t="shared" si="2"/>
        <v>2523</v>
      </c>
      <c r="F83" s="294">
        <f>Consolidado!AH88</f>
        <v>48223</v>
      </c>
      <c r="G83" s="295" t="str">
        <f t="shared" si="3"/>
        <v>EL VENCIMIENTO DE RC se vence en 2098 días</v>
      </c>
      <c r="H83" s="293">
        <f t="shared" si="4"/>
        <v>2098</v>
      </c>
      <c r="I83" s="296"/>
    </row>
    <row r="84" ht="12.75" customHeight="1">
      <c r="A84" s="289">
        <f>Consolidado!A89</f>
        <v>83</v>
      </c>
      <c r="B84" s="290" t="str">
        <f>Consolidado!D89</f>
        <v>Derecho </v>
      </c>
      <c r="C84" s="291">
        <f>Consolidado!AJ89</f>
        <v>46262</v>
      </c>
      <c r="D84" s="292" t="str">
        <f t="shared" si="1"/>
        <v>EL VENCIMIENTO DE RC se vence en 137 días</v>
      </c>
      <c r="E84" s="293">
        <f t="shared" si="2"/>
        <v>137</v>
      </c>
      <c r="F84" s="294">
        <f>Consolidado!AH89</f>
        <v>45836</v>
      </c>
      <c r="G84" s="295" t="str">
        <f t="shared" si="3"/>
        <v>YA SE VENCIÓ</v>
      </c>
      <c r="H84" s="293">
        <f t="shared" si="4"/>
        <v>-289</v>
      </c>
      <c r="I84" s="296"/>
    </row>
    <row r="85" ht="12.75" customHeight="1">
      <c r="A85" s="289">
        <f>Consolidado!A90</f>
        <v>84</v>
      </c>
      <c r="B85" s="290" t="str">
        <f>Consolidado!D90</f>
        <v>Ciencia Política</v>
      </c>
      <c r="C85" s="291">
        <f>Consolidado!AJ90</f>
        <v>46906</v>
      </c>
      <c r="D85" s="292" t="str">
        <f t="shared" si="1"/>
        <v>EL VENCIMIENTO DE RC se vence en 781 días</v>
      </c>
      <c r="E85" s="293">
        <f t="shared" si="2"/>
        <v>781</v>
      </c>
      <c r="F85" s="294">
        <f>Consolidado!AH90</f>
        <v>46479</v>
      </c>
      <c r="G85" s="295" t="str">
        <f t="shared" si="3"/>
        <v>EL VENCIMIENTO DE RC se vence en 354 días</v>
      </c>
      <c r="H85" s="293">
        <f t="shared" si="4"/>
        <v>354</v>
      </c>
      <c r="I85" s="296"/>
    </row>
    <row r="86" ht="12.75" customHeight="1">
      <c r="A86" s="289">
        <f>Consolidado!A91</f>
        <v>85</v>
      </c>
      <c r="B86" s="290" t="str">
        <f>Consolidado!D91</f>
        <v>Especialización en Derecho de Familia </v>
      </c>
      <c r="C86" s="291">
        <f>Consolidado!AJ91</f>
        <v>46933</v>
      </c>
      <c r="D86" s="292" t="str">
        <f t="shared" si="1"/>
        <v>EL VENCIMIENTO DE RC se vence en 808 días</v>
      </c>
      <c r="E86" s="293">
        <f t="shared" si="2"/>
        <v>808</v>
      </c>
      <c r="F86" s="294">
        <f>Consolidado!AH91</f>
        <v>46506</v>
      </c>
      <c r="G86" s="295" t="str">
        <f t="shared" si="3"/>
        <v>EL VENCIMIENTO DE RC se vence en 381 días</v>
      </c>
      <c r="H86" s="293">
        <f t="shared" si="4"/>
        <v>381</v>
      </c>
      <c r="I86" s="296"/>
    </row>
    <row r="87" ht="12.75" customHeight="1">
      <c r="A87" s="289">
        <f>Consolidado!A92</f>
        <v>86</v>
      </c>
      <c r="B87" s="290" t="str">
        <f>Consolidado!D92</f>
        <v>Especialización en Gobierno y Políticas Públicas</v>
      </c>
      <c r="C87" s="291">
        <f>Consolidado!AJ92</f>
        <v>46971</v>
      </c>
      <c r="D87" s="292" t="str">
        <f t="shared" si="1"/>
        <v>EL VENCIMIENTO DE RC se vence en 846 días</v>
      </c>
      <c r="E87" s="293">
        <f t="shared" si="2"/>
        <v>846</v>
      </c>
      <c r="F87" s="294">
        <f>Consolidado!AH92</f>
        <v>46544</v>
      </c>
      <c r="G87" s="295" t="str">
        <f t="shared" si="3"/>
        <v>EL VENCIMIENTO DE RC se vence en 419 días</v>
      </c>
      <c r="H87" s="293">
        <f t="shared" si="4"/>
        <v>419</v>
      </c>
      <c r="I87" s="296"/>
    </row>
    <row r="88" ht="12.75" customHeight="1">
      <c r="A88" s="289">
        <f>Consolidado!A93</f>
        <v>87</v>
      </c>
      <c r="B88" s="290" t="str">
        <f>Consolidado!D93</f>
        <v>Especialización Derecho Procesal </v>
      </c>
      <c r="C88" s="291">
        <f>Consolidado!AJ93</f>
        <v>48546</v>
      </c>
      <c r="D88" s="292" t="str">
        <f t="shared" si="1"/>
        <v>EL VENCIMIENTO DE RC se vence en 2421 días</v>
      </c>
      <c r="E88" s="293">
        <f t="shared" si="2"/>
        <v>2421</v>
      </c>
      <c r="F88" s="294">
        <f>Consolidado!AH93</f>
        <v>48119</v>
      </c>
      <c r="G88" s="295" t="str">
        <f t="shared" si="3"/>
        <v>EL VENCIMIENTO DE RC se vence en 1994 días</v>
      </c>
      <c r="H88" s="293">
        <f t="shared" si="4"/>
        <v>1994</v>
      </c>
      <c r="I88" s="296"/>
    </row>
    <row r="89" ht="12.75" customHeight="1">
      <c r="A89" s="289">
        <f>Consolidado!A94</f>
        <v>88</v>
      </c>
      <c r="B89" s="290" t="str">
        <f>Consolidado!D94</f>
        <v>Especialización en Ingeniería de Vías Terrestres</v>
      </c>
      <c r="C89" s="291">
        <f>Consolidado!AJ94</f>
        <v>48670</v>
      </c>
      <c r="D89" s="292" t="str">
        <f t="shared" si="1"/>
        <v>EL VENCIMIENTO DE RC se vence en 2545 días</v>
      </c>
      <c r="E89" s="293">
        <f t="shared" si="2"/>
        <v>2545</v>
      </c>
      <c r="F89" s="294">
        <f>Consolidado!AH94</f>
        <v>48245</v>
      </c>
      <c r="G89" s="295" t="str">
        <f t="shared" si="3"/>
        <v>EL VENCIMIENTO DE RC se vence en 2120 días</v>
      </c>
      <c r="H89" s="293">
        <f t="shared" si="4"/>
        <v>2120</v>
      </c>
      <c r="I89" s="296"/>
    </row>
    <row r="90" ht="12.75" customHeight="1">
      <c r="A90" s="289">
        <f>Consolidado!A95</f>
        <v>89</v>
      </c>
      <c r="B90" s="290" t="str">
        <f>Consolidado!D95</f>
        <v>Maestría en Ingeniería Hidráulica e Hidrológica</v>
      </c>
      <c r="C90" s="291">
        <f>Consolidado!AJ95</f>
        <v>46373</v>
      </c>
      <c r="D90" s="292" t="str">
        <f t="shared" si="1"/>
        <v>EL VENCIMIENTO DE RC se vence en 248 días</v>
      </c>
      <c r="E90" s="293">
        <f t="shared" si="2"/>
        <v>248</v>
      </c>
      <c r="F90" s="294">
        <f>Consolidado!AH95</f>
        <v>45947</v>
      </c>
      <c r="G90" s="295" t="str">
        <f t="shared" si="3"/>
        <v>YA SE VENCIÓ</v>
      </c>
      <c r="H90" s="293">
        <f t="shared" si="4"/>
        <v>-178</v>
      </c>
      <c r="I90" s="296"/>
    </row>
    <row r="91" ht="12.75" customHeight="1">
      <c r="A91" s="289">
        <f>Consolidado!A96</f>
        <v>90</v>
      </c>
      <c r="B91" s="290" t="str">
        <f>Consolidado!D96</f>
        <v>Maestría en Ingeniería Ambiental</v>
      </c>
      <c r="C91" s="291">
        <f>Consolidado!AJ96</f>
        <v>46383</v>
      </c>
      <c r="D91" s="292" t="str">
        <f t="shared" si="1"/>
        <v>EL VENCIMIENTO DE RC se vence en 258 días</v>
      </c>
      <c r="E91" s="293">
        <f t="shared" si="2"/>
        <v>258</v>
      </c>
      <c r="F91" s="294">
        <f>Consolidado!AH96</f>
        <v>45957</v>
      </c>
      <c r="G91" s="295" t="str">
        <f t="shared" si="3"/>
        <v>YA SE VENCIÓ</v>
      </c>
      <c r="H91" s="293">
        <f t="shared" si="4"/>
        <v>-168</v>
      </c>
      <c r="I91" s="296"/>
    </row>
    <row r="92" ht="12.75" customHeight="1">
      <c r="A92" s="289">
        <f>Consolidado!A97</f>
        <v>91</v>
      </c>
      <c r="B92" s="290" t="str">
        <f>Consolidado!D97</f>
        <v>Ingeniería Ambiental</v>
      </c>
      <c r="C92" s="291">
        <f>Consolidado!AJ97</f>
        <v>46554</v>
      </c>
      <c r="D92" s="292" t="str">
        <f t="shared" si="1"/>
        <v>EL VENCIMIENTO DE RC se vence en 429 días</v>
      </c>
      <c r="E92" s="293">
        <f t="shared" si="2"/>
        <v>429</v>
      </c>
      <c r="F92" s="294">
        <f>Consolidado!AH97</f>
        <v>46128</v>
      </c>
      <c r="G92" s="295" t="str">
        <f t="shared" si="3"/>
        <v>EL VENCIMIENTO DE RC se vence en 3 días</v>
      </c>
      <c r="H92" s="293">
        <f t="shared" si="4"/>
        <v>3</v>
      </c>
      <c r="I92" s="296"/>
    </row>
    <row r="93" ht="12.75" customHeight="1">
      <c r="A93" s="289">
        <f>Consolidado!A98</f>
        <v>92</v>
      </c>
      <c r="B93" s="290" t="str">
        <f>Consolidado!D98</f>
        <v>Ingeniería en Inteligencia Artificial y Ciencia de Datos</v>
      </c>
      <c r="C93" s="291" t="str">
        <f>Consolidado!AJ98</f>
        <v/>
      </c>
      <c r="D93" s="292" t="str">
        <f t="shared" si="1"/>
        <v>SIN FECHA</v>
      </c>
      <c r="E93" s="293">
        <f t="shared" si="2"/>
        <v>-46125</v>
      </c>
      <c r="F93" s="294" t="str">
        <f>Consolidado!AH98</f>
        <v/>
      </c>
      <c r="G93" s="295" t="str">
        <f t="shared" si="3"/>
        <v>SIN FECHA</v>
      </c>
      <c r="H93" s="293">
        <f t="shared" si="4"/>
        <v>-46125</v>
      </c>
      <c r="I93" s="296"/>
    </row>
    <row r="94" ht="12.75" customHeight="1">
      <c r="A94" s="289">
        <f>Consolidado!A99</f>
        <v>93</v>
      </c>
      <c r="B94" s="290" t="str">
        <f>Consolidado!D99</f>
        <v>Especialización en Estructuras</v>
      </c>
      <c r="C94" s="291">
        <f>Consolidado!AJ99</f>
        <v>46603</v>
      </c>
      <c r="D94" s="292" t="str">
        <f t="shared" si="1"/>
        <v>EL VENCIMIENTO DE RC se vence en 478 días</v>
      </c>
      <c r="E94" s="293">
        <f t="shared" si="2"/>
        <v>478</v>
      </c>
      <c r="F94" s="294">
        <f>Consolidado!AH99</f>
        <v>46177</v>
      </c>
      <c r="G94" s="295" t="str">
        <f t="shared" si="3"/>
        <v>EL VENCIMIENTO DE RC se vence en 52 días</v>
      </c>
      <c r="H94" s="293">
        <f t="shared" si="4"/>
        <v>52</v>
      </c>
      <c r="I94" s="296"/>
    </row>
    <row r="95" ht="12.75" customHeight="1">
      <c r="A95" s="289">
        <f>Consolidado!A100</f>
        <v>94</v>
      </c>
      <c r="B95" s="290" t="str">
        <f>Consolidado!D100</f>
        <v>Ingeniería Civil</v>
      </c>
      <c r="C95" s="291">
        <f>Consolidado!AJ100</f>
        <v>46651</v>
      </c>
      <c r="D95" s="292" t="str">
        <f t="shared" si="1"/>
        <v>EL VENCIMIENTO DE RC se vence en 526 días</v>
      </c>
      <c r="E95" s="293">
        <f t="shared" si="2"/>
        <v>526</v>
      </c>
      <c r="F95" s="294">
        <f>Consolidado!AH100</f>
        <v>46224</v>
      </c>
      <c r="G95" s="295" t="str">
        <f t="shared" si="3"/>
        <v>EL VENCIMIENTO DE RC se vence en 99 días</v>
      </c>
      <c r="H95" s="293">
        <f t="shared" si="4"/>
        <v>99</v>
      </c>
      <c r="I95" s="296"/>
    </row>
    <row r="96" ht="12.75" customHeight="1">
      <c r="A96" s="289">
        <f>Consolidado!A101</f>
        <v>95</v>
      </c>
      <c r="B96" s="290" t="str">
        <f>Consolidado!D101</f>
        <v>Maestría en Ingeniería de la Construcción </v>
      </c>
      <c r="C96" s="291">
        <f>Consolidado!AJ101</f>
        <v>47037</v>
      </c>
      <c r="D96" s="292" t="str">
        <f t="shared" si="1"/>
        <v>EL VENCIMIENTO DE RC se vence en 912 días</v>
      </c>
      <c r="E96" s="293">
        <f t="shared" si="2"/>
        <v>912</v>
      </c>
      <c r="F96" s="294">
        <f>Consolidado!AH101</f>
        <v>46610</v>
      </c>
      <c r="G96" s="295" t="str">
        <f t="shared" si="3"/>
        <v>EL VENCIMIENTO DE RC se vence en 485 días</v>
      </c>
      <c r="H96" s="293">
        <f t="shared" si="4"/>
        <v>485</v>
      </c>
      <c r="I96" s="296"/>
    </row>
    <row r="97" ht="12.75" customHeight="1">
      <c r="A97" s="289">
        <f>Consolidado!A102</f>
        <v>96</v>
      </c>
      <c r="B97" s="290" t="str">
        <f>Consolidado!D102</f>
        <v>Maestría en Ingeniería de Pavimentos</v>
      </c>
      <c r="C97" s="291">
        <f>Consolidado!AJ102</f>
        <v>47037</v>
      </c>
      <c r="D97" s="292" t="str">
        <f t="shared" si="1"/>
        <v>EL VENCIMIENTO DE RC se vence en 912 días</v>
      </c>
      <c r="E97" s="293">
        <f t="shared" si="2"/>
        <v>912</v>
      </c>
      <c r="F97" s="294">
        <f>Consolidado!AH102</f>
        <v>46610</v>
      </c>
      <c r="G97" s="295" t="str">
        <f t="shared" si="3"/>
        <v>EL VENCIMIENTO DE RC se vence en 485 días</v>
      </c>
      <c r="H97" s="293">
        <f t="shared" si="4"/>
        <v>485</v>
      </c>
      <c r="I97" s="296"/>
    </row>
    <row r="98" ht="12.75" customHeight="1">
      <c r="A98" s="289">
        <f>Consolidado!A103</f>
        <v>97</v>
      </c>
      <c r="B98" s="290" t="str">
        <f>Consolidado!D103</f>
        <v>Geotecnología</v>
      </c>
      <c r="C98" s="291">
        <f>Consolidado!AJ103</f>
        <v>47039</v>
      </c>
      <c r="D98" s="292" t="str">
        <f t="shared" si="1"/>
        <v>EL VENCIMIENTO DE RC se vence en 914 días</v>
      </c>
      <c r="E98" s="293">
        <f t="shared" si="2"/>
        <v>914</v>
      </c>
      <c r="F98" s="294">
        <f>Consolidado!AH103</f>
        <v>46612</v>
      </c>
      <c r="G98" s="295" t="str">
        <f t="shared" si="3"/>
        <v>EL VENCIMIENTO DE RC se vence en 487 días</v>
      </c>
      <c r="H98" s="293">
        <f t="shared" si="4"/>
        <v>487</v>
      </c>
      <c r="I98" s="296"/>
    </row>
    <row r="99" ht="12.75" customHeight="1">
      <c r="A99" s="289">
        <f>Consolidado!A104</f>
        <v>98</v>
      </c>
      <c r="B99" s="290" t="str">
        <f>Consolidado!D104</f>
        <v>Maestría en Ingeniería de Vías Terrestres</v>
      </c>
      <c r="C99" s="291">
        <f>Consolidado!AJ104</f>
        <v>47097</v>
      </c>
      <c r="D99" s="292" t="str">
        <f t="shared" si="1"/>
        <v>EL VENCIMIENTO DE RC se vence en 972 días</v>
      </c>
      <c r="E99" s="293">
        <f t="shared" si="2"/>
        <v>972</v>
      </c>
      <c r="F99" s="294">
        <f>Consolidado!AH104</f>
        <v>46670</v>
      </c>
      <c r="G99" s="295" t="str">
        <f t="shared" si="3"/>
        <v>EL VENCIMIENTO DE RC se vence en 545 días</v>
      </c>
      <c r="H99" s="293">
        <f t="shared" si="4"/>
        <v>545</v>
      </c>
      <c r="I99" s="296"/>
    </row>
    <row r="100" ht="12.75" customHeight="1">
      <c r="A100" s="289">
        <f>Consolidado!A105</f>
        <v>99</v>
      </c>
      <c r="B100" s="290" t="str">
        <f>Consolidado!D105</f>
        <v>Maestría en Ingeniería de Vías Terrestres</v>
      </c>
      <c r="C100" s="291">
        <f>Consolidado!AJ105</f>
        <v>47097</v>
      </c>
      <c r="D100" s="292" t="str">
        <f t="shared" si="1"/>
        <v>EL VENCIMIENTO DE RC se vence en 972 días</v>
      </c>
      <c r="E100" s="293">
        <f t="shared" si="2"/>
        <v>972</v>
      </c>
      <c r="F100" s="294">
        <f>Consolidado!AH105</f>
        <v>46670</v>
      </c>
      <c r="G100" s="295" t="str">
        <f t="shared" si="3"/>
        <v>EL VENCIMIENTO DE RC se vence en 545 días</v>
      </c>
      <c r="H100" s="293">
        <f t="shared" si="4"/>
        <v>545</v>
      </c>
      <c r="I100" s="296"/>
    </row>
    <row r="101" ht="12.75" customHeight="1">
      <c r="A101" s="289">
        <f>Consolidado!A106</f>
        <v>100</v>
      </c>
      <c r="B101" s="290" t="str">
        <f>Consolidado!D106</f>
        <v>Maestría en Geomática</v>
      </c>
      <c r="C101" s="291">
        <f>Consolidado!AJ106</f>
        <v>47292</v>
      </c>
      <c r="D101" s="292" t="str">
        <f t="shared" si="1"/>
        <v>EL VENCIMIENTO DE RC se vence en 1167 días</v>
      </c>
      <c r="E101" s="293">
        <f t="shared" si="2"/>
        <v>1167</v>
      </c>
      <c r="F101" s="294">
        <f>Consolidado!AH106</f>
        <v>46866</v>
      </c>
      <c r="G101" s="295" t="str">
        <f t="shared" si="3"/>
        <v>EL VENCIMIENTO DE RC se vence en 741 días</v>
      </c>
      <c r="H101" s="293">
        <f t="shared" si="4"/>
        <v>741</v>
      </c>
      <c r="I101" s="296"/>
    </row>
    <row r="102" ht="12.75" customHeight="1">
      <c r="A102" s="289">
        <f>Consolidado!A107</f>
        <v>101</v>
      </c>
      <c r="B102" s="290" t="str">
        <f>Consolidado!D107</f>
        <v>Especialización en Ingeniería de Recursos Hídricos</v>
      </c>
      <c r="C102" s="291">
        <f>Consolidado!AJ107</f>
        <v>47535</v>
      </c>
      <c r="D102" s="292" t="str">
        <f t="shared" si="1"/>
        <v>EL VENCIMIENTO DE RC se vence en 1410 días</v>
      </c>
      <c r="E102" s="293">
        <f t="shared" si="2"/>
        <v>1410</v>
      </c>
      <c r="F102" s="294">
        <f>Consolidado!AH107</f>
        <v>47108</v>
      </c>
      <c r="G102" s="295" t="str">
        <f t="shared" si="3"/>
        <v>EL VENCIMIENTO DE RC se vence en 983 días</v>
      </c>
      <c r="H102" s="293">
        <f t="shared" si="4"/>
        <v>983</v>
      </c>
      <c r="I102" s="296"/>
    </row>
    <row r="103" ht="12.75" customHeight="1">
      <c r="A103" s="289">
        <f>Consolidado!A108</f>
        <v>102</v>
      </c>
      <c r="B103" s="290" t="str">
        <f>Consolidado!D108</f>
        <v>Ingeniería Civil</v>
      </c>
      <c r="C103" s="291">
        <f>Consolidado!AJ108</f>
        <v>47628</v>
      </c>
      <c r="D103" s="292" t="str">
        <f t="shared" si="1"/>
        <v>EL VENCIMIENTO DE RC se vence en 1503 días</v>
      </c>
      <c r="E103" s="293">
        <f t="shared" si="2"/>
        <v>1503</v>
      </c>
      <c r="F103" s="294">
        <f>Consolidado!AH108</f>
        <v>47202</v>
      </c>
      <c r="G103" s="295" t="str">
        <f t="shared" si="3"/>
        <v>EL VENCIMIENTO DE RC se vence en 1077 días</v>
      </c>
      <c r="H103" s="293">
        <f t="shared" si="4"/>
        <v>1077</v>
      </c>
      <c r="I103" s="296"/>
    </row>
    <row r="104" ht="12.75" customHeight="1">
      <c r="A104" s="289">
        <f>Consolidado!A109</f>
        <v>103</v>
      </c>
      <c r="B104" s="290" t="str">
        <f>Consolidado!D109</f>
        <v>Arquitectura</v>
      </c>
      <c r="C104" s="291">
        <f>Consolidado!AJ109</f>
        <v>47753</v>
      </c>
      <c r="D104" s="292" t="str">
        <f t="shared" si="1"/>
        <v>EL VENCIMIENTO DE RC se vence en 1628 días</v>
      </c>
      <c r="E104" s="293">
        <f t="shared" si="2"/>
        <v>1628</v>
      </c>
      <c r="F104" s="294">
        <f>Consolidado!AH109</f>
        <v>47326</v>
      </c>
      <c r="G104" s="295" t="str">
        <f t="shared" si="3"/>
        <v>EL VENCIMIENTO DE RC se vence en 1201 días</v>
      </c>
      <c r="H104" s="293">
        <f t="shared" si="4"/>
        <v>1201</v>
      </c>
      <c r="I104" s="296"/>
    </row>
    <row r="105" ht="12.75" customHeight="1">
      <c r="A105" s="289">
        <f>Consolidado!A110</f>
        <v>104</v>
      </c>
      <c r="B105" s="290" t="str">
        <f>Consolidado!D110</f>
        <v>Especialización en Redes y Servicios Telemáticos</v>
      </c>
      <c r="C105" s="291">
        <f>Consolidado!AJ110</f>
        <v>46262</v>
      </c>
      <c r="D105" s="292" t="str">
        <f t="shared" si="1"/>
        <v>EL VENCIMIENTO DE RC se vence en 137 días</v>
      </c>
      <c r="E105" s="293">
        <f t="shared" si="2"/>
        <v>137</v>
      </c>
      <c r="F105" s="294">
        <f>Consolidado!AH110</f>
        <v>45836</v>
      </c>
      <c r="G105" s="295" t="str">
        <f t="shared" si="3"/>
        <v>YA SE VENCIÓ</v>
      </c>
      <c r="H105" s="293">
        <f t="shared" si="4"/>
        <v>-289</v>
      </c>
      <c r="I105" s="296"/>
    </row>
    <row r="106" ht="12.75" customHeight="1">
      <c r="A106" s="289">
        <f>Consolidado!A111</f>
        <v>105</v>
      </c>
      <c r="B106" s="290" t="str">
        <f>Consolidado!D111</f>
        <v>Especialización en Redes y Servicios Telemáticos</v>
      </c>
      <c r="C106" s="291">
        <f>Consolidado!AJ111</f>
        <v>46366</v>
      </c>
      <c r="D106" s="292" t="str">
        <f t="shared" si="1"/>
        <v>EL VENCIMIENTO DE RC se vence en 241 días</v>
      </c>
      <c r="E106" s="293">
        <f t="shared" si="2"/>
        <v>241</v>
      </c>
      <c r="F106" s="294">
        <f>Consolidado!AH111</f>
        <v>45940</v>
      </c>
      <c r="G106" s="295" t="str">
        <f t="shared" si="3"/>
        <v>YA SE VENCIÓ</v>
      </c>
      <c r="H106" s="293">
        <f t="shared" si="4"/>
        <v>-185</v>
      </c>
      <c r="I106" s="296"/>
    </row>
    <row r="107" ht="12.75" customHeight="1">
      <c r="A107" s="289">
        <f>Consolidado!A112</f>
        <v>106</v>
      </c>
      <c r="B107" s="290" t="str">
        <f>Consolidado!D112</f>
        <v>Ingeniería Electrónica y Telecomunicaciones</v>
      </c>
      <c r="C107" s="291">
        <f>Consolidado!AJ112</f>
        <v>46489</v>
      </c>
      <c r="D107" s="292" t="str">
        <f t="shared" si="1"/>
        <v>EL VENCIMIENTO DE RC se vence en 364 días</v>
      </c>
      <c r="E107" s="293">
        <f t="shared" si="2"/>
        <v>364</v>
      </c>
      <c r="F107" s="294">
        <f>Consolidado!AH112</f>
        <v>46065</v>
      </c>
      <c r="G107" s="295" t="str">
        <f t="shared" si="3"/>
        <v>YA SE VENCIÓ</v>
      </c>
      <c r="H107" s="293">
        <f t="shared" si="4"/>
        <v>-60</v>
      </c>
      <c r="I107" s="296"/>
    </row>
    <row r="108" ht="12.75" customHeight="1">
      <c r="A108" s="289">
        <f>Consolidado!A113</f>
        <v>107</v>
      </c>
      <c r="B108" s="290" t="str">
        <f>Consolidado!D113</f>
        <v>Maestría en Ingeniería Telemática</v>
      </c>
      <c r="C108" s="291">
        <f>Consolidado!AJ113</f>
        <v>46592</v>
      </c>
      <c r="D108" s="292" t="str">
        <f t="shared" si="1"/>
        <v>EL VENCIMIENTO DE RC se vence en 467 días</v>
      </c>
      <c r="E108" s="293">
        <f t="shared" si="2"/>
        <v>467</v>
      </c>
      <c r="F108" s="294">
        <f>Consolidado!AH113</f>
        <v>46166</v>
      </c>
      <c r="G108" s="295" t="str">
        <f t="shared" si="3"/>
        <v>EL VENCIMIENTO DE RC se vence en 41 días</v>
      </c>
      <c r="H108" s="293">
        <f t="shared" si="4"/>
        <v>41</v>
      </c>
      <c r="I108" s="296"/>
    </row>
    <row r="109" ht="12.75" customHeight="1">
      <c r="A109" s="289">
        <f>Consolidado!A114</f>
        <v>108</v>
      </c>
      <c r="B109" s="290" t="str">
        <f>Consolidado!D114</f>
        <v>Doctorado en Ciencias de la Computación</v>
      </c>
      <c r="C109" s="291">
        <f>Consolidado!AJ114</f>
        <v>46605</v>
      </c>
      <c r="D109" s="292" t="str">
        <f t="shared" si="1"/>
        <v>EL VENCIMIENTO DE RC se vence en 480 días</v>
      </c>
      <c r="E109" s="293">
        <f t="shared" si="2"/>
        <v>480</v>
      </c>
      <c r="F109" s="294">
        <f>Consolidado!AH114</f>
        <v>46179</v>
      </c>
      <c r="G109" s="295" t="str">
        <f t="shared" si="3"/>
        <v>EL VENCIMIENTO DE RC se vence en 54 días</v>
      </c>
      <c r="H109" s="293">
        <f t="shared" si="4"/>
        <v>54</v>
      </c>
      <c r="I109" s="296"/>
    </row>
    <row r="110" ht="12.75" customHeight="1">
      <c r="A110" s="289">
        <f>Consolidado!A115</f>
        <v>109</v>
      </c>
      <c r="B110" s="290" t="str">
        <f>Consolidado!D115</f>
        <v>Tecnología en Telemática</v>
      </c>
      <c r="C110" s="291">
        <f>Consolidado!AJ115</f>
        <v>46585</v>
      </c>
      <c r="D110" s="292" t="str">
        <f t="shared" si="1"/>
        <v>EL VENCIMIENTO DE RC se vence en 460 días</v>
      </c>
      <c r="E110" s="293">
        <f t="shared" si="2"/>
        <v>460</v>
      </c>
      <c r="F110" s="294">
        <f>Consolidado!AH115</f>
        <v>46159</v>
      </c>
      <c r="G110" s="295" t="str">
        <f t="shared" si="3"/>
        <v>EL VENCIMIENTO DE RC se vence en 34 días</v>
      </c>
      <c r="H110" s="293">
        <f t="shared" si="4"/>
        <v>34</v>
      </c>
      <c r="I110" s="296"/>
    </row>
    <row r="111" ht="12.75" customHeight="1">
      <c r="A111" s="289">
        <f>Consolidado!A116</f>
        <v>110</v>
      </c>
      <c r="B111" s="290" t="str">
        <f>Consolidado!D116</f>
        <v>Ingeniería de Sistemas</v>
      </c>
      <c r="C111" s="291">
        <f>Consolidado!AJ116</f>
        <v>46817</v>
      </c>
      <c r="D111" s="292" t="str">
        <f t="shared" si="1"/>
        <v>EL VENCIMIENTO DE RC se vence en 692 días</v>
      </c>
      <c r="E111" s="293">
        <f t="shared" si="2"/>
        <v>692</v>
      </c>
      <c r="F111" s="294">
        <f>Consolidado!AH116</f>
        <v>46392</v>
      </c>
      <c r="G111" s="295" t="str">
        <f t="shared" si="3"/>
        <v>EL VENCIMIENTO DE RC se vence en 267 días</v>
      </c>
      <c r="H111" s="293">
        <f t="shared" si="4"/>
        <v>267</v>
      </c>
      <c r="I111" s="296"/>
    </row>
    <row r="112" ht="12.75" customHeight="1">
      <c r="A112" s="289">
        <f>Consolidado!A117</f>
        <v>111</v>
      </c>
      <c r="B112" s="290" t="str">
        <f>Consolidado!D117</f>
        <v>Maestría en Electrónica y Telecomunicaciones</v>
      </c>
      <c r="C112" s="291">
        <f>Consolidado!AJ117</f>
        <v>46947</v>
      </c>
      <c r="D112" s="292" t="str">
        <f t="shared" si="1"/>
        <v>EL VENCIMIENTO DE RC se vence en 822 días</v>
      </c>
      <c r="E112" s="293">
        <f t="shared" si="2"/>
        <v>822</v>
      </c>
      <c r="F112" s="294">
        <f>Consolidado!AH117</f>
        <v>46520</v>
      </c>
      <c r="G112" s="295" t="str">
        <f t="shared" si="3"/>
        <v>EL VENCIMIENTO DE RC se vence en 395 días</v>
      </c>
      <c r="H112" s="293">
        <f t="shared" si="4"/>
        <v>395</v>
      </c>
      <c r="I112" s="296"/>
    </row>
    <row r="113" ht="12.75" customHeight="1">
      <c r="A113" s="289">
        <f>Consolidado!A118</f>
        <v>112</v>
      </c>
      <c r="B113" s="290" t="str">
        <f>Consolidado!D118</f>
        <v>Doctorado en Ingeniería Telemática</v>
      </c>
      <c r="C113" s="291">
        <f>Consolidado!AJ118</f>
        <v>47004</v>
      </c>
      <c r="D113" s="292" t="str">
        <f t="shared" si="1"/>
        <v>EL VENCIMIENTO DE RC se vence en 879 días</v>
      </c>
      <c r="E113" s="293">
        <f t="shared" si="2"/>
        <v>879</v>
      </c>
      <c r="F113" s="294">
        <f>Consolidado!AH118</f>
        <v>46576</v>
      </c>
      <c r="G113" s="297" t="str">
        <f t="shared" si="3"/>
        <v>EL VENCIMIENTO DE RC se vence en 451 días</v>
      </c>
      <c r="H113" s="293">
        <f t="shared" si="4"/>
        <v>451</v>
      </c>
      <c r="I113" s="296"/>
    </row>
    <row r="114" ht="12.75" customHeight="1">
      <c r="A114" s="289">
        <f>Consolidado!A119</f>
        <v>113</v>
      </c>
      <c r="B114" s="290" t="str">
        <f>Consolidado!D119</f>
        <v>Maestría en Telecomunicaciones</v>
      </c>
      <c r="C114" s="291">
        <f>Consolidado!AJ119</f>
        <v>47037</v>
      </c>
      <c r="D114" s="292" t="str">
        <f t="shared" si="1"/>
        <v>EL VENCIMIENTO DE RC se vence en 912 días</v>
      </c>
      <c r="E114" s="293">
        <f t="shared" si="2"/>
        <v>912</v>
      </c>
      <c r="F114" s="294">
        <f>Consolidado!AH119</f>
        <v>46610</v>
      </c>
      <c r="G114" s="295" t="str">
        <f t="shared" si="3"/>
        <v>EL VENCIMIENTO DE RC se vence en 485 días</v>
      </c>
      <c r="H114" s="293">
        <f t="shared" si="4"/>
        <v>485</v>
      </c>
      <c r="I114" s="296"/>
    </row>
    <row r="115" ht="12.75" customHeight="1">
      <c r="A115" s="289">
        <f>Consolidado!A120</f>
        <v>114</v>
      </c>
      <c r="B115" s="290" t="str">
        <f>Consolidado!D120</f>
        <v>Especialización en TIC para la Innovación Educativa</v>
      </c>
      <c r="C115" s="291">
        <f>Consolidado!AJ120</f>
        <v>47292</v>
      </c>
      <c r="D115" s="292" t="str">
        <f t="shared" si="1"/>
        <v>EL VENCIMIENTO DE RC se vence en 1167 días</v>
      </c>
      <c r="E115" s="293">
        <f t="shared" si="2"/>
        <v>1167</v>
      </c>
      <c r="F115" s="294">
        <f>Consolidado!AH120</f>
        <v>46866</v>
      </c>
      <c r="G115" s="295" t="str">
        <f t="shared" si="3"/>
        <v>EL VENCIMIENTO DE RC se vence en 741 días</v>
      </c>
      <c r="H115" s="293">
        <f t="shared" si="4"/>
        <v>741</v>
      </c>
      <c r="I115" s="296"/>
    </row>
    <row r="116" ht="12.75" customHeight="1">
      <c r="A116" s="289">
        <f>Consolidado!A121</f>
        <v>115</v>
      </c>
      <c r="B116" s="290" t="str">
        <f>Consolidado!D121</f>
        <v>Maestría en Automática</v>
      </c>
      <c r="C116" s="291">
        <f>Consolidado!AJ121</f>
        <v>47787</v>
      </c>
      <c r="D116" s="292" t="str">
        <f t="shared" si="1"/>
        <v>EL VENCIMIENTO DE RC se vence en 1662 días</v>
      </c>
      <c r="E116" s="293">
        <f t="shared" si="2"/>
        <v>1662</v>
      </c>
      <c r="F116" s="294">
        <f>Consolidado!AH121</f>
        <v>47361</v>
      </c>
      <c r="G116" s="297" t="str">
        <f t="shared" si="3"/>
        <v>EL VENCIMIENTO DE RC se vence en 1236 días</v>
      </c>
      <c r="H116" s="293">
        <f t="shared" si="4"/>
        <v>1236</v>
      </c>
      <c r="I116" s="296"/>
    </row>
    <row r="117" ht="12.75" customHeight="1">
      <c r="A117" s="289">
        <f>Consolidado!A122</f>
        <v>116</v>
      </c>
      <c r="B117" s="290" t="str">
        <f>Consolidado!D122</f>
        <v>Doctorado en Ciencias de la Electrónica</v>
      </c>
      <c r="C117" s="291">
        <f>Consolidado!AJ122</f>
        <v>47787</v>
      </c>
      <c r="D117" s="292" t="str">
        <f t="shared" si="1"/>
        <v>EL VENCIMIENTO DE RC se vence en 1662 días</v>
      </c>
      <c r="E117" s="293">
        <f t="shared" si="2"/>
        <v>1662</v>
      </c>
      <c r="F117" s="294">
        <f>Consolidado!AH122</f>
        <v>47361</v>
      </c>
      <c r="G117" s="297" t="str">
        <f t="shared" si="3"/>
        <v>EL VENCIMIENTO DE RC se vence en 1236 días</v>
      </c>
      <c r="H117" s="293">
        <f t="shared" si="4"/>
        <v>1236</v>
      </c>
      <c r="I117" s="153"/>
    </row>
    <row r="118" ht="12.75" customHeight="1">
      <c r="A118" s="289">
        <f>Consolidado!A123</f>
        <v>117</v>
      </c>
      <c r="B118" s="290" t="str">
        <f>Consolidado!D123</f>
        <v>Maestría en Computación</v>
      </c>
      <c r="C118" s="291">
        <f>Consolidado!AJ123</f>
        <v>47789</v>
      </c>
      <c r="D118" s="292" t="str">
        <f t="shared" si="1"/>
        <v>EL VENCIMIENTO DE RC se vence en 1664 días</v>
      </c>
      <c r="E118" s="293">
        <f t="shared" si="2"/>
        <v>1664</v>
      </c>
      <c r="F118" s="294">
        <f>Consolidado!AH123</f>
        <v>47363</v>
      </c>
      <c r="G118" s="297" t="str">
        <f t="shared" si="3"/>
        <v>EL VENCIMIENTO DE RC se vence en 1238 días</v>
      </c>
      <c r="H118" s="293">
        <f t="shared" si="4"/>
        <v>1238</v>
      </c>
      <c r="I118" s="153"/>
    </row>
    <row r="119" ht="12.75" customHeight="1">
      <c r="A119" s="289">
        <f>Consolidado!A124</f>
        <v>118</v>
      </c>
      <c r="B119" s="290" t="str">
        <f>Consolidado!D124</f>
        <v>Ingeniería en Automática Industrial</v>
      </c>
      <c r="C119" s="291">
        <f>Consolidado!AJ124</f>
        <v>48051</v>
      </c>
      <c r="D119" s="292" t="str">
        <f t="shared" si="1"/>
        <v>EL VENCIMIENTO DE RC se vence en 1926 días</v>
      </c>
      <c r="E119" s="293">
        <f t="shared" si="2"/>
        <v>1926</v>
      </c>
      <c r="F119" s="294">
        <f>Consolidado!AH124</f>
        <v>47625</v>
      </c>
      <c r="G119" s="297" t="str">
        <f t="shared" si="3"/>
        <v>EL VENCIMIENTO DE RC se vence en 1500 días</v>
      </c>
      <c r="H119" s="293">
        <f t="shared" si="4"/>
        <v>1500</v>
      </c>
      <c r="I119" s="153"/>
    </row>
    <row r="120" ht="12.75" customHeight="1">
      <c r="I120" s="153"/>
    </row>
    <row r="121" ht="12.75" customHeight="1">
      <c r="I121" s="153"/>
    </row>
    <row r="122" ht="12.75" customHeight="1">
      <c r="I122" s="153"/>
    </row>
    <row r="123" ht="12.75" customHeight="1">
      <c r="I123" s="153"/>
    </row>
    <row r="124" ht="12.75" customHeight="1">
      <c r="I124" s="153"/>
    </row>
    <row r="125" ht="12.75" customHeight="1">
      <c r="I125" s="153"/>
    </row>
    <row r="126" ht="12.75" customHeight="1">
      <c r="I126" s="153"/>
    </row>
    <row r="127" ht="12.75" customHeight="1">
      <c r="I127" s="153"/>
    </row>
    <row r="128" ht="12.75" customHeight="1">
      <c r="I128" s="153"/>
    </row>
    <row r="129" ht="12.75" customHeight="1">
      <c r="I129" s="153"/>
    </row>
    <row r="130" ht="12.75" customHeight="1">
      <c r="I130" s="153"/>
    </row>
    <row r="131" ht="12.75" customHeight="1">
      <c r="I131" s="153"/>
    </row>
    <row r="132" ht="12.75" customHeight="1">
      <c r="I132" s="153"/>
    </row>
    <row r="133" ht="12.75" customHeight="1">
      <c r="I133" s="153"/>
    </row>
    <row r="134" ht="12.75" customHeight="1">
      <c r="I134" s="153"/>
    </row>
    <row r="135" ht="12.75" customHeight="1">
      <c r="I135" s="153"/>
    </row>
    <row r="136" ht="12.75" customHeight="1">
      <c r="I136" s="153"/>
    </row>
    <row r="137" ht="12.75" customHeight="1">
      <c r="I137" s="153"/>
    </row>
    <row r="138" ht="12.75" customHeight="1">
      <c r="I138" s="153"/>
    </row>
    <row r="139" ht="12.75" customHeight="1">
      <c r="I139" s="153"/>
    </row>
    <row r="140" ht="12.75" customHeight="1">
      <c r="I140" s="153"/>
    </row>
    <row r="141" ht="12.75" customHeight="1">
      <c r="I141" s="153"/>
    </row>
    <row r="142" ht="12.75" customHeight="1">
      <c r="I142" s="153"/>
    </row>
    <row r="143" ht="12.75" customHeight="1">
      <c r="I143" s="153"/>
    </row>
    <row r="144" ht="12.75" customHeight="1">
      <c r="I144" s="153"/>
    </row>
    <row r="145" ht="12.75" customHeight="1">
      <c r="I145" s="153"/>
    </row>
    <row r="146" ht="12.75" customHeight="1">
      <c r="I146" s="153"/>
    </row>
    <row r="147" ht="12.75" customHeight="1">
      <c r="I147" s="153"/>
    </row>
    <row r="148" ht="12.75" customHeight="1">
      <c r="I148" s="153"/>
    </row>
    <row r="149" ht="12.75" customHeight="1">
      <c r="I149" s="153"/>
    </row>
    <row r="150" ht="12.75" customHeight="1">
      <c r="I150" s="153"/>
    </row>
    <row r="151" ht="12.75" customHeight="1">
      <c r="I151" s="153"/>
    </row>
    <row r="152" ht="12.75" customHeight="1">
      <c r="I152" s="153"/>
    </row>
    <row r="153" ht="12.75" customHeight="1">
      <c r="I153" s="153"/>
    </row>
    <row r="154" ht="12.75" customHeight="1">
      <c r="I154" s="153"/>
    </row>
    <row r="155" ht="12.75" customHeight="1">
      <c r="I155" s="153"/>
    </row>
    <row r="156" ht="12.75" customHeight="1">
      <c r="I156" s="153"/>
    </row>
    <row r="157" ht="12.75" customHeight="1">
      <c r="I157" s="153"/>
    </row>
    <row r="158" ht="12.75" customHeight="1">
      <c r="I158" s="153"/>
    </row>
    <row r="159" ht="12.75" customHeight="1">
      <c r="I159" s="153"/>
    </row>
    <row r="160" ht="12.75" customHeight="1">
      <c r="I160" s="153"/>
    </row>
    <row r="161" ht="12.75" customHeight="1">
      <c r="I161" s="153"/>
    </row>
    <row r="162" ht="12.75" customHeight="1">
      <c r="I162" s="153"/>
    </row>
    <row r="163" ht="12.75" customHeight="1">
      <c r="I163" s="153"/>
    </row>
    <row r="164" ht="12.75" customHeight="1">
      <c r="I164" s="153"/>
    </row>
    <row r="165" ht="12.75" customHeight="1">
      <c r="I165" s="153"/>
    </row>
    <row r="166" ht="12.75" customHeight="1">
      <c r="I166" s="153"/>
    </row>
    <row r="167" ht="12.75" customHeight="1">
      <c r="I167" s="153"/>
    </row>
    <row r="168" ht="12.75" customHeight="1">
      <c r="I168" s="153"/>
    </row>
    <row r="169" ht="12.75" customHeight="1">
      <c r="I169" s="153"/>
    </row>
    <row r="170" ht="12.75" customHeight="1">
      <c r="I170" s="153"/>
    </row>
    <row r="171" ht="12.75" customHeight="1">
      <c r="I171" s="153"/>
    </row>
    <row r="172" ht="12.75" customHeight="1">
      <c r="I172" s="153"/>
    </row>
    <row r="173" ht="12.75" customHeight="1">
      <c r="I173" s="153"/>
    </row>
    <row r="174" ht="12.75" customHeight="1">
      <c r="I174" s="153"/>
    </row>
    <row r="175" ht="12.75" customHeight="1">
      <c r="I175" s="153"/>
    </row>
    <row r="176" ht="12.75" customHeight="1">
      <c r="I176" s="153"/>
    </row>
    <row r="177" ht="12.75" customHeight="1">
      <c r="I177" s="153"/>
    </row>
    <row r="178" ht="12.75" customHeight="1">
      <c r="I178" s="153"/>
    </row>
    <row r="179" ht="12.75" customHeight="1">
      <c r="I179" s="153"/>
    </row>
    <row r="180" ht="12.75" customHeight="1">
      <c r="I180" s="153"/>
    </row>
    <row r="181" ht="12.75" customHeight="1">
      <c r="I181" s="153"/>
    </row>
    <row r="182" ht="12.75" customHeight="1">
      <c r="I182" s="153"/>
    </row>
    <row r="183" ht="12.75" customHeight="1">
      <c r="I183" s="153"/>
    </row>
    <row r="184" ht="12.75" customHeight="1">
      <c r="I184" s="153"/>
    </row>
    <row r="185" ht="12.75" customHeight="1">
      <c r="I185" s="153"/>
    </row>
    <row r="186" ht="12.75" customHeight="1">
      <c r="I186" s="153"/>
    </row>
    <row r="187" ht="12.75" customHeight="1">
      <c r="I187" s="153"/>
    </row>
    <row r="188" ht="12.75" customHeight="1">
      <c r="I188" s="153"/>
    </row>
    <row r="189" ht="12.75" customHeight="1">
      <c r="I189" s="153"/>
    </row>
    <row r="190" ht="12.75" customHeight="1">
      <c r="I190" s="153"/>
    </row>
    <row r="191" ht="12.75" customHeight="1">
      <c r="I191" s="153"/>
    </row>
    <row r="192" ht="12.75" customHeight="1">
      <c r="I192" s="153"/>
    </row>
    <row r="193" ht="12.75" customHeight="1">
      <c r="I193" s="153"/>
    </row>
    <row r="194" ht="12.75" customHeight="1">
      <c r="I194" s="153"/>
    </row>
    <row r="195" ht="12.75" customHeight="1">
      <c r="I195" s="153"/>
    </row>
    <row r="196" ht="12.75" customHeight="1">
      <c r="I196" s="153"/>
    </row>
    <row r="197" ht="12.75" customHeight="1">
      <c r="I197" s="153"/>
    </row>
    <row r="198" ht="12.75" customHeight="1">
      <c r="I198" s="153"/>
    </row>
    <row r="199" ht="12.75" customHeight="1">
      <c r="I199" s="153"/>
    </row>
    <row r="200" ht="12.75" customHeight="1">
      <c r="I200" s="153"/>
    </row>
    <row r="201" ht="12.75" customHeight="1">
      <c r="I201" s="153"/>
    </row>
    <row r="202" ht="12.75" customHeight="1">
      <c r="I202" s="153"/>
    </row>
    <row r="203" ht="12.75" customHeight="1">
      <c r="I203" s="153"/>
    </row>
    <row r="204" ht="12.75" customHeight="1">
      <c r="I204" s="153"/>
    </row>
    <row r="205" ht="12.75" customHeight="1">
      <c r="I205" s="153"/>
    </row>
    <row r="206" ht="12.75" customHeight="1">
      <c r="I206" s="153"/>
    </row>
    <row r="207" ht="12.75" customHeight="1">
      <c r="I207" s="153"/>
    </row>
    <row r="208" ht="12.75" customHeight="1">
      <c r="I208" s="153"/>
    </row>
    <row r="209" ht="12.75" customHeight="1">
      <c r="I209" s="153"/>
    </row>
    <row r="210" ht="12.75" customHeight="1">
      <c r="I210" s="153"/>
    </row>
    <row r="211" ht="12.75" customHeight="1">
      <c r="I211" s="153"/>
    </row>
    <row r="212" ht="12.75" customHeight="1">
      <c r="I212" s="153"/>
    </row>
    <row r="213" ht="12.75" customHeight="1">
      <c r="I213" s="153"/>
    </row>
    <row r="214" ht="12.75" customHeight="1">
      <c r="I214" s="153"/>
    </row>
    <row r="215" ht="12.75" customHeight="1">
      <c r="I215" s="153"/>
    </row>
    <row r="216" ht="12.75" customHeight="1">
      <c r="I216" s="153"/>
    </row>
    <row r="217" ht="12.75" customHeight="1">
      <c r="I217" s="153"/>
    </row>
    <row r="218" ht="12.75" customHeight="1">
      <c r="I218" s="153"/>
    </row>
    <row r="219" ht="12.75" customHeight="1">
      <c r="I219" s="153"/>
    </row>
    <row r="220" ht="12.75" customHeight="1">
      <c r="I220" s="153"/>
    </row>
    <row r="221" ht="12.75" customHeight="1">
      <c r="I221" s="153"/>
    </row>
    <row r="222" ht="12.75" customHeight="1">
      <c r="I222" s="153"/>
    </row>
    <row r="223" ht="12.75" customHeight="1">
      <c r="I223" s="153"/>
    </row>
    <row r="224" ht="12.75" customHeight="1">
      <c r="I224" s="153"/>
    </row>
    <row r="225" ht="12.75" customHeight="1">
      <c r="I225" s="153"/>
    </row>
    <row r="226" ht="12.75" customHeight="1">
      <c r="I226" s="153"/>
    </row>
    <row r="227" ht="12.75" customHeight="1">
      <c r="I227" s="153"/>
    </row>
    <row r="228" ht="12.75" customHeight="1">
      <c r="I228" s="153"/>
    </row>
    <row r="229" ht="12.75" customHeight="1">
      <c r="I229" s="153"/>
    </row>
    <row r="230" ht="12.75" customHeight="1">
      <c r="I230" s="153"/>
    </row>
    <row r="231" ht="12.75" customHeight="1">
      <c r="I231" s="153"/>
    </row>
    <row r="232" ht="12.75" customHeight="1">
      <c r="I232" s="153"/>
    </row>
    <row r="233" ht="12.75" customHeight="1">
      <c r="I233" s="153"/>
    </row>
    <row r="234" ht="12.75" customHeight="1">
      <c r="I234" s="153"/>
    </row>
    <row r="235" ht="12.75" customHeight="1">
      <c r="I235" s="153"/>
    </row>
    <row r="236" ht="12.75" customHeight="1">
      <c r="I236" s="153"/>
    </row>
    <row r="237" ht="12.75" customHeight="1">
      <c r="I237" s="153"/>
    </row>
    <row r="238" ht="12.75" customHeight="1">
      <c r="I238" s="153"/>
    </row>
    <row r="239" ht="12.75" customHeight="1">
      <c r="I239" s="153"/>
    </row>
    <row r="240" ht="12.75" customHeight="1">
      <c r="I240" s="153"/>
    </row>
    <row r="241" ht="12.75" customHeight="1">
      <c r="I241" s="153"/>
    </row>
    <row r="242" ht="12.75" customHeight="1">
      <c r="I242" s="153"/>
    </row>
    <row r="243" ht="12.75" customHeight="1">
      <c r="I243" s="153"/>
    </row>
    <row r="244" ht="12.75" customHeight="1">
      <c r="I244" s="153"/>
    </row>
    <row r="245" ht="12.75" customHeight="1">
      <c r="I245" s="153"/>
    </row>
    <row r="246" ht="12.75" customHeight="1">
      <c r="I246" s="153"/>
    </row>
    <row r="247" ht="12.75" customHeight="1">
      <c r="I247" s="153"/>
    </row>
    <row r="248" ht="12.75" customHeight="1">
      <c r="I248" s="153"/>
    </row>
    <row r="249" ht="12.75" customHeight="1">
      <c r="I249" s="153"/>
    </row>
    <row r="250" ht="12.75" customHeight="1">
      <c r="I250" s="153"/>
    </row>
    <row r="251" ht="12.75" customHeight="1">
      <c r="I251" s="153"/>
    </row>
    <row r="252" ht="12.75" customHeight="1">
      <c r="I252" s="153"/>
    </row>
    <row r="253" ht="12.75" customHeight="1">
      <c r="I253" s="153"/>
    </row>
    <row r="254" ht="12.75" customHeight="1">
      <c r="I254" s="153"/>
    </row>
    <row r="255" ht="12.75" customHeight="1">
      <c r="I255" s="153"/>
    </row>
    <row r="256" ht="12.75" customHeight="1">
      <c r="I256" s="153"/>
    </row>
    <row r="257" ht="12.75" customHeight="1">
      <c r="I257" s="153"/>
    </row>
    <row r="258" ht="12.75" customHeight="1">
      <c r="I258" s="153"/>
    </row>
    <row r="259" ht="12.75" customHeight="1">
      <c r="I259" s="153"/>
    </row>
    <row r="260" ht="12.75" customHeight="1">
      <c r="I260" s="153"/>
    </row>
    <row r="261" ht="12.75" customHeight="1">
      <c r="I261" s="153"/>
    </row>
    <row r="262" ht="12.75" customHeight="1">
      <c r="I262" s="153"/>
    </row>
    <row r="263" ht="12.75" customHeight="1">
      <c r="I263" s="153"/>
    </row>
    <row r="264" ht="12.75" customHeight="1">
      <c r="I264" s="153"/>
    </row>
    <row r="265" ht="12.75" customHeight="1">
      <c r="I265" s="153"/>
    </row>
    <row r="266" ht="12.75" customHeight="1">
      <c r="I266" s="153"/>
    </row>
    <row r="267" ht="12.75" customHeight="1">
      <c r="I267" s="153"/>
    </row>
    <row r="268" ht="12.75" customHeight="1">
      <c r="I268" s="153"/>
    </row>
    <row r="269" ht="12.75" customHeight="1">
      <c r="I269" s="153"/>
    </row>
    <row r="270" ht="12.75" customHeight="1">
      <c r="I270" s="153"/>
    </row>
    <row r="271" ht="12.75" customHeight="1">
      <c r="I271" s="153"/>
    </row>
    <row r="272" ht="12.75" customHeight="1">
      <c r="I272" s="153"/>
    </row>
    <row r="273" ht="12.75" customHeight="1">
      <c r="I273" s="153"/>
    </row>
    <row r="274" ht="12.75" customHeight="1">
      <c r="I274" s="153"/>
    </row>
    <row r="275" ht="12.75" customHeight="1">
      <c r="I275" s="153"/>
    </row>
    <row r="276" ht="12.75" customHeight="1">
      <c r="I276" s="153"/>
    </row>
    <row r="277" ht="12.75" customHeight="1">
      <c r="I277" s="153"/>
    </row>
    <row r="278" ht="12.75" customHeight="1">
      <c r="I278" s="153"/>
    </row>
    <row r="279" ht="12.75" customHeight="1">
      <c r="I279" s="153"/>
    </row>
    <row r="280" ht="12.75" customHeight="1">
      <c r="I280" s="153"/>
    </row>
    <row r="281" ht="12.75" customHeight="1">
      <c r="I281" s="153"/>
    </row>
    <row r="282" ht="12.75" customHeight="1">
      <c r="I282" s="153"/>
    </row>
    <row r="283" ht="12.75" customHeight="1">
      <c r="I283" s="153"/>
    </row>
    <row r="284" ht="12.75" customHeight="1">
      <c r="I284" s="153"/>
    </row>
    <row r="285" ht="12.75" customHeight="1">
      <c r="I285" s="153"/>
    </row>
    <row r="286" ht="12.75" customHeight="1">
      <c r="I286" s="153"/>
    </row>
    <row r="287" ht="12.75" customHeight="1">
      <c r="I287" s="153"/>
    </row>
    <row r="288" ht="12.75" customHeight="1">
      <c r="I288" s="153"/>
    </row>
    <row r="289" ht="12.75" customHeight="1">
      <c r="I289" s="153"/>
    </row>
    <row r="290" ht="12.75" customHeight="1">
      <c r="I290" s="153"/>
    </row>
    <row r="291" ht="12.75" customHeight="1">
      <c r="I291" s="153"/>
    </row>
    <row r="292" ht="12.75" customHeight="1">
      <c r="I292" s="153"/>
    </row>
    <row r="293" ht="12.75" customHeight="1">
      <c r="I293" s="153"/>
    </row>
    <row r="294" ht="12.75" customHeight="1">
      <c r="I294" s="153"/>
    </row>
    <row r="295" ht="12.75" customHeight="1">
      <c r="I295" s="153"/>
    </row>
    <row r="296" ht="12.75" customHeight="1">
      <c r="I296" s="153"/>
    </row>
    <row r="297" ht="12.75" customHeight="1">
      <c r="I297" s="153"/>
    </row>
    <row r="298" ht="12.75" customHeight="1">
      <c r="I298" s="153"/>
    </row>
    <row r="299" ht="12.75" customHeight="1">
      <c r="I299" s="153"/>
    </row>
    <row r="300" ht="12.75" customHeight="1">
      <c r="I300" s="153"/>
    </row>
    <row r="301" ht="12.75" customHeight="1">
      <c r="I301" s="153"/>
    </row>
    <row r="302" ht="12.75" customHeight="1">
      <c r="I302" s="153"/>
    </row>
    <row r="303" ht="12.75" customHeight="1">
      <c r="I303" s="153"/>
    </row>
    <row r="304" ht="12.75" customHeight="1">
      <c r="I304" s="153"/>
    </row>
    <row r="305" ht="12.75" customHeight="1">
      <c r="I305" s="153"/>
    </row>
    <row r="306" ht="12.75" customHeight="1">
      <c r="I306" s="153"/>
    </row>
    <row r="307" ht="12.75" customHeight="1">
      <c r="I307" s="153"/>
    </row>
    <row r="308" ht="12.75" customHeight="1">
      <c r="I308" s="153"/>
    </row>
    <row r="309" ht="12.75" customHeight="1">
      <c r="I309" s="153"/>
    </row>
    <row r="310" ht="12.75" customHeight="1">
      <c r="I310" s="153"/>
    </row>
    <row r="311" ht="12.75" customHeight="1">
      <c r="I311" s="153"/>
    </row>
    <row r="312" ht="12.75" customHeight="1">
      <c r="I312" s="153"/>
    </row>
    <row r="313" ht="12.75" customHeight="1">
      <c r="I313" s="153"/>
    </row>
    <row r="314" ht="12.75" customHeight="1">
      <c r="I314" s="153"/>
    </row>
    <row r="315" ht="12.75" customHeight="1">
      <c r="I315" s="153"/>
    </row>
    <row r="316" ht="12.75" customHeight="1">
      <c r="I316" s="153"/>
    </row>
    <row r="317" ht="12.75" customHeight="1">
      <c r="I317" s="153"/>
    </row>
    <row r="318" ht="12.75" customHeight="1">
      <c r="I318" s="153"/>
    </row>
    <row r="319" ht="12.75" customHeight="1">
      <c r="I319" s="153"/>
    </row>
    <row r="320" ht="12.75" customHeight="1">
      <c r="I320" s="153"/>
    </row>
    <row r="321" ht="12.75" customHeight="1">
      <c r="I321" s="153"/>
    </row>
    <row r="322" ht="12.75" customHeight="1">
      <c r="I322" s="153"/>
    </row>
    <row r="323" ht="12.75" customHeight="1">
      <c r="I323" s="153"/>
    </row>
    <row r="324" ht="12.75" customHeight="1">
      <c r="I324" s="153"/>
    </row>
    <row r="325" ht="12.75" customHeight="1">
      <c r="I325" s="153"/>
    </row>
    <row r="326" ht="12.75" customHeight="1">
      <c r="I326" s="153"/>
    </row>
    <row r="327" ht="12.75" customHeight="1">
      <c r="I327" s="153"/>
    </row>
    <row r="328" ht="12.75" customHeight="1">
      <c r="I328" s="153"/>
    </row>
    <row r="329" ht="12.75" customHeight="1">
      <c r="I329" s="153"/>
    </row>
    <row r="330" ht="12.75" customHeight="1">
      <c r="I330" s="153"/>
    </row>
    <row r="331" ht="12.75" customHeight="1">
      <c r="I331" s="153"/>
    </row>
    <row r="332" ht="12.75" customHeight="1">
      <c r="I332" s="153"/>
    </row>
    <row r="333" ht="12.75" customHeight="1">
      <c r="I333" s="153"/>
    </row>
    <row r="334" ht="12.75" customHeight="1">
      <c r="I334" s="153"/>
    </row>
    <row r="335" ht="12.75" customHeight="1">
      <c r="I335" s="153"/>
    </row>
    <row r="336" ht="12.75" customHeight="1">
      <c r="I336" s="153"/>
    </row>
    <row r="337" ht="12.75" customHeight="1">
      <c r="I337" s="153"/>
    </row>
    <row r="338" ht="12.75" customHeight="1">
      <c r="I338" s="153"/>
    </row>
    <row r="339" ht="12.75" customHeight="1">
      <c r="I339" s="153"/>
    </row>
    <row r="340" ht="12.75" customHeight="1">
      <c r="I340" s="153"/>
    </row>
    <row r="341" ht="12.75" customHeight="1">
      <c r="I341" s="153"/>
    </row>
    <row r="342" ht="12.75" customHeight="1">
      <c r="I342" s="153"/>
    </row>
    <row r="343" ht="12.75" customHeight="1">
      <c r="I343" s="153"/>
    </row>
    <row r="344" ht="12.75" customHeight="1">
      <c r="I344" s="153"/>
    </row>
    <row r="345" ht="12.75" customHeight="1">
      <c r="I345" s="153"/>
    </row>
    <row r="346" ht="12.75" customHeight="1">
      <c r="I346" s="153"/>
    </row>
    <row r="347" ht="12.75" customHeight="1">
      <c r="I347" s="153"/>
    </row>
    <row r="348" ht="12.75" customHeight="1">
      <c r="I348" s="153"/>
    </row>
    <row r="349" ht="12.75" customHeight="1">
      <c r="I349" s="153"/>
    </row>
    <row r="350" ht="12.75" customHeight="1">
      <c r="I350" s="153"/>
    </row>
    <row r="351" ht="12.75" customHeight="1">
      <c r="I351" s="153"/>
    </row>
    <row r="352" ht="12.75" customHeight="1">
      <c r="I352" s="153"/>
    </row>
    <row r="353" ht="12.75" customHeight="1">
      <c r="I353" s="153"/>
    </row>
    <row r="354" ht="12.75" customHeight="1">
      <c r="I354" s="153"/>
    </row>
    <row r="355" ht="12.75" customHeight="1">
      <c r="I355" s="153"/>
    </row>
    <row r="356" ht="12.75" customHeight="1">
      <c r="I356" s="153"/>
    </row>
    <row r="357" ht="12.75" customHeight="1">
      <c r="I357" s="153"/>
    </row>
    <row r="358" ht="12.75" customHeight="1">
      <c r="I358" s="153"/>
    </row>
    <row r="359" ht="12.75" customHeight="1">
      <c r="I359" s="153"/>
    </row>
    <row r="360" ht="12.75" customHeight="1">
      <c r="I360" s="153"/>
    </row>
    <row r="361" ht="12.75" customHeight="1">
      <c r="I361" s="153"/>
    </row>
    <row r="362" ht="12.75" customHeight="1">
      <c r="I362" s="153"/>
    </row>
    <row r="363" ht="12.75" customHeight="1">
      <c r="I363" s="153"/>
    </row>
    <row r="364" ht="12.75" customHeight="1">
      <c r="I364" s="153"/>
    </row>
    <row r="365" ht="12.75" customHeight="1">
      <c r="I365" s="153"/>
    </row>
    <row r="366" ht="12.75" customHeight="1">
      <c r="I366" s="153"/>
    </row>
    <row r="367" ht="12.75" customHeight="1">
      <c r="I367" s="153"/>
    </row>
    <row r="368" ht="12.75" customHeight="1">
      <c r="I368" s="153"/>
    </row>
    <row r="369" ht="12.75" customHeight="1">
      <c r="I369" s="153"/>
    </row>
    <row r="370" ht="12.75" customHeight="1">
      <c r="I370" s="153"/>
    </row>
    <row r="371" ht="12.75" customHeight="1">
      <c r="I371" s="153"/>
    </row>
    <row r="372" ht="12.75" customHeight="1">
      <c r="I372" s="153"/>
    </row>
    <row r="373" ht="12.75" customHeight="1">
      <c r="I373" s="153"/>
    </row>
    <row r="374" ht="12.75" customHeight="1">
      <c r="I374" s="153"/>
    </row>
    <row r="375" ht="12.75" customHeight="1">
      <c r="I375" s="153"/>
    </row>
    <row r="376" ht="12.75" customHeight="1">
      <c r="I376" s="153"/>
    </row>
    <row r="377" ht="12.75" customHeight="1">
      <c r="I377" s="153"/>
    </row>
    <row r="378" ht="12.75" customHeight="1">
      <c r="I378" s="153"/>
    </row>
    <row r="379" ht="12.75" customHeight="1">
      <c r="I379" s="153"/>
    </row>
    <row r="380" ht="12.75" customHeight="1">
      <c r="I380" s="153"/>
    </row>
    <row r="381" ht="12.75" customHeight="1">
      <c r="I381" s="153"/>
    </row>
    <row r="382" ht="12.75" customHeight="1">
      <c r="I382" s="153"/>
    </row>
    <row r="383" ht="12.75" customHeight="1">
      <c r="I383" s="153"/>
    </row>
    <row r="384" ht="12.75" customHeight="1">
      <c r="I384" s="153"/>
    </row>
    <row r="385" ht="12.75" customHeight="1">
      <c r="I385" s="153"/>
    </row>
    <row r="386" ht="12.75" customHeight="1">
      <c r="I386" s="153"/>
    </row>
    <row r="387" ht="12.75" customHeight="1">
      <c r="I387" s="153"/>
    </row>
    <row r="388" ht="12.75" customHeight="1">
      <c r="I388" s="153"/>
    </row>
    <row r="389" ht="12.75" customHeight="1">
      <c r="I389" s="153"/>
    </row>
    <row r="390" ht="12.75" customHeight="1">
      <c r="I390" s="153"/>
    </row>
    <row r="391" ht="12.75" customHeight="1">
      <c r="I391" s="153"/>
    </row>
    <row r="392" ht="12.75" customHeight="1">
      <c r="I392" s="153"/>
    </row>
    <row r="393" ht="12.75" customHeight="1">
      <c r="I393" s="153"/>
    </row>
    <row r="394" ht="12.75" customHeight="1">
      <c r="I394" s="153"/>
    </row>
    <row r="395" ht="12.75" customHeight="1">
      <c r="I395" s="153"/>
    </row>
    <row r="396" ht="12.75" customHeight="1">
      <c r="I396" s="153"/>
    </row>
    <row r="397" ht="12.75" customHeight="1">
      <c r="I397" s="153"/>
    </row>
    <row r="398" ht="12.75" customHeight="1">
      <c r="I398" s="153"/>
    </row>
    <row r="399" ht="12.75" customHeight="1">
      <c r="I399" s="153"/>
    </row>
    <row r="400" ht="12.75" customHeight="1">
      <c r="I400" s="153"/>
    </row>
    <row r="401" ht="12.75" customHeight="1">
      <c r="I401" s="153"/>
    </row>
    <row r="402" ht="12.75" customHeight="1">
      <c r="I402" s="153"/>
    </row>
    <row r="403" ht="12.75" customHeight="1">
      <c r="I403" s="153"/>
    </row>
    <row r="404" ht="12.75" customHeight="1">
      <c r="I404" s="153"/>
    </row>
    <row r="405" ht="12.75" customHeight="1">
      <c r="I405" s="153"/>
    </row>
    <row r="406" ht="12.75" customHeight="1">
      <c r="I406" s="153"/>
    </row>
    <row r="407" ht="12.75" customHeight="1">
      <c r="I407" s="153"/>
    </row>
    <row r="408" ht="12.75" customHeight="1">
      <c r="I408" s="153"/>
    </row>
    <row r="409" ht="12.75" customHeight="1">
      <c r="I409" s="153"/>
    </row>
    <row r="410" ht="12.75" customHeight="1">
      <c r="I410" s="153"/>
    </row>
    <row r="411" ht="12.75" customHeight="1">
      <c r="I411" s="153"/>
    </row>
    <row r="412" ht="12.75" customHeight="1">
      <c r="I412" s="153"/>
    </row>
    <row r="413" ht="12.75" customHeight="1">
      <c r="I413" s="153"/>
    </row>
    <row r="414" ht="12.75" customHeight="1">
      <c r="I414" s="153"/>
    </row>
    <row r="415" ht="12.75" customHeight="1">
      <c r="I415" s="153"/>
    </row>
    <row r="416" ht="12.75" customHeight="1">
      <c r="I416" s="153"/>
    </row>
    <row r="417" ht="12.75" customHeight="1">
      <c r="I417" s="153"/>
    </row>
    <row r="418" ht="12.75" customHeight="1">
      <c r="I418" s="153"/>
    </row>
    <row r="419" ht="12.75" customHeight="1">
      <c r="I419" s="153"/>
    </row>
    <row r="420" ht="12.75" customHeight="1">
      <c r="I420" s="153"/>
    </row>
    <row r="421" ht="12.75" customHeight="1">
      <c r="I421" s="153"/>
    </row>
    <row r="422" ht="12.75" customHeight="1">
      <c r="I422" s="153"/>
    </row>
    <row r="423" ht="12.75" customHeight="1">
      <c r="I423" s="153"/>
    </row>
    <row r="424" ht="12.75" customHeight="1">
      <c r="I424" s="153"/>
    </row>
    <row r="425" ht="12.75" customHeight="1">
      <c r="I425" s="153"/>
    </row>
    <row r="426" ht="12.75" customHeight="1">
      <c r="I426" s="153"/>
    </row>
    <row r="427" ht="12.75" customHeight="1">
      <c r="I427" s="153"/>
    </row>
    <row r="428" ht="12.75" customHeight="1">
      <c r="I428" s="153"/>
    </row>
    <row r="429" ht="12.75" customHeight="1">
      <c r="I429" s="153"/>
    </row>
    <row r="430" ht="12.75" customHeight="1">
      <c r="I430" s="153"/>
    </row>
    <row r="431" ht="12.75" customHeight="1">
      <c r="I431" s="153"/>
    </row>
    <row r="432" ht="12.75" customHeight="1">
      <c r="I432" s="153"/>
    </row>
    <row r="433" ht="12.75" customHeight="1">
      <c r="I433" s="153"/>
    </row>
    <row r="434" ht="12.75" customHeight="1">
      <c r="I434" s="153"/>
    </row>
    <row r="435" ht="12.75" customHeight="1">
      <c r="I435" s="153"/>
    </row>
    <row r="436" ht="12.75" customHeight="1">
      <c r="I436" s="153"/>
    </row>
    <row r="437" ht="12.75" customHeight="1">
      <c r="I437" s="153"/>
    </row>
    <row r="438" ht="12.75" customHeight="1">
      <c r="I438" s="153"/>
    </row>
    <row r="439" ht="12.75" customHeight="1">
      <c r="I439" s="153"/>
    </row>
    <row r="440" ht="12.75" customHeight="1">
      <c r="I440" s="153"/>
    </row>
    <row r="441" ht="12.75" customHeight="1">
      <c r="I441" s="153"/>
    </row>
    <row r="442" ht="12.75" customHeight="1">
      <c r="I442" s="153"/>
    </row>
    <row r="443" ht="12.75" customHeight="1">
      <c r="I443" s="153"/>
    </row>
    <row r="444" ht="12.75" customHeight="1">
      <c r="I444" s="153"/>
    </row>
    <row r="445" ht="12.75" customHeight="1">
      <c r="I445" s="153"/>
    </row>
    <row r="446" ht="12.75" customHeight="1">
      <c r="I446" s="153"/>
    </row>
    <row r="447" ht="12.75" customHeight="1">
      <c r="I447" s="153"/>
    </row>
    <row r="448" ht="12.75" customHeight="1">
      <c r="I448" s="153"/>
    </row>
    <row r="449" ht="12.75" customHeight="1">
      <c r="I449" s="153"/>
    </row>
    <row r="450" ht="12.75" customHeight="1">
      <c r="I450" s="153"/>
    </row>
    <row r="451" ht="12.75" customHeight="1">
      <c r="I451" s="153"/>
    </row>
    <row r="452" ht="12.75" customHeight="1">
      <c r="I452" s="153"/>
    </row>
    <row r="453" ht="12.75" customHeight="1">
      <c r="I453" s="153"/>
    </row>
    <row r="454" ht="12.75" customHeight="1">
      <c r="I454" s="153"/>
    </row>
    <row r="455" ht="12.75" customHeight="1">
      <c r="I455" s="153"/>
    </row>
    <row r="456" ht="12.75" customHeight="1">
      <c r="I456" s="153"/>
    </row>
    <row r="457" ht="12.75" customHeight="1">
      <c r="I457" s="153"/>
    </row>
    <row r="458" ht="12.75" customHeight="1">
      <c r="I458" s="153"/>
    </row>
    <row r="459" ht="12.75" customHeight="1">
      <c r="I459" s="153"/>
    </row>
    <row r="460" ht="12.75" customHeight="1">
      <c r="I460" s="153"/>
    </row>
    <row r="461" ht="12.75" customHeight="1">
      <c r="I461" s="153"/>
    </row>
    <row r="462" ht="12.75" customHeight="1">
      <c r="I462" s="153"/>
    </row>
    <row r="463" ht="12.75" customHeight="1">
      <c r="I463" s="153"/>
    </row>
    <row r="464" ht="12.75" customHeight="1">
      <c r="I464" s="153"/>
    </row>
    <row r="465" ht="12.75" customHeight="1">
      <c r="I465" s="153"/>
    </row>
    <row r="466" ht="12.75" customHeight="1">
      <c r="I466" s="153"/>
    </row>
    <row r="467" ht="12.75" customHeight="1">
      <c r="I467" s="153"/>
    </row>
    <row r="468" ht="12.75" customHeight="1">
      <c r="I468" s="153"/>
    </row>
    <row r="469" ht="12.75" customHeight="1">
      <c r="I469" s="153"/>
    </row>
    <row r="470" ht="12.75" customHeight="1">
      <c r="I470" s="153"/>
    </row>
    <row r="471" ht="12.75" customHeight="1">
      <c r="I471" s="153"/>
    </row>
    <row r="472" ht="12.75" customHeight="1">
      <c r="I472" s="153"/>
    </row>
    <row r="473" ht="12.75" customHeight="1">
      <c r="I473" s="153"/>
    </row>
    <row r="474" ht="12.75" customHeight="1">
      <c r="I474" s="153"/>
    </row>
    <row r="475" ht="12.75" customHeight="1">
      <c r="I475" s="153"/>
    </row>
    <row r="476" ht="12.75" customHeight="1">
      <c r="I476" s="153"/>
    </row>
    <row r="477" ht="12.75" customHeight="1">
      <c r="I477" s="153"/>
    </row>
    <row r="478" ht="12.75" customHeight="1">
      <c r="I478" s="153"/>
    </row>
    <row r="479" ht="12.75" customHeight="1">
      <c r="I479" s="153"/>
    </row>
    <row r="480" ht="12.75" customHeight="1">
      <c r="I480" s="153"/>
    </row>
    <row r="481" ht="12.75" customHeight="1">
      <c r="I481" s="153"/>
    </row>
    <row r="482" ht="12.75" customHeight="1">
      <c r="I482" s="153"/>
    </row>
    <row r="483" ht="12.75" customHeight="1">
      <c r="I483" s="153"/>
    </row>
    <row r="484" ht="12.75" customHeight="1">
      <c r="I484" s="153"/>
    </row>
    <row r="485" ht="12.75" customHeight="1">
      <c r="I485" s="153"/>
    </row>
    <row r="486" ht="12.75" customHeight="1">
      <c r="I486" s="153"/>
    </row>
    <row r="487" ht="12.75" customHeight="1">
      <c r="I487" s="153"/>
    </row>
    <row r="488" ht="12.75" customHeight="1">
      <c r="I488" s="153"/>
    </row>
    <row r="489" ht="12.75" customHeight="1">
      <c r="I489" s="153"/>
    </row>
    <row r="490" ht="12.75" customHeight="1">
      <c r="I490" s="153"/>
    </row>
    <row r="491" ht="12.75" customHeight="1">
      <c r="I491" s="153"/>
    </row>
    <row r="492" ht="12.75" customHeight="1">
      <c r="I492" s="153"/>
    </row>
    <row r="493" ht="12.75" customHeight="1">
      <c r="I493" s="153"/>
    </row>
    <row r="494" ht="12.75" customHeight="1">
      <c r="I494" s="153"/>
    </row>
    <row r="495" ht="12.75" customHeight="1">
      <c r="I495" s="153"/>
    </row>
    <row r="496" ht="12.75" customHeight="1">
      <c r="I496" s="153"/>
    </row>
    <row r="497" ht="12.75" customHeight="1">
      <c r="I497" s="153"/>
    </row>
    <row r="498" ht="12.75" customHeight="1">
      <c r="I498" s="153"/>
    </row>
    <row r="499" ht="12.75" customHeight="1">
      <c r="I499" s="153"/>
    </row>
    <row r="500" ht="12.75" customHeight="1">
      <c r="I500" s="153"/>
    </row>
    <row r="501" ht="12.75" customHeight="1">
      <c r="I501" s="153"/>
    </row>
    <row r="502" ht="12.75" customHeight="1">
      <c r="I502" s="153"/>
    </row>
    <row r="503" ht="12.75" customHeight="1">
      <c r="I503" s="153"/>
    </row>
    <row r="504" ht="12.75" customHeight="1">
      <c r="I504" s="153"/>
    </row>
    <row r="505" ht="12.75" customHeight="1">
      <c r="I505" s="153"/>
    </row>
    <row r="506" ht="12.75" customHeight="1">
      <c r="I506" s="153"/>
    </row>
    <row r="507" ht="12.75" customHeight="1">
      <c r="I507" s="153"/>
    </row>
    <row r="508" ht="12.75" customHeight="1">
      <c r="I508" s="153"/>
    </row>
    <row r="509" ht="12.75" customHeight="1">
      <c r="I509" s="153"/>
    </row>
    <row r="510" ht="12.75" customHeight="1">
      <c r="I510" s="153"/>
    </row>
    <row r="511" ht="12.75" customHeight="1">
      <c r="I511" s="153"/>
    </row>
    <row r="512" ht="12.75" customHeight="1">
      <c r="I512" s="153"/>
    </row>
    <row r="513" ht="12.75" customHeight="1">
      <c r="I513" s="153"/>
    </row>
    <row r="514" ht="12.75" customHeight="1">
      <c r="I514" s="153"/>
    </row>
    <row r="515" ht="12.75" customHeight="1">
      <c r="I515" s="153"/>
    </row>
    <row r="516" ht="12.75" customHeight="1">
      <c r="I516" s="153"/>
    </row>
    <row r="517" ht="12.75" customHeight="1">
      <c r="I517" s="153"/>
    </row>
    <row r="518" ht="12.75" customHeight="1">
      <c r="I518" s="153"/>
    </row>
    <row r="519" ht="12.75" customHeight="1">
      <c r="I519" s="153"/>
    </row>
    <row r="520" ht="12.75" customHeight="1">
      <c r="I520" s="153"/>
    </row>
    <row r="521" ht="12.75" customHeight="1">
      <c r="I521" s="153"/>
    </row>
    <row r="522" ht="12.75" customHeight="1">
      <c r="I522" s="153"/>
    </row>
    <row r="523" ht="12.75" customHeight="1">
      <c r="I523" s="153"/>
    </row>
    <row r="524" ht="12.75" customHeight="1">
      <c r="I524" s="153"/>
    </row>
    <row r="525" ht="12.75" customHeight="1">
      <c r="I525" s="153"/>
    </row>
    <row r="526" ht="12.75" customHeight="1">
      <c r="I526" s="153"/>
    </row>
    <row r="527" ht="12.75" customHeight="1">
      <c r="I527" s="153"/>
    </row>
    <row r="528" ht="12.75" customHeight="1">
      <c r="I528" s="153"/>
    </row>
    <row r="529" ht="12.75" customHeight="1">
      <c r="I529" s="153"/>
    </row>
    <row r="530" ht="12.75" customHeight="1">
      <c r="I530" s="153"/>
    </row>
    <row r="531" ht="12.75" customHeight="1">
      <c r="I531" s="153"/>
    </row>
    <row r="532" ht="12.75" customHeight="1">
      <c r="I532" s="153"/>
    </row>
    <row r="533" ht="12.75" customHeight="1">
      <c r="I533" s="153"/>
    </row>
    <row r="534" ht="12.75" customHeight="1">
      <c r="I534" s="153"/>
    </row>
    <row r="535" ht="12.75" customHeight="1">
      <c r="I535" s="153"/>
    </row>
    <row r="536" ht="12.75" customHeight="1">
      <c r="I536" s="153"/>
    </row>
    <row r="537" ht="12.75" customHeight="1">
      <c r="I537" s="153"/>
    </row>
    <row r="538" ht="12.75" customHeight="1">
      <c r="I538" s="153"/>
    </row>
    <row r="539" ht="12.75" customHeight="1">
      <c r="I539" s="153"/>
    </row>
    <row r="540" ht="12.75" customHeight="1">
      <c r="I540" s="153"/>
    </row>
    <row r="541" ht="12.75" customHeight="1">
      <c r="I541" s="153"/>
    </row>
    <row r="542" ht="12.75" customHeight="1">
      <c r="I542" s="153"/>
    </row>
    <row r="543" ht="12.75" customHeight="1">
      <c r="I543" s="153"/>
    </row>
    <row r="544" ht="12.75" customHeight="1">
      <c r="I544" s="153"/>
    </row>
    <row r="545" ht="12.75" customHeight="1">
      <c r="I545" s="153"/>
    </row>
    <row r="546" ht="12.75" customHeight="1">
      <c r="I546" s="153"/>
    </row>
    <row r="547" ht="12.75" customHeight="1">
      <c r="I547" s="153"/>
    </row>
    <row r="548" ht="12.75" customHeight="1">
      <c r="I548" s="153"/>
    </row>
    <row r="549" ht="12.75" customHeight="1">
      <c r="I549" s="153"/>
    </row>
    <row r="550" ht="12.75" customHeight="1">
      <c r="I550" s="153"/>
    </row>
    <row r="551" ht="12.75" customHeight="1">
      <c r="I551" s="153"/>
    </row>
    <row r="552" ht="12.75" customHeight="1">
      <c r="I552" s="153"/>
    </row>
    <row r="553" ht="12.75" customHeight="1">
      <c r="I553" s="153"/>
    </row>
    <row r="554" ht="12.75" customHeight="1">
      <c r="I554" s="153"/>
    </row>
    <row r="555" ht="12.75" customHeight="1">
      <c r="I555" s="153"/>
    </row>
    <row r="556" ht="12.75" customHeight="1">
      <c r="I556" s="153"/>
    </row>
    <row r="557" ht="12.75" customHeight="1">
      <c r="I557" s="153"/>
    </row>
    <row r="558" ht="12.75" customHeight="1">
      <c r="I558" s="153"/>
    </row>
    <row r="559" ht="12.75" customHeight="1">
      <c r="I559" s="153"/>
    </row>
    <row r="560" ht="12.75" customHeight="1">
      <c r="I560" s="153"/>
    </row>
    <row r="561" ht="12.75" customHeight="1">
      <c r="I561" s="153"/>
    </row>
    <row r="562" ht="12.75" customHeight="1">
      <c r="I562" s="153"/>
    </row>
    <row r="563" ht="12.75" customHeight="1">
      <c r="I563" s="153"/>
    </row>
    <row r="564" ht="12.75" customHeight="1">
      <c r="I564" s="153"/>
    </row>
    <row r="565" ht="12.75" customHeight="1">
      <c r="I565" s="153"/>
    </row>
    <row r="566" ht="12.75" customHeight="1">
      <c r="I566" s="153"/>
    </row>
    <row r="567" ht="12.75" customHeight="1">
      <c r="I567" s="153"/>
    </row>
    <row r="568" ht="12.75" customHeight="1">
      <c r="I568" s="153"/>
    </row>
    <row r="569" ht="12.75" customHeight="1">
      <c r="I569" s="153"/>
    </row>
    <row r="570" ht="12.75" customHeight="1">
      <c r="I570" s="153"/>
    </row>
    <row r="571" ht="12.75" customHeight="1">
      <c r="I571" s="153"/>
    </row>
    <row r="572" ht="12.75" customHeight="1">
      <c r="I572" s="153"/>
    </row>
    <row r="573" ht="12.75" customHeight="1">
      <c r="I573" s="153"/>
    </row>
    <row r="574" ht="12.75" customHeight="1">
      <c r="I574" s="153"/>
    </row>
    <row r="575" ht="12.75" customHeight="1">
      <c r="I575" s="153"/>
    </row>
    <row r="576" ht="12.75" customHeight="1">
      <c r="I576" s="153"/>
    </row>
    <row r="577" ht="12.75" customHeight="1">
      <c r="I577" s="153"/>
    </row>
    <row r="578" ht="12.75" customHeight="1">
      <c r="I578" s="153"/>
    </row>
    <row r="579" ht="12.75" customHeight="1">
      <c r="I579" s="153"/>
    </row>
    <row r="580" ht="12.75" customHeight="1">
      <c r="I580" s="153"/>
    </row>
    <row r="581" ht="12.75" customHeight="1">
      <c r="I581" s="153"/>
    </row>
    <row r="582" ht="12.75" customHeight="1">
      <c r="I582" s="153"/>
    </row>
    <row r="583" ht="12.75" customHeight="1">
      <c r="I583" s="153"/>
    </row>
    <row r="584" ht="12.75" customHeight="1">
      <c r="I584" s="153"/>
    </row>
    <row r="585" ht="12.75" customHeight="1">
      <c r="I585" s="153"/>
    </row>
    <row r="586" ht="12.75" customHeight="1">
      <c r="I586" s="153"/>
    </row>
    <row r="587" ht="12.75" customHeight="1">
      <c r="I587" s="153"/>
    </row>
    <row r="588" ht="12.75" customHeight="1">
      <c r="I588" s="153"/>
    </row>
    <row r="589" ht="12.75" customHeight="1">
      <c r="I589" s="153"/>
    </row>
    <row r="590" ht="12.75" customHeight="1">
      <c r="I590" s="153"/>
    </row>
    <row r="591" ht="12.75" customHeight="1">
      <c r="I591" s="153"/>
    </row>
    <row r="592" ht="12.75" customHeight="1">
      <c r="I592" s="153"/>
    </row>
    <row r="593" ht="12.75" customHeight="1">
      <c r="I593" s="153"/>
    </row>
    <row r="594" ht="12.75" customHeight="1">
      <c r="I594" s="153"/>
    </row>
    <row r="595" ht="12.75" customHeight="1">
      <c r="I595" s="153"/>
    </row>
    <row r="596" ht="12.75" customHeight="1">
      <c r="I596" s="153"/>
    </row>
    <row r="597" ht="12.75" customHeight="1">
      <c r="I597" s="153"/>
    </row>
    <row r="598" ht="12.75" customHeight="1">
      <c r="I598" s="153"/>
    </row>
    <row r="599" ht="12.75" customHeight="1">
      <c r="I599" s="153"/>
    </row>
    <row r="600" ht="12.75" customHeight="1">
      <c r="I600" s="153"/>
    </row>
    <row r="601" ht="12.75" customHeight="1">
      <c r="I601" s="153"/>
    </row>
    <row r="602" ht="12.75" customHeight="1">
      <c r="I602" s="153"/>
    </row>
    <row r="603" ht="12.75" customHeight="1">
      <c r="I603" s="153"/>
    </row>
    <row r="604" ht="12.75" customHeight="1">
      <c r="I604" s="153"/>
    </row>
    <row r="605" ht="12.75" customHeight="1">
      <c r="I605" s="153"/>
    </row>
    <row r="606" ht="12.75" customHeight="1">
      <c r="I606" s="153"/>
    </row>
    <row r="607" ht="12.75" customHeight="1">
      <c r="I607" s="153"/>
    </row>
    <row r="608" ht="12.75" customHeight="1">
      <c r="I608" s="153"/>
    </row>
    <row r="609" ht="12.75" customHeight="1">
      <c r="I609" s="153"/>
    </row>
    <row r="610" ht="12.75" customHeight="1">
      <c r="I610" s="153"/>
    </row>
    <row r="611" ht="12.75" customHeight="1">
      <c r="I611" s="153"/>
    </row>
    <row r="612" ht="12.75" customHeight="1">
      <c r="I612" s="153"/>
    </row>
    <row r="613" ht="12.75" customHeight="1">
      <c r="I613" s="153"/>
    </row>
    <row r="614" ht="12.75" customHeight="1">
      <c r="I614" s="153"/>
    </row>
    <row r="615" ht="12.75" customHeight="1">
      <c r="I615" s="153"/>
    </row>
    <row r="616" ht="12.75" customHeight="1">
      <c r="I616" s="153"/>
    </row>
    <row r="617" ht="12.75" customHeight="1">
      <c r="I617" s="153"/>
    </row>
    <row r="618" ht="12.75" customHeight="1">
      <c r="I618" s="153"/>
    </row>
    <row r="619" ht="12.75" customHeight="1">
      <c r="I619" s="153"/>
    </row>
    <row r="620" ht="12.75" customHeight="1">
      <c r="I620" s="153"/>
    </row>
    <row r="621" ht="12.75" customHeight="1">
      <c r="I621" s="153"/>
    </row>
    <row r="622" ht="12.75" customHeight="1">
      <c r="I622" s="153"/>
    </row>
    <row r="623" ht="12.75" customHeight="1">
      <c r="I623" s="153"/>
    </row>
    <row r="624" ht="12.75" customHeight="1">
      <c r="I624" s="153"/>
    </row>
    <row r="625" ht="12.75" customHeight="1">
      <c r="I625" s="153"/>
    </row>
    <row r="626" ht="12.75" customHeight="1">
      <c r="I626" s="153"/>
    </row>
    <row r="627" ht="12.75" customHeight="1">
      <c r="I627" s="153"/>
    </row>
    <row r="628" ht="12.75" customHeight="1">
      <c r="I628" s="153"/>
    </row>
    <row r="629" ht="12.75" customHeight="1">
      <c r="I629" s="153"/>
    </row>
    <row r="630" ht="12.75" customHeight="1">
      <c r="I630" s="153"/>
    </row>
    <row r="631" ht="12.75" customHeight="1">
      <c r="I631" s="153"/>
    </row>
    <row r="632" ht="12.75" customHeight="1">
      <c r="I632" s="153"/>
    </row>
    <row r="633" ht="12.75" customHeight="1">
      <c r="I633" s="153"/>
    </row>
    <row r="634" ht="12.75" customHeight="1">
      <c r="I634" s="153"/>
    </row>
    <row r="635" ht="12.75" customHeight="1">
      <c r="I635" s="153"/>
    </row>
    <row r="636" ht="12.75" customHeight="1">
      <c r="I636" s="153"/>
    </row>
    <row r="637" ht="12.75" customHeight="1">
      <c r="I637" s="153"/>
    </row>
    <row r="638" ht="12.75" customHeight="1">
      <c r="I638" s="153"/>
    </row>
    <row r="639" ht="12.75" customHeight="1">
      <c r="I639" s="153"/>
    </row>
    <row r="640" ht="12.75" customHeight="1">
      <c r="I640" s="153"/>
    </row>
    <row r="641" ht="12.75" customHeight="1">
      <c r="I641" s="153"/>
    </row>
    <row r="642" ht="12.75" customHeight="1">
      <c r="I642" s="153"/>
    </row>
    <row r="643" ht="12.75" customHeight="1">
      <c r="I643" s="153"/>
    </row>
    <row r="644" ht="12.75" customHeight="1">
      <c r="I644" s="153"/>
    </row>
    <row r="645" ht="12.75" customHeight="1">
      <c r="I645" s="153"/>
    </row>
    <row r="646" ht="12.75" customHeight="1">
      <c r="I646" s="153"/>
    </row>
    <row r="647" ht="12.75" customHeight="1">
      <c r="I647" s="153"/>
    </row>
    <row r="648" ht="12.75" customHeight="1">
      <c r="I648" s="153"/>
    </row>
    <row r="649" ht="12.75" customHeight="1">
      <c r="I649" s="153"/>
    </row>
    <row r="650" ht="12.75" customHeight="1">
      <c r="I650" s="153"/>
    </row>
    <row r="651" ht="12.75" customHeight="1">
      <c r="I651" s="153"/>
    </row>
    <row r="652" ht="12.75" customHeight="1">
      <c r="I652" s="153"/>
    </row>
    <row r="653" ht="12.75" customHeight="1">
      <c r="I653" s="153"/>
    </row>
    <row r="654" ht="12.75" customHeight="1">
      <c r="I654" s="153"/>
    </row>
    <row r="655" ht="12.75" customHeight="1">
      <c r="I655" s="153"/>
    </row>
    <row r="656" ht="12.75" customHeight="1">
      <c r="I656" s="153"/>
    </row>
    <row r="657" ht="12.75" customHeight="1">
      <c r="I657" s="153"/>
    </row>
    <row r="658" ht="12.75" customHeight="1">
      <c r="I658" s="153"/>
    </row>
    <row r="659" ht="12.75" customHeight="1">
      <c r="I659" s="153"/>
    </row>
    <row r="660" ht="12.75" customHeight="1">
      <c r="I660" s="153"/>
    </row>
    <row r="661" ht="12.75" customHeight="1">
      <c r="I661" s="153"/>
    </row>
    <row r="662" ht="12.75" customHeight="1">
      <c r="I662" s="153"/>
    </row>
    <row r="663" ht="12.75" customHeight="1">
      <c r="I663" s="153"/>
    </row>
    <row r="664" ht="12.75" customHeight="1">
      <c r="I664" s="153"/>
    </row>
    <row r="665" ht="12.75" customHeight="1">
      <c r="I665" s="153"/>
    </row>
    <row r="666" ht="12.75" customHeight="1">
      <c r="I666" s="153"/>
    </row>
    <row r="667" ht="12.75" customHeight="1">
      <c r="I667" s="153"/>
    </row>
    <row r="668" ht="12.75" customHeight="1">
      <c r="I668" s="153"/>
    </row>
    <row r="669" ht="12.75" customHeight="1">
      <c r="I669" s="153"/>
    </row>
    <row r="670" ht="12.75" customHeight="1">
      <c r="I670" s="153"/>
    </row>
    <row r="671" ht="12.75" customHeight="1">
      <c r="I671" s="153"/>
    </row>
    <row r="672" ht="12.75" customHeight="1">
      <c r="I672" s="153"/>
    </row>
    <row r="673" ht="12.75" customHeight="1">
      <c r="I673" s="153"/>
    </row>
    <row r="674" ht="12.75" customHeight="1">
      <c r="I674" s="153"/>
    </row>
    <row r="675" ht="12.75" customHeight="1">
      <c r="I675" s="153"/>
    </row>
    <row r="676" ht="12.75" customHeight="1">
      <c r="I676" s="153"/>
    </row>
    <row r="677" ht="12.75" customHeight="1">
      <c r="I677" s="153"/>
    </row>
    <row r="678" ht="12.75" customHeight="1">
      <c r="I678" s="153"/>
    </row>
    <row r="679" ht="12.75" customHeight="1">
      <c r="I679" s="153"/>
    </row>
    <row r="680" ht="12.75" customHeight="1">
      <c r="I680" s="153"/>
    </row>
    <row r="681" ht="12.75" customHeight="1">
      <c r="I681" s="153"/>
    </row>
    <row r="682" ht="12.75" customHeight="1">
      <c r="I682" s="153"/>
    </row>
    <row r="683" ht="12.75" customHeight="1">
      <c r="I683" s="153"/>
    </row>
    <row r="684" ht="12.75" customHeight="1">
      <c r="I684" s="153"/>
    </row>
    <row r="685" ht="12.75" customHeight="1">
      <c r="I685" s="153"/>
    </row>
    <row r="686" ht="12.75" customHeight="1">
      <c r="I686" s="153"/>
    </row>
    <row r="687" ht="12.75" customHeight="1">
      <c r="I687" s="153"/>
    </row>
    <row r="688" ht="12.75" customHeight="1">
      <c r="I688" s="153"/>
    </row>
    <row r="689" ht="12.75" customHeight="1">
      <c r="I689" s="153"/>
    </row>
    <row r="690" ht="12.75" customHeight="1">
      <c r="I690" s="153"/>
    </row>
    <row r="691" ht="12.75" customHeight="1">
      <c r="I691" s="153"/>
    </row>
    <row r="692" ht="12.75" customHeight="1">
      <c r="I692" s="153"/>
    </row>
    <row r="693" ht="12.75" customHeight="1">
      <c r="I693" s="153"/>
    </row>
    <row r="694" ht="12.75" customHeight="1">
      <c r="I694" s="153"/>
    </row>
    <row r="695" ht="12.75" customHeight="1">
      <c r="I695" s="153"/>
    </row>
    <row r="696" ht="12.75" customHeight="1">
      <c r="I696" s="153"/>
    </row>
    <row r="697" ht="12.75" customHeight="1">
      <c r="I697" s="153"/>
    </row>
    <row r="698" ht="12.75" customHeight="1">
      <c r="I698" s="153"/>
    </row>
    <row r="699" ht="12.75" customHeight="1">
      <c r="I699" s="153"/>
    </row>
    <row r="700" ht="12.75" customHeight="1">
      <c r="I700" s="153"/>
    </row>
    <row r="701" ht="12.75" customHeight="1">
      <c r="I701" s="153"/>
    </row>
    <row r="702" ht="12.75" customHeight="1">
      <c r="I702" s="153"/>
    </row>
    <row r="703" ht="12.75" customHeight="1">
      <c r="I703" s="153"/>
    </row>
    <row r="704" ht="12.75" customHeight="1">
      <c r="I704" s="153"/>
    </row>
    <row r="705" ht="12.75" customHeight="1">
      <c r="I705" s="153"/>
    </row>
    <row r="706" ht="12.75" customHeight="1">
      <c r="I706" s="153"/>
    </row>
    <row r="707" ht="12.75" customHeight="1">
      <c r="I707" s="153"/>
    </row>
    <row r="708" ht="12.75" customHeight="1">
      <c r="I708" s="153"/>
    </row>
    <row r="709" ht="12.75" customHeight="1">
      <c r="I709" s="153"/>
    </row>
    <row r="710" ht="12.75" customHeight="1">
      <c r="I710" s="153"/>
    </row>
    <row r="711" ht="12.75" customHeight="1">
      <c r="I711" s="153"/>
    </row>
    <row r="712" ht="12.75" customHeight="1">
      <c r="I712" s="153"/>
    </row>
    <row r="713" ht="12.75" customHeight="1">
      <c r="I713" s="153"/>
    </row>
    <row r="714" ht="12.75" customHeight="1">
      <c r="I714" s="153"/>
    </row>
    <row r="715" ht="12.75" customHeight="1">
      <c r="I715" s="153"/>
    </row>
    <row r="716" ht="12.75" customHeight="1">
      <c r="I716" s="153"/>
    </row>
    <row r="717" ht="12.75" customHeight="1">
      <c r="I717" s="153"/>
    </row>
    <row r="718" ht="12.75" customHeight="1">
      <c r="I718" s="153"/>
    </row>
    <row r="719" ht="12.75" customHeight="1">
      <c r="I719" s="153"/>
    </row>
    <row r="720" ht="12.75" customHeight="1">
      <c r="I720" s="153"/>
    </row>
    <row r="721" ht="12.75" customHeight="1">
      <c r="I721" s="153"/>
    </row>
    <row r="722" ht="12.75" customHeight="1">
      <c r="I722" s="153"/>
    </row>
    <row r="723" ht="12.75" customHeight="1">
      <c r="I723" s="153"/>
    </row>
    <row r="724" ht="12.75" customHeight="1">
      <c r="I724" s="153"/>
    </row>
    <row r="725" ht="12.75" customHeight="1">
      <c r="I725" s="153"/>
    </row>
    <row r="726" ht="12.75" customHeight="1">
      <c r="I726" s="153"/>
    </row>
    <row r="727" ht="12.75" customHeight="1">
      <c r="I727" s="153"/>
    </row>
    <row r="728" ht="12.75" customHeight="1">
      <c r="I728" s="153"/>
    </row>
    <row r="729" ht="12.75" customHeight="1">
      <c r="I729" s="153"/>
    </row>
    <row r="730" ht="12.75" customHeight="1">
      <c r="I730" s="153"/>
    </row>
    <row r="731" ht="12.75" customHeight="1">
      <c r="I731" s="153"/>
    </row>
    <row r="732" ht="12.75" customHeight="1">
      <c r="I732" s="153"/>
    </row>
    <row r="733" ht="12.75" customHeight="1">
      <c r="I733" s="153"/>
    </row>
    <row r="734" ht="12.75" customHeight="1">
      <c r="I734" s="153"/>
    </row>
    <row r="735" ht="12.75" customHeight="1">
      <c r="I735" s="153"/>
    </row>
    <row r="736" ht="12.75" customHeight="1">
      <c r="I736" s="153"/>
    </row>
    <row r="737" ht="12.75" customHeight="1">
      <c r="I737" s="153"/>
    </row>
    <row r="738" ht="12.75" customHeight="1">
      <c r="I738" s="153"/>
    </row>
    <row r="739" ht="12.75" customHeight="1">
      <c r="I739" s="153"/>
    </row>
    <row r="740" ht="12.75" customHeight="1">
      <c r="I740" s="153"/>
    </row>
    <row r="741" ht="12.75" customHeight="1">
      <c r="I741" s="153"/>
    </row>
    <row r="742" ht="12.75" customHeight="1">
      <c r="I742" s="153"/>
    </row>
    <row r="743" ht="12.75" customHeight="1">
      <c r="I743" s="153"/>
    </row>
    <row r="744" ht="12.75" customHeight="1">
      <c r="I744" s="153"/>
    </row>
    <row r="745" ht="12.75" customHeight="1">
      <c r="I745" s="153"/>
    </row>
    <row r="746" ht="12.75" customHeight="1">
      <c r="I746" s="153"/>
    </row>
    <row r="747" ht="12.75" customHeight="1">
      <c r="I747" s="153"/>
    </row>
    <row r="748" ht="12.75" customHeight="1">
      <c r="I748" s="153"/>
    </row>
    <row r="749" ht="12.75" customHeight="1">
      <c r="I749" s="153"/>
    </row>
    <row r="750" ht="12.75" customHeight="1">
      <c r="I750" s="153"/>
    </row>
    <row r="751" ht="12.75" customHeight="1">
      <c r="I751" s="153"/>
    </row>
    <row r="752" ht="12.75" customHeight="1">
      <c r="I752" s="153"/>
    </row>
    <row r="753" ht="12.75" customHeight="1">
      <c r="I753" s="153"/>
    </row>
    <row r="754" ht="12.75" customHeight="1">
      <c r="I754" s="153"/>
    </row>
    <row r="755" ht="12.75" customHeight="1">
      <c r="I755" s="153"/>
    </row>
    <row r="756" ht="12.75" customHeight="1">
      <c r="I756" s="153"/>
    </row>
    <row r="757" ht="12.75" customHeight="1">
      <c r="I757" s="153"/>
    </row>
    <row r="758" ht="12.75" customHeight="1">
      <c r="I758" s="153"/>
    </row>
    <row r="759" ht="12.75" customHeight="1">
      <c r="I759" s="153"/>
    </row>
    <row r="760" ht="12.75" customHeight="1">
      <c r="I760" s="153"/>
    </row>
    <row r="761" ht="12.75" customHeight="1">
      <c r="I761" s="153"/>
    </row>
    <row r="762" ht="12.75" customHeight="1">
      <c r="I762" s="153"/>
    </row>
    <row r="763" ht="12.75" customHeight="1">
      <c r="I763" s="153"/>
    </row>
    <row r="764" ht="12.75" customHeight="1">
      <c r="I764" s="153"/>
    </row>
    <row r="765" ht="12.75" customHeight="1">
      <c r="I765" s="153"/>
    </row>
    <row r="766" ht="12.75" customHeight="1">
      <c r="I766" s="153"/>
    </row>
    <row r="767" ht="12.75" customHeight="1">
      <c r="I767" s="153"/>
    </row>
    <row r="768" ht="12.75" customHeight="1">
      <c r="I768" s="153"/>
    </row>
    <row r="769" ht="12.75" customHeight="1">
      <c r="I769" s="153"/>
    </row>
    <row r="770" ht="12.75" customHeight="1">
      <c r="I770" s="153"/>
    </row>
    <row r="771" ht="12.75" customHeight="1">
      <c r="I771" s="153"/>
    </row>
    <row r="772" ht="12.75" customHeight="1">
      <c r="I772" s="153"/>
    </row>
    <row r="773" ht="12.75" customHeight="1">
      <c r="I773" s="153"/>
    </row>
    <row r="774" ht="12.75" customHeight="1">
      <c r="I774" s="153"/>
    </row>
    <row r="775" ht="12.75" customHeight="1">
      <c r="I775" s="153"/>
    </row>
    <row r="776" ht="12.75" customHeight="1">
      <c r="I776" s="153"/>
    </row>
    <row r="777" ht="12.75" customHeight="1">
      <c r="I777" s="153"/>
    </row>
    <row r="778" ht="12.75" customHeight="1">
      <c r="I778" s="153"/>
    </row>
    <row r="779" ht="12.75" customHeight="1">
      <c r="I779" s="153"/>
    </row>
    <row r="780" ht="12.75" customHeight="1">
      <c r="I780" s="153"/>
    </row>
    <row r="781" ht="12.75" customHeight="1">
      <c r="I781" s="153"/>
    </row>
    <row r="782" ht="12.75" customHeight="1">
      <c r="I782" s="153"/>
    </row>
    <row r="783" ht="12.75" customHeight="1">
      <c r="I783" s="153"/>
    </row>
    <row r="784" ht="12.75" customHeight="1">
      <c r="I784" s="153"/>
    </row>
    <row r="785" ht="12.75" customHeight="1">
      <c r="I785" s="153"/>
    </row>
    <row r="786" ht="12.75" customHeight="1">
      <c r="I786" s="153"/>
    </row>
    <row r="787" ht="12.75" customHeight="1">
      <c r="I787" s="153"/>
    </row>
    <row r="788" ht="12.75" customHeight="1">
      <c r="I788" s="153"/>
    </row>
    <row r="789" ht="12.75" customHeight="1">
      <c r="I789" s="153"/>
    </row>
    <row r="790" ht="12.75" customHeight="1">
      <c r="I790" s="153"/>
    </row>
    <row r="791" ht="12.75" customHeight="1">
      <c r="I791" s="153"/>
    </row>
    <row r="792" ht="12.75" customHeight="1">
      <c r="I792" s="153"/>
    </row>
    <row r="793" ht="12.75" customHeight="1">
      <c r="I793" s="153"/>
    </row>
    <row r="794" ht="12.75" customHeight="1">
      <c r="I794" s="153"/>
    </row>
    <row r="795" ht="12.75" customHeight="1">
      <c r="I795" s="153"/>
    </row>
    <row r="796" ht="12.75" customHeight="1">
      <c r="I796" s="153"/>
    </row>
    <row r="797" ht="12.75" customHeight="1">
      <c r="I797" s="153"/>
    </row>
    <row r="798" ht="12.75" customHeight="1">
      <c r="I798" s="153"/>
    </row>
    <row r="799" ht="12.75" customHeight="1">
      <c r="I799" s="153"/>
    </row>
    <row r="800" ht="12.75" customHeight="1">
      <c r="I800" s="153"/>
    </row>
    <row r="801" ht="12.75" customHeight="1">
      <c r="I801" s="153"/>
    </row>
    <row r="802" ht="12.75" customHeight="1">
      <c r="I802" s="153"/>
    </row>
    <row r="803" ht="12.75" customHeight="1">
      <c r="I803" s="153"/>
    </row>
    <row r="804" ht="12.75" customHeight="1">
      <c r="I804" s="153"/>
    </row>
    <row r="805" ht="12.75" customHeight="1">
      <c r="I805" s="153"/>
    </row>
    <row r="806" ht="12.75" customHeight="1">
      <c r="I806" s="153"/>
    </row>
    <row r="807" ht="12.75" customHeight="1">
      <c r="I807" s="153"/>
    </row>
    <row r="808" ht="12.75" customHeight="1">
      <c r="I808" s="153"/>
    </row>
    <row r="809" ht="12.75" customHeight="1">
      <c r="I809" s="153"/>
    </row>
    <row r="810" ht="12.75" customHeight="1">
      <c r="I810" s="153"/>
    </row>
    <row r="811" ht="12.75" customHeight="1">
      <c r="I811" s="153"/>
    </row>
    <row r="812" ht="12.75" customHeight="1">
      <c r="I812" s="153"/>
    </row>
    <row r="813" ht="12.75" customHeight="1">
      <c r="I813" s="153"/>
    </row>
    <row r="814" ht="12.75" customHeight="1">
      <c r="I814" s="153"/>
    </row>
    <row r="815" ht="12.75" customHeight="1">
      <c r="I815" s="153"/>
    </row>
    <row r="816" ht="12.75" customHeight="1">
      <c r="I816" s="153"/>
    </row>
    <row r="817" ht="12.75" customHeight="1">
      <c r="I817" s="153"/>
    </row>
    <row r="818" ht="12.75" customHeight="1">
      <c r="I818" s="153"/>
    </row>
    <row r="819" ht="12.75" customHeight="1">
      <c r="I819" s="153"/>
    </row>
    <row r="820" ht="12.75" customHeight="1">
      <c r="I820" s="153"/>
    </row>
    <row r="821" ht="12.75" customHeight="1">
      <c r="I821" s="153"/>
    </row>
    <row r="822" ht="12.75" customHeight="1">
      <c r="I822" s="153"/>
    </row>
    <row r="823" ht="12.75" customHeight="1">
      <c r="I823" s="153"/>
    </row>
    <row r="824" ht="12.75" customHeight="1">
      <c r="I824" s="153"/>
    </row>
    <row r="825" ht="12.75" customHeight="1">
      <c r="I825" s="153"/>
    </row>
    <row r="826" ht="12.75" customHeight="1">
      <c r="I826" s="153"/>
    </row>
    <row r="827" ht="12.75" customHeight="1">
      <c r="I827" s="153"/>
    </row>
    <row r="828" ht="12.75" customHeight="1">
      <c r="I828" s="153"/>
    </row>
    <row r="829" ht="12.75" customHeight="1">
      <c r="I829" s="153"/>
    </row>
    <row r="830" ht="12.75" customHeight="1">
      <c r="I830" s="153"/>
    </row>
    <row r="831" ht="12.75" customHeight="1">
      <c r="I831" s="153"/>
    </row>
    <row r="832" ht="12.75" customHeight="1">
      <c r="I832" s="153"/>
    </row>
    <row r="833" ht="12.75" customHeight="1">
      <c r="I833" s="153"/>
    </row>
    <row r="834" ht="12.75" customHeight="1">
      <c r="I834" s="153"/>
    </row>
    <row r="835" ht="12.75" customHeight="1">
      <c r="I835" s="153"/>
    </row>
    <row r="836" ht="12.75" customHeight="1">
      <c r="I836" s="153"/>
    </row>
    <row r="837" ht="12.75" customHeight="1">
      <c r="I837" s="153"/>
    </row>
    <row r="838" ht="12.75" customHeight="1">
      <c r="I838" s="153"/>
    </row>
    <row r="839" ht="12.75" customHeight="1">
      <c r="I839" s="153"/>
    </row>
    <row r="840" ht="12.75" customHeight="1">
      <c r="I840" s="153"/>
    </row>
    <row r="841" ht="12.75" customHeight="1">
      <c r="I841" s="153"/>
    </row>
    <row r="842" ht="12.75" customHeight="1">
      <c r="I842" s="153"/>
    </row>
    <row r="843" ht="12.75" customHeight="1">
      <c r="I843" s="153"/>
    </row>
    <row r="844" ht="12.75" customHeight="1">
      <c r="I844" s="153"/>
    </row>
    <row r="845" ht="12.75" customHeight="1">
      <c r="I845" s="153"/>
    </row>
    <row r="846" ht="12.75" customHeight="1">
      <c r="I846" s="153"/>
    </row>
    <row r="847" ht="12.75" customHeight="1">
      <c r="I847" s="153"/>
    </row>
    <row r="848" ht="12.75" customHeight="1">
      <c r="I848" s="153"/>
    </row>
    <row r="849" ht="12.75" customHeight="1">
      <c r="I849" s="153"/>
    </row>
    <row r="850" ht="12.75" customHeight="1">
      <c r="I850" s="153"/>
    </row>
    <row r="851" ht="12.75" customHeight="1">
      <c r="I851" s="153"/>
    </row>
    <row r="852" ht="12.75" customHeight="1">
      <c r="I852" s="153"/>
    </row>
    <row r="853" ht="12.75" customHeight="1">
      <c r="I853" s="153"/>
    </row>
    <row r="854" ht="12.75" customHeight="1">
      <c r="I854" s="153"/>
    </row>
    <row r="855" ht="12.75" customHeight="1">
      <c r="I855" s="153"/>
    </row>
    <row r="856" ht="12.75" customHeight="1">
      <c r="I856" s="153"/>
    </row>
    <row r="857" ht="12.75" customHeight="1">
      <c r="I857" s="153"/>
    </row>
    <row r="858" ht="12.75" customHeight="1">
      <c r="I858" s="153"/>
    </row>
    <row r="859" ht="12.75" customHeight="1">
      <c r="I859" s="153"/>
    </row>
    <row r="860" ht="12.75" customHeight="1">
      <c r="I860" s="153"/>
    </row>
    <row r="861" ht="12.75" customHeight="1">
      <c r="I861" s="153"/>
    </row>
    <row r="862" ht="12.75" customHeight="1">
      <c r="I862" s="153"/>
    </row>
    <row r="863" ht="12.75" customHeight="1">
      <c r="I863" s="153"/>
    </row>
    <row r="864" ht="12.75" customHeight="1">
      <c r="I864" s="153"/>
    </row>
    <row r="865" ht="12.75" customHeight="1">
      <c r="I865" s="153"/>
    </row>
    <row r="866" ht="12.75" customHeight="1">
      <c r="I866" s="153"/>
    </row>
    <row r="867" ht="12.75" customHeight="1">
      <c r="I867" s="153"/>
    </row>
    <row r="868" ht="12.75" customHeight="1">
      <c r="I868" s="153"/>
    </row>
    <row r="869" ht="12.75" customHeight="1">
      <c r="I869" s="153"/>
    </row>
    <row r="870" ht="12.75" customHeight="1">
      <c r="I870" s="153"/>
    </row>
    <row r="871" ht="12.75" customHeight="1">
      <c r="I871" s="153"/>
    </row>
    <row r="872" ht="12.75" customHeight="1">
      <c r="I872" s="153"/>
    </row>
    <row r="873" ht="12.75" customHeight="1">
      <c r="I873" s="153"/>
    </row>
    <row r="874" ht="12.75" customHeight="1">
      <c r="I874" s="153"/>
    </row>
    <row r="875" ht="12.75" customHeight="1">
      <c r="I875" s="153"/>
    </row>
    <row r="876" ht="12.75" customHeight="1">
      <c r="I876" s="153"/>
    </row>
    <row r="877" ht="12.75" customHeight="1">
      <c r="I877" s="153"/>
    </row>
    <row r="878" ht="12.75" customHeight="1">
      <c r="I878" s="153"/>
    </row>
    <row r="879" ht="12.75" customHeight="1">
      <c r="I879" s="153"/>
    </row>
    <row r="880" ht="12.75" customHeight="1">
      <c r="I880" s="153"/>
    </row>
    <row r="881" ht="12.75" customHeight="1">
      <c r="I881" s="153"/>
    </row>
    <row r="882" ht="12.75" customHeight="1">
      <c r="I882" s="153"/>
    </row>
    <row r="883" ht="12.75" customHeight="1">
      <c r="I883" s="153"/>
    </row>
    <row r="884" ht="12.75" customHeight="1">
      <c r="I884" s="153"/>
    </row>
    <row r="885" ht="12.75" customHeight="1">
      <c r="I885" s="153"/>
    </row>
    <row r="886" ht="12.75" customHeight="1">
      <c r="I886" s="153"/>
    </row>
    <row r="887" ht="12.75" customHeight="1">
      <c r="I887" s="153"/>
    </row>
    <row r="888" ht="12.75" customHeight="1">
      <c r="I888" s="153"/>
    </row>
    <row r="889" ht="12.75" customHeight="1">
      <c r="I889" s="153"/>
    </row>
    <row r="890" ht="12.75" customHeight="1">
      <c r="I890" s="153"/>
    </row>
    <row r="891" ht="12.75" customHeight="1">
      <c r="I891" s="153"/>
    </row>
    <row r="892" ht="12.75" customHeight="1">
      <c r="I892" s="153"/>
    </row>
    <row r="893" ht="12.75" customHeight="1">
      <c r="I893" s="153"/>
    </row>
    <row r="894" ht="12.75" customHeight="1">
      <c r="I894" s="153"/>
    </row>
    <row r="895" ht="12.75" customHeight="1">
      <c r="I895" s="153"/>
    </row>
    <row r="896" ht="12.75" customHeight="1">
      <c r="I896" s="153"/>
    </row>
    <row r="897" ht="12.75" customHeight="1">
      <c r="I897" s="153"/>
    </row>
    <row r="898" ht="12.75" customHeight="1">
      <c r="I898" s="153"/>
    </row>
    <row r="899" ht="12.75" customHeight="1">
      <c r="I899" s="153"/>
    </row>
    <row r="900" ht="12.75" customHeight="1">
      <c r="I900" s="153"/>
    </row>
    <row r="901" ht="12.75" customHeight="1">
      <c r="I901" s="153"/>
    </row>
    <row r="902" ht="12.75" customHeight="1">
      <c r="I902" s="153"/>
    </row>
    <row r="903" ht="12.75" customHeight="1">
      <c r="I903" s="153"/>
    </row>
    <row r="904" ht="12.75" customHeight="1">
      <c r="I904" s="153"/>
    </row>
    <row r="905" ht="12.75" customHeight="1">
      <c r="I905" s="153"/>
    </row>
    <row r="906" ht="12.75" customHeight="1">
      <c r="I906" s="153"/>
    </row>
    <row r="907" ht="12.75" customHeight="1">
      <c r="I907" s="153"/>
    </row>
    <row r="908" ht="12.75" customHeight="1">
      <c r="I908" s="153"/>
    </row>
    <row r="909" ht="12.75" customHeight="1">
      <c r="I909" s="153"/>
    </row>
    <row r="910" ht="12.75" customHeight="1">
      <c r="I910" s="153"/>
    </row>
    <row r="911" ht="12.75" customHeight="1">
      <c r="I911" s="153"/>
    </row>
    <row r="912" ht="12.75" customHeight="1">
      <c r="I912" s="153"/>
    </row>
    <row r="913" ht="12.75" customHeight="1">
      <c r="I913" s="153"/>
    </row>
    <row r="914" ht="12.75" customHeight="1">
      <c r="I914" s="153"/>
    </row>
    <row r="915" ht="12.75" customHeight="1">
      <c r="I915" s="153"/>
    </row>
    <row r="916" ht="12.75" customHeight="1">
      <c r="I916" s="153"/>
    </row>
    <row r="917" ht="12.75" customHeight="1">
      <c r="I917" s="153"/>
    </row>
    <row r="918" ht="12.75" customHeight="1">
      <c r="I918" s="153"/>
    </row>
    <row r="919" ht="12.75" customHeight="1">
      <c r="I919" s="153"/>
    </row>
    <row r="920" ht="12.75" customHeight="1">
      <c r="I920" s="153"/>
    </row>
    <row r="921" ht="12.75" customHeight="1">
      <c r="I921" s="153"/>
    </row>
    <row r="922" ht="12.75" customHeight="1">
      <c r="I922" s="153"/>
    </row>
    <row r="923" ht="12.75" customHeight="1">
      <c r="I923" s="153"/>
    </row>
    <row r="924" ht="12.75" customHeight="1">
      <c r="I924" s="153"/>
    </row>
    <row r="925" ht="12.75" customHeight="1">
      <c r="I925" s="153"/>
    </row>
    <row r="926" ht="12.75" customHeight="1">
      <c r="I926" s="153"/>
    </row>
    <row r="927" ht="12.75" customHeight="1">
      <c r="I927" s="153"/>
    </row>
    <row r="928" ht="12.75" customHeight="1">
      <c r="I928" s="153"/>
    </row>
    <row r="929" ht="12.75" customHeight="1">
      <c r="I929" s="153"/>
    </row>
    <row r="930" ht="12.75" customHeight="1">
      <c r="I930" s="153"/>
    </row>
    <row r="931" ht="12.75" customHeight="1">
      <c r="I931" s="153"/>
    </row>
    <row r="932" ht="12.75" customHeight="1">
      <c r="I932" s="153"/>
    </row>
    <row r="933" ht="12.75" customHeight="1">
      <c r="I933" s="153"/>
    </row>
    <row r="934" ht="12.75" customHeight="1">
      <c r="I934" s="153"/>
    </row>
    <row r="935" ht="12.75" customHeight="1">
      <c r="I935" s="153"/>
    </row>
    <row r="936" ht="12.75" customHeight="1">
      <c r="I936" s="153"/>
    </row>
    <row r="937" ht="12.75" customHeight="1">
      <c r="I937" s="153"/>
    </row>
    <row r="938" ht="12.75" customHeight="1">
      <c r="I938" s="153"/>
    </row>
    <row r="939" ht="12.75" customHeight="1">
      <c r="I939" s="153"/>
    </row>
    <row r="940" ht="12.75" customHeight="1">
      <c r="I940" s="153"/>
    </row>
    <row r="941" ht="12.75" customHeight="1">
      <c r="I941" s="153"/>
    </row>
    <row r="942" ht="12.75" customHeight="1">
      <c r="I942" s="153"/>
    </row>
    <row r="943" ht="12.75" customHeight="1">
      <c r="I943" s="153"/>
    </row>
    <row r="944" ht="12.75" customHeight="1">
      <c r="I944" s="153"/>
    </row>
    <row r="945" ht="12.75" customHeight="1">
      <c r="I945" s="153"/>
    </row>
    <row r="946" ht="12.75" customHeight="1">
      <c r="I946" s="153"/>
    </row>
    <row r="947" ht="12.75" customHeight="1">
      <c r="I947" s="153"/>
    </row>
    <row r="948" ht="12.75" customHeight="1">
      <c r="I948" s="153"/>
    </row>
    <row r="949" ht="12.75" customHeight="1">
      <c r="I949" s="153"/>
    </row>
    <row r="950" ht="12.75" customHeight="1">
      <c r="I950" s="153"/>
    </row>
    <row r="951" ht="12.75" customHeight="1">
      <c r="I951" s="153"/>
    </row>
    <row r="952" ht="12.75" customHeight="1">
      <c r="I952" s="153"/>
    </row>
    <row r="953" ht="12.75" customHeight="1">
      <c r="I953" s="153"/>
    </row>
    <row r="954" ht="12.75" customHeight="1">
      <c r="I954" s="153"/>
    </row>
    <row r="955" ht="12.75" customHeight="1">
      <c r="I955" s="153"/>
    </row>
    <row r="956" ht="12.75" customHeight="1">
      <c r="I956" s="153"/>
    </row>
    <row r="957" ht="12.75" customHeight="1">
      <c r="I957" s="153"/>
    </row>
    <row r="958" ht="12.75" customHeight="1">
      <c r="I958" s="153"/>
    </row>
    <row r="959" ht="12.75" customHeight="1">
      <c r="I959" s="153"/>
    </row>
    <row r="960" ht="12.75" customHeight="1">
      <c r="I960" s="153"/>
    </row>
    <row r="961" ht="12.75" customHeight="1">
      <c r="I961" s="153"/>
    </row>
    <row r="962" ht="12.75" customHeight="1">
      <c r="I962" s="153"/>
    </row>
    <row r="963" ht="12.75" customHeight="1">
      <c r="I963" s="153"/>
    </row>
    <row r="964" ht="12.75" customHeight="1">
      <c r="I964" s="153"/>
    </row>
    <row r="965" ht="12.75" customHeight="1">
      <c r="I965" s="153"/>
    </row>
    <row r="966" ht="12.75" customHeight="1">
      <c r="I966" s="153"/>
    </row>
    <row r="967" ht="12.75" customHeight="1">
      <c r="I967" s="153"/>
    </row>
    <row r="968" ht="12.75" customHeight="1">
      <c r="I968" s="153"/>
    </row>
    <row r="969" ht="12.75" customHeight="1">
      <c r="I969" s="153"/>
    </row>
    <row r="970" ht="12.75" customHeight="1">
      <c r="I970" s="153"/>
    </row>
    <row r="971" ht="12.75" customHeight="1">
      <c r="I971" s="153"/>
    </row>
    <row r="972" ht="12.75" customHeight="1">
      <c r="I972" s="153"/>
    </row>
    <row r="973" ht="12.75" customHeight="1">
      <c r="I973" s="153"/>
    </row>
    <row r="974" ht="12.75" customHeight="1">
      <c r="I974" s="153"/>
    </row>
    <row r="975" ht="12.75" customHeight="1">
      <c r="I975" s="153"/>
    </row>
    <row r="976" ht="12.75" customHeight="1">
      <c r="I976" s="153"/>
    </row>
    <row r="977" ht="12.75" customHeight="1">
      <c r="I977" s="153"/>
    </row>
    <row r="978" ht="12.75" customHeight="1">
      <c r="I978" s="153"/>
    </row>
    <row r="979" ht="12.75" customHeight="1">
      <c r="I979" s="153"/>
    </row>
    <row r="980" ht="12.75" customHeight="1">
      <c r="I980" s="153"/>
    </row>
    <row r="981" ht="12.75" customHeight="1">
      <c r="I981" s="153"/>
    </row>
    <row r="982" ht="12.75" customHeight="1">
      <c r="I982" s="153"/>
    </row>
    <row r="983" ht="12.75" customHeight="1">
      <c r="I983" s="153"/>
    </row>
    <row r="984" ht="12.75" customHeight="1">
      <c r="I984" s="153"/>
    </row>
    <row r="985" ht="12.75" customHeight="1">
      <c r="I985" s="153"/>
    </row>
    <row r="986" ht="12.75" customHeight="1">
      <c r="I986" s="153"/>
    </row>
    <row r="987" ht="12.75" customHeight="1">
      <c r="I987" s="153"/>
    </row>
    <row r="988" ht="12.75" customHeight="1">
      <c r="I988" s="153"/>
    </row>
    <row r="989" ht="12.75" customHeight="1">
      <c r="I989" s="153"/>
    </row>
    <row r="990" ht="12.75" customHeight="1">
      <c r="I990" s="153"/>
    </row>
    <row r="991" ht="12.75" customHeight="1">
      <c r="I991" s="153"/>
    </row>
  </sheetData>
  <autoFilter ref="$A$1:$I$116">
    <sortState ref="A1:I116">
      <sortCondition ref="A1:A116"/>
      <sortCondition ref="E1:E116"/>
    </sortState>
  </autoFilter>
  <conditionalFormatting sqref="E2:E119">
    <cfRule type="colorScale" priority="1">
      <colorScale>
        <cfvo type="min"/>
        <cfvo type="percentile" val="50"/>
        <cfvo type="max"/>
        <color rgb="FFF8696B"/>
        <color rgb="FFFFEB84"/>
        <color rgb="FF63BE7B"/>
      </colorScale>
    </cfRule>
  </conditionalFormatting>
  <conditionalFormatting sqref="H2:H119">
    <cfRule type="colorScale" priority="2">
      <colorScale>
        <cfvo type="min"/>
        <cfvo type="percentile" val="50"/>
        <cfvo type="max"/>
        <color rgb="FFF8696B"/>
        <color rgb="FFFFEB84"/>
        <color rgb="FF63BE7B"/>
      </colorScale>
    </cfRule>
  </conditionalFormatting>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theme="0"/>
    <pageSetUpPr/>
  </sheetPr>
  <sheetViews>
    <sheetView workbookViewId="0"/>
  </sheetViews>
  <sheetFormatPr customHeight="1" defaultColWidth="12.63" defaultRowHeight="15.0"/>
  <cols>
    <col customWidth="1" min="1" max="1" width="7.13"/>
    <col customWidth="1" min="2" max="2" width="53.25"/>
    <col customWidth="1" min="3" max="3" width="19.25"/>
    <col customWidth="1" min="4" max="4" width="40.88"/>
    <col customWidth="1" min="5" max="6" width="16.25"/>
    <col customWidth="1" min="7" max="7" width="41.75"/>
    <col customWidth="1" min="8" max="8" width="14.0"/>
    <col customWidth="1" min="9" max="9" width="46.13"/>
    <col customWidth="1" min="10" max="26" width="10.63"/>
  </cols>
  <sheetData>
    <row r="1" ht="36.0" customHeight="1">
      <c r="A1" s="298" t="s">
        <v>82</v>
      </c>
      <c r="B1" s="282" t="s">
        <v>20</v>
      </c>
      <c r="C1" s="299" t="s">
        <v>795</v>
      </c>
      <c r="D1" s="300" t="s">
        <v>796</v>
      </c>
      <c r="E1" s="301" t="s">
        <v>797</v>
      </c>
      <c r="F1" s="286" t="s">
        <v>798</v>
      </c>
      <c r="G1" s="286" t="s">
        <v>799</v>
      </c>
      <c r="H1" s="287" t="s">
        <v>800</v>
      </c>
      <c r="I1" s="288" t="s">
        <v>788</v>
      </c>
      <c r="J1" s="302"/>
      <c r="K1" s="302"/>
      <c r="L1" s="302"/>
      <c r="M1" s="302"/>
      <c r="N1" s="302"/>
      <c r="O1" s="302"/>
      <c r="P1" s="302"/>
      <c r="Q1" s="302"/>
      <c r="R1" s="302"/>
      <c r="S1" s="302"/>
      <c r="T1" s="302"/>
      <c r="U1" s="302"/>
      <c r="V1" s="302"/>
      <c r="W1" s="302"/>
      <c r="X1" s="302"/>
      <c r="Y1" s="302"/>
      <c r="Z1" s="302"/>
    </row>
    <row r="2" ht="12.75" customHeight="1">
      <c r="A2" s="303">
        <v>1.0</v>
      </c>
      <c r="B2" s="290" t="str">
        <f>Acreditados!C25</f>
        <v>Licenciatura en Educación Física, Recreación y Deportes</v>
      </c>
      <c r="C2" s="291">
        <f>Acreditados!I25</f>
        <v>46082</v>
      </c>
      <c r="D2" s="292" t="str">
        <f t="shared" ref="D2:D36" si="1">LET(
  _xlpm.h, TODAY(),
  IF(ISBLANK(C2),
     "SIN FECHA",
     LET(
       _xlpm.dC, C2 - _xlpm.h,
       _xlpm.fC, IF(_xlpm.dC&gt;=0, _xlpm.dC, 99999),
       IF(_xlpm.fC=99999,
          "YA SE VENCIÓ",
          "EL VENCIMIENTO DE RC se vence en " &amp; _xlpm.fC &amp; " días"
       )
     )
  )
)</f>
        <v>YA SE VENCIÓ</v>
      </c>
      <c r="E2" s="293">
        <f t="shared" ref="E2:E36" si="2">LET(
  _xlpm.m, C2 - TODAY(),
  _xlpm.m
)</f>
        <v>-43</v>
      </c>
      <c r="F2" s="294">
        <f>Acreditados!H25</f>
        <v>45658</v>
      </c>
      <c r="G2" s="295" t="str">
        <f t="shared" ref="G2:G36" si="3">LET(
  _xlpm.h, TODAY(),
  IF(ISBLANK(F2),
     "SIN FECHA",
     LET(
       _xlpm.dC, F2 - _xlpm.h,
       _xlpm.fC, IF(_xlpm.dC&gt;=0, _xlpm.dC, 99999),
       IF(_xlpm.fC=99999,
          "YA SE VENCIÓ",
          "EL VENCIMIENTO DE RC se vence en " &amp; _xlpm.fC &amp; " días"
       )
     )
  )
)</f>
        <v>YA SE VENCIÓ</v>
      </c>
      <c r="H2" s="293">
        <f t="shared" ref="H2:H36" si="4">LET(
  _xlpm.m, F2 - TODAY(),
  _xlpm.m
)</f>
        <v>-467</v>
      </c>
      <c r="I2" s="304" t="s">
        <v>801</v>
      </c>
    </row>
    <row r="3" ht="12.75" customHeight="1">
      <c r="A3" s="303">
        <v>2.0</v>
      </c>
      <c r="B3" s="290" t="str">
        <f>Acreditados!C26</f>
        <v>Licenciatura en Educación Artística</v>
      </c>
      <c r="C3" s="291">
        <f>Acreditados!I26</f>
        <v>46082</v>
      </c>
      <c r="D3" s="292" t="str">
        <f t="shared" si="1"/>
        <v>YA SE VENCIÓ</v>
      </c>
      <c r="E3" s="293">
        <f t="shared" si="2"/>
        <v>-43</v>
      </c>
      <c r="F3" s="294">
        <f>Acreditados!H26</f>
        <v>45658</v>
      </c>
      <c r="G3" s="295" t="str">
        <f t="shared" si="3"/>
        <v>YA SE VENCIÓ</v>
      </c>
      <c r="H3" s="293">
        <f t="shared" si="4"/>
        <v>-467</v>
      </c>
      <c r="I3" s="304" t="s">
        <v>801</v>
      </c>
    </row>
    <row r="4" ht="12.75" customHeight="1">
      <c r="A4" s="303">
        <v>3.0</v>
      </c>
      <c r="B4" s="290" t="str">
        <f>Acreditados!C14</f>
        <v>Ingeniería Agroindustrial</v>
      </c>
      <c r="C4" s="291">
        <f>Acreditados!I14</f>
        <v>46220</v>
      </c>
      <c r="D4" s="292" t="str">
        <f t="shared" si="1"/>
        <v>EL VENCIMIENTO DE RC se vence en 95 días</v>
      </c>
      <c r="E4" s="293">
        <f t="shared" si="2"/>
        <v>95</v>
      </c>
      <c r="F4" s="294">
        <f>Acreditados!H14</f>
        <v>45794</v>
      </c>
      <c r="G4" s="295" t="str">
        <f t="shared" si="3"/>
        <v>YA SE VENCIÓ</v>
      </c>
      <c r="H4" s="293">
        <f t="shared" si="4"/>
        <v>-331</v>
      </c>
      <c r="I4" s="304" t="s">
        <v>802</v>
      </c>
    </row>
    <row r="5" ht="12.75" customHeight="1">
      <c r="A5" s="303">
        <v>4.0</v>
      </c>
      <c r="B5" s="290" t="str">
        <f>Acreditados!C37</f>
        <v>Tecnología en Telemática</v>
      </c>
      <c r="C5" s="291">
        <f>Acreditados!I37</f>
        <v>46220</v>
      </c>
      <c r="D5" s="292" t="str">
        <f t="shared" si="1"/>
        <v>EL VENCIMIENTO DE RC se vence en 95 días</v>
      </c>
      <c r="E5" s="293">
        <f t="shared" si="2"/>
        <v>95</v>
      </c>
      <c r="F5" s="294">
        <f>Acreditados!H37</f>
        <v>45794</v>
      </c>
      <c r="G5" s="295" t="str">
        <f t="shared" si="3"/>
        <v>YA SE VENCIÓ</v>
      </c>
      <c r="H5" s="293">
        <f t="shared" si="4"/>
        <v>-331</v>
      </c>
      <c r="I5" s="304" t="s">
        <v>802</v>
      </c>
    </row>
    <row r="6" ht="12.75" customHeight="1">
      <c r="A6" s="303">
        <v>5.0</v>
      </c>
      <c r="B6" s="290" t="str">
        <f>Acreditados!C38</f>
        <v>Ingeniería Electrónica y Telecomunicaciones</v>
      </c>
      <c r="C6" s="291">
        <f>Acreditados!I38</f>
        <v>46489</v>
      </c>
      <c r="D6" s="292" t="str">
        <f t="shared" si="1"/>
        <v>EL VENCIMIENTO DE RC se vence en 364 días</v>
      </c>
      <c r="E6" s="293">
        <f t="shared" si="2"/>
        <v>364</v>
      </c>
      <c r="F6" s="294">
        <f>Acreditados!H38</f>
        <v>46065</v>
      </c>
      <c r="G6" s="295" t="str">
        <f t="shared" si="3"/>
        <v>YA SE VENCIÓ</v>
      </c>
      <c r="H6" s="293">
        <f t="shared" si="4"/>
        <v>-60</v>
      </c>
      <c r="I6" s="304" t="s">
        <v>803</v>
      </c>
    </row>
    <row r="7" ht="12.75" customHeight="1">
      <c r="A7" s="303">
        <v>6.0</v>
      </c>
      <c r="B7" s="290" t="str">
        <f>Acreditados!C10</f>
        <v>Dirección de Banda</v>
      </c>
      <c r="C7" s="291">
        <f>Acreditados!I10</f>
        <v>46497</v>
      </c>
      <c r="D7" s="292" t="str">
        <f t="shared" si="1"/>
        <v>EL VENCIMIENTO DE RC se vence en 372 días</v>
      </c>
      <c r="E7" s="293">
        <f t="shared" si="2"/>
        <v>372</v>
      </c>
      <c r="F7" s="294">
        <f>Acreditados!H10</f>
        <v>46073</v>
      </c>
      <c r="G7" s="295" t="str">
        <f t="shared" si="3"/>
        <v>YA SE VENCIÓ</v>
      </c>
      <c r="H7" s="293">
        <f t="shared" si="4"/>
        <v>-52</v>
      </c>
      <c r="I7" s="304" t="s">
        <v>803</v>
      </c>
    </row>
    <row r="8" ht="12.75" customHeight="1">
      <c r="A8" s="303">
        <v>7.0</v>
      </c>
      <c r="B8" s="290" t="str">
        <f>Acreditados!C21</f>
        <v>Licenciatura en Lenguas Modernas con énfasis en Inglés y Francés</v>
      </c>
      <c r="C8" s="291">
        <f>Acreditados!I21</f>
        <v>46497</v>
      </c>
      <c r="D8" s="292" t="str">
        <f t="shared" si="1"/>
        <v>EL VENCIMIENTO DE RC se vence en 372 días</v>
      </c>
      <c r="E8" s="293">
        <f t="shared" si="2"/>
        <v>372</v>
      </c>
      <c r="F8" s="294">
        <f>Acreditados!H21</f>
        <v>46073</v>
      </c>
      <c r="G8" s="295" t="str">
        <f t="shared" si="3"/>
        <v>YA SE VENCIÓ</v>
      </c>
      <c r="H8" s="293">
        <f t="shared" si="4"/>
        <v>-52</v>
      </c>
      <c r="I8" s="304" t="s">
        <v>803</v>
      </c>
    </row>
    <row r="9" ht="12.75" customHeight="1">
      <c r="A9" s="303">
        <v>8.0</v>
      </c>
      <c r="B9" s="290" t="str">
        <f>Acreditados!C22</f>
        <v>Historia</v>
      </c>
      <c r="C9" s="291">
        <f>Acreditados!I22</f>
        <v>46497</v>
      </c>
      <c r="D9" s="292" t="str">
        <f t="shared" si="1"/>
        <v>EL VENCIMIENTO DE RC se vence en 372 días</v>
      </c>
      <c r="E9" s="293">
        <f t="shared" si="2"/>
        <v>372</v>
      </c>
      <c r="F9" s="294">
        <f>Acreditados!H22</f>
        <v>46073</v>
      </c>
      <c r="G9" s="295" t="str">
        <f t="shared" si="3"/>
        <v>YA SE VENCIÓ</v>
      </c>
      <c r="H9" s="293">
        <f t="shared" si="4"/>
        <v>-52</v>
      </c>
      <c r="I9" s="304" t="s">
        <v>803</v>
      </c>
    </row>
    <row r="10" ht="12.75" customHeight="1">
      <c r="A10" s="303">
        <v>9.0</v>
      </c>
      <c r="B10" s="290" t="str">
        <f>Acreditados!C27</f>
        <v>Biología</v>
      </c>
      <c r="C10" s="291">
        <f>Acreditados!I27</f>
        <v>46507</v>
      </c>
      <c r="D10" s="292" t="str">
        <f t="shared" si="1"/>
        <v>EL VENCIMIENTO DE RC se vence en 382 días</v>
      </c>
      <c r="E10" s="293">
        <f t="shared" si="2"/>
        <v>382</v>
      </c>
      <c r="F10" s="294">
        <f>Acreditados!H27</f>
        <v>46081</v>
      </c>
      <c r="G10" s="295" t="str">
        <f t="shared" si="3"/>
        <v>YA SE VENCIÓ</v>
      </c>
      <c r="H10" s="293">
        <f t="shared" si="4"/>
        <v>-44</v>
      </c>
      <c r="I10" s="304" t="s">
        <v>803</v>
      </c>
    </row>
    <row r="11" ht="12.75" customHeight="1">
      <c r="A11" s="303">
        <v>10.0</v>
      </c>
      <c r="B11" s="290" t="str">
        <f>Acreditados!C28</f>
        <v>Matemáticas</v>
      </c>
      <c r="C11" s="291">
        <f>Acreditados!I28</f>
        <v>46515</v>
      </c>
      <c r="D11" s="292" t="str">
        <f t="shared" si="1"/>
        <v>EL VENCIMIENTO DE RC se vence en 390 días</v>
      </c>
      <c r="E11" s="293">
        <f t="shared" si="2"/>
        <v>390</v>
      </c>
      <c r="F11" s="294">
        <f>Acreditados!H28</f>
        <v>46089</v>
      </c>
      <c r="G11" s="295" t="str">
        <f t="shared" si="3"/>
        <v>YA SE VENCIÓ</v>
      </c>
      <c r="H11" s="293">
        <f t="shared" si="4"/>
        <v>-36</v>
      </c>
      <c r="I11" s="304" t="s">
        <v>803</v>
      </c>
    </row>
    <row r="12" ht="12.75" customHeight="1">
      <c r="A12" s="303">
        <v>11.0</v>
      </c>
      <c r="B12" s="290" t="str">
        <f>Acreditados!C17</f>
        <v>Economía</v>
      </c>
      <c r="C12" s="291">
        <f>Acreditados!I17</f>
        <v>46532</v>
      </c>
      <c r="D12" s="292" t="str">
        <f t="shared" si="1"/>
        <v>EL VENCIMIENTO DE RC se vence en 407 días</v>
      </c>
      <c r="E12" s="293">
        <f t="shared" si="2"/>
        <v>407</v>
      </c>
      <c r="F12" s="294">
        <f>Acreditados!H17</f>
        <v>46106</v>
      </c>
      <c r="G12" s="295" t="str">
        <f t="shared" si="3"/>
        <v>YA SE VENCIÓ</v>
      </c>
      <c r="H12" s="293">
        <f t="shared" si="4"/>
        <v>-19</v>
      </c>
      <c r="I12" s="296"/>
    </row>
    <row r="13" ht="12.75" customHeight="1">
      <c r="A13" s="303">
        <v>12.0</v>
      </c>
      <c r="B13" s="290" t="str">
        <f>Acreditados!C39</f>
        <v>Maestría en Ingeniería Telemática</v>
      </c>
      <c r="C13" s="291">
        <f>Acreditados!I39</f>
        <v>46592</v>
      </c>
      <c r="D13" s="292" t="str">
        <f t="shared" si="1"/>
        <v>EL VENCIMIENTO DE RC se vence en 467 días</v>
      </c>
      <c r="E13" s="293">
        <f t="shared" si="2"/>
        <v>467</v>
      </c>
      <c r="F13" s="294">
        <f>Acreditados!H39</f>
        <v>46166</v>
      </c>
      <c r="G13" s="295" t="str">
        <f t="shared" si="3"/>
        <v>EL VENCIMIENTO DE RC se vence en 41 días</v>
      </c>
      <c r="H13" s="293">
        <f t="shared" si="4"/>
        <v>41</v>
      </c>
      <c r="I13" s="296"/>
    </row>
    <row r="14" ht="12.75" customHeight="1">
      <c r="A14" s="303">
        <v>13.0</v>
      </c>
      <c r="B14" s="290" t="str">
        <f>Acreditados!C23</f>
        <v>Licenciatura en Literatura y Lengua Castellana</v>
      </c>
      <c r="C14" s="291">
        <f>Acreditados!I23</f>
        <v>46622</v>
      </c>
      <c r="D14" s="292" t="str">
        <f t="shared" si="1"/>
        <v>EL VENCIMIENTO DE RC se vence en 497 días</v>
      </c>
      <c r="E14" s="293">
        <f t="shared" si="2"/>
        <v>497</v>
      </c>
      <c r="F14" s="294">
        <f>Acreditados!H23</f>
        <v>46196</v>
      </c>
      <c r="G14" s="295" t="str">
        <f t="shared" si="3"/>
        <v>EL VENCIMIENTO DE RC se vence en 71 días</v>
      </c>
      <c r="H14" s="293">
        <f t="shared" si="4"/>
        <v>71</v>
      </c>
      <c r="I14" s="296"/>
    </row>
    <row r="15" ht="12.75" customHeight="1">
      <c r="A15" s="303">
        <v>14.0</v>
      </c>
      <c r="B15" s="290" t="str">
        <f>Acreditados!C41</f>
        <v>Doctorado en Ingeniería Telemática</v>
      </c>
      <c r="C15" s="291">
        <f>Acreditados!I41</f>
        <v>46638</v>
      </c>
      <c r="D15" s="292" t="str">
        <f t="shared" si="1"/>
        <v>EL VENCIMIENTO DE RC se vence en 513 días</v>
      </c>
      <c r="E15" s="293">
        <f t="shared" si="2"/>
        <v>513</v>
      </c>
      <c r="F15" s="294">
        <f>Acreditados!H41</f>
        <v>46211</v>
      </c>
      <c r="G15" s="295" t="str">
        <f t="shared" si="3"/>
        <v>EL VENCIMIENTO DE RC se vence en 86 días</v>
      </c>
      <c r="H15" s="293">
        <f t="shared" si="4"/>
        <v>86</v>
      </c>
      <c r="I15" s="296"/>
    </row>
    <row r="16" ht="12.75" customHeight="1">
      <c r="A16" s="303">
        <v>15.0</v>
      </c>
      <c r="B16" s="290" t="str">
        <f>Acreditados!C44</f>
        <v>Maestría en Automática</v>
      </c>
      <c r="C16" s="291">
        <f>Acreditados!I44</f>
        <v>46691</v>
      </c>
      <c r="D16" s="292" t="str">
        <f t="shared" si="1"/>
        <v>EL VENCIMIENTO DE RC se vence en 566 días</v>
      </c>
      <c r="E16" s="293">
        <f t="shared" si="2"/>
        <v>566</v>
      </c>
      <c r="F16" s="294">
        <f>Acreditados!H44</f>
        <v>46265</v>
      </c>
      <c r="G16" s="295" t="str">
        <f t="shared" si="3"/>
        <v>EL VENCIMIENTO DE RC se vence en 140 días</v>
      </c>
      <c r="H16" s="293">
        <f t="shared" si="4"/>
        <v>140</v>
      </c>
      <c r="I16" s="296"/>
    </row>
    <row r="17" ht="12.75" customHeight="1">
      <c r="A17" s="303">
        <v>16.0</v>
      </c>
      <c r="B17" s="290" t="str">
        <f>Acreditados!C18</f>
        <v>Medicina</v>
      </c>
      <c r="C17" s="291">
        <f>Acreditados!I18</f>
        <v>46721</v>
      </c>
      <c r="D17" s="292" t="str">
        <f t="shared" si="1"/>
        <v>EL VENCIMIENTO DE RC se vence en 596 días</v>
      </c>
      <c r="E17" s="293">
        <f t="shared" si="2"/>
        <v>596</v>
      </c>
      <c r="F17" s="294">
        <f>Acreditados!H18</f>
        <v>46295</v>
      </c>
      <c r="G17" s="295" t="str">
        <f t="shared" si="3"/>
        <v>EL VENCIMIENTO DE RC se vence en 170 días</v>
      </c>
      <c r="H17" s="293">
        <f t="shared" si="4"/>
        <v>170</v>
      </c>
      <c r="I17" s="296"/>
    </row>
    <row r="18" ht="12.75" customHeight="1">
      <c r="A18" s="303">
        <v>17.0</v>
      </c>
      <c r="B18" s="290" t="str">
        <f>Acreditados!C15</f>
        <v>Ingeniería Agropecuaria </v>
      </c>
      <c r="C18" s="291">
        <f>Acreditados!I15</f>
        <v>46813</v>
      </c>
      <c r="D18" s="292" t="str">
        <f t="shared" si="1"/>
        <v>EL VENCIMIENTO DE RC se vence en 688 días</v>
      </c>
      <c r="E18" s="293">
        <f t="shared" si="2"/>
        <v>688</v>
      </c>
      <c r="F18" s="294">
        <f>Acreditados!H15</f>
        <v>46388</v>
      </c>
      <c r="G18" s="295" t="str">
        <f t="shared" si="3"/>
        <v>EL VENCIMIENTO DE RC se vence en 263 días</v>
      </c>
      <c r="H18" s="293">
        <f t="shared" si="4"/>
        <v>263</v>
      </c>
      <c r="I18" s="296"/>
    </row>
    <row r="19" ht="12.75" customHeight="1">
      <c r="A19" s="303">
        <v>18.0</v>
      </c>
      <c r="B19" s="290" t="str">
        <f>Acreditados!C42</f>
        <v>Ingeniería de Sistemas</v>
      </c>
      <c r="C19" s="291">
        <f>Acreditados!I42</f>
        <v>46817</v>
      </c>
      <c r="D19" s="292" t="str">
        <f t="shared" si="1"/>
        <v>EL VENCIMIENTO DE RC se vence en 692 días</v>
      </c>
      <c r="E19" s="293">
        <f t="shared" si="2"/>
        <v>692</v>
      </c>
      <c r="F19" s="294">
        <f>Acreditados!H42</f>
        <v>46392</v>
      </c>
      <c r="G19" s="295" t="str">
        <f t="shared" si="3"/>
        <v>EL VENCIMIENTO DE RC se vence en 267 días</v>
      </c>
      <c r="H19" s="293">
        <f t="shared" si="4"/>
        <v>267</v>
      </c>
      <c r="I19" s="296"/>
    </row>
    <row r="20" ht="12.75" customHeight="1">
      <c r="A20" s="303">
        <v>19.0</v>
      </c>
      <c r="B20" s="290" t="str">
        <f>Acreditados!C11</f>
        <v>Licenciatura en Música</v>
      </c>
      <c r="C20" s="291">
        <f>Acreditados!I11</f>
        <v>47152</v>
      </c>
      <c r="D20" s="292" t="str">
        <f t="shared" si="1"/>
        <v>EL VENCIMIENTO DE RC se vence en 1027 días</v>
      </c>
      <c r="E20" s="293">
        <f t="shared" si="2"/>
        <v>1027</v>
      </c>
      <c r="F20" s="294">
        <f>Acreditados!H11</f>
        <v>46724</v>
      </c>
      <c r="G20" s="295" t="str">
        <f t="shared" si="3"/>
        <v>EL VENCIMIENTO DE RC se vence en 599 días</v>
      </c>
      <c r="H20" s="293">
        <f t="shared" si="4"/>
        <v>599</v>
      </c>
      <c r="I20" s="296"/>
    </row>
    <row r="21" ht="12.75" customHeight="1">
      <c r="A21" s="303">
        <v>20.0</v>
      </c>
      <c r="B21" s="290" t="str">
        <f>Acreditados!C12</f>
        <v>Música Instrumental</v>
      </c>
      <c r="C21" s="291">
        <f>Acreditados!I12</f>
        <v>47152</v>
      </c>
      <c r="D21" s="292" t="str">
        <f t="shared" si="1"/>
        <v>EL VENCIMIENTO DE RC se vence en 1027 días</v>
      </c>
      <c r="E21" s="293">
        <f t="shared" si="2"/>
        <v>1027</v>
      </c>
      <c r="F21" s="294">
        <f>Acreditados!H12</f>
        <v>46724</v>
      </c>
      <c r="G21" s="295" t="str">
        <f t="shared" si="3"/>
        <v>EL VENCIMIENTO DE RC se vence en 599 días</v>
      </c>
      <c r="H21" s="293">
        <f t="shared" si="4"/>
        <v>599</v>
      </c>
      <c r="I21" s="296"/>
    </row>
    <row r="22" ht="12.75" customHeight="1">
      <c r="A22" s="303">
        <v>21.0</v>
      </c>
      <c r="B22" s="290" t="str">
        <f>Acreditados!C29</f>
        <v>Licenciatura en Ciencias Naturales y Educación Ambiental</v>
      </c>
      <c r="C22" s="291">
        <f>Acreditados!I29</f>
        <v>47152</v>
      </c>
      <c r="D22" s="292" t="str">
        <f t="shared" si="1"/>
        <v>EL VENCIMIENTO DE RC se vence en 1027 días</v>
      </c>
      <c r="E22" s="293">
        <f t="shared" si="2"/>
        <v>1027</v>
      </c>
      <c r="F22" s="294">
        <f>Acreditados!H29</f>
        <v>46724</v>
      </c>
      <c r="G22" s="295" t="str">
        <f t="shared" si="3"/>
        <v>EL VENCIMIENTO DE RC se vence en 599 días</v>
      </c>
      <c r="H22" s="293">
        <f t="shared" si="4"/>
        <v>599</v>
      </c>
      <c r="I22" s="296"/>
    </row>
    <row r="23" ht="12.75" customHeight="1">
      <c r="A23" s="303">
        <v>22.0</v>
      </c>
      <c r="B23" s="290" t="str">
        <f>Acreditados!C30</f>
        <v>Licenciatura en Educación Básica Primaria</v>
      </c>
      <c r="C23" s="291">
        <f>Acreditados!I30</f>
        <v>47152</v>
      </c>
      <c r="D23" s="292" t="str">
        <f t="shared" si="1"/>
        <v>EL VENCIMIENTO DE RC se vence en 1027 días</v>
      </c>
      <c r="E23" s="293">
        <f t="shared" si="2"/>
        <v>1027</v>
      </c>
      <c r="F23" s="294">
        <f>Acreditados!H30</f>
        <v>46724</v>
      </c>
      <c r="G23" s="295" t="str">
        <f t="shared" si="3"/>
        <v>EL VENCIMIENTO DE RC se vence en 599 días</v>
      </c>
      <c r="H23" s="293">
        <f t="shared" si="4"/>
        <v>599</v>
      </c>
      <c r="I23" s="296"/>
    </row>
    <row r="24" ht="12.75" customHeight="1">
      <c r="A24" s="303">
        <v>23.0</v>
      </c>
      <c r="B24" s="290" t="str">
        <f>Acreditados!C13</f>
        <v>Diseño Gráfico</v>
      </c>
      <c r="C24" s="291">
        <f>Acreditados!I13</f>
        <v>47228</v>
      </c>
      <c r="D24" s="292" t="str">
        <f t="shared" si="1"/>
        <v>EL VENCIMIENTO DE RC se vence en 1103 días</v>
      </c>
      <c r="E24" s="293">
        <f t="shared" si="2"/>
        <v>1103</v>
      </c>
      <c r="F24" s="294">
        <f>Acreditados!H13</f>
        <v>46803</v>
      </c>
      <c r="G24" s="295" t="str">
        <f t="shared" si="3"/>
        <v>EL VENCIMIENTO DE RC se vence en 678 días</v>
      </c>
      <c r="H24" s="293">
        <f t="shared" si="4"/>
        <v>678</v>
      </c>
      <c r="I24" s="296"/>
    </row>
    <row r="25" ht="12.75" customHeight="1">
      <c r="A25" s="303">
        <v>24.0</v>
      </c>
      <c r="B25" s="290" t="str">
        <f>Acreditados!C36</f>
        <v>Ingeniería Civil</v>
      </c>
      <c r="C25" s="291">
        <f>Acreditados!I36</f>
        <v>47263</v>
      </c>
      <c r="D25" s="292" t="str">
        <f t="shared" si="1"/>
        <v>EL VENCIMIENTO DE RC se vence en 1138 días</v>
      </c>
      <c r="E25" s="293">
        <f t="shared" si="2"/>
        <v>1138</v>
      </c>
      <c r="F25" s="294">
        <f>Acreditados!H36</f>
        <v>46837</v>
      </c>
      <c r="G25" s="295" t="str">
        <f t="shared" si="3"/>
        <v>EL VENCIMIENTO DE RC se vence en 712 días</v>
      </c>
      <c r="H25" s="293">
        <f t="shared" si="4"/>
        <v>712</v>
      </c>
      <c r="I25" s="296"/>
    </row>
    <row r="26" ht="12.75" customHeight="1">
      <c r="A26" s="303">
        <v>25.0</v>
      </c>
      <c r="B26" s="290" t="str">
        <f>Acreditados!C31</f>
        <v>Química</v>
      </c>
      <c r="C26" s="291">
        <f>Acreditados!I31</f>
        <v>47267</v>
      </c>
      <c r="D26" s="292" t="str">
        <f t="shared" si="1"/>
        <v>EL VENCIMIENTO DE RC se vence en 1142 días</v>
      </c>
      <c r="E26" s="293">
        <f t="shared" si="2"/>
        <v>1142</v>
      </c>
      <c r="F26" s="294">
        <f>Acreditados!H31</f>
        <v>46841</v>
      </c>
      <c r="G26" s="295" t="str">
        <f t="shared" si="3"/>
        <v>EL VENCIMIENTO DE RC se vence en 716 días</v>
      </c>
      <c r="H26" s="293">
        <f t="shared" si="4"/>
        <v>716</v>
      </c>
      <c r="I26" s="296"/>
    </row>
    <row r="27" ht="12.75" customHeight="1">
      <c r="A27" s="303">
        <v>26.0</v>
      </c>
      <c r="B27" s="290" t="str">
        <f>Acreditados!C19</f>
        <v>Fisioterapia</v>
      </c>
      <c r="C27" s="291">
        <f>Acreditados!I19</f>
        <v>47304</v>
      </c>
      <c r="D27" s="292" t="str">
        <f t="shared" si="1"/>
        <v>EL VENCIMIENTO DE RC se vence en 1179 días</v>
      </c>
      <c r="E27" s="293">
        <f t="shared" si="2"/>
        <v>1179</v>
      </c>
      <c r="F27" s="294">
        <f>Acreditados!H19</f>
        <v>46878</v>
      </c>
      <c r="G27" s="295" t="str">
        <f t="shared" si="3"/>
        <v>EL VENCIMIENTO DE RC se vence en 753 días</v>
      </c>
      <c r="H27" s="293">
        <f t="shared" si="4"/>
        <v>753</v>
      </c>
      <c r="I27" s="296"/>
    </row>
    <row r="28" ht="12.75" customHeight="1">
      <c r="A28" s="303">
        <v>27.0</v>
      </c>
      <c r="B28" s="290" t="str">
        <f>Acreditados!C20</f>
        <v>Enfermería</v>
      </c>
      <c r="C28" s="291">
        <f>Acreditados!I20</f>
        <v>47353</v>
      </c>
      <c r="D28" s="292" t="str">
        <f t="shared" si="1"/>
        <v>EL VENCIMIENTO DE RC se vence en 1228 días</v>
      </c>
      <c r="E28" s="293">
        <f t="shared" si="2"/>
        <v>1228</v>
      </c>
      <c r="F28" s="294">
        <f>Acreditados!H20</f>
        <v>46927</v>
      </c>
      <c r="G28" s="295" t="str">
        <f t="shared" si="3"/>
        <v>EL VENCIMIENTO DE RC se vence en 802 días</v>
      </c>
      <c r="H28" s="293">
        <f t="shared" si="4"/>
        <v>802</v>
      </c>
      <c r="I28" s="296"/>
    </row>
    <row r="29" ht="12.75" customHeight="1">
      <c r="A29" s="303">
        <v>28.0</v>
      </c>
      <c r="B29" s="290" t="str">
        <f>Acreditados!C33</f>
        <v>Doctorado en Ciencias de la Educación</v>
      </c>
      <c r="C29" s="291">
        <f>Acreditados!I33</f>
        <v>47381</v>
      </c>
      <c r="D29" s="292" t="str">
        <f t="shared" si="1"/>
        <v>EL VENCIMIENTO DE RC se vence en 1256 días</v>
      </c>
      <c r="E29" s="293">
        <f t="shared" si="2"/>
        <v>1256</v>
      </c>
      <c r="F29" s="294">
        <f>Acreditados!H33</f>
        <v>46954</v>
      </c>
      <c r="G29" s="295" t="str">
        <f t="shared" si="3"/>
        <v>EL VENCIMIENTO DE RC se vence en 829 días</v>
      </c>
      <c r="H29" s="293">
        <f t="shared" si="4"/>
        <v>829</v>
      </c>
      <c r="I29" s="296"/>
    </row>
    <row r="30" ht="12.75" customHeight="1">
      <c r="A30" s="303">
        <v>29.0</v>
      </c>
      <c r="B30" s="290" t="str">
        <f>Acreditados!C40</f>
        <v>Doctorado en Ciencias de la Electrónica</v>
      </c>
      <c r="C30" s="291">
        <f>Acreditados!I40</f>
        <v>47422</v>
      </c>
      <c r="D30" s="292" t="str">
        <f t="shared" si="1"/>
        <v>EL VENCIMIENTO DE RC se vence en 1297 días</v>
      </c>
      <c r="E30" s="293">
        <f t="shared" si="2"/>
        <v>1297</v>
      </c>
      <c r="F30" s="294">
        <f>Acreditados!H40</f>
        <v>46996</v>
      </c>
      <c r="G30" s="295" t="str">
        <f t="shared" si="3"/>
        <v>EL VENCIMIENTO DE RC se vence en 871 días</v>
      </c>
      <c r="H30" s="293">
        <f t="shared" si="4"/>
        <v>871</v>
      </c>
      <c r="I30" s="296"/>
    </row>
    <row r="31" ht="12.75" customHeight="1">
      <c r="A31" s="303">
        <v>30.0</v>
      </c>
      <c r="B31" s="290" t="str">
        <f>Acreditados!C43</f>
        <v>Maestría en Computación</v>
      </c>
      <c r="C31" s="291">
        <f>Acreditados!I43</f>
        <v>47424</v>
      </c>
      <c r="D31" s="292" t="str">
        <f t="shared" si="1"/>
        <v>EL VENCIMIENTO DE RC se vence en 1299 días</v>
      </c>
      <c r="E31" s="293">
        <f t="shared" si="2"/>
        <v>1299</v>
      </c>
      <c r="F31" s="294">
        <f>Acreditados!H43</f>
        <v>46998</v>
      </c>
      <c r="G31" s="295" t="str">
        <f t="shared" si="3"/>
        <v>EL VENCIMIENTO DE RC se vence en 873 días</v>
      </c>
      <c r="H31" s="293">
        <f t="shared" si="4"/>
        <v>873</v>
      </c>
      <c r="I31" s="296"/>
    </row>
    <row r="32" ht="12.75" customHeight="1">
      <c r="A32" s="303">
        <v>31.0</v>
      </c>
      <c r="B32" s="290" t="str">
        <f>Acreditados!C32</f>
        <v>Maestría en Recursos Hidrobiológicos Continentales</v>
      </c>
      <c r="C32" s="291">
        <f>Acreditados!I32</f>
        <v>47445</v>
      </c>
      <c r="D32" s="292" t="str">
        <f t="shared" si="1"/>
        <v>EL VENCIMIENTO DE RC se vence en 1320 días</v>
      </c>
      <c r="E32" s="293">
        <f t="shared" si="2"/>
        <v>1320</v>
      </c>
      <c r="F32" s="294">
        <f>Acreditados!H32</f>
        <v>47019</v>
      </c>
      <c r="G32" s="295" t="str">
        <f t="shared" si="3"/>
        <v>EL VENCIMIENTO DE RC se vence en 894 días</v>
      </c>
      <c r="H32" s="293">
        <f t="shared" si="4"/>
        <v>894</v>
      </c>
      <c r="I32" s="296"/>
    </row>
    <row r="33" ht="12.75" customHeight="1">
      <c r="A33" s="303">
        <v>32.0</v>
      </c>
      <c r="B33" s="290" t="str">
        <f>Acreditados!C35</f>
        <v>Doctorado en Ciencias Ambientales</v>
      </c>
      <c r="C33" s="291">
        <f>Acreditados!I35</f>
        <v>47527</v>
      </c>
      <c r="D33" s="292" t="str">
        <f t="shared" si="1"/>
        <v>EL VENCIMIENTO DE RC se vence en 1402 días</v>
      </c>
      <c r="E33" s="293">
        <f t="shared" si="2"/>
        <v>1402</v>
      </c>
      <c r="F33" s="294">
        <f>Acreditados!H35</f>
        <v>47100</v>
      </c>
      <c r="G33" s="295" t="str">
        <f t="shared" si="3"/>
        <v>EL VENCIMIENTO DE RC se vence en 975 días</v>
      </c>
      <c r="H33" s="293">
        <f t="shared" si="4"/>
        <v>975</v>
      </c>
      <c r="I33" s="296"/>
    </row>
    <row r="34" ht="12.75" customHeight="1">
      <c r="A34" s="303">
        <v>33.0</v>
      </c>
      <c r="B34" s="290" t="str">
        <f>Acreditados!C34</f>
        <v>Licenciatura en Matemáticas </v>
      </c>
      <c r="C34" s="291">
        <f>Acreditados!I34</f>
        <v>47542</v>
      </c>
      <c r="D34" s="292" t="str">
        <f t="shared" si="1"/>
        <v>EL VENCIMIENTO DE RC se vence en 1417 días</v>
      </c>
      <c r="E34" s="293">
        <f t="shared" si="2"/>
        <v>1417</v>
      </c>
      <c r="F34" s="294">
        <f>Acreditados!H34</f>
        <v>47115</v>
      </c>
      <c r="G34" s="295" t="str">
        <f t="shared" si="3"/>
        <v>EL VENCIMIENTO DE RC se vence en 990 días</v>
      </c>
      <c r="H34" s="293">
        <f t="shared" si="4"/>
        <v>990</v>
      </c>
      <c r="I34" s="296"/>
    </row>
    <row r="35" ht="12.75" customHeight="1">
      <c r="A35" s="303">
        <v>34.0</v>
      </c>
      <c r="B35" s="290" t="str">
        <f>Acreditados!C16</f>
        <v>Ingeniería Forestal</v>
      </c>
      <c r="C35" s="291">
        <f>Acreditados!I16</f>
        <v>47962</v>
      </c>
      <c r="D35" s="292" t="str">
        <f t="shared" si="1"/>
        <v>EL VENCIMIENTO DE RC se vence en 1837 días</v>
      </c>
      <c r="E35" s="293">
        <f t="shared" si="2"/>
        <v>1837</v>
      </c>
      <c r="F35" s="294">
        <f>Acreditados!H16</f>
        <v>47538</v>
      </c>
      <c r="G35" s="295" t="str">
        <f t="shared" si="3"/>
        <v>EL VENCIMIENTO DE RC se vence en 1413 días</v>
      </c>
      <c r="H35" s="293">
        <f t="shared" si="4"/>
        <v>1413</v>
      </c>
      <c r="I35" s="296"/>
    </row>
    <row r="36" ht="12.75" customHeight="1">
      <c r="A36" s="303">
        <v>35.0</v>
      </c>
      <c r="B36" s="290" t="str">
        <f>Acreditados!C24</f>
        <v>Antropología </v>
      </c>
      <c r="C36" s="291">
        <f>Acreditados!I24</f>
        <v>48022</v>
      </c>
      <c r="D36" s="292" t="str">
        <f t="shared" si="1"/>
        <v>EL VENCIMIENTO DE RC se vence en 1897 días</v>
      </c>
      <c r="E36" s="293">
        <f t="shared" si="2"/>
        <v>1897</v>
      </c>
      <c r="F36" s="294">
        <f>Acreditados!H24</f>
        <v>47596</v>
      </c>
      <c r="G36" s="295" t="str">
        <f t="shared" si="3"/>
        <v>EL VENCIMIENTO DE RC se vence en 1471 días</v>
      </c>
      <c r="H36" s="293">
        <f t="shared" si="4"/>
        <v>1471</v>
      </c>
      <c r="I36" s="296"/>
    </row>
    <row r="37" ht="12.75" customHeight="1">
      <c r="I37" s="153"/>
    </row>
    <row r="38" ht="12.75" customHeight="1">
      <c r="I38" s="153"/>
    </row>
    <row r="39" ht="12.75" customHeight="1">
      <c r="I39" s="153"/>
    </row>
    <row r="40" ht="12.75" customHeight="1">
      <c r="I40" s="153"/>
    </row>
    <row r="41" ht="12.75" customHeight="1">
      <c r="I41" s="153"/>
    </row>
    <row r="42" ht="12.75" customHeight="1">
      <c r="I42" s="153"/>
    </row>
    <row r="43" ht="12.75" customHeight="1">
      <c r="I43" s="153"/>
    </row>
    <row r="44" ht="12.75" customHeight="1">
      <c r="I44" s="153"/>
    </row>
    <row r="45" ht="12.75" customHeight="1">
      <c r="I45" s="153"/>
    </row>
    <row r="46" ht="12.75" customHeight="1">
      <c r="I46" s="153"/>
    </row>
    <row r="47" ht="12.75" customHeight="1">
      <c r="I47" s="153"/>
    </row>
    <row r="48" ht="12.75" customHeight="1">
      <c r="I48" s="153"/>
    </row>
    <row r="49" ht="12.75" customHeight="1">
      <c r="I49" s="153"/>
    </row>
    <row r="50" ht="12.75" customHeight="1">
      <c r="I50" s="153"/>
    </row>
    <row r="51" ht="12.75" customHeight="1">
      <c r="I51" s="153"/>
    </row>
    <row r="52" ht="12.75" customHeight="1">
      <c r="I52" s="153"/>
    </row>
    <row r="53" ht="12.75" customHeight="1">
      <c r="I53" s="153"/>
    </row>
    <row r="54" ht="12.75" customHeight="1">
      <c r="I54" s="153"/>
    </row>
    <row r="55" ht="12.75" customHeight="1">
      <c r="I55" s="153"/>
    </row>
    <row r="56" ht="12.75" customHeight="1">
      <c r="I56" s="153"/>
    </row>
    <row r="57" ht="12.75" customHeight="1">
      <c r="I57" s="153"/>
    </row>
    <row r="58" ht="12.75" customHeight="1">
      <c r="I58" s="153"/>
    </row>
    <row r="59" ht="12.75" customHeight="1">
      <c r="I59" s="153"/>
    </row>
    <row r="60" ht="12.75" customHeight="1">
      <c r="I60" s="153"/>
    </row>
    <row r="61" ht="12.75" customHeight="1">
      <c r="I61" s="153"/>
    </row>
    <row r="62" ht="12.75" customHeight="1">
      <c r="I62" s="153"/>
    </row>
    <row r="63" ht="12.75" customHeight="1">
      <c r="I63" s="153"/>
    </row>
    <row r="64" ht="12.75" customHeight="1">
      <c r="I64" s="153"/>
    </row>
    <row r="65" ht="12.75" customHeight="1">
      <c r="I65" s="153"/>
    </row>
    <row r="66" ht="12.75" customHeight="1">
      <c r="I66" s="153"/>
    </row>
    <row r="67" ht="12.75" customHeight="1">
      <c r="I67" s="153"/>
    </row>
    <row r="68" ht="12.75" customHeight="1">
      <c r="I68" s="153"/>
    </row>
    <row r="69" ht="12.75" customHeight="1">
      <c r="I69" s="153"/>
    </row>
    <row r="70" ht="12.75" customHeight="1">
      <c r="I70" s="153"/>
    </row>
    <row r="71" ht="12.75" customHeight="1">
      <c r="I71" s="153"/>
    </row>
    <row r="72" ht="12.75" customHeight="1">
      <c r="I72" s="153"/>
    </row>
    <row r="73" ht="12.75" customHeight="1">
      <c r="I73" s="153"/>
    </row>
    <row r="74" ht="12.75" customHeight="1">
      <c r="I74" s="153"/>
    </row>
    <row r="75" ht="12.75" customHeight="1">
      <c r="I75" s="153"/>
    </row>
    <row r="76" ht="12.75" customHeight="1">
      <c r="I76" s="153"/>
    </row>
    <row r="77" ht="12.75" customHeight="1">
      <c r="I77" s="153"/>
    </row>
    <row r="78" ht="12.75" customHeight="1">
      <c r="I78" s="153"/>
    </row>
    <row r="79" ht="12.75" customHeight="1">
      <c r="I79" s="153"/>
    </row>
    <row r="80" ht="12.75" customHeight="1">
      <c r="I80" s="153"/>
    </row>
    <row r="81" ht="12.75" customHeight="1">
      <c r="I81" s="153"/>
    </row>
    <row r="82" ht="12.75" customHeight="1">
      <c r="I82" s="153"/>
    </row>
    <row r="83" ht="12.75" customHeight="1">
      <c r="I83" s="153"/>
    </row>
    <row r="84" ht="12.75" customHeight="1">
      <c r="I84" s="153"/>
    </row>
    <row r="85" ht="12.75" customHeight="1">
      <c r="I85" s="153"/>
    </row>
    <row r="86" ht="12.75" customHeight="1">
      <c r="I86" s="153"/>
    </row>
    <row r="87" ht="12.75" customHeight="1">
      <c r="I87" s="153"/>
    </row>
    <row r="88" ht="12.75" customHeight="1">
      <c r="I88" s="153"/>
    </row>
    <row r="89" ht="12.75" customHeight="1">
      <c r="I89" s="153"/>
    </row>
    <row r="90" ht="12.75" customHeight="1">
      <c r="I90" s="153"/>
    </row>
    <row r="91" ht="12.75" customHeight="1">
      <c r="I91" s="153"/>
    </row>
    <row r="92" ht="12.75" customHeight="1">
      <c r="I92" s="153"/>
    </row>
    <row r="93" ht="12.75" customHeight="1">
      <c r="I93" s="153"/>
    </row>
    <row r="94" ht="12.75" customHeight="1">
      <c r="I94" s="153"/>
    </row>
    <row r="95" ht="12.75" customHeight="1">
      <c r="I95" s="153"/>
    </row>
    <row r="96" ht="12.75" customHeight="1">
      <c r="I96" s="153"/>
    </row>
    <row r="97" ht="12.75" customHeight="1">
      <c r="I97" s="153"/>
    </row>
    <row r="98" ht="12.75" customHeight="1">
      <c r="I98" s="153"/>
    </row>
    <row r="99" ht="12.75" customHeight="1">
      <c r="I99" s="153"/>
    </row>
    <row r="100" ht="12.75" customHeight="1">
      <c r="I100" s="153"/>
    </row>
    <row r="101" ht="12.75" customHeight="1">
      <c r="I101" s="153"/>
    </row>
    <row r="102" ht="12.75" customHeight="1">
      <c r="I102" s="153"/>
    </row>
    <row r="103" ht="12.75" customHeight="1">
      <c r="I103" s="153"/>
    </row>
    <row r="104" ht="12.75" customHeight="1">
      <c r="I104" s="153"/>
    </row>
    <row r="105" ht="12.75" customHeight="1">
      <c r="I105" s="153"/>
    </row>
    <row r="106" ht="12.75" customHeight="1">
      <c r="I106" s="153"/>
    </row>
    <row r="107" ht="12.75" customHeight="1">
      <c r="I107" s="153"/>
    </row>
    <row r="108" ht="12.75" customHeight="1">
      <c r="I108" s="153"/>
    </row>
    <row r="109" ht="12.75" customHeight="1">
      <c r="I109" s="153"/>
    </row>
    <row r="110" ht="12.75" customHeight="1">
      <c r="I110" s="153"/>
    </row>
    <row r="111" ht="12.75" customHeight="1">
      <c r="I111" s="153"/>
    </row>
    <row r="112" ht="12.75" customHeight="1">
      <c r="I112" s="153"/>
    </row>
    <row r="113" ht="12.75" customHeight="1">
      <c r="I113" s="153"/>
    </row>
    <row r="114" ht="12.75" customHeight="1">
      <c r="I114" s="153"/>
    </row>
    <row r="115" ht="12.75" customHeight="1">
      <c r="I115" s="153"/>
    </row>
    <row r="116" ht="12.75" customHeight="1">
      <c r="I116" s="153"/>
    </row>
    <row r="117" ht="12.75" customHeight="1">
      <c r="I117" s="153"/>
    </row>
    <row r="118" ht="12.75" customHeight="1">
      <c r="I118" s="153"/>
    </row>
    <row r="119" ht="12.75" customHeight="1">
      <c r="I119" s="153"/>
    </row>
    <row r="120" ht="12.75" customHeight="1">
      <c r="I120" s="153"/>
    </row>
    <row r="121" ht="12.75" customHeight="1">
      <c r="I121" s="153"/>
    </row>
    <row r="122" ht="12.75" customHeight="1">
      <c r="I122" s="153"/>
    </row>
    <row r="123" ht="12.75" customHeight="1">
      <c r="I123" s="153"/>
    </row>
    <row r="124" ht="12.75" customHeight="1">
      <c r="I124" s="153"/>
    </row>
    <row r="125" ht="12.75" customHeight="1">
      <c r="I125" s="153"/>
    </row>
    <row r="126" ht="12.75" customHeight="1">
      <c r="I126" s="153"/>
    </row>
    <row r="127" ht="12.75" customHeight="1">
      <c r="I127" s="153"/>
    </row>
    <row r="128" ht="12.75" customHeight="1">
      <c r="I128" s="153"/>
    </row>
    <row r="129" ht="12.75" customHeight="1">
      <c r="I129" s="153"/>
    </row>
    <row r="130" ht="12.75" customHeight="1">
      <c r="I130" s="153"/>
    </row>
    <row r="131" ht="12.75" customHeight="1">
      <c r="I131" s="153"/>
    </row>
    <row r="132" ht="12.75" customHeight="1">
      <c r="I132" s="153"/>
    </row>
    <row r="133" ht="12.75" customHeight="1">
      <c r="I133" s="153"/>
    </row>
    <row r="134" ht="12.75" customHeight="1">
      <c r="I134" s="153"/>
    </row>
    <row r="135" ht="12.75" customHeight="1">
      <c r="I135" s="153"/>
    </row>
    <row r="136" ht="12.75" customHeight="1">
      <c r="I136" s="153"/>
    </row>
    <row r="137" ht="12.75" customHeight="1">
      <c r="I137" s="153"/>
    </row>
    <row r="138" ht="12.75" customHeight="1">
      <c r="I138" s="153"/>
    </row>
    <row r="139" ht="12.75" customHeight="1">
      <c r="I139" s="153"/>
    </row>
    <row r="140" ht="12.75" customHeight="1">
      <c r="I140" s="153"/>
    </row>
    <row r="141" ht="12.75" customHeight="1">
      <c r="I141" s="153"/>
    </row>
    <row r="142" ht="12.75" customHeight="1">
      <c r="I142" s="153"/>
    </row>
    <row r="143" ht="12.75" customHeight="1">
      <c r="I143" s="153"/>
    </row>
    <row r="144" ht="12.75" customHeight="1">
      <c r="I144" s="153"/>
    </row>
    <row r="145" ht="12.75" customHeight="1">
      <c r="I145" s="153"/>
    </row>
    <row r="146" ht="12.75" customHeight="1">
      <c r="I146" s="153"/>
    </row>
    <row r="147" ht="12.75" customHeight="1">
      <c r="I147" s="153"/>
    </row>
    <row r="148" ht="12.75" customHeight="1">
      <c r="I148" s="153"/>
    </row>
    <row r="149" ht="12.75" customHeight="1">
      <c r="I149" s="153"/>
    </row>
    <row r="150" ht="12.75" customHeight="1">
      <c r="I150" s="153"/>
    </row>
    <row r="151" ht="12.75" customHeight="1">
      <c r="I151" s="153"/>
    </row>
    <row r="152" ht="12.75" customHeight="1">
      <c r="I152" s="153"/>
    </row>
    <row r="153" ht="12.75" customHeight="1">
      <c r="I153" s="153"/>
    </row>
    <row r="154" ht="12.75" customHeight="1">
      <c r="I154" s="153"/>
    </row>
    <row r="155" ht="12.75" customHeight="1">
      <c r="I155" s="153"/>
    </row>
    <row r="156" ht="12.75" customHeight="1">
      <c r="I156" s="153"/>
    </row>
    <row r="157" ht="12.75" customHeight="1">
      <c r="I157" s="153"/>
    </row>
    <row r="158" ht="12.75" customHeight="1">
      <c r="I158" s="153"/>
    </row>
    <row r="159" ht="12.75" customHeight="1">
      <c r="I159" s="153"/>
    </row>
    <row r="160" ht="12.75" customHeight="1">
      <c r="I160" s="153"/>
    </row>
    <row r="161" ht="12.75" customHeight="1">
      <c r="I161" s="153"/>
    </row>
    <row r="162" ht="12.75" customHeight="1">
      <c r="I162" s="153"/>
    </row>
    <row r="163" ht="12.75" customHeight="1">
      <c r="I163" s="153"/>
    </row>
    <row r="164" ht="12.75" customHeight="1">
      <c r="I164" s="153"/>
    </row>
    <row r="165" ht="12.75" customHeight="1">
      <c r="I165" s="153"/>
    </row>
    <row r="166" ht="12.75" customHeight="1">
      <c r="I166" s="153"/>
    </row>
    <row r="167" ht="12.75" customHeight="1">
      <c r="I167" s="153"/>
    </row>
    <row r="168" ht="12.75" customHeight="1">
      <c r="I168" s="153"/>
    </row>
    <row r="169" ht="12.75" customHeight="1">
      <c r="I169" s="153"/>
    </row>
    <row r="170" ht="12.75" customHeight="1">
      <c r="I170" s="153"/>
    </row>
    <row r="171" ht="12.75" customHeight="1">
      <c r="I171" s="153"/>
    </row>
    <row r="172" ht="12.75" customHeight="1">
      <c r="I172" s="153"/>
    </row>
    <row r="173" ht="12.75" customHeight="1">
      <c r="I173" s="153"/>
    </row>
    <row r="174" ht="12.75" customHeight="1">
      <c r="I174" s="153"/>
    </row>
    <row r="175" ht="12.75" customHeight="1">
      <c r="I175" s="153"/>
    </row>
    <row r="176" ht="12.75" customHeight="1">
      <c r="I176" s="153"/>
    </row>
    <row r="177" ht="12.75" customHeight="1">
      <c r="I177" s="153"/>
    </row>
    <row r="178" ht="12.75" customHeight="1">
      <c r="I178" s="153"/>
    </row>
    <row r="179" ht="12.75" customHeight="1">
      <c r="I179" s="153"/>
    </row>
    <row r="180" ht="12.75" customHeight="1">
      <c r="I180" s="153"/>
    </row>
    <row r="181" ht="12.75" customHeight="1">
      <c r="I181" s="153"/>
    </row>
    <row r="182" ht="12.75" customHeight="1">
      <c r="I182" s="153"/>
    </row>
    <row r="183" ht="12.75" customHeight="1">
      <c r="I183" s="153"/>
    </row>
    <row r="184" ht="12.75" customHeight="1">
      <c r="I184" s="153"/>
    </row>
    <row r="185" ht="12.75" customHeight="1">
      <c r="I185" s="153"/>
    </row>
    <row r="186" ht="12.75" customHeight="1">
      <c r="I186" s="153"/>
    </row>
    <row r="187" ht="12.75" customHeight="1">
      <c r="I187" s="153"/>
    </row>
    <row r="188" ht="12.75" customHeight="1">
      <c r="I188" s="153"/>
    </row>
    <row r="189" ht="12.75" customHeight="1">
      <c r="I189" s="153"/>
    </row>
    <row r="190" ht="12.75" customHeight="1">
      <c r="I190" s="153"/>
    </row>
    <row r="191" ht="12.75" customHeight="1">
      <c r="I191" s="153"/>
    </row>
    <row r="192" ht="12.75" customHeight="1">
      <c r="I192" s="153"/>
    </row>
    <row r="193" ht="12.75" customHeight="1">
      <c r="I193" s="153"/>
    </row>
    <row r="194" ht="12.75" customHeight="1">
      <c r="I194" s="153"/>
    </row>
    <row r="195" ht="12.75" customHeight="1">
      <c r="I195" s="153"/>
    </row>
    <row r="196" ht="12.75" customHeight="1">
      <c r="I196" s="153"/>
    </row>
    <row r="197" ht="12.75" customHeight="1">
      <c r="I197" s="153"/>
    </row>
    <row r="198" ht="12.75" customHeight="1">
      <c r="I198" s="153"/>
    </row>
    <row r="199" ht="12.75" customHeight="1">
      <c r="I199" s="153"/>
    </row>
    <row r="200" ht="12.75" customHeight="1">
      <c r="I200" s="153"/>
    </row>
    <row r="201" ht="12.75" customHeight="1">
      <c r="I201" s="153"/>
    </row>
    <row r="202" ht="12.75" customHeight="1">
      <c r="I202" s="153"/>
    </row>
    <row r="203" ht="12.75" customHeight="1">
      <c r="I203" s="153"/>
    </row>
    <row r="204" ht="12.75" customHeight="1">
      <c r="I204" s="153"/>
    </row>
    <row r="205" ht="12.75" customHeight="1">
      <c r="I205" s="153"/>
    </row>
    <row r="206" ht="12.75" customHeight="1">
      <c r="I206" s="153"/>
    </row>
    <row r="207" ht="12.75" customHeight="1">
      <c r="I207" s="153"/>
    </row>
    <row r="208" ht="12.75" customHeight="1">
      <c r="I208" s="153"/>
    </row>
    <row r="209" ht="12.75" customHeight="1">
      <c r="I209" s="153"/>
    </row>
    <row r="210" ht="12.75" customHeight="1">
      <c r="I210" s="153"/>
    </row>
    <row r="211" ht="12.75" customHeight="1">
      <c r="I211" s="153"/>
    </row>
    <row r="212" ht="12.75" customHeight="1">
      <c r="I212" s="153"/>
    </row>
    <row r="213" ht="12.75" customHeight="1">
      <c r="I213" s="153"/>
    </row>
    <row r="214" ht="12.75" customHeight="1">
      <c r="I214" s="153"/>
    </row>
    <row r="215" ht="12.75" customHeight="1">
      <c r="I215" s="153"/>
    </row>
    <row r="216" ht="12.75" customHeight="1">
      <c r="I216" s="153"/>
    </row>
    <row r="217" ht="12.75" customHeight="1">
      <c r="I217" s="153"/>
    </row>
    <row r="218" ht="12.75" customHeight="1">
      <c r="I218" s="153"/>
    </row>
    <row r="219" ht="12.75" customHeight="1">
      <c r="I219" s="153"/>
    </row>
    <row r="220" ht="12.75" customHeight="1">
      <c r="I220" s="153"/>
    </row>
    <row r="221" ht="12.75" customHeight="1">
      <c r="I221" s="153"/>
    </row>
    <row r="222" ht="12.75" customHeight="1">
      <c r="I222" s="153"/>
    </row>
    <row r="223" ht="12.75" customHeight="1">
      <c r="I223" s="153"/>
    </row>
    <row r="224" ht="12.75" customHeight="1">
      <c r="I224" s="153"/>
    </row>
    <row r="225" ht="12.75" customHeight="1">
      <c r="I225" s="153"/>
    </row>
    <row r="226" ht="12.75" customHeight="1">
      <c r="I226" s="153"/>
    </row>
    <row r="227" ht="12.75" customHeight="1">
      <c r="I227" s="153"/>
    </row>
    <row r="228" ht="12.75" customHeight="1">
      <c r="I228" s="153"/>
    </row>
    <row r="229" ht="12.75" customHeight="1">
      <c r="I229" s="153"/>
    </row>
    <row r="230" ht="12.75" customHeight="1">
      <c r="I230" s="153"/>
    </row>
    <row r="231" ht="12.75" customHeight="1">
      <c r="I231" s="153"/>
    </row>
    <row r="232" ht="12.75" customHeight="1">
      <c r="I232" s="153"/>
    </row>
    <row r="233" ht="12.75" customHeight="1">
      <c r="I233" s="153"/>
    </row>
    <row r="234" ht="12.75" customHeight="1">
      <c r="I234" s="153"/>
    </row>
    <row r="235" ht="12.75" customHeight="1">
      <c r="I235" s="153"/>
    </row>
    <row r="236" ht="12.75" customHeight="1">
      <c r="I236" s="153"/>
    </row>
    <row r="237" ht="12.75" customHeight="1">
      <c r="I237" s="153"/>
    </row>
    <row r="238" ht="12.75" customHeight="1">
      <c r="I238" s="153"/>
    </row>
    <row r="239" ht="12.75" customHeight="1">
      <c r="I239" s="153"/>
    </row>
    <row r="240" ht="12.75" customHeight="1">
      <c r="I240" s="153"/>
    </row>
    <row r="241" ht="12.75" customHeight="1">
      <c r="I241" s="153"/>
    </row>
    <row r="242" ht="12.75" customHeight="1">
      <c r="I242" s="153"/>
    </row>
    <row r="243" ht="12.75" customHeight="1">
      <c r="I243" s="153"/>
    </row>
    <row r="244" ht="12.75" customHeight="1">
      <c r="I244" s="153"/>
    </row>
    <row r="245" ht="12.75" customHeight="1">
      <c r="I245" s="153"/>
    </row>
    <row r="246" ht="12.75" customHeight="1">
      <c r="I246" s="153"/>
    </row>
    <row r="247" ht="12.75" customHeight="1">
      <c r="I247" s="153"/>
    </row>
    <row r="248" ht="12.75" customHeight="1">
      <c r="I248" s="153"/>
    </row>
    <row r="249" ht="12.75" customHeight="1">
      <c r="I249" s="153"/>
    </row>
    <row r="250" ht="12.75" customHeight="1">
      <c r="I250" s="153"/>
    </row>
    <row r="251" ht="12.75" customHeight="1">
      <c r="I251" s="153"/>
    </row>
    <row r="252" ht="12.75" customHeight="1">
      <c r="I252" s="153"/>
    </row>
    <row r="253" ht="12.75" customHeight="1">
      <c r="I253" s="153"/>
    </row>
    <row r="254" ht="12.75" customHeight="1">
      <c r="I254" s="153"/>
    </row>
    <row r="255" ht="12.75" customHeight="1">
      <c r="I255" s="153"/>
    </row>
    <row r="256" ht="12.75" customHeight="1">
      <c r="I256" s="153"/>
    </row>
    <row r="257" ht="12.75" customHeight="1">
      <c r="I257" s="153"/>
    </row>
    <row r="258" ht="12.75" customHeight="1">
      <c r="I258" s="153"/>
    </row>
    <row r="259" ht="12.75" customHeight="1">
      <c r="I259" s="153"/>
    </row>
    <row r="260" ht="12.75" customHeight="1">
      <c r="I260" s="153"/>
    </row>
    <row r="261" ht="12.75" customHeight="1">
      <c r="I261" s="153"/>
    </row>
    <row r="262" ht="12.75" customHeight="1">
      <c r="I262" s="153"/>
    </row>
    <row r="263" ht="12.75" customHeight="1">
      <c r="I263" s="153"/>
    </row>
    <row r="264" ht="12.75" customHeight="1">
      <c r="I264" s="153"/>
    </row>
    <row r="265" ht="12.75" customHeight="1">
      <c r="I265" s="153"/>
    </row>
    <row r="266" ht="12.75" customHeight="1">
      <c r="I266" s="153"/>
    </row>
    <row r="267" ht="12.75" customHeight="1">
      <c r="I267" s="153"/>
    </row>
    <row r="268" ht="12.75" customHeight="1">
      <c r="I268" s="153"/>
    </row>
    <row r="269" ht="12.75" customHeight="1">
      <c r="I269" s="153"/>
    </row>
    <row r="270" ht="12.75" customHeight="1">
      <c r="I270" s="153"/>
    </row>
    <row r="271" ht="12.75" customHeight="1">
      <c r="I271" s="153"/>
    </row>
    <row r="272" ht="12.75" customHeight="1">
      <c r="I272" s="153"/>
    </row>
    <row r="273" ht="12.75" customHeight="1">
      <c r="I273" s="153"/>
    </row>
    <row r="274" ht="12.75" customHeight="1">
      <c r="I274" s="153"/>
    </row>
    <row r="275" ht="12.75" customHeight="1">
      <c r="I275" s="153"/>
    </row>
    <row r="276" ht="12.75" customHeight="1">
      <c r="I276" s="153"/>
    </row>
    <row r="277" ht="12.75" customHeight="1">
      <c r="I277" s="153"/>
    </row>
    <row r="278" ht="12.75" customHeight="1">
      <c r="I278" s="153"/>
    </row>
    <row r="279" ht="12.75" customHeight="1">
      <c r="I279" s="153"/>
    </row>
    <row r="280" ht="12.75" customHeight="1">
      <c r="I280" s="153"/>
    </row>
    <row r="281" ht="12.75" customHeight="1">
      <c r="I281" s="153"/>
    </row>
    <row r="282" ht="12.75" customHeight="1">
      <c r="I282" s="153"/>
    </row>
    <row r="283" ht="12.75" customHeight="1">
      <c r="I283" s="153"/>
    </row>
    <row r="284" ht="12.75" customHeight="1">
      <c r="I284" s="153"/>
    </row>
    <row r="285" ht="12.75" customHeight="1">
      <c r="I285" s="153"/>
    </row>
    <row r="286" ht="12.75" customHeight="1">
      <c r="I286" s="153"/>
    </row>
    <row r="287" ht="12.75" customHeight="1">
      <c r="I287" s="153"/>
    </row>
    <row r="288" ht="12.75" customHeight="1">
      <c r="I288" s="153"/>
    </row>
    <row r="289" ht="12.75" customHeight="1">
      <c r="I289" s="153"/>
    </row>
    <row r="290" ht="12.75" customHeight="1">
      <c r="I290" s="153"/>
    </row>
    <row r="291" ht="12.75" customHeight="1">
      <c r="I291" s="153"/>
    </row>
    <row r="292" ht="12.75" customHeight="1">
      <c r="I292" s="153"/>
    </row>
    <row r="293" ht="12.75" customHeight="1">
      <c r="I293" s="153"/>
    </row>
    <row r="294" ht="12.75" customHeight="1">
      <c r="I294" s="153"/>
    </row>
    <row r="295" ht="12.75" customHeight="1">
      <c r="I295" s="153"/>
    </row>
    <row r="296" ht="12.75" customHeight="1">
      <c r="I296" s="153"/>
    </row>
    <row r="297" ht="12.75" customHeight="1">
      <c r="I297" s="153"/>
    </row>
    <row r="298" ht="12.75" customHeight="1">
      <c r="I298" s="153"/>
    </row>
    <row r="299" ht="12.75" customHeight="1">
      <c r="I299" s="153"/>
    </row>
    <row r="300" ht="12.75" customHeight="1">
      <c r="I300" s="153"/>
    </row>
    <row r="301" ht="12.75" customHeight="1">
      <c r="I301" s="153"/>
    </row>
    <row r="302" ht="12.75" customHeight="1">
      <c r="I302" s="153"/>
    </row>
    <row r="303" ht="12.75" customHeight="1">
      <c r="I303" s="153"/>
    </row>
    <row r="304" ht="12.75" customHeight="1">
      <c r="I304" s="153"/>
    </row>
    <row r="305" ht="12.75" customHeight="1">
      <c r="I305" s="153"/>
    </row>
    <row r="306" ht="12.75" customHeight="1">
      <c r="I306" s="153"/>
    </row>
    <row r="307" ht="12.75" customHeight="1">
      <c r="I307" s="153"/>
    </row>
    <row r="308" ht="12.75" customHeight="1">
      <c r="I308" s="153"/>
    </row>
    <row r="309" ht="12.75" customHeight="1">
      <c r="I309" s="153"/>
    </row>
    <row r="310" ht="12.75" customHeight="1">
      <c r="I310" s="153"/>
    </row>
    <row r="311" ht="12.75" customHeight="1">
      <c r="I311" s="153"/>
    </row>
    <row r="312" ht="12.75" customHeight="1">
      <c r="I312" s="153"/>
    </row>
    <row r="313" ht="12.75" customHeight="1">
      <c r="I313" s="153"/>
    </row>
    <row r="314" ht="12.75" customHeight="1">
      <c r="I314" s="153"/>
    </row>
    <row r="315" ht="12.75" customHeight="1">
      <c r="I315" s="153"/>
    </row>
    <row r="316" ht="12.75" customHeight="1">
      <c r="I316" s="153"/>
    </row>
    <row r="317" ht="12.75" customHeight="1">
      <c r="I317" s="153"/>
    </row>
    <row r="318" ht="12.75" customHeight="1">
      <c r="I318" s="153"/>
    </row>
    <row r="319" ht="12.75" customHeight="1">
      <c r="I319" s="153"/>
    </row>
    <row r="320" ht="12.75" customHeight="1">
      <c r="I320" s="153"/>
    </row>
    <row r="321" ht="12.75" customHeight="1">
      <c r="I321" s="153"/>
    </row>
    <row r="322" ht="12.75" customHeight="1">
      <c r="I322" s="153"/>
    </row>
    <row r="323" ht="12.75" customHeight="1">
      <c r="I323" s="153"/>
    </row>
    <row r="324" ht="12.75" customHeight="1">
      <c r="I324" s="153"/>
    </row>
    <row r="325" ht="12.75" customHeight="1">
      <c r="I325" s="153"/>
    </row>
    <row r="326" ht="12.75" customHeight="1">
      <c r="I326" s="153"/>
    </row>
    <row r="327" ht="12.75" customHeight="1">
      <c r="I327" s="153"/>
    </row>
    <row r="328" ht="12.75" customHeight="1">
      <c r="I328" s="153"/>
    </row>
    <row r="329" ht="12.75" customHeight="1">
      <c r="I329" s="153"/>
    </row>
    <row r="330" ht="12.75" customHeight="1">
      <c r="I330" s="153"/>
    </row>
    <row r="331" ht="12.75" customHeight="1">
      <c r="I331" s="153"/>
    </row>
    <row r="332" ht="12.75" customHeight="1">
      <c r="I332" s="153"/>
    </row>
    <row r="333" ht="12.75" customHeight="1">
      <c r="I333" s="153"/>
    </row>
    <row r="334" ht="12.75" customHeight="1">
      <c r="I334" s="153"/>
    </row>
    <row r="335" ht="12.75" customHeight="1">
      <c r="I335" s="153"/>
    </row>
    <row r="336" ht="12.75" customHeight="1">
      <c r="I336" s="153"/>
    </row>
    <row r="337" ht="12.75" customHeight="1">
      <c r="I337" s="153"/>
    </row>
    <row r="338" ht="12.75" customHeight="1">
      <c r="I338" s="153"/>
    </row>
    <row r="339" ht="12.75" customHeight="1">
      <c r="I339" s="153"/>
    </row>
    <row r="340" ht="12.75" customHeight="1">
      <c r="I340" s="153"/>
    </row>
    <row r="341" ht="12.75" customHeight="1">
      <c r="I341" s="153"/>
    </row>
    <row r="342" ht="12.75" customHeight="1">
      <c r="I342" s="153"/>
    </row>
    <row r="343" ht="12.75" customHeight="1">
      <c r="I343" s="153"/>
    </row>
    <row r="344" ht="12.75" customHeight="1">
      <c r="I344" s="153"/>
    </row>
    <row r="345" ht="12.75" customHeight="1">
      <c r="I345" s="153"/>
    </row>
    <row r="346" ht="12.75" customHeight="1">
      <c r="I346" s="153"/>
    </row>
    <row r="347" ht="12.75" customHeight="1">
      <c r="I347" s="153"/>
    </row>
    <row r="348" ht="12.75" customHeight="1">
      <c r="I348" s="153"/>
    </row>
    <row r="349" ht="12.75" customHeight="1">
      <c r="I349" s="153"/>
    </row>
    <row r="350" ht="12.75" customHeight="1">
      <c r="I350" s="153"/>
    </row>
    <row r="351" ht="12.75" customHeight="1">
      <c r="I351" s="153"/>
    </row>
    <row r="352" ht="12.75" customHeight="1">
      <c r="I352" s="153"/>
    </row>
    <row r="353" ht="12.75" customHeight="1">
      <c r="I353" s="153"/>
    </row>
    <row r="354" ht="12.75" customHeight="1">
      <c r="I354" s="153"/>
    </row>
    <row r="355" ht="12.75" customHeight="1">
      <c r="I355" s="153"/>
    </row>
    <row r="356" ht="12.75" customHeight="1">
      <c r="I356" s="153"/>
    </row>
    <row r="357" ht="12.75" customHeight="1">
      <c r="I357" s="153"/>
    </row>
    <row r="358" ht="12.75" customHeight="1">
      <c r="I358" s="153"/>
    </row>
    <row r="359" ht="12.75" customHeight="1">
      <c r="I359" s="153"/>
    </row>
    <row r="360" ht="12.75" customHeight="1">
      <c r="I360" s="153"/>
    </row>
    <row r="361" ht="12.75" customHeight="1">
      <c r="I361" s="153"/>
    </row>
    <row r="362" ht="12.75" customHeight="1">
      <c r="I362" s="153"/>
    </row>
    <row r="363" ht="12.75" customHeight="1">
      <c r="I363" s="153"/>
    </row>
    <row r="364" ht="12.75" customHeight="1">
      <c r="I364" s="153"/>
    </row>
    <row r="365" ht="12.75" customHeight="1">
      <c r="I365" s="153"/>
    </row>
    <row r="366" ht="12.75" customHeight="1">
      <c r="I366" s="153"/>
    </row>
    <row r="367" ht="12.75" customHeight="1">
      <c r="I367" s="153"/>
    </row>
    <row r="368" ht="12.75" customHeight="1">
      <c r="I368" s="153"/>
    </row>
    <row r="369" ht="12.75" customHeight="1">
      <c r="I369" s="153"/>
    </row>
    <row r="370" ht="12.75" customHeight="1">
      <c r="I370" s="153"/>
    </row>
    <row r="371" ht="12.75" customHeight="1">
      <c r="I371" s="153"/>
    </row>
    <row r="372" ht="12.75" customHeight="1">
      <c r="I372" s="153"/>
    </row>
    <row r="373" ht="12.75" customHeight="1">
      <c r="I373" s="153"/>
    </row>
    <row r="374" ht="12.75" customHeight="1">
      <c r="I374" s="153"/>
    </row>
    <row r="375" ht="12.75" customHeight="1">
      <c r="I375" s="153"/>
    </row>
    <row r="376" ht="12.75" customHeight="1">
      <c r="I376" s="153"/>
    </row>
    <row r="377" ht="12.75" customHeight="1">
      <c r="I377" s="153"/>
    </row>
    <row r="378" ht="12.75" customHeight="1">
      <c r="I378" s="153"/>
    </row>
    <row r="379" ht="12.75" customHeight="1">
      <c r="I379" s="153"/>
    </row>
    <row r="380" ht="12.75" customHeight="1">
      <c r="I380" s="153"/>
    </row>
    <row r="381" ht="12.75" customHeight="1">
      <c r="I381" s="153"/>
    </row>
    <row r="382" ht="12.75" customHeight="1">
      <c r="I382" s="153"/>
    </row>
    <row r="383" ht="12.75" customHeight="1">
      <c r="I383" s="153"/>
    </row>
    <row r="384" ht="12.75" customHeight="1">
      <c r="I384" s="153"/>
    </row>
    <row r="385" ht="12.75" customHeight="1">
      <c r="I385" s="153"/>
    </row>
    <row r="386" ht="12.75" customHeight="1">
      <c r="I386" s="153"/>
    </row>
    <row r="387" ht="12.75" customHeight="1">
      <c r="I387" s="153"/>
    </row>
    <row r="388" ht="12.75" customHeight="1">
      <c r="I388" s="153"/>
    </row>
    <row r="389" ht="12.75" customHeight="1">
      <c r="I389" s="153"/>
    </row>
    <row r="390" ht="12.75" customHeight="1">
      <c r="I390" s="153"/>
    </row>
    <row r="391" ht="12.75" customHeight="1">
      <c r="I391" s="153"/>
    </row>
    <row r="392" ht="12.75" customHeight="1">
      <c r="I392" s="153"/>
    </row>
    <row r="393" ht="12.75" customHeight="1">
      <c r="I393" s="153"/>
    </row>
    <row r="394" ht="12.75" customHeight="1">
      <c r="I394" s="153"/>
    </row>
    <row r="395" ht="12.75" customHeight="1">
      <c r="I395" s="153"/>
    </row>
    <row r="396" ht="12.75" customHeight="1">
      <c r="I396" s="153"/>
    </row>
    <row r="397" ht="12.75" customHeight="1">
      <c r="I397" s="153"/>
    </row>
    <row r="398" ht="12.75" customHeight="1">
      <c r="I398" s="153"/>
    </row>
    <row r="399" ht="12.75" customHeight="1">
      <c r="I399" s="153"/>
    </row>
    <row r="400" ht="12.75" customHeight="1">
      <c r="I400" s="153"/>
    </row>
    <row r="401" ht="12.75" customHeight="1">
      <c r="I401" s="153"/>
    </row>
    <row r="402" ht="12.75" customHeight="1">
      <c r="I402" s="153"/>
    </row>
    <row r="403" ht="12.75" customHeight="1">
      <c r="I403" s="153"/>
    </row>
    <row r="404" ht="12.75" customHeight="1">
      <c r="I404" s="153"/>
    </row>
    <row r="405" ht="12.75" customHeight="1">
      <c r="I405" s="153"/>
    </row>
    <row r="406" ht="12.75" customHeight="1">
      <c r="I406" s="153"/>
    </row>
    <row r="407" ht="12.75" customHeight="1">
      <c r="I407" s="153"/>
    </row>
    <row r="408" ht="12.75" customHeight="1">
      <c r="I408" s="153"/>
    </row>
    <row r="409" ht="12.75" customHeight="1">
      <c r="I409" s="153"/>
    </row>
    <row r="410" ht="12.75" customHeight="1">
      <c r="I410" s="153"/>
    </row>
    <row r="411" ht="12.75" customHeight="1">
      <c r="I411" s="153"/>
    </row>
    <row r="412" ht="12.75" customHeight="1">
      <c r="I412" s="153"/>
    </row>
    <row r="413" ht="12.75" customHeight="1">
      <c r="I413" s="153"/>
    </row>
    <row r="414" ht="12.75" customHeight="1">
      <c r="I414" s="153"/>
    </row>
    <row r="415" ht="12.75" customHeight="1">
      <c r="I415" s="153"/>
    </row>
    <row r="416" ht="12.75" customHeight="1">
      <c r="I416" s="153"/>
    </row>
    <row r="417" ht="12.75" customHeight="1">
      <c r="I417" s="153"/>
    </row>
    <row r="418" ht="12.75" customHeight="1">
      <c r="I418" s="153"/>
    </row>
    <row r="419" ht="12.75" customHeight="1">
      <c r="I419" s="153"/>
    </row>
    <row r="420" ht="12.75" customHeight="1">
      <c r="I420" s="153"/>
    </row>
    <row r="421" ht="12.75" customHeight="1">
      <c r="I421" s="153"/>
    </row>
    <row r="422" ht="12.75" customHeight="1">
      <c r="I422" s="153"/>
    </row>
    <row r="423" ht="12.75" customHeight="1">
      <c r="I423" s="153"/>
    </row>
    <row r="424" ht="12.75" customHeight="1">
      <c r="I424" s="153"/>
    </row>
    <row r="425" ht="12.75" customHeight="1">
      <c r="I425" s="153"/>
    </row>
    <row r="426" ht="12.75" customHeight="1">
      <c r="I426" s="153"/>
    </row>
    <row r="427" ht="12.75" customHeight="1">
      <c r="I427" s="153"/>
    </row>
    <row r="428" ht="12.75" customHeight="1">
      <c r="I428" s="153"/>
    </row>
    <row r="429" ht="12.75" customHeight="1">
      <c r="I429" s="153"/>
    </row>
    <row r="430" ht="12.75" customHeight="1">
      <c r="I430" s="153"/>
    </row>
    <row r="431" ht="12.75" customHeight="1">
      <c r="I431" s="153"/>
    </row>
    <row r="432" ht="12.75" customHeight="1">
      <c r="I432" s="153"/>
    </row>
    <row r="433" ht="12.75" customHeight="1">
      <c r="I433" s="153"/>
    </row>
    <row r="434" ht="12.75" customHeight="1">
      <c r="I434" s="153"/>
    </row>
    <row r="435" ht="12.75" customHeight="1">
      <c r="I435" s="153"/>
    </row>
    <row r="436" ht="12.75" customHeight="1">
      <c r="I436" s="153"/>
    </row>
    <row r="437" ht="12.75" customHeight="1">
      <c r="I437" s="153"/>
    </row>
    <row r="438" ht="12.75" customHeight="1">
      <c r="I438" s="153"/>
    </row>
    <row r="439" ht="12.75" customHeight="1">
      <c r="I439" s="153"/>
    </row>
    <row r="440" ht="12.75" customHeight="1">
      <c r="I440" s="153"/>
    </row>
    <row r="441" ht="12.75" customHeight="1">
      <c r="I441" s="153"/>
    </row>
    <row r="442" ht="12.75" customHeight="1">
      <c r="I442" s="153"/>
    </row>
    <row r="443" ht="12.75" customHeight="1">
      <c r="I443" s="153"/>
    </row>
    <row r="444" ht="12.75" customHeight="1">
      <c r="I444" s="153"/>
    </row>
    <row r="445" ht="12.75" customHeight="1">
      <c r="I445" s="153"/>
    </row>
    <row r="446" ht="12.75" customHeight="1">
      <c r="I446" s="153"/>
    </row>
    <row r="447" ht="12.75" customHeight="1">
      <c r="I447" s="153"/>
    </row>
    <row r="448" ht="12.75" customHeight="1">
      <c r="I448" s="153"/>
    </row>
    <row r="449" ht="12.75" customHeight="1">
      <c r="I449" s="153"/>
    </row>
    <row r="450" ht="12.75" customHeight="1">
      <c r="I450" s="153"/>
    </row>
    <row r="451" ht="12.75" customHeight="1">
      <c r="I451" s="153"/>
    </row>
    <row r="452" ht="12.75" customHeight="1">
      <c r="I452" s="153"/>
    </row>
    <row r="453" ht="12.75" customHeight="1">
      <c r="I453" s="153"/>
    </row>
    <row r="454" ht="12.75" customHeight="1">
      <c r="I454" s="153"/>
    </row>
    <row r="455" ht="12.75" customHeight="1">
      <c r="I455" s="153"/>
    </row>
    <row r="456" ht="12.75" customHeight="1">
      <c r="I456" s="153"/>
    </row>
    <row r="457" ht="12.75" customHeight="1">
      <c r="I457" s="153"/>
    </row>
    <row r="458" ht="12.75" customHeight="1">
      <c r="I458" s="153"/>
    </row>
    <row r="459" ht="12.75" customHeight="1">
      <c r="I459" s="153"/>
    </row>
    <row r="460" ht="12.75" customHeight="1">
      <c r="I460" s="153"/>
    </row>
    <row r="461" ht="12.75" customHeight="1">
      <c r="I461" s="153"/>
    </row>
    <row r="462" ht="12.75" customHeight="1">
      <c r="I462" s="153"/>
    </row>
    <row r="463" ht="12.75" customHeight="1">
      <c r="I463" s="153"/>
    </row>
    <row r="464" ht="12.75" customHeight="1">
      <c r="I464" s="153"/>
    </row>
    <row r="465" ht="12.75" customHeight="1">
      <c r="I465" s="153"/>
    </row>
    <row r="466" ht="12.75" customHeight="1">
      <c r="I466" s="153"/>
    </row>
    <row r="467" ht="12.75" customHeight="1">
      <c r="I467" s="153"/>
    </row>
    <row r="468" ht="12.75" customHeight="1">
      <c r="I468" s="153"/>
    </row>
    <row r="469" ht="12.75" customHeight="1">
      <c r="I469" s="153"/>
    </row>
    <row r="470" ht="12.75" customHeight="1">
      <c r="I470" s="153"/>
    </row>
    <row r="471" ht="12.75" customHeight="1">
      <c r="I471" s="153"/>
    </row>
    <row r="472" ht="12.75" customHeight="1">
      <c r="I472" s="153"/>
    </row>
    <row r="473" ht="12.75" customHeight="1">
      <c r="I473" s="153"/>
    </row>
    <row r="474" ht="12.75" customHeight="1">
      <c r="I474" s="153"/>
    </row>
    <row r="475" ht="12.75" customHeight="1">
      <c r="I475" s="153"/>
    </row>
    <row r="476" ht="12.75" customHeight="1">
      <c r="I476" s="153"/>
    </row>
    <row r="477" ht="12.75" customHeight="1">
      <c r="I477" s="153"/>
    </row>
    <row r="478" ht="12.75" customHeight="1">
      <c r="I478" s="153"/>
    </row>
    <row r="479" ht="12.75" customHeight="1">
      <c r="I479" s="153"/>
    </row>
    <row r="480" ht="12.75" customHeight="1">
      <c r="I480" s="153"/>
    </row>
    <row r="481" ht="12.75" customHeight="1">
      <c r="I481" s="153"/>
    </row>
    <row r="482" ht="12.75" customHeight="1">
      <c r="I482" s="153"/>
    </row>
    <row r="483" ht="12.75" customHeight="1">
      <c r="I483" s="153"/>
    </row>
    <row r="484" ht="12.75" customHeight="1">
      <c r="I484" s="153"/>
    </row>
    <row r="485" ht="12.75" customHeight="1">
      <c r="I485" s="153"/>
    </row>
    <row r="486" ht="12.75" customHeight="1">
      <c r="I486" s="153"/>
    </row>
    <row r="487" ht="12.75" customHeight="1">
      <c r="I487" s="153"/>
    </row>
    <row r="488" ht="12.75" customHeight="1">
      <c r="I488" s="153"/>
    </row>
    <row r="489" ht="12.75" customHeight="1">
      <c r="I489" s="153"/>
    </row>
    <row r="490" ht="12.75" customHeight="1">
      <c r="I490" s="153"/>
    </row>
    <row r="491" ht="12.75" customHeight="1">
      <c r="I491" s="153"/>
    </row>
    <row r="492" ht="12.75" customHeight="1">
      <c r="I492" s="153"/>
    </row>
    <row r="493" ht="12.75" customHeight="1">
      <c r="I493" s="153"/>
    </row>
    <row r="494" ht="12.75" customHeight="1">
      <c r="I494" s="153"/>
    </row>
    <row r="495" ht="12.75" customHeight="1">
      <c r="I495" s="153"/>
    </row>
    <row r="496" ht="12.75" customHeight="1">
      <c r="I496" s="153"/>
    </row>
    <row r="497" ht="12.75" customHeight="1">
      <c r="I497" s="153"/>
    </row>
    <row r="498" ht="12.75" customHeight="1">
      <c r="I498" s="153"/>
    </row>
    <row r="499" ht="12.75" customHeight="1">
      <c r="I499" s="153"/>
    </row>
    <row r="500" ht="12.75" customHeight="1">
      <c r="I500" s="153"/>
    </row>
    <row r="501" ht="12.75" customHeight="1">
      <c r="I501" s="153"/>
    </row>
    <row r="502" ht="12.75" customHeight="1">
      <c r="I502" s="153"/>
    </row>
    <row r="503" ht="12.75" customHeight="1">
      <c r="I503" s="153"/>
    </row>
    <row r="504" ht="12.75" customHeight="1">
      <c r="I504" s="153"/>
    </row>
    <row r="505" ht="12.75" customHeight="1">
      <c r="I505" s="153"/>
    </row>
    <row r="506" ht="12.75" customHeight="1">
      <c r="I506" s="153"/>
    </row>
    <row r="507" ht="12.75" customHeight="1">
      <c r="I507" s="153"/>
    </row>
    <row r="508" ht="12.75" customHeight="1">
      <c r="I508" s="153"/>
    </row>
    <row r="509" ht="12.75" customHeight="1">
      <c r="I509" s="153"/>
    </row>
    <row r="510" ht="12.75" customHeight="1">
      <c r="I510" s="153"/>
    </row>
    <row r="511" ht="12.75" customHeight="1">
      <c r="I511" s="153"/>
    </row>
    <row r="512" ht="12.75" customHeight="1">
      <c r="I512" s="153"/>
    </row>
    <row r="513" ht="12.75" customHeight="1">
      <c r="I513" s="153"/>
    </row>
    <row r="514" ht="12.75" customHeight="1">
      <c r="I514" s="153"/>
    </row>
    <row r="515" ht="12.75" customHeight="1">
      <c r="I515" s="153"/>
    </row>
    <row r="516" ht="12.75" customHeight="1">
      <c r="I516" s="153"/>
    </row>
    <row r="517" ht="12.75" customHeight="1">
      <c r="I517" s="153"/>
    </row>
    <row r="518" ht="12.75" customHeight="1">
      <c r="I518" s="153"/>
    </row>
    <row r="519" ht="12.75" customHeight="1">
      <c r="I519" s="153"/>
    </row>
    <row r="520" ht="12.75" customHeight="1">
      <c r="I520" s="153"/>
    </row>
    <row r="521" ht="12.75" customHeight="1">
      <c r="I521" s="153"/>
    </row>
    <row r="522" ht="12.75" customHeight="1">
      <c r="I522" s="153"/>
    </row>
    <row r="523" ht="12.75" customHeight="1">
      <c r="I523" s="153"/>
    </row>
    <row r="524" ht="12.75" customHeight="1">
      <c r="I524" s="153"/>
    </row>
    <row r="525" ht="12.75" customHeight="1">
      <c r="I525" s="153"/>
    </row>
    <row r="526" ht="12.75" customHeight="1">
      <c r="I526" s="153"/>
    </row>
    <row r="527" ht="12.75" customHeight="1">
      <c r="I527" s="153"/>
    </row>
    <row r="528" ht="12.75" customHeight="1">
      <c r="I528" s="153"/>
    </row>
    <row r="529" ht="12.75" customHeight="1">
      <c r="I529" s="153"/>
    </row>
    <row r="530" ht="12.75" customHeight="1">
      <c r="I530" s="153"/>
    </row>
    <row r="531" ht="12.75" customHeight="1">
      <c r="I531" s="153"/>
    </row>
    <row r="532" ht="12.75" customHeight="1">
      <c r="I532" s="153"/>
    </row>
    <row r="533" ht="12.75" customHeight="1">
      <c r="I533" s="153"/>
    </row>
    <row r="534" ht="12.75" customHeight="1">
      <c r="I534" s="153"/>
    </row>
    <row r="535" ht="12.75" customHeight="1">
      <c r="I535" s="153"/>
    </row>
    <row r="536" ht="12.75" customHeight="1">
      <c r="I536" s="153"/>
    </row>
    <row r="537" ht="12.75" customHeight="1">
      <c r="I537" s="153"/>
    </row>
    <row r="538" ht="12.75" customHeight="1">
      <c r="I538" s="153"/>
    </row>
    <row r="539" ht="12.75" customHeight="1">
      <c r="I539" s="153"/>
    </row>
    <row r="540" ht="12.75" customHeight="1">
      <c r="I540" s="153"/>
    </row>
    <row r="541" ht="12.75" customHeight="1">
      <c r="I541" s="153"/>
    </row>
    <row r="542" ht="12.75" customHeight="1">
      <c r="I542" s="153"/>
    </row>
    <row r="543" ht="12.75" customHeight="1">
      <c r="I543" s="153"/>
    </row>
    <row r="544" ht="12.75" customHeight="1">
      <c r="I544" s="153"/>
    </row>
    <row r="545" ht="12.75" customHeight="1">
      <c r="I545" s="153"/>
    </row>
    <row r="546" ht="12.75" customHeight="1">
      <c r="I546" s="153"/>
    </row>
    <row r="547" ht="12.75" customHeight="1">
      <c r="I547" s="153"/>
    </row>
    <row r="548" ht="12.75" customHeight="1">
      <c r="I548" s="153"/>
    </row>
    <row r="549" ht="12.75" customHeight="1">
      <c r="I549" s="153"/>
    </row>
    <row r="550" ht="12.75" customHeight="1">
      <c r="I550" s="153"/>
    </row>
    <row r="551" ht="12.75" customHeight="1">
      <c r="I551" s="153"/>
    </row>
    <row r="552" ht="12.75" customHeight="1">
      <c r="I552" s="153"/>
    </row>
    <row r="553" ht="12.75" customHeight="1">
      <c r="I553" s="153"/>
    </row>
    <row r="554" ht="12.75" customHeight="1">
      <c r="I554" s="153"/>
    </row>
    <row r="555" ht="12.75" customHeight="1">
      <c r="I555" s="153"/>
    </row>
    <row r="556" ht="12.75" customHeight="1">
      <c r="I556" s="153"/>
    </row>
    <row r="557" ht="12.75" customHeight="1">
      <c r="I557" s="153"/>
    </row>
    <row r="558" ht="12.75" customHeight="1">
      <c r="I558" s="153"/>
    </row>
    <row r="559" ht="12.75" customHeight="1">
      <c r="I559" s="153"/>
    </row>
    <row r="560" ht="12.75" customHeight="1">
      <c r="I560" s="153"/>
    </row>
    <row r="561" ht="12.75" customHeight="1">
      <c r="I561" s="153"/>
    </row>
    <row r="562" ht="12.75" customHeight="1">
      <c r="I562" s="153"/>
    </row>
    <row r="563" ht="12.75" customHeight="1">
      <c r="I563" s="153"/>
    </row>
    <row r="564" ht="12.75" customHeight="1">
      <c r="I564" s="153"/>
    </row>
    <row r="565" ht="12.75" customHeight="1">
      <c r="I565" s="153"/>
    </row>
    <row r="566" ht="12.75" customHeight="1">
      <c r="I566" s="153"/>
    </row>
    <row r="567" ht="12.75" customHeight="1">
      <c r="I567" s="153"/>
    </row>
    <row r="568" ht="12.75" customHeight="1">
      <c r="I568" s="153"/>
    </row>
    <row r="569" ht="12.75" customHeight="1">
      <c r="I569" s="153"/>
    </row>
    <row r="570" ht="12.75" customHeight="1">
      <c r="I570" s="153"/>
    </row>
    <row r="571" ht="12.75" customHeight="1">
      <c r="I571" s="153"/>
    </row>
    <row r="572" ht="12.75" customHeight="1">
      <c r="I572" s="153"/>
    </row>
    <row r="573" ht="12.75" customHeight="1">
      <c r="I573" s="153"/>
    </row>
    <row r="574" ht="12.75" customHeight="1">
      <c r="I574" s="153"/>
    </row>
    <row r="575" ht="12.75" customHeight="1">
      <c r="I575" s="153"/>
    </row>
    <row r="576" ht="12.75" customHeight="1">
      <c r="I576" s="153"/>
    </row>
    <row r="577" ht="12.75" customHeight="1">
      <c r="I577" s="153"/>
    </row>
    <row r="578" ht="12.75" customHeight="1">
      <c r="I578" s="153"/>
    </row>
    <row r="579" ht="12.75" customHeight="1">
      <c r="I579" s="153"/>
    </row>
    <row r="580" ht="12.75" customHeight="1">
      <c r="I580" s="153"/>
    </row>
    <row r="581" ht="12.75" customHeight="1">
      <c r="I581" s="153"/>
    </row>
    <row r="582" ht="12.75" customHeight="1">
      <c r="I582" s="153"/>
    </row>
    <row r="583" ht="12.75" customHeight="1">
      <c r="I583" s="153"/>
    </row>
    <row r="584" ht="12.75" customHeight="1">
      <c r="I584" s="153"/>
    </row>
    <row r="585" ht="12.75" customHeight="1">
      <c r="I585" s="153"/>
    </row>
    <row r="586" ht="12.75" customHeight="1">
      <c r="I586" s="153"/>
    </row>
    <row r="587" ht="12.75" customHeight="1">
      <c r="I587" s="153"/>
    </row>
    <row r="588" ht="12.75" customHeight="1">
      <c r="I588" s="153"/>
    </row>
    <row r="589" ht="12.75" customHeight="1">
      <c r="I589" s="153"/>
    </row>
    <row r="590" ht="12.75" customHeight="1">
      <c r="I590" s="153"/>
    </row>
    <row r="591" ht="12.75" customHeight="1">
      <c r="I591" s="153"/>
    </row>
    <row r="592" ht="12.75" customHeight="1">
      <c r="I592" s="153"/>
    </row>
    <row r="593" ht="12.75" customHeight="1">
      <c r="I593" s="153"/>
    </row>
    <row r="594" ht="12.75" customHeight="1">
      <c r="I594" s="153"/>
    </row>
    <row r="595" ht="12.75" customHeight="1">
      <c r="I595" s="153"/>
    </row>
    <row r="596" ht="12.75" customHeight="1">
      <c r="I596" s="153"/>
    </row>
    <row r="597" ht="12.75" customHeight="1">
      <c r="I597" s="153"/>
    </row>
    <row r="598" ht="12.75" customHeight="1">
      <c r="I598" s="153"/>
    </row>
    <row r="599" ht="12.75" customHeight="1">
      <c r="I599" s="153"/>
    </row>
    <row r="600" ht="12.75" customHeight="1">
      <c r="I600" s="153"/>
    </row>
    <row r="601" ht="12.75" customHeight="1">
      <c r="I601" s="153"/>
    </row>
    <row r="602" ht="12.75" customHeight="1">
      <c r="I602" s="153"/>
    </row>
    <row r="603" ht="12.75" customHeight="1">
      <c r="I603" s="153"/>
    </row>
    <row r="604" ht="12.75" customHeight="1">
      <c r="I604" s="153"/>
    </row>
    <row r="605" ht="12.75" customHeight="1">
      <c r="I605" s="153"/>
    </row>
    <row r="606" ht="12.75" customHeight="1">
      <c r="I606" s="153"/>
    </row>
    <row r="607" ht="12.75" customHeight="1">
      <c r="I607" s="153"/>
    </row>
    <row r="608" ht="12.75" customHeight="1">
      <c r="I608" s="153"/>
    </row>
    <row r="609" ht="12.75" customHeight="1">
      <c r="I609" s="153"/>
    </row>
    <row r="610" ht="12.75" customHeight="1">
      <c r="I610" s="153"/>
    </row>
    <row r="611" ht="12.75" customHeight="1">
      <c r="I611" s="153"/>
    </row>
    <row r="612" ht="12.75" customHeight="1">
      <c r="I612" s="153"/>
    </row>
    <row r="613" ht="12.75" customHeight="1">
      <c r="I613" s="153"/>
    </row>
    <row r="614" ht="12.75" customHeight="1">
      <c r="I614" s="153"/>
    </row>
    <row r="615" ht="12.75" customHeight="1">
      <c r="I615" s="153"/>
    </row>
    <row r="616" ht="12.75" customHeight="1">
      <c r="I616" s="153"/>
    </row>
    <row r="617" ht="12.75" customHeight="1">
      <c r="I617" s="153"/>
    </row>
    <row r="618" ht="12.75" customHeight="1">
      <c r="I618" s="153"/>
    </row>
    <row r="619" ht="12.75" customHeight="1">
      <c r="I619" s="153"/>
    </row>
    <row r="620" ht="12.75" customHeight="1">
      <c r="I620" s="153"/>
    </row>
    <row r="621" ht="12.75" customHeight="1">
      <c r="I621" s="153"/>
    </row>
    <row r="622" ht="12.75" customHeight="1">
      <c r="I622" s="153"/>
    </row>
    <row r="623" ht="12.75" customHeight="1">
      <c r="I623" s="153"/>
    </row>
    <row r="624" ht="12.75" customHeight="1">
      <c r="I624" s="153"/>
    </row>
    <row r="625" ht="12.75" customHeight="1">
      <c r="I625" s="153"/>
    </row>
    <row r="626" ht="12.75" customHeight="1">
      <c r="I626" s="153"/>
    </row>
    <row r="627" ht="12.75" customHeight="1">
      <c r="I627" s="153"/>
    </row>
    <row r="628" ht="12.75" customHeight="1">
      <c r="I628" s="153"/>
    </row>
    <row r="629" ht="12.75" customHeight="1">
      <c r="I629" s="153"/>
    </row>
    <row r="630" ht="12.75" customHeight="1">
      <c r="I630" s="153"/>
    </row>
    <row r="631" ht="12.75" customHeight="1">
      <c r="I631" s="153"/>
    </row>
    <row r="632" ht="12.75" customHeight="1">
      <c r="I632" s="153"/>
    </row>
    <row r="633" ht="12.75" customHeight="1">
      <c r="I633" s="153"/>
    </row>
    <row r="634" ht="12.75" customHeight="1">
      <c r="I634" s="153"/>
    </row>
    <row r="635" ht="12.75" customHeight="1">
      <c r="I635" s="153"/>
    </row>
    <row r="636" ht="12.75" customHeight="1">
      <c r="I636" s="153"/>
    </row>
    <row r="637" ht="12.75" customHeight="1">
      <c r="I637" s="153"/>
    </row>
    <row r="638" ht="12.75" customHeight="1">
      <c r="I638" s="153"/>
    </row>
    <row r="639" ht="12.75" customHeight="1">
      <c r="I639" s="153"/>
    </row>
    <row r="640" ht="12.75" customHeight="1">
      <c r="I640" s="153"/>
    </row>
    <row r="641" ht="12.75" customHeight="1">
      <c r="I641" s="153"/>
    </row>
    <row r="642" ht="12.75" customHeight="1">
      <c r="I642" s="153"/>
    </row>
    <row r="643" ht="12.75" customHeight="1">
      <c r="I643" s="153"/>
    </row>
    <row r="644" ht="12.75" customHeight="1">
      <c r="I644" s="153"/>
    </row>
    <row r="645" ht="12.75" customHeight="1">
      <c r="I645" s="153"/>
    </row>
    <row r="646" ht="12.75" customHeight="1">
      <c r="I646" s="153"/>
    </row>
    <row r="647" ht="12.75" customHeight="1">
      <c r="I647" s="153"/>
    </row>
    <row r="648" ht="12.75" customHeight="1">
      <c r="I648" s="153"/>
    </row>
    <row r="649" ht="12.75" customHeight="1">
      <c r="I649" s="153"/>
    </row>
    <row r="650" ht="12.75" customHeight="1">
      <c r="I650" s="153"/>
    </row>
    <row r="651" ht="12.75" customHeight="1">
      <c r="I651" s="153"/>
    </row>
    <row r="652" ht="12.75" customHeight="1">
      <c r="I652" s="153"/>
    </row>
    <row r="653" ht="12.75" customHeight="1">
      <c r="I653" s="153"/>
    </row>
    <row r="654" ht="12.75" customHeight="1">
      <c r="I654" s="153"/>
    </row>
    <row r="655" ht="12.75" customHeight="1">
      <c r="I655" s="153"/>
    </row>
    <row r="656" ht="12.75" customHeight="1">
      <c r="I656" s="153"/>
    </row>
    <row r="657" ht="12.75" customHeight="1">
      <c r="I657" s="153"/>
    </row>
    <row r="658" ht="12.75" customHeight="1">
      <c r="I658" s="153"/>
    </row>
    <row r="659" ht="12.75" customHeight="1">
      <c r="I659" s="153"/>
    </row>
    <row r="660" ht="12.75" customHeight="1">
      <c r="I660" s="153"/>
    </row>
    <row r="661" ht="12.75" customHeight="1">
      <c r="I661" s="153"/>
    </row>
    <row r="662" ht="12.75" customHeight="1">
      <c r="I662" s="153"/>
    </row>
    <row r="663" ht="12.75" customHeight="1">
      <c r="I663" s="153"/>
    </row>
    <row r="664" ht="12.75" customHeight="1">
      <c r="I664" s="153"/>
    </row>
    <row r="665" ht="12.75" customHeight="1">
      <c r="I665" s="153"/>
    </row>
    <row r="666" ht="12.75" customHeight="1">
      <c r="I666" s="153"/>
    </row>
    <row r="667" ht="12.75" customHeight="1">
      <c r="I667" s="153"/>
    </row>
    <row r="668" ht="12.75" customHeight="1">
      <c r="I668" s="153"/>
    </row>
    <row r="669" ht="12.75" customHeight="1">
      <c r="I669" s="153"/>
    </row>
    <row r="670" ht="12.75" customHeight="1">
      <c r="I670" s="153"/>
    </row>
    <row r="671" ht="12.75" customHeight="1">
      <c r="I671" s="153"/>
    </row>
    <row r="672" ht="12.75" customHeight="1">
      <c r="I672" s="153"/>
    </row>
    <row r="673" ht="12.75" customHeight="1">
      <c r="I673" s="153"/>
    </row>
    <row r="674" ht="12.75" customHeight="1">
      <c r="I674" s="153"/>
    </row>
    <row r="675" ht="12.75" customHeight="1">
      <c r="I675" s="153"/>
    </row>
    <row r="676" ht="12.75" customHeight="1">
      <c r="I676" s="153"/>
    </row>
    <row r="677" ht="12.75" customHeight="1">
      <c r="I677" s="153"/>
    </row>
    <row r="678" ht="12.75" customHeight="1">
      <c r="I678" s="153"/>
    </row>
    <row r="679" ht="12.75" customHeight="1">
      <c r="I679" s="153"/>
    </row>
    <row r="680" ht="12.75" customHeight="1">
      <c r="I680" s="153"/>
    </row>
    <row r="681" ht="12.75" customHeight="1">
      <c r="I681" s="153"/>
    </row>
    <row r="682" ht="12.75" customHeight="1">
      <c r="I682" s="153"/>
    </row>
    <row r="683" ht="12.75" customHeight="1">
      <c r="I683" s="153"/>
    </row>
    <row r="684" ht="12.75" customHeight="1">
      <c r="I684" s="153"/>
    </row>
    <row r="685" ht="12.75" customHeight="1">
      <c r="I685" s="153"/>
    </row>
    <row r="686" ht="12.75" customHeight="1">
      <c r="I686" s="153"/>
    </row>
    <row r="687" ht="12.75" customHeight="1">
      <c r="I687" s="153"/>
    </row>
    <row r="688" ht="12.75" customHeight="1">
      <c r="I688" s="153"/>
    </row>
    <row r="689" ht="12.75" customHeight="1">
      <c r="I689" s="153"/>
    </row>
    <row r="690" ht="12.75" customHeight="1">
      <c r="I690" s="153"/>
    </row>
    <row r="691" ht="12.75" customHeight="1">
      <c r="I691" s="153"/>
    </row>
    <row r="692" ht="12.75" customHeight="1">
      <c r="I692" s="153"/>
    </row>
    <row r="693" ht="12.75" customHeight="1">
      <c r="I693" s="153"/>
    </row>
    <row r="694" ht="12.75" customHeight="1">
      <c r="I694" s="153"/>
    </row>
    <row r="695" ht="12.75" customHeight="1">
      <c r="I695" s="153"/>
    </row>
    <row r="696" ht="12.75" customHeight="1">
      <c r="I696" s="153"/>
    </row>
    <row r="697" ht="12.75" customHeight="1">
      <c r="I697" s="153"/>
    </row>
    <row r="698" ht="12.75" customHeight="1">
      <c r="I698" s="153"/>
    </row>
    <row r="699" ht="12.75" customHeight="1">
      <c r="I699" s="153"/>
    </row>
    <row r="700" ht="12.75" customHeight="1">
      <c r="I700" s="153"/>
    </row>
    <row r="701" ht="12.75" customHeight="1">
      <c r="I701" s="153"/>
    </row>
    <row r="702" ht="12.75" customHeight="1">
      <c r="I702" s="153"/>
    </row>
    <row r="703" ht="12.75" customHeight="1">
      <c r="I703" s="153"/>
    </row>
    <row r="704" ht="12.75" customHeight="1">
      <c r="I704" s="153"/>
    </row>
    <row r="705" ht="12.75" customHeight="1">
      <c r="I705" s="153"/>
    </row>
    <row r="706" ht="12.75" customHeight="1">
      <c r="I706" s="153"/>
    </row>
    <row r="707" ht="12.75" customHeight="1">
      <c r="I707" s="153"/>
    </row>
    <row r="708" ht="12.75" customHeight="1">
      <c r="I708" s="153"/>
    </row>
    <row r="709" ht="12.75" customHeight="1">
      <c r="I709" s="153"/>
    </row>
    <row r="710" ht="12.75" customHeight="1">
      <c r="I710" s="153"/>
    </row>
    <row r="711" ht="12.75" customHeight="1">
      <c r="I711" s="153"/>
    </row>
    <row r="712" ht="12.75" customHeight="1">
      <c r="I712" s="153"/>
    </row>
    <row r="713" ht="12.75" customHeight="1">
      <c r="I713" s="153"/>
    </row>
    <row r="714" ht="12.75" customHeight="1">
      <c r="I714" s="153"/>
    </row>
    <row r="715" ht="12.75" customHeight="1">
      <c r="I715" s="153"/>
    </row>
    <row r="716" ht="12.75" customHeight="1">
      <c r="I716" s="153"/>
    </row>
    <row r="717" ht="12.75" customHeight="1">
      <c r="I717" s="153"/>
    </row>
    <row r="718" ht="12.75" customHeight="1">
      <c r="I718" s="153"/>
    </row>
    <row r="719" ht="12.75" customHeight="1">
      <c r="I719" s="153"/>
    </row>
    <row r="720" ht="12.75" customHeight="1">
      <c r="I720" s="153"/>
    </row>
    <row r="721" ht="12.75" customHeight="1">
      <c r="I721" s="153"/>
    </row>
    <row r="722" ht="12.75" customHeight="1">
      <c r="I722" s="153"/>
    </row>
    <row r="723" ht="12.75" customHeight="1">
      <c r="I723" s="153"/>
    </row>
    <row r="724" ht="12.75" customHeight="1">
      <c r="I724" s="153"/>
    </row>
    <row r="725" ht="12.75" customHeight="1">
      <c r="I725" s="153"/>
    </row>
    <row r="726" ht="12.75" customHeight="1">
      <c r="I726" s="153"/>
    </row>
    <row r="727" ht="12.75" customHeight="1">
      <c r="I727" s="153"/>
    </row>
    <row r="728" ht="12.75" customHeight="1">
      <c r="I728" s="153"/>
    </row>
    <row r="729" ht="12.75" customHeight="1">
      <c r="I729" s="153"/>
    </row>
    <row r="730" ht="12.75" customHeight="1">
      <c r="I730" s="153"/>
    </row>
    <row r="731" ht="12.75" customHeight="1">
      <c r="I731" s="153"/>
    </row>
    <row r="732" ht="12.75" customHeight="1">
      <c r="I732" s="153"/>
    </row>
    <row r="733" ht="12.75" customHeight="1">
      <c r="I733" s="153"/>
    </row>
    <row r="734" ht="12.75" customHeight="1">
      <c r="I734" s="153"/>
    </row>
    <row r="735" ht="12.75" customHeight="1">
      <c r="I735" s="153"/>
    </row>
    <row r="736" ht="12.75" customHeight="1">
      <c r="I736" s="153"/>
    </row>
    <row r="737" ht="12.75" customHeight="1">
      <c r="I737" s="153"/>
    </row>
    <row r="738" ht="12.75" customHeight="1">
      <c r="I738" s="153"/>
    </row>
    <row r="739" ht="12.75" customHeight="1">
      <c r="I739" s="153"/>
    </row>
    <row r="740" ht="12.75" customHeight="1">
      <c r="I740" s="153"/>
    </row>
    <row r="741" ht="12.75" customHeight="1">
      <c r="I741" s="153"/>
    </row>
    <row r="742" ht="12.75" customHeight="1">
      <c r="I742" s="153"/>
    </row>
    <row r="743" ht="12.75" customHeight="1">
      <c r="I743" s="153"/>
    </row>
    <row r="744" ht="12.75" customHeight="1">
      <c r="I744" s="153"/>
    </row>
    <row r="745" ht="12.75" customHeight="1">
      <c r="I745" s="153"/>
    </row>
    <row r="746" ht="12.75" customHeight="1">
      <c r="I746" s="153"/>
    </row>
    <row r="747" ht="12.75" customHeight="1">
      <c r="I747" s="153"/>
    </row>
    <row r="748" ht="12.75" customHeight="1">
      <c r="I748" s="153"/>
    </row>
    <row r="749" ht="12.75" customHeight="1">
      <c r="I749" s="153"/>
    </row>
    <row r="750" ht="12.75" customHeight="1">
      <c r="I750" s="153"/>
    </row>
    <row r="751" ht="12.75" customHeight="1">
      <c r="I751" s="153"/>
    </row>
    <row r="752" ht="12.75" customHeight="1">
      <c r="I752" s="153"/>
    </row>
    <row r="753" ht="12.75" customHeight="1">
      <c r="I753" s="153"/>
    </row>
    <row r="754" ht="12.75" customHeight="1">
      <c r="I754" s="153"/>
    </row>
    <row r="755" ht="12.75" customHeight="1">
      <c r="I755" s="153"/>
    </row>
    <row r="756" ht="12.75" customHeight="1">
      <c r="I756" s="153"/>
    </row>
    <row r="757" ht="12.75" customHeight="1">
      <c r="I757" s="153"/>
    </row>
    <row r="758" ht="12.75" customHeight="1">
      <c r="I758" s="153"/>
    </row>
    <row r="759" ht="12.75" customHeight="1">
      <c r="I759" s="153"/>
    </row>
    <row r="760" ht="12.75" customHeight="1">
      <c r="I760" s="153"/>
    </row>
    <row r="761" ht="12.75" customHeight="1">
      <c r="I761" s="153"/>
    </row>
    <row r="762" ht="12.75" customHeight="1">
      <c r="I762" s="153"/>
    </row>
    <row r="763" ht="12.75" customHeight="1">
      <c r="I763" s="153"/>
    </row>
    <row r="764" ht="12.75" customHeight="1">
      <c r="I764" s="153"/>
    </row>
    <row r="765" ht="12.75" customHeight="1">
      <c r="I765" s="153"/>
    </row>
    <row r="766" ht="12.75" customHeight="1">
      <c r="I766" s="153"/>
    </row>
    <row r="767" ht="12.75" customHeight="1">
      <c r="I767" s="153"/>
    </row>
    <row r="768" ht="12.75" customHeight="1">
      <c r="I768" s="153"/>
    </row>
    <row r="769" ht="12.75" customHeight="1">
      <c r="I769" s="153"/>
    </row>
    <row r="770" ht="12.75" customHeight="1">
      <c r="I770" s="153"/>
    </row>
    <row r="771" ht="12.75" customHeight="1">
      <c r="I771" s="153"/>
    </row>
    <row r="772" ht="12.75" customHeight="1">
      <c r="I772" s="153"/>
    </row>
    <row r="773" ht="12.75" customHeight="1">
      <c r="I773" s="153"/>
    </row>
    <row r="774" ht="12.75" customHeight="1">
      <c r="I774" s="153"/>
    </row>
    <row r="775" ht="12.75" customHeight="1">
      <c r="I775" s="153"/>
    </row>
    <row r="776" ht="12.75" customHeight="1">
      <c r="I776" s="153"/>
    </row>
    <row r="777" ht="12.75" customHeight="1">
      <c r="I777" s="153"/>
    </row>
    <row r="778" ht="12.75" customHeight="1">
      <c r="I778" s="153"/>
    </row>
    <row r="779" ht="12.75" customHeight="1">
      <c r="I779" s="153"/>
    </row>
    <row r="780" ht="12.75" customHeight="1">
      <c r="I780" s="153"/>
    </row>
    <row r="781" ht="12.75" customHeight="1">
      <c r="I781" s="153"/>
    </row>
    <row r="782" ht="12.75" customHeight="1">
      <c r="I782" s="153"/>
    </row>
    <row r="783" ht="12.75" customHeight="1">
      <c r="I783" s="153"/>
    </row>
    <row r="784" ht="12.75" customHeight="1">
      <c r="I784" s="153"/>
    </row>
    <row r="785" ht="12.75" customHeight="1">
      <c r="I785" s="153"/>
    </row>
    <row r="786" ht="12.75" customHeight="1">
      <c r="I786" s="153"/>
    </row>
    <row r="787" ht="12.75" customHeight="1">
      <c r="I787" s="153"/>
    </row>
    <row r="788" ht="12.75" customHeight="1">
      <c r="I788" s="153"/>
    </row>
    <row r="789" ht="12.75" customHeight="1">
      <c r="I789" s="153"/>
    </row>
    <row r="790" ht="12.75" customHeight="1">
      <c r="I790" s="153"/>
    </row>
    <row r="791" ht="12.75" customHeight="1">
      <c r="I791" s="153"/>
    </row>
    <row r="792" ht="12.75" customHeight="1">
      <c r="I792" s="153"/>
    </row>
    <row r="793" ht="12.75" customHeight="1">
      <c r="I793" s="153"/>
    </row>
    <row r="794" ht="12.75" customHeight="1">
      <c r="I794" s="153"/>
    </row>
    <row r="795" ht="12.75" customHeight="1">
      <c r="I795" s="153"/>
    </row>
    <row r="796" ht="12.75" customHeight="1">
      <c r="I796" s="153"/>
    </row>
    <row r="797" ht="12.75" customHeight="1">
      <c r="I797" s="153"/>
    </row>
    <row r="798" ht="12.75" customHeight="1">
      <c r="I798" s="153"/>
    </row>
    <row r="799" ht="12.75" customHeight="1">
      <c r="I799" s="153"/>
    </row>
    <row r="800" ht="12.75" customHeight="1">
      <c r="I800" s="153"/>
    </row>
    <row r="801" ht="12.75" customHeight="1">
      <c r="I801" s="153"/>
    </row>
    <row r="802" ht="12.75" customHeight="1">
      <c r="I802" s="153"/>
    </row>
    <row r="803" ht="12.75" customHeight="1">
      <c r="I803" s="153"/>
    </row>
    <row r="804" ht="12.75" customHeight="1">
      <c r="I804" s="153"/>
    </row>
    <row r="805" ht="12.75" customHeight="1">
      <c r="I805" s="153"/>
    </row>
    <row r="806" ht="12.75" customHeight="1">
      <c r="I806" s="153"/>
    </row>
    <row r="807" ht="12.75" customHeight="1">
      <c r="I807" s="153"/>
    </row>
    <row r="808" ht="12.75" customHeight="1">
      <c r="I808" s="153"/>
    </row>
    <row r="809" ht="12.75" customHeight="1">
      <c r="I809" s="153"/>
    </row>
    <row r="810" ht="12.75" customHeight="1">
      <c r="I810" s="153"/>
    </row>
    <row r="811" ht="12.75" customHeight="1">
      <c r="I811" s="153"/>
    </row>
    <row r="812" ht="12.75" customHeight="1">
      <c r="I812" s="153"/>
    </row>
    <row r="813" ht="12.75" customHeight="1">
      <c r="I813" s="153"/>
    </row>
    <row r="814" ht="12.75" customHeight="1">
      <c r="I814" s="153"/>
    </row>
    <row r="815" ht="12.75" customHeight="1">
      <c r="I815" s="153"/>
    </row>
    <row r="816" ht="12.75" customHeight="1">
      <c r="I816" s="153"/>
    </row>
    <row r="817" ht="12.75" customHeight="1">
      <c r="I817" s="153"/>
    </row>
    <row r="818" ht="12.75" customHeight="1">
      <c r="I818" s="153"/>
    </row>
    <row r="819" ht="12.75" customHeight="1">
      <c r="I819" s="153"/>
    </row>
    <row r="820" ht="12.75" customHeight="1">
      <c r="I820" s="153"/>
    </row>
    <row r="821" ht="12.75" customHeight="1">
      <c r="I821" s="153"/>
    </row>
    <row r="822" ht="12.75" customHeight="1">
      <c r="I822" s="153"/>
    </row>
    <row r="823" ht="12.75" customHeight="1">
      <c r="I823" s="153"/>
    </row>
    <row r="824" ht="12.75" customHeight="1">
      <c r="I824" s="153"/>
    </row>
    <row r="825" ht="12.75" customHeight="1">
      <c r="I825" s="153"/>
    </row>
    <row r="826" ht="12.75" customHeight="1">
      <c r="I826" s="153"/>
    </row>
    <row r="827" ht="12.75" customHeight="1">
      <c r="I827" s="153"/>
    </row>
    <row r="828" ht="12.75" customHeight="1">
      <c r="I828" s="153"/>
    </row>
    <row r="829" ht="12.75" customHeight="1">
      <c r="I829" s="153"/>
    </row>
    <row r="830" ht="12.75" customHeight="1">
      <c r="I830" s="153"/>
    </row>
    <row r="831" ht="12.75" customHeight="1">
      <c r="I831" s="153"/>
    </row>
    <row r="832" ht="12.75" customHeight="1">
      <c r="I832" s="153"/>
    </row>
    <row r="833" ht="12.75" customHeight="1">
      <c r="I833" s="153"/>
    </row>
    <row r="834" ht="12.75" customHeight="1">
      <c r="I834" s="153"/>
    </row>
    <row r="835" ht="12.75" customHeight="1">
      <c r="I835" s="153"/>
    </row>
    <row r="836" ht="12.75" customHeight="1">
      <c r="I836" s="153"/>
    </row>
    <row r="837" ht="12.75" customHeight="1">
      <c r="I837" s="153"/>
    </row>
    <row r="838" ht="12.75" customHeight="1">
      <c r="I838" s="153"/>
    </row>
    <row r="839" ht="12.75" customHeight="1">
      <c r="I839" s="153"/>
    </row>
    <row r="840" ht="12.75" customHeight="1">
      <c r="I840" s="153"/>
    </row>
    <row r="841" ht="12.75" customHeight="1">
      <c r="I841" s="153"/>
    </row>
    <row r="842" ht="12.75" customHeight="1">
      <c r="I842" s="153"/>
    </row>
    <row r="843" ht="12.75" customHeight="1">
      <c r="I843" s="153"/>
    </row>
    <row r="844" ht="12.75" customHeight="1">
      <c r="I844" s="153"/>
    </row>
    <row r="845" ht="12.75" customHeight="1">
      <c r="I845" s="153"/>
    </row>
    <row r="846" ht="12.75" customHeight="1">
      <c r="I846" s="153"/>
    </row>
    <row r="847" ht="12.75" customHeight="1">
      <c r="I847" s="153"/>
    </row>
    <row r="848" ht="12.75" customHeight="1">
      <c r="I848" s="153"/>
    </row>
    <row r="849" ht="12.75" customHeight="1">
      <c r="I849" s="153"/>
    </row>
    <row r="850" ht="12.75" customHeight="1">
      <c r="I850" s="153"/>
    </row>
    <row r="851" ht="12.75" customHeight="1">
      <c r="I851" s="153"/>
    </row>
    <row r="852" ht="12.75" customHeight="1">
      <c r="I852" s="153"/>
    </row>
    <row r="853" ht="12.75" customHeight="1">
      <c r="I853" s="153"/>
    </row>
    <row r="854" ht="12.75" customHeight="1">
      <c r="I854" s="153"/>
    </row>
    <row r="855" ht="12.75" customHeight="1">
      <c r="I855" s="153"/>
    </row>
    <row r="856" ht="12.75" customHeight="1">
      <c r="I856" s="153"/>
    </row>
    <row r="857" ht="12.75" customHeight="1">
      <c r="I857" s="153"/>
    </row>
    <row r="858" ht="12.75" customHeight="1">
      <c r="I858" s="153"/>
    </row>
    <row r="859" ht="12.75" customHeight="1">
      <c r="I859" s="153"/>
    </row>
    <row r="860" ht="12.75" customHeight="1">
      <c r="I860" s="153"/>
    </row>
    <row r="861" ht="12.75" customHeight="1">
      <c r="I861" s="153"/>
    </row>
    <row r="862" ht="12.75" customHeight="1">
      <c r="I862" s="153"/>
    </row>
    <row r="863" ht="12.75" customHeight="1">
      <c r="I863" s="153"/>
    </row>
    <row r="864" ht="12.75" customHeight="1">
      <c r="I864" s="153"/>
    </row>
    <row r="865" ht="12.75" customHeight="1">
      <c r="I865" s="153"/>
    </row>
    <row r="866" ht="12.75" customHeight="1">
      <c r="I866" s="153"/>
    </row>
    <row r="867" ht="12.75" customHeight="1">
      <c r="I867" s="153"/>
    </row>
    <row r="868" ht="12.75" customHeight="1">
      <c r="I868" s="153"/>
    </row>
    <row r="869" ht="12.75" customHeight="1">
      <c r="I869" s="153"/>
    </row>
    <row r="870" ht="12.75" customHeight="1">
      <c r="I870" s="153"/>
    </row>
    <row r="871" ht="12.75" customHeight="1">
      <c r="I871" s="153"/>
    </row>
    <row r="872" ht="12.75" customHeight="1">
      <c r="I872" s="153"/>
    </row>
    <row r="873" ht="12.75" customHeight="1">
      <c r="I873" s="153"/>
    </row>
    <row r="874" ht="12.75" customHeight="1">
      <c r="I874" s="153"/>
    </row>
    <row r="875" ht="12.75" customHeight="1">
      <c r="I875" s="153"/>
    </row>
    <row r="876" ht="12.75" customHeight="1">
      <c r="I876" s="153"/>
    </row>
    <row r="877" ht="12.75" customHeight="1">
      <c r="I877" s="153"/>
    </row>
    <row r="878" ht="12.75" customHeight="1">
      <c r="I878" s="153"/>
    </row>
    <row r="879" ht="12.75" customHeight="1">
      <c r="I879" s="153"/>
    </row>
    <row r="880" ht="12.75" customHeight="1">
      <c r="I880" s="153"/>
    </row>
    <row r="881" ht="12.75" customHeight="1">
      <c r="I881" s="153"/>
    </row>
    <row r="882" ht="12.75" customHeight="1">
      <c r="I882" s="153"/>
    </row>
    <row r="883" ht="12.75" customHeight="1">
      <c r="I883" s="153"/>
    </row>
    <row r="884" ht="12.75" customHeight="1">
      <c r="I884" s="153"/>
    </row>
    <row r="885" ht="12.75" customHeight="1">
      <c r="I885" s="153"/>
    </row>
    <row r="886" ht="12.75" customHeight="1">
      <c r="I886" s="153"/>
    </row>
    <row r="887" ht="12.75" customHeight="1">
      <c r="I887" s="153"/>
    </row>
    <row r="888" ht="12.75" customHeight="1">
      <c r="I888" s="153"/>
    </row>
    <row r="889" ht="12.75" customHeight="1">
      <c r="I889" s="153"/>
    </row>
    <row r="890" ht="12.75" customHeight="1">
      <c r="I890" s="153"/>
    </row>
    <row r="891" ht="12.75" customHeight="1">
      <c r="I891" s="153"/>
    </row>
    <row r="892" ht="12.75" customHeight="1">
      <c r="I892" s="153"/>
    </row>
    <row r="893" ht="12.75" customHeight="1">
      <c r="I893" s="153"/>
    </row>
    <row r="894" ht="12.75" customHeight="1">
      <c r="I894" s="153"/>
    </row>
    <row r="895" ht="12.75" customHeight="1">
      <c r="I895" s="153"/>
    </row>
    <row r="896" ht="12.75" customHeight="1">
      <c r="I896" s="153"/>
    </row>
    <row r="897" ht="12.75" customHeight="1">
      <c r="I897" s="153"/>
    </row>
    <row r="898" ht="12.75" customHeight="1">
      <c r="I898" s="153"/>
    </row>
    <row r="899" ht="12.75" customHeight="1">
      <c r="I899" s="153"/>
    </row>
    <row r="900" ht="12.75" customHeight="1">
      <c r="I900" s="153"/>
    </row>
    <row r="901" ht="12.75" customHeight="1">
      <c r="I901" s="153"/>
    </row>
    <row r="902" ht="12.75" customHeight="1">
      <c r="I902" s="153"/>
    </row>
    <row r="903" ht="12.75" customHeight="1">
      <c r="I903" s="153"/>
    </row>
    <row r="904" ht="12.75" customHeight="1">
      <c r="I904" s="153"/>
    </row>
    <row r="905" ht="12.75" customHeight="1">
      <c r="I905" s="153"/>
    </row>
    <row r="906" ht="12.75" customHeight="1">
      <c r="I906" s="153"/>
    </row>
    <row r="907" ht="12.75" customHeight="1">
      <c r="I907" s="153"/>
    </row>
    <row r="908" ht="12.75" customHeight="1">
      <c r="I908" s="153"/>
    </row>
    <row r="909" ht="12.75" customHeight="1">
      <c r="I909" s="153"/>
    </row>
    <row r="910" ht="12.75" customHeight="1">
      <c r="I910" s="153"/>
    </row>
    <row r="911" ht="12.75" customHeight="1">
      <c r="I911" s="153"/>
    </row>
    <row r="912" ht="12.75" customHeight="1">
      <c r="I912" s="153"/>
    </row>
    <row r="913" ht="12.75" customHeight="1">
      <c r="I913" s="153"/>
    </row>
    <row r="914" ht="12.75" customHeight="1">
      <c r="I914" s="153"/>
    </row>
    <row r="915" ht="12.75" customHeight="1">
      <c r="I915" s="153"/>
    </row>
  </sheetData>
  <autoFilter ref="$A$1:$I$36">
    <sortState ref="A1:I36">
      <sortCondition ref="E1:E36"/>
      <sortCondition ref="A1:A36"/>
    </sortState>
  </autoFilter>
  <conditionalFormatting sqref="E2:E36">
    <cfRule type="colorScale" priority="1">
      <colorScale>
        <cfvo type="min"/>
        <cfvo type="percentile" val="50"/>
        <cfvo type="max"/>
        <color rgb="FFF8696B"/>
        <color rgb="FFFFEB84"/>
        <color rgb="FF63BE7B"/>
      </colorScale>
    </cfRule>
  </conditionalFormatting>
  <conditionalFormatting sqref="H2:H36">
    <cfRule type="colorScale" priority="2">
      <colorScale>
        <cfvo type="min"/>
        <cfvo type="percentile" val="50"/>
        <cfvo type="max"/>
        <color rgb="FFF8696B"/>
        <color rgb="FFFFEB84"/>
        <color rgb="FF63BE7B"/>
      </colorScale>
    </cfRule>
  </conditionalFormatting>
  <printOptions/>
  <pageMargins bottom="0.75" footer="0.0" header="0.0" left="0.7" right="0.7" top="0.75"/>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2060"/>
    <pageSetUpPr/>
  </sheetPr>
  <sheetViews>
    <sheetView workbookViewId="0">
      <pane xSplit="2.0" ySplit="6.0" topLeftCell="C7" activePane="bottomRight" state="frozen"/>
      <selection activeCell="C1" sqref="C1" pane="topRight"/>
      <selection activeCell="A7" sqref="A7" pane="bottomLeft"/>
      <selection activeCell="C7" sqref="C7" pane="bottomRight"/>
    </sheetView>
  </sheetViews>
  <sheetFormatPr customHeight="1" defaultColWidth="12.63" defaultRowHeight="15.0"/>
  <cols>
    <col customWidth="1" min="1" max="1" width="3.88"/>
    <col customWidth="1" min="2" max="2" width="26.25"/>
    <col customWidth="1" min="3" max="3" width="34.0"/>
    <col customWidth="1" min="4" max="4" width="32.88"/>
    <col customWidth="1" min="5" max="5" width="67.75"/>
    <col customWidth="1" min="6" max="6" width="5.13"/>
    <col customWidth="1" min="7" max="7" width="8.13"/>
    <col customWidth="1" min="8" max="8" width="4.38"/>
    <col customWidth="1" min="9" max="9" width="12.38"/>
    <col customWidth="1" min="10" max="10" width="8.38"/>
    <col customWidth="1" min="11" max="11" width="5.13"/>
    <col customWidth="1" min="12" max="32" width="11.38"/>
  </cols>
  <sheetData>
    <row r="1">
      <c r="E1" s="302"/>
    </row>
    <row r="2" ht="12.75" customHeight="1">
      <c r="B2" s="305"/>
      <c r="C2" s="305"/>
      <c r="D2" s="305"/>
      <c r="E2" s="305"/>
      <c r="F2" s="306"/>
      <c r="G2" s="306"/>
      <c r="H2" s="306"/>
      <c r="I2" s="306"/>
      <c r="J2" s="306"/>
      <c r="K2" s="306"/>
      <c r="L2" s="307"/>
    </row>
    <row r="3" ht="12.75" customHeight="1">
      <c r="B3" s="305"/>
      <c r="C3" s="305"/>
      <c r="D3" s="305"/>
      <c r="E3" s="305"/>
      <c r="F3" s="306"/>
      <c r="G3" s="306"/>
      <c r="H3" s="306"/>
      <c r="I3" s="306"/>
      <c r="J3" s="306"/>
      <c r="K3" s="306"/>
      <c r="L3" s="306"/>
    </row>
    <row r="4" ht="12.75" customHeight="1">
      <c r="B4" s="305"/>
      <c r="C4" s="305"/>
      <c r="D4" s="305"/>
      <c r="E4" s="305"/>
      <c r="F4" s="306"/>
      <c r="G4" s="306"/>
      <c r="H4" s="306"/>
      <c r="I4" s="306"/>
      <c r="J4" s="306"/>
      <c r="K4" s="306"/>
      <c r="L4" s="307"/>
    </row>
    <row r="5" ht="12.75" customHeight="1">
      <c r="B5" s="305"/>
      <c r="C5" s="305"/>
      <c r="D5" s="305"/>
      <c r="E5" s="305"/>
      <c r="F5" s="306"/>
      <c r="G5" s="306"/>
      <c r="H5" s="306"/>
      <c r="I5" s="306"/>
      <c r="J5" s="306"/>
      <c r="K5" s="306"/>
      <c r="L5" s="308"/>
    </row>
    <row r="6" ht="17.25" customHeight="1">
      <c r="B6" s="309" t="s">
        <v>19</v>
      </c>
      <c r="C6" s="310" t="s">
        <v>20</v>
      </c>
      <c r="D6" s="310" t="s">
        <v>804</v>
      </c>
      <c r="E6" s="310" t="s">
        <v>805</v>
      </c>
      <c r="F6" s="311" t="s">
        <v>806</v>
      </c>
      <c r="G6" s="312" t="s">
        <v>84</v>
      </c>
      <c r="H6" s="311" t="s">
        <v>807</v>
      </c>
      <c r="I6" s="311" t="s">
        <v>808</v>
      </c>
      <c r="J6" s="311" t="s">
        <v>809</v>
      </c>
      <c r="K6" s="313" t="s">
        <v>810</v>
      </c>
      <c r="L6" s="314" t="s">
        <v>811</v>
      </c>
    </row>
    <row r="7" ht="27.75" customHeight="1">
      <c r="B7" s="315" t="s">
        <v>74</v>
      </c>
      <c r="C7" s="316" t="s">
        <v>812</v>
      </c>
      <c r="D7" s="317" t="s">
        <v>84</v>
      </c>
      <c r="E7" s="317"/>
      <c r="F7" s="318">
        <f>COUNTIF(D7:D12,"Tecnologías")</f>
        <v>0</v>
      </c>
      <c r="G7" s="318">
        <f>COUNTIF(D7:D12,"Pregrado")</f>
        <v>5</v>
      </c>
      <c r="H7" s="318">
        <f>COUNTIF(D7:D12,"Especializaciones")</f>
        <v>0</v>
      </c>
      <c r="I7" s="318">
        <f>COUNTIF(D7:D12,"Esp. Médico Quirúrgicas")</f>
        <v>0</v>
      </c>
      <c r="J7" s="318">
        <f>COUNTIF(D7:D12,"Maestrías")</f>
        <v>1</v>
      </c>
      <c r="K7" s="318">
        <f>COUNTIF(D7:D12,"Doctorados")</f>
        <v>0</v>
      </c>
      <c r="L7" s="319">
        <f>SUM(F7:K12)</f>
        <v>6</v>
      </c>
    </row>
    <row r="8" ht="27.75" customHeight="1">
      <c r="B8" s="320"/>
      <c r="C8" s="316" t="s">
        <v>813</v>
      </c>
      <c r="D8" s="317" t="s">
        <v>84</v>
      </c>
      <c r="E8" s="317"/>
      <c r="F8" s="320"/>
      <c r="G8" s="320"/>
      <c r="H8" s="320"/>
      <c r="I8" s="320"/>
      <c r="J8" s="320"/>
      <c r="K8" s="320"/>
      <c r="L8" s="320"/>
    </row>
    <row r="9" ht="27.75" customHeight="1">
      <c r="B9" s="320"/>
      <c r="C9" s="316" t="s">
        <v>814</v>
      </c>
      <c r="D9" s="317" t="s">
        <v>84</v>
      </c>
      <c r="E9" s="317"/>
      <c r="F9" s="320"/>
      <c r="G9" s="320"/>
      <c r="H9" s="320"/>
      <c r="I9" s="320"/>
      <c r="J9" s="320"/>
      <c r="K9" s="320"/>
      <c r="L9" s="320"/>
    </row>
    <row r="10" ht="27.75" customHeight="1">
      <c r="B10" s="320"/>
      <c r="C10" s="316" t="s">
        <v>815</v>
      </c>
      <c r="D10" s="317" t="s">
        <v>84</v>
      </c>
      <c r="E10" s="317"/>
      <c r="F10" s="320"/>
      <c r="G10" s="320"/>
      <c r="H10" s="320"/>
      <c r="I10" s="320"/>
      <c r="J10" s="320"/>
      <c r="K10" s="320"/>
      <c r="L10" s="320"/>
    </row>
    <row r="11" ht="27.75" customHeight="1">
      <c r="B11" s="320"/>
      <c r="C11" s="316" t="s">
        <v>816</v>
      </c>
      <c r="D11" s="317" t="s">
        <v>84</v>
      </c>
      <c r="E11" s="317"/>
      <c r="F11" s="320"/>
      <c r="G11" s="320"/>
      <c r="H11" s="320"/>
      <c r="I11" s="320"/>
      <c r="J11" s="320"/>
      <c r="K11" s="320"/>
      <c r="L11" s="320"/>
    </row>
    <row r="12" ht="27.75" customHeight="1">
      <c r="B12" s="321"/>
      <c r="C12" s="316" t="s">
        <v>817</v>
      </c>
      <c r="D12" s="317" t="s">
        <v>809</v>
      </c>
      <c r="E12" s="317"/>
      <c r="F12" s="321"/>
      <c r="G12" s="321"/>
      <c r="H12" s="321"/>
      <c r="I12" s="321"/>
      <c r="J12" s="321"/>
      <c r="K12" s="321"/>
      <c r="L12" s="321"/>
    </row>
    <row r="13" ht="27.75" customHeight="1">
      <c r="B13" s="322" t="s">
        <v>130</v>
      </c>
      <c r="C13" s="323" t="s">
        <v>818</v>
      </c>
      <c r="D13" s="324" t="s">
        <v>84</v>
      </c>
      <c r="E13" s="324"/>
      <c r="F13" s="322">
        <f>COUNTIF(D13:D19,"Tecnologías")</f>
        <v>0</v>
      </c>
      <c r="G13" s="322">
        <f>COUNTIF(D13:D19,"Pregrado")</f>
        <v>3</v>
      </c>
      <c r="H13" s="322">
        <f>COUNTIF(D13:D19,"Especializaciones")</f>
        <v>2</v>
      </c>
      <c r="I13" s="322">
        <f>COUNTIF(D13:D19,"Esp. Médico Quirúrgicas")</f>
        <v>0</v>
      </c>
      <c r="J13" s="322">
        <f>COUNTIF(D13:D19,"Maestrías")</f>
        <v>1</v>
      </c>
      <c r="K13" s="322">
        <f>COUNTIF(D13:D19,"Doctorados")</f>
        <v>1</v>
      </c>
      <c r="L13" s="322">
        <f>SUM(F13:K16)</f>
        <v>7</v>
      </c>
    </row>
    <row r="14" ht="27.75" customHeight="1">
      <c r="B14" s="320"/>
      <c r="C14" s="323" t="s">
        <v>819</v>
      </c>
      <c r="D14" s="324" t="s">
        <v>84</v>
      </c>
      <c r="E14" s="324"/>
      <c r="F14" s="320"/>
      <c r="G14" s="320"/>
      <c r="H14" s="320"/>
      <c r="I14" s="320"/>
      <c r="J14" s="320"/>
      <c r="K14" s="320"/>
      <c r="L14" s="320"/>
    </row>
    <row r="15" ht="27.75" customHeight="1">
      <c r="B15" s="320"/>
      <c r="C15" s="323" t="s">
        <v>820</v>
      </c>
      <c r="D15" s="324" t="s">
        <v>84</v>
      </c>
      <c r="E15" s="324"/>
      <c r="F15" s="320"/>
      <c r="G15" s="320"/>
      <c r="H15" s="320"/>
      <c r="I15" s="320"/>
      <c r="J15" s="320"/>
      <c r="K15" s="320"/>
      <c r="L15" s="320"/>
    </row>
    <row r="16" ht="27.75" customHeight="1">
      <c r="B16" s="320"/>
      <c r="C16" s="323" t="s">
        <v>821</v>
      </c>
      <c r="D16" s="324" t="s">
        <v>822</v>
      </c>
      <c r="E16" s="324"/>
      <c r="F16" s="320"/>
      <c r="G16" s="320"/>
      <c r="H16" s="320"/>
      <c r="I16" s="320"/>
      <c r="J16" s="320"/>
      <c r="K16" s="320"/>
      <c r="L16" s="320"/>
    </row>
    <row r="17" ht="27.75" customHeight="1">
      <c r="B17" s="320"/>
      <c r="C17" s="323" t="s">
        <v>823</v>
      </c>
      <c r="D17" s="324" t="s">
        <v>822</v>
      </c>
      <c r="E17" s="324"/>
      <c r="F17" s="320"/>
      <c r="G17" s="320"/>
      <c r="H17" s="320"/>
      <c r="I17" s="320"/>
      <c r="J17" s="320"/>
      <c r="K17" s="320"/>
      <c r="L17" s="320"/>
    </row>
    <row r="18" ht="27.75" customHeight="1">
      <c r="B18" s="320"/>
      <c r="C18" s="323" t="s">
        <v>824</v>
      </c>
      <c r="D18" s="324" t="s">
        <v>809</v>
      </c>
      <c r="E18" s="324"/>
      <c r="F18" s="320"/>
      <c r="G18" s="320"/>
      <c r="H18" s="320"/>
      <c r="I18" s="320"/>
      <c r="J18" s="320"/>
      <c r="K18" s="320"/>
      <c r="L18" s="320"/>
    </row>
    <row r="19" ht="27.75" customHeight="1">
      <c r="B19" s="321"/>
      <c r="C19" s="323" t="s">
        <v>825</v>
      </c>
      <c r="D19" s="324" t="s">
        <v>826</v>
      </c>
      <c r="E19" s="324"/>
      <c r="F19" s="321"/>
      <c r="G19" s="321"/>
      <c r="H19" s="321"/>
      <c r="I19" s="321"/>
      <c r="J19" s="321"/>
      <c r="K19" s="321"/>
      <c r="L19" s="321"/>
    </row>
    <row r="20" ht="33.75" customHeight="1">
      <c r="B20" s="325" t="s">
        <v>827</v>
      </c>
      <c r="C20" s="326" t="s">
        <v>828</v>
      </c>
      <c r="D20" s="327" t="s">
        <v>84</v>
      </c>
      <c r="E20" s="328" t="s">
        <v>829</v>
      </c>
      <c r="F20" s="325">
        <f>COUNTIF(D20:D32,"Tecnologías")</f>
        <v>0</v>
      </c>
      <c r="G20" s="325">
        <f>COUNTIF(D20:D32,"Pregrado")</f>
        <v>4</v>
      </c>
      <c r="H20" s="325">
        <f>COUNTIF(D20:D32,"Especializaciones")</f>
        <v>5</v>
      </c>
      <c r="I20" s="325">
        <f>COUNTIF(D20:D32,"Esp. Médico Quirúrgicas")</f>
        <v>0</v>
      </c>
      <c r="J20" s="325">
        <f>COUNTIF(D20:D32,"Maestrías")</f>
        <v>4</v>
      </c>
      <c r="K20" s="325">
        <f>COUNTIF(D20:D32,"Doctorados")</f>
        <v>0</v>
      </c>
      <c r="L20" s="325">
        <f>SUM(F20:K29)</f>
        <v>13</v>
      </c>
    </row>
    <row r="21" ht="27.75" customHeight="1">
      <c r="B21" s="320"/>
      <c r="C21" s="326" t="s">
        <v>830</v>
      </c>
      <c r="D21" s="327" t="s">
        <v>84</v>
      </c>
      <c r="E21" s="327"/>
      <c r="F21" s="320"/>
      <c r="G21" s="320"/>
      <c r="H21" s="320"/>
      <c r="I21" s="320"/>
      <c r="J21" s="320"/>
      <c r="K21" s="320"/>
      <c r="L21" s="320"/>
    </row>
    <row r="22" ht="27.75" customHeight="1">
      <c r="B22" s="320"/>
      <c r="C22" s="326" t="s">
        <v>831</v>
      </c>
      <c r="D22" s="327" t="s">
        <v>84</v>
      </c>
      <c r="E22" s="327"/>
      <c r="F22" s="320"/>
      <c r="G22" s="320"/>
      <c r="H22" s="320"/>
      <c r="I22" s="320"/>
      <c r="J22" s="320"/>
      <c r="K22" s="320"/>
      <c r="L22" s="320"/>
    </row>
    <row r="23" ht="27.75" customHeight="1">
      <c r="B23" s="320"/>
      <c r="C23" s="326" t="s">
        <v>832</v>
      </c>
      <c r="D23" s="327" t="s">
        <v>84</v>
      </c>
      <c r="E23" s="327"/>
      <c r="F23" s="320"/>
      <c r="G23" s="320"/>
      <c r="H23" s="320"/>
      <c r="I23" s="320"/>
      <c r="J23" s="320"/>
      <c r="K23" s="320"/>
      <c r="L23" s="320"/>
    </row>
    <row r="24" ht="27.75" customHeight="1">
      <c r="B24" s="320"/>
      <c r="C24" s="326" t="s">
        <v>833</v>
      </c>
      <c r="D24" s="327" t="s">
        <v>822</v>
      </c>
      <c r="E24" s="327"/>
      <c r="F24" s="320"/>
      <c r="G24" s="320"/>
      <c r="H24" s="320"/>
      <c r="I24" s="320"/>
      <c r="J24" s="320"/>
      <c r="K24" s="320"/>
      <c r="L24" s="320"/>
    </row>
    <row r="25" ht="27.75" customHeight="1">
      <c r="B25" s="320"/>
      <c r="C25" s="326" t="s">
        <v>834</v>
      </c>
      <c r="D25" s="327" t="s">
        <v>822</v>
      </c>
      <c r="E25" s="327"/>
      <c r="F25" s="320"/>
      <c r="G25" s="320"/>
      <c r="H25" s="320"/>
      <c r="I25" s="320"/>
      <c r="J25" s="320"/>
      <c r="K25" s="320"/>
      <c r="L25" s="320"/>
    </row>
    <row r="26" ht="27.75" customHeight="1">
      <c r="B26" s="320"/>
      <c r="C26" s="326" t="s">
        <v>835</v>
      </c>
      <c r="D26" s="327" t="s">
        <v>822</v>
      </c>
      <c r="E26" s="327"/>
      <c r="F26" s="320"/>
      <c r="G26" s="320"/>
      <c r="H26" s="320"/>
      <c r="I26" s="320"/>
      <c r="J26" s="320"/>
      <c r="K26" s="320"/>
      <c r="L26" s="320"/>
    </row>
    <row r="27" ht="27.75" customHeight="1">
      <c r="B27" s="320"/>
      <c r="C27" s="326" t="s">
        <v>836</v>
      </c>
      <c r="D27" s="327" t="s">
        <v>822</v>
      </c>
      <c r="E27" s="327"/>
      <c r="F27" s="320"/>
      <c r="G27" s="320"/>
      <c r="H27" s="320"/>
      <c r="I27" s="320"/>
      <c r="J27" s="320"/>
      <c r="K27" s="320"/>
      <c r="L27" s="320"/>
    </row>
    <row r="28" ht="27.75" customHeight="1">
      <c r="B28" s="320"/>
      <c r="C28" s="326" t="s">
        <v>837</v>
      </c>
      <c r="D28" s="327" t="s">
        <v>822</v>
      </c>
      <c r="E28" s="327"/>
      <c r="F28" s="320"/>
      <c r="G28" s="320"/>
      <c r="H28" s="320"/>
      <c r="I28" s="320"/>
      <c r="J28" s="320"/>
      <c r="K28" s="320"/>
      <c r="L28" s="320"/>
    </row>
    <row r="29" ht="27.75" customHeight="1">
      <c r="B29" s="320"/>
      <c r="C29" s="326" t="s">
        <v>838</v>
      </c>
      <c r="D29" s="327" t="s">
        <v>809</v>
      </c>
      <c r="E29" s="327"/>
      <c r="F29" s="320"/>
      <c r="G29" s="320"/>
      <c r="H29" s="320"/>
      <c r="I29" s="320"/>
      <c r="J29" s="320"/>
      <c r="K29" s="320"/>
      <c r="L29" s="320"/>
    </row>
    <row r="30" ht="27.75" customHeight="1">
      <c r="B30" s="320"/>
      <c r="C30" s="326" t="s">
        <v>839</v>
      </c>
      <c r="D30" s="327" t="s">
        <v>809</v>
      </c>
      <c r="E30" s="327"/>
      <c r="F30" s="320"/>
      <c r="G30" s="320"/>
      <c r="H30" s="320"/>
      <c r="I30" s="320"/>
      <c r="J30" s="320"/>
      <c r="K30" s="320"/>
      <c r="L30" s="320"/>
    </row>
    <row r="31" ht="27.75" customHeight="1">
      <c r="B31" s="320"/>
      <c r="C31" s="326" t="s">
        <v>840</v>
      </c>
      <c r="D31" s="327" t="s">
        <v>809</v>
      </c>
      <c r="E31" s="327"/>
      <c r="F31" s="320"/>
      <c r="G31" s="320"/>
      <c r="H31" s="320"/>
      <c r="I31" s="320"/>
      <c r="J31" s="320"/>
      <c r="K31" s="320"/>
      <c r="L31" s="320"/>
    </row>
    <row r="32" ht="27.75" customHeight="1">
      <c r="B32" s="321"/>
      <c r="C32" s="326" t="s">
        <v>841</v>
      </c>
      <c r="D32" s="327" t="s">
        <v>809</v>
      </c>
      <c r="E32" s="327"/>
      <c r="F32" s="321"/>
      <c r="G32" s="321"/>
      <c r="H32" s="321"/>
      <c r="I32" s="321"/>
      <c r="J32" s="321"/>
      <c r="K32" s="321"/>
      <c r="L32" s="321"/>
    </row>
    <row r="33" ht="27.75" customHeight="1">
      <c r="B33" s="329" t="s">
        <v>413</v>
      </c>
      <c r="C33" s="330" t="s">
        <v>842</v>
      </c>
      <c r="D33" s="331" t="s">
        <v>84</v>
      </c>
      <c r="E33" s="331"/>
      <c r="F33" s="332">
        <f>COUNTIF(D33:D59,"Tecnologías")</f>
        <v>0</v>
      </c>
      <c r="G33" s="332">
        <f>COUNTIF(D33:D59,"Pregrado")</f>
        <v>9</v>
      </c>
      <c r="H33" s="332">
        <f>COUNTIF(D33:D59,"Especializaciones")</f>
        <v>1</v>
      </c>
      <c r="I33" s="332">
        <f>COUNTIF(D33:D59,"Esp. Médico Quirúrgicas")</f>
        <v>0</v>
      </c>
      <c r="J33" s="332">
        <f>COUNTIF(D33:D59,"Maestrías")</f>
        <v>12</v>
      </c>
      <c r="K33" s="332">
        <f>COUNTIF(D33:D59,"Doctorados")</f>
        <v>5</v>
      </c>
      <c r="L33" s="332">
        <f>SUM(F33:K59)</f>
        <v>27</v>
      </c>
    </row>
    <row r="34" ht="27.75" customHeight="1">
      <c r="C34" s="330" t="s">
        <v>843</v>
      </c>
      <c r="D34" s="331" t="s">
        <v>84</v>
      </c>
      <c r="E34" s="331"/>
      <c r="F34" s="320"/>
      <c r="G34" s="320"/>
      <c r="H34" s="320"/>
      <c r="I34" s="320"/>
      <c r="J34" s="320"/>
      <c r="K34" s="320"/>
      <c r="L34" s="320"/>
    </row>
    <row r="35" ht="27.75" customHeight="1">
      <c r="C35" s="330" t="s">
        <v>844</v>
      </c>
      <c r="D35" s="331" t="s">
        <v>84</v>
      </c>
      <c r="E35" s="331"/>
      <c r="F35" s="320"/>
      <c r="G35" s="320"/>
      <c r="H35" s="320"/>
      <c r="I35" s="320"/>
      <c r="J35" s="320"/>
      <c r="K35" s="320"/>
      <c r="L35" s="320"/>
    </row>
    <row r="36" ht="27.75" customHeight="1">
      <c r="C36" s="330" t="s">
        <v>845</v>
      </c>
      <c r="D36" s="331" t="s">
        <v>84</v>
      </c>
      <c r="E36" s="331"/>
      <c r="F36" s="320"/>
      <c r="G36" s="320"/>
      <c r="H36" s="320"/>
      <c r="I36" s="320"/>
      <c r="J36" s="320"/>
      <c r="K36" s="320"/>
      <c r="L36" s="320"/>
    </row>
    <row r="37" ht="27.75" customHeight="1">
      <c r="C37" s="330" t="s">
        <v>846</v>
      </c>
      <c r="D37" s="331" t="s">
        <v>84</v>
      </c>
      <c r="E37" s="331"/>
      <c r="F37" s="320"/>
      <c r="G37" s="320"/>
      <c r="H37" s="320"/>
      <c r="I37" s="320"/>
      <c r="J37" s="320"/>
      <c r="K37" s="320"/>
      <c r="L37" s="320"/>
    </row>
    <row r="38" ht="27.75" customHeight="1">
      <c r="C38" s="330" t="s">
        <v>847</v>
      </c>
      <c r="D38" s="331" t="s">
        <v>84</v>
      </c>
      <c r="E38" s="331"/>
      <c r="F38" s="320"/>
      <c r="G38" s="320"/>
      <c r="H38" s="320"/>
      <c r="I38" s="320"/>
      <c r="J38" s="320"/>
      <c r="K38" s="320"/>
      <c r="L38" s="320"/>
    </row>
    <row r="39" ht="33.75" customHeight="1">
      <c r="C39" s="330" t="s">
        <v>848</v>
      </c>
      <c r="D39" s="331" t="s">
        <v>84</v>
      </c>
      <c r="E39" s="333" t="s">
        <v>829</v>
      </c>
      <c r="F39" s="320"/>
      <c r="G39" s="320"/>
      <c r="H39" s="320"/>
      <c r="I39" s="320"/>
      <c r="J39" s="320"/>
      <c r="K39" s="320"/>
      <c r="L39" s="320"/>
    </row>
    <row r="40" ht="27.75" customHeight="1">
      <c r="C40" s="330" t="s">
        <v>849</v>
      </c>
      <c r="D40" s="331" t="s">
        <v>84</v>
      </c>
      <c r="E40" s="331"/>
      <c r="F40" s="320"/>
      <c r="G40" s="320"/>
      <c r="H40" s="320"/>
      <c r="I40" s="320"/>
      <c r="J40" s="320"/>
      <c r="K40" s="320"/>
      <c r="L40" s="320"/>
    </row>
    <row r="41" ht="27.75" customHeight="1">
      <c r="C41" s="330" t="s">
        <v>850</v>
      </c>
      <c r="D41" s="331" t="s">
        <v>84</v>
      </c>
      <c r="E41" s="331"/>
      <c r="F41" s="320"/>
      <c r="G41" s="320"/>
      <c r="H41" s="320"/>
      <c r="I41" s="320"/>
      <c r="J41" s="320"/>
      <c r="K41" s="320"/>
      <c r="L41" s="320"/>
    </row>
    <row r="42" ht="27.75" customHeight="1">
      <c r="C42" s="330" t="s">
        <v>851</v>
      </c>
      <c r="D42" s="331" t="s">
        <v>822</v>
      </c>
      <c r="E42" s="331"/>
      <c r="F42" s="320"/>
      <c r="G42" s="320"/>
      <c r="H42" s="320"/>
      <c r="I42" s="320"/>
      <c r="J42" s="320"/>
      <c r="K42" s="320"/>
      <c r="L42" s="320"/>
    </row>
    <row r="43" ht="27.75" customHeight="1">
      <c r="C43" s="330" t="s">
        <v>852</v>
      </c>
      <c r="D43" s="331" t="s">
        <v>809</v>
      </c>
      <c r="E43" s="331"/>
      <c r="F43" s="320"/>
      <c r="G43" s="320"/>
      <c r="H43" s="320"/>
      <c r="I43" s="320"/>
      <c r="J43" s="320"/>
      <c r="K43" s="320"/>
      <c r="L43" s="320"/>
    </row>
    <row r="44" ht="27.75" customHeight="1">
      <c r="C44" s="330" t="s">
        <v>853</v>
      </c>
      <c r="D44" s="331" t="s">
        <v>809</v>
      </c>
      <c r="E44" s="331"/>
      <c r="F44" s="320"/>
      <c r="G44" s="320"/>
      <c r="H44" s="320"/>
      <c r="I44" s="320"/>
      <c r="J44" s="320"/>
      <c r="K44" s="320"/>
      <c r="L44" s="320"/>
    </row>
    <row r="45" ht="27.75" customHeight="1">
      <c r="C45" s="330" t="s">
        <v>854</v>
      </c>
      <c r="D45" s="331" t="s">
        <v>809</v>
      </c>
      <c r="E45" s="331"/>
      <c r="F45" s="320"/>
      <c r="G45" s="320"/>
      <c r="H45" s="320"/>
      <c r="I45" s="320"/>
      <c r="J45" s="320"/>
      <c r="K45" s="320"/>
      <c r="L45" s="320"/>
    </row>
    <row r="46" ht="27.75" customHeight="1">
      <c r="C46" s="330" t="s">
        <v>855</v>
      </c>
      <c r="D46" s="331" t="s">
        <v>809</v>
      </c>
      <c r="E46" s="331"/>
      <c r="F46" s="320"/>
      <c r="G46" s="320"/>
      <c r="H46" s="320"/>
      <c r="I46" s="320"/>
      <c r="J46" s="320"/>
      <c r="K46" s="320"/>
      <c r="L46" s="320"/>
    </row>
    <row r="47" ht="27.75" customHeight="1">
      <c r="C47" s="330" t="s">
        <v>856</v>
      </c>
      <c r="D47" s="331" t="s">
        <v>809</v>
      </c>
      <c r="E47" s="331"/>
      <c r="F47" s="320"/>
      <c r="G47" s="320"/>
      <c r="H47" s="320"/>
      <c r="I47" s="320"/>
      <c r="J47" s="320"/>
      <c r="K47" s="320"/>
      <c r="L47" s="320"/>
    </row>
    <row r="48" ht="27.75" customHeight="1">
      <c r="C48" s="330" t="s">
        <v>857</v>
      </c>
      <c r="D48" s="331" t="s">
        <v>809</v>
      </c>
      <c r="E48" s="331"/>
      <c r="F48" s="320"/>
      <c r="G48" s="320"/>
      <c r="H48" s="320"/>
      <c r="I48" s="320"/>
      <c r="J48" s="320"/>
      <c r="K48" s="320"/>
      <c r="L48" s="320"/>
    </row>
    <row r="49" ht="27.75" customHeight="1">
      <c r="C49" s="330" t="s">
        <v>858</v>
      </c>
      <c r="D49" s="331" t="s">
        <v>809</v>
      </c>
      <c r="E49" s="331"/>
      <c r="F49" s="320"/>
      <c r="G49" s="320"/>
      <c r="H49" s="320"/>
      <c r="I49" s="320"/>
      <c r="J49" s="320"/>
      <c r="K49" s="320"/>
      <c r="L49" s="320"/>
    </row>
    <row r="50" ht="27.75" customHeight="1">
      <c r="C50" s="330" t="s">
        <v>859</v>
      </c>
      <c r="D50" s="331" t="s">
        <v>809</v>
      </c>
      <c r="E50" s="331"/>
      <c r="F50" s="320"/>
      <c r="G50" s="320"/>
      <c r="H50" s="320"/>
      <c r="I50" s="320"/>
      <c r="J50" s="320"/>
      <c r="K50" s="320"/>
      <c r="L50" s="320"/>
    </row>
    <row r="51" ht="27.75" customHeight="1">
      <c r="C51" s="330" t="s">
        <v>860</v>
      </c>
      <c r="D51" s="331" t="s">
        <v>809</v>
      </c>
      <c r="E51" s="331"/>
      <c r="F51" s="320"/>
      <c r="G51" s="320"/>
      <c r="H51" s="320"/>
      <c r="I51" s="320"/>
      <c r="J51" s="320"/>
      <c r="K51" s="320"/>
      <c r="L51" s="320"/>
    </row>
    <row r="52" ht="27.75" customHeight="1">
      <c r="C52" s="330" t="s">
        <v>861</v>
      </c>
      <c r="D52" s="331" t="s">
        <v>809</v>
      </c>
      <c r="E52" s="331"/>
      <c r="F52" s="320"/>
      <c r="G52" s="320"/>
      <c r="H52" s="320"/>
      <c r="I52" s="320"/>
      <c r="J52" s="320"/>
      <c r="K52" s="320"/>
      <c r="L52" s="320"/>
    </row>
    <row r="53" ht="27.75" customHeight="1">
      <c r="C53" s="330" t="s">
        <v>862</v>
      </c>
      <c r="D53" s="331" t="s">
        <v>809</v>
      </c>
      <c r="E53" s="331"/>
      <c r="F53" s="320"/>
      <c r="G53" s="320"/>
      <c r="H53" s="320"/>
      <c r="I53" s="320"/>
      <c r="J53" s="320"/>
      <c r="K53" s="320"/>
      <c r="L53" s="320"/>
    </row>
    <row r="54" ht="27.75" customHeight="1">
      <c r="C54" s="330" t="s">
        <v>863</v>
      </c>
      <c r="D54" s="331" t="s">
        <v>809</v>
      </c>
      <c r="E54" s="331"/>
      <c r="F54" s="320"/>
      <c r="G54" s="320"/>
      <c r="H54" s="320"/>
      <c r="I54" s="320"/>
      <c r="J54" s="320"/>
      <c r="K54" s="320"/>
      <c r="L54" s="320"/>
    </row>
    <row r="55" ht="27.75" customHeight="1">
      <c r="C55" s="330" t="s">
        <v>864</v>
      </c>
      <c r="D55" s="331" t="s">
        <v>826</v>
      </c>
      <c r="E55" s="331"/>
      <c r="F55" s="320"/>
      <c r="G55" s="320"/>
      <c r="H55" s="320"/>
      <c r="I55" s="320"/>
      <c r="J55" s="320"/>
      <c r="K55" s="320"/>
      <c r="L55" s="320"/>
    </row>
    <row r="56" ht="27.75" customHeight="1">
      <c r="C56" s="330" t="s">
        <v>865</v>
      </c>
      <c r="D56" s="331" t="s">
        <v>826</v>
      </c>
      <c r="E56" s="331"/>
      <c r="F56" s="320"/>
      <c r="G56" s="320"/>
      <c r="H56" s="320"/>
      <c r="I56" s="320"/>
      <c r="J56" s="320"/>
      <c r="K56" s="320"/>
      <c r="L56" s="320"/>
    </row>
    <row r="57" ht="27.75" customHeight="1">
      <c r="C57" s="330" t="s">
        <v>866</v>
      </c>
      <c r="D57" s="331" t="s">
        <v>826</v>
      </c>
      <c r="E57" s="331"/>
      <c r="F57" s="320"/>
      <c r="G57" s="320"/>
      <c r="H57" s="320"/>
      <c r="I57" s="320"/>
      <c r="J57" s="320"/>
      <c r="K57" s="320"/>
      <c r="L57" s="320"/>
    </row>
    <row r="58" ht="27.75" customHeight="1">
      <c r="C58" s="330" t="s">
        <v>867</v>
      </c>
      <c r="D58" s="331" t="s">
        <v>826</v>
      </c>
      <c r="E58" s="331"/>
      <c r="F58" s="320"/>
      <c r="G58" s="320"/>
      <c r="H58" s="320"/>
      <c r="I58" s="320"/>
      <c r="J58" s="320"/>
      <c r="K58" s="320"/>
      <c r="L58" s="320"/>
    </row>
    <row r="59" ht="27.75" customHeight="1">
      <c r="B59" s="334"/>
      <c r="C59" s="330" t="s">
        <v>868</v>
      </c>
      <c r="D59" s="331" t="s">
        <v>826</v>
      </c>
      <c r="E59" s="331"/>
      <c r="F59" s="321"/>
      <c r="G59" s="321"/>
      <c r="H59" s="321"/>
      <c r="I59" s="321"/>
      <c r="J59" s="321"/>
      <c r="K59" s="321"/>
      <c r="L59" s="321"/>
    </row>
    <row r="60" ht="27.75" customHeight="1">
      <c r="B60" s="335" t="s">
        <v>333</v>
      </c>
      <c r="C60" s="316" t="s">
        <v>869</v>
      </c>
      <c r="D60" s="317" t="s">
        <v>84</v>
      </c>
      <c r="E60" s="317"/>
      <c r="F60" s="315">
        <f>COUNTIF(D60:D72,"Tecnologías")</f>
        <v>0</v>
      </c>
      <c r="G60" s="315">
        <f>COUNTIF(D60:D72,"Pregrado")</f>
        <v>8</v>
      </c>
      <c r="H60" s="315">
        <f>COUNTIF(D60:D72,"Especializaciones")</f>
        <v>0</v>
      </c>
      <c r="I60" s="315">
        <f>COUNTIF(D60:D72,"Esp. Médico Quirúrgicas")</f>
        <v>0</v>
      </c>
      <c r="J60" s="315">
        <f>COUNTIF(D60:D72,"Maestrías")</f>
        <v>3</v>
      </c>
      <c r="K60" s="315">
        <f>COUNTIF(D60:D72,"Doctorados")</f>
        <v>2</v>
      </c>
      <c r="L60" s="315">
        <f>SUM(F60:K70)</f>
        <v>13</v>
      </c>
    </row>
    <row r="61" ht="27.75" customHeight="1">
      <c r="C61" s="316" t="s">
        <v>870</v>
      </c>
      <c r="D61" s="317" t="s">
        <v>84</v>
      </c>
      <c r="E61" s="317"/>
      <c r="F61" s="320"/>
      <c r="G61" s="320"/>
      <c r="H61" s="320"/>
      <c r="I61" s="320"/>
      <c r="J61" s="320"/>
      <c r="K61" s="320"/>
      <c r="L61" s="320"/>
    </row>
    <row r="62" ht="27.75" customHeight="1">
      <c r="C62" s="316" t="s">
        <v>871</v>
      </c>
      <c r="D62" s="317" t="s">
        <v>84</v>
      </c>
      <c r="E62" s="317"/>
      <c r="F62" s="320"/>
      <c r="G62" s="320"/>
      <c r="H62" s="320"/>
      <c r="I62" s="320"/>
      <c r="J62" s="320"/>
      <c r="K62" s="320"/>
      <c r="L62" s="320"/>
    </row>
    <row r="63" ht="27.75" customHeight="1">
      <c r="C63" s="316" t="s">
        <v>872</v>
      </c>
      <c r="D63" s="317" t="s">
        <v>84</v>
      </c>
      <c r="E63" s="317"/>
      <c r="F63" s="320"/>
      <c r="G63" s="320"/>
      <c r="H63" s="320"/>
      <c r="I63" s="320"/>
      <c r="J63" s="320"/>
      <c r="K63" s="320"/>
      <c r="L63" s="320"/>
    </row>
    <row r="64" ht="27.75" customHeight="1">
      <c r="C64" s="316" t="s">
        <v>873</v>
      </c>
      <c r="D64" s="317" t="s">
        <v>84</v>
      </c>
      <c r="E64" s="317"/>
      <c r="F64" s="320"/>
      <c r="G64" s="320"/>
      <c r="H64" s="320"/>
      <c r="I64" s="320"/>
      <c r="J64" s="320"/>
      <c r="K64" s="320"/>
      <c r="L64" s="320"/>
    </row>
    <row r="65" ht="27.75" customHeight="1">
      <c r="C65" s="316" t="s">
        <v>874</v>
      </c>
      <c r="D65" s="317" t="s">
        <v>84</v>
      </c>
      <c r="E65" s="317"/>
      <c r="F65" s="320"/>
      <c r="G65" s="320"/>
      <c r="H65" s="320"/>
      <c r="I65" s="320"/>
      <c r="J65" s="320"/>
      <c r="K65" s="320"/>
      <c r="L65" s="320"/>
    </row>
    <row r="66" ht="27.75" customHeight="1">
      <c r="C66" s="316" t="s">
        <v>875</v>
      </c>
      <c r="D66" s="317" t="s">
        <v>84</v>
      </c>
      <c r="E66" s="317"/>
      <c r="F66" s="320"/>
      <c r="G66" s="320"/>
      <c r="H66" s="320"/>
      <c r="I66" s="320"/>
      <c r="J66" s="320"/>
      <c r="K66" s="320"/>
      <c r="L66" s="320"/>
    </row>
    <row r="67" ht="36.75" customHeight="1">
      <c r="C67" s="336" t="s">
        <v>876</v>
      </c>
      <c r="D67" s="317" t="s">
        <v>84</v>
      </c>
      <c r="E67" s="337" t="s">
        <v>877</v>
      </c>
      <c r="F67" s="320"/>
      <c r="G67" s="320"/>
      <c r="H67" s="320"/>
      <c r="I67" s="320"/>
      <c r="J67" s="320"/>
      <c r="K67" s="320"/>
      <c r="L67" s="320"/>
    </row>
    <row r="68" ht="27.75" customHeight="1">
      <c r="C68" s="316" t="s">
        <v>878</v>
      </c>
      <c r="D68" s="317" t="s">
        <v>809</v>
      </c>
      <c r="E68" s="317"/>
      <c r="F68" s="320"/>
      <c r="G68" s="320"/>
      <c r="H68" s="320"/>
      <c r="I68" s="320"/>
      <c r="J68" s="320"/>
      <c r="K68" s="320"/>
      <c r="L68" s="320"/>
    </row>
    <row r="69" ht="27.75" customHeight="1">
      <c r="C69" s="316" t="s">
        <v>879</v>
      </c>
      <c r="D69" s="317" t="s">
        <v>809</v>
      </c>
      <c r="E69" s="317"/>
      <c r="F69" s="320"/>
      <c r="G69" s="320"/>
      <c r="H69" s="320"/>
      <c r="I69" s="320"/>
      <c r="J69" s="320"/>
      <c r="K69" s="320"/>
      <c r="L69" s="320"/>
    </row>
    <row r="70" ht="27.75" customHeight="1">
      <c r="C70" s="316" t="s">
        <v>880</v>
      </c>
      <c r="D70" s="317" t="s">
        <v>809</v>
      </c>
      <c r="E70" s="317"/>
      <c r="F70" s="320"/>
      <c r="G70" s="320"/>
      <c r="H70" s="320"/>
      <c r="I70" s="320"/>
      <c r="J70" s="320"/>
      <c r="K70" s="320"/>
      <c r="L70" s="320"/>
    </row>
    <row r="71" ht="27.75" customHeight="1">
      <c r="C71" s="316" t="s">
        <v>881</v>
      </c>
      <c r="D71" s="317" t="s">
        <v>826</v>
      </c>
      <c r="E71" s="317"/>
      <c r="F71" s="320"/>
      <c r="G71" s="320"/>
      <c r="H71" s="320"/>
      <c r="I71" s="320"/>
      <c r="J71" s="320"/>
      <c r="K71" s="320"/>
      <c r="L71" s="320"/>
    </row>
    <row r="72" ht="27.75" customHeight="1">
      <c r="B72" s="334"/>
      <c r="C72" s="316" t="s">
        <v>882</v>
      </c>
      <c r="D72" s="317" t="s">
        <v>826</v>
      </c>
      <c r="E72" s="317"/>
      <c r="F72" s="321"/>
      <c r="G72" s="321"/>
      <c r="H72" s="321"/>
      <c r="I72" s="321"/>
      <c r="J72" s="321"/>
      <c r="K72" s="321"/>
      <c r="L72" s="321"/>
    </row>
    <row r="73" ht="27.75" customHeight="1">
      <c r="B73" s="338" t="s">
        <v>255</v>
      </c>
      <c r="C73" s="339" t="s">
        <v>883</v>
      </c>
      <c r="D73" s="340" t="s">
        <v>84</v>
      </c>
      <c r="E73" s="340"/>
      <c r="F73" s="341">
        <f>COUNTIF(D73:D86,"Tecnologías")</f>
        <v>0</v>
      </c>
      <c r="G73" s="341">
        <f>COUNTIF(D73:D85,"Pregrado")</f>
        <v>4</v>
      </c>
      <c r="H73" s="341">
        <f>COUNTIF(D73:D86,"Especializaciones")</f>
        <v>2</v>
      </c>
      <c r="I73" s="341">
        <f>COUNTIF(D73:D86,"Esp. Médico Quirúrgicas")</f>
        <v>6</v>
      </c>
      <c r="J73" s="341">
        <f>COUNTIF(D73:D86,"Maestrías")</f>
        <v>1</v>
      </c>
      <c r="K73" s="341">
        <f>COUNTIF(D73:D86,"Doctorados")</f>
        <v>0</v>
      </c>
      <c r="L73" s="341">
        <f>SUM(F73:K80)</f>
        <v>13</v>
      </c>
    </row>
    <row r="74" ht="27.75" customHeight="1">
      <c r="C74" s="339" t="s">
        <v>884</v>
      </c>
      <c r="D74" s="340" t="s">
        <v>84</v>
      </c>
      <c r="E74" s="340"/>
      <c r="F74" s="320"/>
      <c r="G74" s="320"/>
      <c r="H74" s="320"/>
      <c r="I74" s="320"/>
      <c r="J74" s="320"/>
      <c r="K74" s="320"/>
      <c r="L74" s="320"/>
    </row>
    <row r="75" ht="27.75" customHeight="1">
      <c r="C75" s="339" t="s">
        <v>885</v>
      </c>
      <c r="D75" s="340" t="s">
        <v>84</v>
      </c>
      <c r="E75" s="340"/>
      <c r="F75" s="320"/>
      <c r="G75" s="320"/>
      <c r="H75" s="320"/>
      <c r="I75" s="320"/>
      <c r="J75" s="320"/>
      <c r="K75" s="320"/>
      <c r="L75" s="320"/>
    </row>
    <row r="76" ht="62.25" customHeight="1">
      <c r="C76" s="340" t="s">
        <v>886</v>
      </c>
      <c r="D76" s="340" t="s">
        <v>84</v>
      </c>
      <c r="E76" s="342" t="s">
        <v>887</v>
      </c>
      <c r="F76" s="320"/>
      <c r="G76" s="320"/>
      <c r="H76" s="320"/>
      <c r="I76" s="320"/>
      <c r="J76" s="320"/>
      <c r="K76" s="320"/>
      <c r="L76" s="320"/>
    </row>
    <row r="77" ht="36.0" customHeight="1">
      <c r="C77" s="339" t="s">
        <v>888</v>
      </c>
      <c r="D77" s="340" t="s">
        <v>822</v>
      </c>
      <c r="E77" s="340"/>
      <c r="F77" s="320"/>
      <c r="G77" s="320"/>
      <c r="H77" s="320"/>
      <c r="I77" s="320"/>
      <c r="J77" s="320"/>
      <c r="K77" s="320"/>
      <c r="L77" s="320"/>
    </row>
    <row r="78" ht="27.75" customHeight="1">
      <c r="C78" s="339" t="s">
        <v>889</v>
      </c>
      <c r="D78" s="340" t="s">
        <v>822</v>
      </c>
      <c r="E78" s="340"/>
      <c r="F78" s="320"/>
      <c r="G78" s="320"/>
      <c r="H78" s="320"/>
      <c r="I78" s="320"/>
      <c r="J78" s="320"/>
      <c r="K78" s="320"/>
      <c r="L78" s="320"/>
    </row>
    <row r="79" ht="27.75" customHeight="1">
      <c r="C79" s="339" t="s">
        <v>890</v>
      </c>
      <c r="D79" s="340" t="s">
        <v>891</v>
      </c>
      <c r="E79" s="340"/>
      <c r="F79" s="320"/>
      <c r="G79" s="320"/>
      <c r="H79" s="320"/>
      <c r="I79" s="320"/>
      <c r="J79" s="320"/>
      <c r="K79" s="320"/>
      <c r="L79" s="320"/>
    </row>
    <row r="80" ht="27.75" customHeight="1">
      <c r="C80" s="339" t="s">
        <v>892</v>
      </c>
      <c r="D80" s="340" t="s">
        <v>891</v>
      </c>
      <c r="E80" s="340"/>
      <c r="F80" s="320"/>
      <c r="G80" s="320"/>
      <c r="H80" s="320"/>
      <c r="I80" s="320"/>
      <c r="J80" s="320"/>
      <c r="K80" s="320"/>
      <c r="L80" s="320"/>
    </row>
    <row r="81" ht="27.75" customHeight="1">
      <c r="C81" s="339" t="s">
        <v>893</v>
      </c>
      <c r="D81" s="340" t="s">
        <v>891</v>
      </c>
      <c r="E81" s="340"/>
      <c r="F81" s="320"/>
      <c r="G81" s="320"/>
      <c r="H81" s="320"/>
      <c r="I81" s="320"/>
      <c r="J81" s="320"/>
      <c r="K81" s="320"/>
      <c r="L81" s="320"/>
    </row>
    <row r="82" ht="27.75" customHeight="1">
      <c r="C82" s="339" t="s">
        <v>894</v>
      </c>
      <c r="D82" s="340" t="s">
        <v>891</v>
      </c>
      <c r="E82" s="342" t="s">
        <v>895</v>
      </c>
      <c r="F82" s="320"/>
      <c r="G82" s="320"/>
      <c r="H82" s="320"/>
      <c r="I82" s="320"/>
      <c r="J82" s="320"/>
      <c r="K82" s="320"/>
      <c r="L82" s="320"/>
    </row>
    <row r="83" ht="27.75" customHeight="1">
      <c r="C83" s="339" t="s">
        <v>896</v>
      </c>
      <c r="D83" s="340" t="s">
        <v>891</v>
      </c>
      <c r="E83" s="340"/>
      <c r="F83" s="320"/>
      <c r="G83" s="320"/>
      <c r="H83" s="320"/>
      <c r="I83" s="320"/>
      <c r="J83" s="320"/>
      <c r="K83" s="320"/>
      <c r="L83" s="320"/>
    </row>
    <row r="84" ht="27.75" customHeight="1">
      <c r="C84" s="339" t="s">
        <v>897</v>
      </c>
      <c r="D84" s="340" t="s">
        <v>891</v>
      </c>
      <c r="E84" s="340"/>
      <c r="F84" s="320"/>
      <c r="G84" s="320"/>
      <c r="H84" s="320"/>
      <c r="I84" s="320"/>
      <c r="J84" s="320"/>
      <c r="K84" s="320"/>
      <c r="L84" s="320"/>
    </row>
    <row r="85" ht="27.75" customHeight="1">
      <c r="B85" s="334"/>
      <c r="C85" s="339" t="s">
        <v>898</v>
      </c>
      <c r="D85" s="340" t="s">
        <v>809</v>
      </c>
      <c r="E85" s="340"/>
      <c r="F85" s="321"/>
      <c r="G85" s="321"/>
      <c r="H85" s="321"/>
      <c r="I85" s="321"/>
      <c r="J85" s="321"/>
      <c r="K85" s="321"/>
      <c r="L85" s="321"/>
    </row>
    <row r="86" ht="27.75" customHeight="1">
      <c r="B86" s="343" t="s">
        <v>899</v>
      </c>
      <c r="C86" s="323" t="s">
        <v>900</v>
      </c>
      <c r="D86" s="324" t="s">
        <v>84</v>
      </c>
      <c r="E86" s="324"/>
      <c r="F86" s="322">
        <f>COUNTIF(D86:D92,"Tecnologías")</f>
        <v>0</v>
      </c>
      <c r="G86" s="322">
        <f>COUNTIF(D86:D92,"Pregrado")</f>
        <v>4</v>
      </c>
      <c r="H86" s="322">
        <f>COUNTIF(D86:D92,"Especializaciones")</f>
        <v>3</v>
      </c>
      <c r="I86" s="322">
        <f>COUNTIF(D86:D92,"Esp. Médico Quirúrgicas")</f>
        <v>0</v>
      </c>
      <c r="J86" s="322">
        <f>COUNTIF(D86:D92,"Maestrías")</f>
        <v>0</v>
      </c>
      <c r="K86" s="322">
        <f>COUNTIF(D86:D92,"Doctorados")</f>
        <v>0</v>
      </c>
      <c r="L86" s="322">
        <f>SUM(F86:K92)</f>
        <v>7</v>
      </c>
    </row>
    <row r="87" ht="27.75" customHeight="1">
      <c r="C87" s="323" t="s">
        <v>901</v>
      </c>
      <c r="D87" s="324" t="s">
        <v>84</v>
      </c>
      <c r="E87" s="344" t="s">
        <v>902</v>
      </c>
      <c r="F87" s="320"/>
      <c r="G87" s="320"/>
      <c r="H87" s="320"/>
      <c r="I87" s="320"/>
      <c r="J87" s="320"/>
      <c r="K87" s="320"/>
      <c r="L87" s="320"/>
    </row>
    <row r="88" ht="38.25" customHeight="1">
      <c r="C88" s="323" t="s">
        <v>903</v>
      </c>
      <c r="D88" s="324" t="s">
        <v>84</v>
      </c>
      <c r="E88" s="324"/>
      <c r="F88" s="320"/>
      <c r="G88" s="320"/>
      <c r="H88" s="320"/>
      <c r="I88" s="320"/>
      <c r="J88" s="320"/>
      <c r="K88" s="320"/>
      <c r="L88" s="320"/>
    </row>
    <row r="89" ht="27.75" customHeight="1">
      <c r="C89" s="323" t="s">
        <v>904</v>
      </c>
      <c r="D89" s="324" t="s">
        <v>84</v>
      </c>
      <c r="E89" s="324"/>
      <c r="F89" s="320"/>
      <c r="G89" s="320"/>
      <c r="H89" s="320"/>
      <c r="I89" s="320"/>
      <c r="J89" s="320"/>
      <c r="K89" s="320"/>
      <c r="L89" s="320"/>
    </row>
    <row r="90" ht="27.75" customHeight="1">
      <c r="C90" s="323" t="s">
        <v>905</v>
      </c>
      <c r="D90" s="324" t="s">
        <v>822</v>
      </c>
      <c r="E90" s="324"/>
      <c r="F90" s="320"/>
      <c r="G90" s="320"/>
      <c r="H90" s="320"/>
      <c r="I90" s="320"/>
      <c r="J90" s="320"/>
      <c r="K90" s="320"/>
      <c r="L90" s="320"/>
    </row>
    <row r="91" ht="27.75" customHeight="1">
      <c r="C91" s="323" t="s">
        <v>906</v>
      </c>
      <c r="D91" s="324" t="s">
        <v>822</v>
      </c>
      <c r="E91" s="324"/>
      <c r="F91" s="320"/>
      <c r="G91" s="320"/>
      <c r="H91" s="320"/>
      <c r="I91" s="320"/>
      <c r="J91" s="320"/>
      <c r="K91" s="320"/>
      <c r="L91" s="320"/>
    </row>
    <row r="92" ht="27.75" customHeight="1">
      <c r="B92" s="334"/>
      <c r="C92" s="324" t="s">
        <v>907</v>
      </c>
      <c r="D92" s="324" t="s">
        <v>822</v>
      </c>
      <c r="E92" s="344" t="s">
        <v>829</v>
      </c>
      <c r="F92" s="321"/>
      <c r="G92" s="321"/>
      <c r="H92" s="321"/>
      <c r="I92" s="321"/>
      <c r="J92" s="321"/>
      <c r="K92" s="321"/>
      <c r="L92" s="321"/>
    </row>
    <row r="93" ht="27.75" customHeight="1">
      <c r="B93" s="345" t="s">
        <v>908</v>
      </c>
      <c r="C93" s="339" t="s">
        <v>909</v>
      </c>
      <c r="D93" s="340" t="s">
        <v>910</v>
      </c>
      <c r="E93" s="340"/>
      <c r="F93" s="341">
        <f>COUNTIF(D93:D107,"Tecnologías")</f>
        <v>1</v>
      </c>
      <c r="G93" s="341">
        <f>COUNTIF(D93:D107,"Pregrado")</f>
        <v>4</v>
      </c>
      <c r="H93" s="341">
        <f>COUNTIF(D93:D107,"Especializaciones")</f>
        <v>3</v>
      </c>
      <c r="I93" s="341">
        <f>COUNTIF(D93:D107,"Esp. Médico Quirúrgicas")</f>
        <v>0</v>
      </c>
      <c r="J93" s="341">
        <f>COUNTIF(D93:D107,"Maestrías")</f>
        <v>7</v>
      </c>
      <c r="K93" s="341">
        <f>COUNTIF(D93:D107,"Doctorados")</f>
        <v>0</v>
      </c>
      <c r="L93" s="341">
        <f>SUM(F93:K99)</f>
        <v>15</v>
      </c>
    </row>
    <row r="94" ht="27.75" customHeight="1">
      <c r="C94" s="339" t="s">
        <v>911</v>
      </c>
      <c r="D94" s="340" t="s">
        <v>84</v>
      </c>
      <c r="E94" s="340"/>
      <c r="F94" s="320"/>
      <c r="G94" s="320"/>
      <c r="H94" s="320"/>
      <c r="I94" s="320"/>
      <c r="J94" s="320"/>
      <c r="K94" s="320"/>
      <c r="L94" s="320"/>
    </row>
    <row r="95" ht="27.75" customHeight="1">
      <c r="C95" s="339" t="s">
        <v>912</v>
      </c>
      <c r="D95" s="340" t="s">
        <v>84</v>
      </c>
      <c r="E95" s="340"/>
      <c r="F95" s="320"/>
      <c r="G95" s="320"/>
      <c r="H95" s="320"/>
      <c r="I95" s="320"/>
      <c r="J95" s="320"/>
      <c r="K95" s="320"/>
      <c r="L95" s="320"/>
    </row>
    <row r="96" ht="27.75" customHeight="1">
      <c r="C96" s="339" t="s">
        <v>913</v>
      </c>
      <c r="D96" s="340" t="s">
        <v>84</v>
      </c>
      <c r="E96" s="340"/>
      <c r="F96" s="320"/>
      <c r="G96" s="320"/>
      <c r="H96" s="320"/>
      <c r="I96" s="320"/>
      <c r="J96" s="320"/>
      <c r="K96" s="320"/>
      <c r="L96" s="320"/>
    </row>
    <row r="97" ht="27.75" customHeight="1">
      <c r="C97" s="339" t="s">
        <v>914</v>
      </c>
      <c r="D97" s="340" t="s">
        <v>84</v>
      </c>
      <c r="E97" s="340"/>
      <c r="F97" s="320"/>
      <c r="G97" s="320"/>
      <c r="H97" s="320"/>
      <c r="I97" s="320"/>
      <c r="J97" s="320"/>
      <c r="K97" s="320"/>
      <c r="L97" s="320"/>
    </row>
    <row r="98" ht="27.75" customHeight="1">
      <c r="C98" s="339" t="s">
        <v>915</v>
      </c>
      <c r="D98" s="340" t="s">
        <v>822</v>
      </c>
      <c r="E98" s="340"/>
      <c r="F98" s="320"/>
      <c r="G98" s="320"/>
      <c r="H98" s="320"/>
      <c r="I98" s="320"/>
      <c r="J98" s="320"/>
      <c r="K98" s="320"/>
      <c r="L98" s="320"/>
    </row>
    <row r="99" ht="27.75" customHeight="1">
      <c r="C99" s="339" t="s">
        <v>916</v>
      </c>
      <c r="D99" s="340" t="s">
        <v>822</v>
      </c>
      <c r="E99" s="342" t="s">
        <v>917</v>
      </c>
      <c r="F99" s="320"/>
      <c r="G99" s="320"/>
      <c r="H99" s="320"/>
      <c r="I99" s="320"/>
      <c r="J99" s="320"/>
      <c r="K99" s="320"/>
      <c r="L99" s="320"/>
    </row>
    <row r="100" ht="27.75" customHeight="1">
      <c r="C100" s="339" t="s">
        <v>918</v>
      </c>
      <c r="D100" s="340" t="s">
        <v>822</v>
      </c>
      <c r="E100" s="340"/>
      <c r="F100" s="320"/>
      <c r="G100" s="320"/>
      <c r="H100" s="320"/>
      <c r="I100" s="320"/>
      <c r="J100" s="320"/>
      <c r="K100" s="320"/>
      <c r="L100" s="320"/>
    </row>
    <row r="101" ht="27.75" customHeight="1">
      <c r="C101" s="339" t="s">
        <v>919</v>
      </c>
      <c r="D101" s="340" t="s">
        <v>809</v>
      </c>
      <c r="E101" s="340"/>
      <c r="F101" s="320"/>
      <c r="G101" s="320"/>
      <c r="H101" s="320"/>
      <c r="I101" s="320"/>
      <c r="J101" s="320"/>
      <c r="K101" s="320"/>
      <c r="L101" s="320"/>
    </row>
    <row r="102" ht="27.75" customHeight="1">
      <c r="C102" s="339" t="s">
        <v>920</v>
      </c>
      <c r="D102" s="340" t="s">
        <v>809</v>
      </c>
      <c r="E102" s="340"/>
      <c r="F102" s="320"/>
      <c r="G102" s="320"/>
      <c r="H102" s="320"/>
      <c r="I102" s="320"/>
      <c r="J102" s="320"/>
      <c r="K102" s="320"/>
      <c r="L102" s="320"/>
    </row>
    <row r="103" ht="27.75" customHeight="1">
      <c r="C103" s="339" t="s">
        <v>921</v>
      </c>
      <c r="D103" s="340" t="s">
        <v>809</v>
      </c>
      <c r="E103" s="340"/>
      <c r="F103" s="320"/>
      <c r="G103" s="320"/>
      <c r="H103" s="320"/>
      <c r="I103" s="320"/>
      <c r="J103" s="320"/>
      <c r="K103" s="320"/>
      <c r="L103" s="320"/>
    </row>
    <row r="104" ht="27.75" customHeight="1">
      <c r="C104" s="339" t="s">
        <v>922</v>
      </c>
      <c r="D104" s="340" t="s">
        <v>809</v>
      </c>
      <c r="E104" s="340"/>
      <c r="F104" s="320"/>
      <c r="G104" s="320"/>
      <c r="H104" s="320"/>
      <c r="I104" s="320"/>
      <c r="J104" s="320"/>
      <c r="K104" s="320"/>
      <c r="L104" s="320"/>
    </row>
    <row r="105" ht="27.75" customHeight="1">
      <c r="C105" s="339" t="s">
        <v>923</v>
      </c>
      <c r="D105" s="340" t="s">
        <v>809</v>
      </c>
      <c r="E105" s="340"/>
      <c r="F105" s="320"/>
      <c r="G105" s="320"/>
      <c r="H105" s="320"/>
      <c r="I105" s="320"/>
      <c r="J105" s="320"/>
      <c r="K105" s="320"/>
      <c r="L105" s="320"/>
    </row>
    <row r="106" ht="27.75" customHeight="1">
      <c r="C106" s="339" t="s">
        <v>924</v>
      </c>
      <c r="D106" s="340" t="s">
        <v>809</v>
      </c>
      <c r="E106" s="342" t="s">
        <v>925</v>
      </c>
      <c r="F106" s="320"/>
      <c r="G106" s="320"/>
      <c r="H106" s="320"/>
      <c r="I106" s="320"/>
      <c r="J106" s="320"/>
      <c r="K106" s="320"/>
      <c r="L106" s="320"/>
    </row>
    <row r="107" ht="27.75" customHeight="1">
      <c r="C107" s="339" t="s">
        <v>926</v>
      </c>
      <c r="D107" s="340" t="s">
        <v>809</v>
      </c>
      <c r="E107" s="342" t="s">
        <v>927</v>
      </c>
      <c r="F107" s="321"/>
      <c r="G107" s="321"/>
      <c r="H107" s="321"/>
      <c r="I107" s="321"/>
      <c r="J107" s="321"/>
      <c r="K107" s="321"/>
      <c r="L107" s="321"/>
    </row>
    <row r="108" ht="27.75" customHeight="1">
      <c r="B108" s="346" t="s">
        <v>928</v>
      </c>
      <c r="C108" s="347" t="s">
        <v>929</v>
      </c>
      <c r="D108" s="348" t="s">
        <v>910</v>
      </c>
      <c r="E108" s="348"/>
      <c r="F108" s="349">
        <f>COUNTIF(D108:D122,"Tecnologías")</f>
        <v>1</v>
      </c>
      <c r="G108" s="349">
        <f>COUNTIF(D108:D122,"Pregrado")</f>
        <v>3</v>
      </c>
      <c r="H108" s="349">
        <f>COUNTIF(D108:D122,"Especializaciones")</f>
        <v>3</v>
      </c>
      <c r="I108" s="349">
        <f>COUNTIF(D108:D122,"Esp. Médico Quirúrgicas")</f>
        <v>0</v>
      </c>
      <c r="J108" s="349">
        <f>COUNTIF(D108:D122,"Maestrías")</f>
        <v>5</v>
      </c>
      <c r="K108" s="349">
        <f>COUNTIF(D108:D122,"Doctorados")</f>
        <v>3</v>
      </c>
      <c r="L108" s="349">
        <f>SUM(F108:K113)</f>
        <v>15</v>
      </c>
    </row>
    <row r="109" ht="27.75" customHeight="1">
      <c r="C109" s="347" t="s">
        <v>930</v>
      </c>
      <c r="D109" s="348" t="s">
        <v>84</v>
      </c>
      <c r="E109" s="348"/>
      <c r="F109" s="320"/>
      <c r="G109" s="320"/>
      <c r="H109" s="320"/>
      <c r="I109" s="320"/>
      <c r="J109" s="320"/>
      <c r="K109" s="320"/>
      <c r="L109" s="320"/>
    </row>
    <row r="110" ht="27.75" customHeight="1">
      <c r="C110" s="347" t="s">
        <v>931</v>
      </c>
      <c r="D110" s="348" t="s">
        <v>84</v>
      </c>
      <c r="E110" s="348"/>
      <c r="F110" s="320"/>
      <c r="G110" s="320"/>
      <c r="H110" s="320"/>
      <c r="I110" s="320"/>
      <c r="J110" s="320"/>
      <c r="K110" s="320"/>
      <c r="L110" s="320"/>
    </row>
    <row r="111" ht="27.75" customHeight="1">
      <c r="C111" s="347" t="s">
        <v>932</v>
      </c>
      <c r="D111" s="348" t="s">
        <v>84</v>
      </c>
      <c r="E111" s="348"/>
      <c r="F111" s="320"/>
      <c r="G111" s="320"/>
      <c r="H111" s="320"/>
      <c r="I111" s="320"/>
      <c r="J111" s="320"/>
      <c r="K111" s="320"/>
      <c r="L111" s="320"/>
    </row>
    <row r="112" ht="27.75" customHeight="1">
      <c r="C112" s="347" t="s">
        <v>933</v>
      </c>
      <c r="D112" s="348" t="s">
        <v>822</v>
      </c>
      <c r="E112" s="348"/>
      <c r="F112" s="320"/>
      <c r="G112" s="320"/>
      <c r="H112" s="320"/>
      <c r="I112" s="320"/>
      <c r="J112" s="320"/>
      <c r="K112" s="320"/>
      <c r="L112" s="320"/>
    </row>
    <row r="113" ht="27.75" customHeight="1">
      <c r="C113" s="347" t="s">
        <v>934</v>
      </c>
      <c r="D113" s="348" t="s">
        <v>822</v>
      </c>
      <c r="E113" s="348"/>
      <c r="F113" s="320"/>
      <c r="G113" s="320"/>
      <c r="H113" s="320"/>
      <c r="I113" s="320"/>
      <c r="J113" s="320"/>
      <c r="K113" s="320"/>
      <c r="L113" s="320"/>
    </row>
    <row r="114" ht="27.75" customHeight="1">
      <c r="C114" s="347" t="s">
        <v>935</v>
      </c>
      <c r="D114" s="348" t="s">
        <v>822</v>
      </c>
      <c r="E114" s="348"/>
      <c r="F114" s="320"/>
      <c r="G114" s="320"/>
      <c r="H114" s="320"/>
      <c r="I114" s="320"/>
      <c r="J114" s="320"/>
      <c r="K114" s="320"/>
      <c r="L114" s="320"/>
    </row>
    <row r="115" ht="27.75" customHeight="1">
      <c r="C115" s="347" t="s">
        <v>936</v>
      </c>
      <c r="D115" s="348" t="s">
        <v>809</v>
      </c>
      <c r="E115" s="348"/>
      <c r="F115" s="320"/>
      <c r="G115" s="320"/>
      <c r="H115" s="320"/>
      <c r="I115" s="320"/>
      <c r="J115" s="320"/>
      <c r="K115" s="320"/>
      <c r="L115" s="320"/>
    </row>
    <row r="116" ht="27.75" customHeight="1">
      <c r="C116" s="347" t="s">
        <v>937</v>
      </c>
      <c r="D116" s="348" t="s">
        <v>809</v>
      </c>
      <c r="E116" s="348"/>
      <c r="F116" s="320"/>
      <c r="G116" s="320"/>
      <c r="H116" s="320"/>
      <c r="I116" s="320"/>
      <c r="J116" s="320"/>
      <c r="K116" s="320"/>
      <c r="L116" s="320"/>
    </row>
    <row r="117" ht="27.75" customHeight="1">
      <c r="C117" s="347" t="s">
        <v>938</v>
      </c>
      <c r="D117" s="348" t="s">
        <v>809</v>
      </c>
      <c r="E117" s="348"/>
      <c r="F117" s="320"/>
      <c r="G117" s="320"/>
      <c r="H117" s="320"/>
      <c r="I117" s="320"/>
      <c r="J117" s="320"/>
      <c r="K117" s="320"/>
      <c r="L117" s="320"/>
    </row>
    <row r="118" ht="27.75" customHeight="1">
      <c r="C118" s="347" t="s">
        <v>939</v>
      </c>
      <c r="D118" s="348" t="s">
        <v>809</v>
      </c>
      <c r="E118" s="348"/>
      <c r="F118" s="320"/>
      <c r="G118" s="320"/>
      <c r="H118" s="320"/>
      <c r="I118" s="320"/>
      <c r="J118" s="320"/>
      <c r="K118" s="320"/>
      <c r="L118" s="320"/>
    </row>
    <row r="119" ht="27.75" customHeight="1">
      <c r="C119" s="347" t="s">
        <v>940</v>
      </c>
      <c r="D119" s="348" t="s">
        <v>809</v>
      </c>
      <c r="E119" s="348"/>
      <c r="F119" s="320"/>
      <c r="G119" s="320"/>
      <c r="H119" s="320"/>
      <c r="I119" s="320"/>
      <c r="J119" s="320"/>
      <c r="K119" s="320"/>
      <c r="L119" s="320"/>
    </row>
    <row r="120" ht="27.75" customHeight="1">
      <c r="C120" s="347" t="s">
        <v>941</v>
      </c>
      <c r="D120" s="348" t="s">
        <v>826</v>
      </c>
      <c r="E120" s="348"/>
      <c r="F120" s="320"/>
      <c r="G120" s="320"/>
      <c r="H120" s="320"/>
      <c r="I120" s="320"/>
      <c r="J120" s="320"/>
      <c r="K120" s="320"/>
      <c r="L120" s="320"/>
    </row>
    <row r="121" ht="27.75" customHeight="1">
      <c r="C121" s="347" t="s">
        <v>942</v>
      </c>
      <c r="D121" s="348" t="s">
        <v>826</v>
      </c>
      <c r="E121" s="348"/>
      <c r="F121" s="320"/>
      <c r="G121" s="320"/>
      <c r="H121" s="320"/>
      <c r="I121" s="320"/>
      <c r="J121" s="320"/>
      <c r="K121" s="320"/>
      <c r="L121" s="320"/>
    </row>
    <row r="122" ht="27.75" customHeight="1">
      <c r="B122" s="334"/>
      <c r="C122" s="347" t="s">
        <v>943</v>
      </c>
      <c r="D122" s="348" t="s">
        <v>826</v>
      </c>
      <c r="E122" s="348"/>
      <c r="F122" s="321"/>
      <c r="G122" s="321"/>
      <c r="H122" s="321"/>
      <c r="I122" s="321"/>
      <c r="J122" s="321"/>
      <c r="K122" s="321"/>
      <c r="L122" s="321"/>
    </row>
    <row r="123" ht="35.25" customHeight="1">
      <c r="B123" s="350"/>
      <c r="C123" s="351"/>
      <c r="D123" s="352"/>
      <c r="E123" s="353"/>
      <c r="F123" s="354">
        <f t="shared" ref="F123:L123" si="1">SUM(F7:F113)</f>
        <v>2</v>
      </c>
      <c r="G123" s="354">
        <f t="shared" si="1"/>
        <v>44</v>
      </c>
      <c r="H123" s="354">
        <f t="shared" si="1"/>
        <v>19</v>
      </c>
      <c r="I123" s="354">
        <f t="shared" si="1"/>
        <v>6</v>
      </c>
      <c r="J123" s="354">
        <f t="shared" si="1"/>
        <v>34</v>
      </c>
      <c r="K123" s="354">
        <f t="shared" si="1"/>
        <v>11</v>
      </c>
      <c r="L123" s="354">
        <f t="shared" si="1"/>
        <v>116</v>
      </c>
    </row>
    <row r="124">
      <c r="E124" s="302"/>
    </row>
    <row r="125">
      <c r="E125" s="302"/>
    </row>
    <row r="126">
      <c r="E126" s="302"/>
    </row>
    <row r="127">
      <c r="E127" s="302"/>
    </row>
    <row r="128">
      <c r="E128" s="302"/>
    </row>
    <row r="129">
      <c r="E129" s="302"/>
    </row>
    <row r="130">
      <c r="E130" s="302"/>
    </row>
    <row r="131">
      <c r="E131" s="302"/>
    </row>
    <row r="132">
      <c r="E132" s="302"/>
    </row>
    <row r="133">
      <c r="E133" s="302"/>
    </row>
    <row r="134">
      <c r="E134" s="302"/>
    </row>
    <row r="135">
      <c r="E135" s="302"/>
    </row>
    <row r="136">
      <c r="E136" s="302"/>
    </row>
    <row r="137">
      <c r="E137" s="302"/>
    </row>
    <row r="138">
      <c r="E138" s="302"/>
    </row>
    <row r="139">
      <c r="E139" s="302"/>
    </row>
    <row r="140">
      <c r="E140" s="302"/>
    </row>
    <row r="141">
      <c r="E141" s="302"/>
    </row>
    <row r="142">
      <c r="E142" s="302"/>
    </row>
    <row r="143">
      <c r="E143" s="302"/>
    </row>
    <row r="144">
      <c r="E144" s="302"/>
    </row>
    <row r="145">
      <c r="E145" s="302"/>
    </row>
    <row r="146">
      <c r="E146" s="302"/>
    </row>
    <row r="147">
      <c r="E147" s="302"/>
    </row>
    <row r="148">
      <c r="E148" s="302"/>
    </row>
    <row r="149">
      <c r="E149" s="302"/>
    </row>
    <row r="150">
      <c r="E150" s="302"/>
    </row>
    <row r="151">
      <c r="E151" s="302"/>
    </row>
    <row r="152">
      <c r="E152" s="302"/>
    </row>
    <row r="153">
      <c r="E153" s="302"/>
    </row>
    <row r="154">
      <c r="E154" s="302"/>
    </row>
    <row r="155">
      <c r="E155" s="302"/>
    </row>
    <row r="156">
      <c r="E156" s="302"/>
    </row>
    <row r="157">
      <c r="E157" s="302"/>
    </row>
    <row r="158">
      <c r="E158" s="302"/>
    </row>
    <row r="159">
      <c r="E159" s="302"/>
    </row>
    <row r="160">
      <c r="E160" s="302"/>
    </row>
    <row r="161">
      <c r="E161" s="302"/>
    </row>
    <row r="162">
      <c r="E162" s="302"/>
    </row>
    <row r="163">
      <c r="E163" s="302"/>
    </row>
    <row r="164">
      <c r="E164" s="302"/>
    </row>
    <row r="165">
      <c r="E165" s="302"/>
    </row>
    <row r="166">
      <c r="E166" s="302"/>
    </row>
    <row r="167">
      <c r="E167" s="302"/>
    </row>
    <row r="168">
      <c r="E168" s="302"/>
    </row>
    <row r="169">
      <c r="E169" s="302"/>
    </row>
    <row r="170">
      <c r="E170" s="302"/>
    </row>
    <row r="171">
      <c r="E171" s="302"/>
    </row>
    <row r="172">
      <c r="E172" s="302"/>
    </row>
    <row r="173">
      <c r="E173" s="302"/>
    </row>
    <row r="174">
      <c r="E174" s="302"/>
    </row>
    <row r="175">
      <c r="E175" s="302"/>
    </row>
    <row r="176">
      <c r="E176" s="302"/>
    </row>
    <row r="177">
      <c r="E177" s="302"/>
    </row>
    <row r="178">
      <c r="E178" s="302"/>
    </row>
    <row r="179">
      <c r="E179" s="302"/>
    </row>
    <row r="180">
      <c r="E180" s="302"/>
    </row>
    <row r="181">
      <c r="E181" s="302"/>
    </row>
    <row r="182">
      <c r="E182" s="302"/>
    </row>
    <row r="183">
      <c r="E183" s="302"/>
    </row>
    <row r="184">
      <c r="E184" s="302"/>
    </row>
    <row r="185">
      <c r="E185" s="302"/>
    </row>
    <row r="186">
      <c r="E186" s="302"/>
    </row>
    <row r="187">
      <c r="E187" s="302"/>
    </row>
    <row r="188">
      <c r="E188" s="302"/>
    </row>
    <row r="189">
      <c r="E189" s="302"/>
    </row>
    <row r="190">
      <c r="E190" s="302"/>
    </row>
    <row r="191">
      <c r="E191" s="302"/>
    </row>
    <row r="192">
      <c r="E192" s="302"/>
    </row>
    <row r="193">
      <c r="E193" s="302"/>
    </row>
    <row r="194">
      <c r="E194" s="302"/>
    </row>
    <row r="195">
      <c r="E195" s="302"/>
    </row>
    <row r="196">
      <c r="E196" s="302"/>
    </row>
    <row r="197">
      <c r="E197" s="302"/>
    </row>
    <row r="198">
      <c r="E198" s="302"/>
    </row>
    <row r="199">
      <c r="E199" s="302"/>
    </row>
    <row r="200">
      <c r="E200" s="302"/>
    </row>
    <row r="201">
      <c r="E201" s="302"/>
    </row>
    <row r="202">
      <c r="E202" s="302"/>
    </row>
    <row r="203">
      <c r="E203" s="302"/>
    </row>
    <row r="204">
      <c r="E204" s="302"/>
    </row>
    <row r="205">
      <c r="E205" s="302"/>
    </row>
    <row r="206">
      <c r="E206" s="302"/>
    </row>
    <row r="207">
      <c r="E207" s="302"/>
    </row>
    <row r="208">
      <c r="E208" s="302"/>
    </row>
    <row r="209">
      <c r="E209" s="302"/>
    </row>
    <row r="210">
      <c r="E210" s="302"/>
    </row>
    <row r="211">
      <c r="E211" s="302"/>
    </row>
    <row r="212">
      <c r="E212" s="302"/>
    </row>
    <row r="213">
      <c r="E213" s="302"/>
    </row>
    <row r="214">
      <c r="E214" s="302"/>
    </row>
    <row r="215">
      <c r="E215" s="302"/>
    </row>
    <row r="216">
      <c r="E216" s="302"/>
    </row>
    <row r="217">
      <c r="E217" s="302"/>
    </row>
    <row r="218">
      <c r="E218" s="302"/>
    </row>
    <row r="219">
      <c r="E219" s="302"/>
    </row>
    <row r="220">
      <c r="E220" s="302"/>
    </row>
    <row r="221">
      <c r="E221" s="302"/>
    </row>
    <row r="222">
      <c r="E222" s="302"/>
    </row>
    <row r="223">
      <c r="E223" s="302"/>
    </row>
    <row r="224">
      <c r="E224" s="302"/>
    </row>
    <row r="225">
      <c r="E225" s="302"/>
    </row>
    <row r="226">
      <c r="E226" s="302"/>
    </row>
    <row r="227">
      <c r="E227" s="302"/>
    </row>
    <row r="228">
      <c r="E228" s="302"/>
    </row>
    <row r="229">
      <c r="E229" s="302"/>
    </row>
    <row r="230">
      <c r="E230" s="302"/>
    </row>
    <row r="231">
      <c r="E231" s="302"/>
    </row>
    <row r="232">
      <c r="E232" s="302"/>
    </row>
    <row r="233">
      <c r="E233" s="302"/>
    </row>
    <row r="234">
      <c r="E234" s="302"/>
    </row>
    <row r="235">
      <c r="E235" s="302"/>
    </row>
    <row r="236">
      <c r="E236" s="302"/>
    </row>
    <row r="237">
      <c r="E237" s="302"/>
    </row>
    <row r="238">
      <c r="E238" s="302"/>
    </row>
    <row r="239">
      <c r="E239" s="302"/>
    </row>
    <row r="240">
      <c r="E240" s="302"/>
    </row>
    <row r="241">
      <c r="E241" s="302"/>
    </row>
    <row r="242">
      <c r="E242" s="302"/>
    </row>
    <row r="243">
      <c r="E243" s="302"/>
    </row>
    <row r="244">
      <c r="E244" s="302"/>
    </row>
    <row r="245">
      <c r="E245" s="302"/>
    </row>
    <row r="246">
      <c r="E246" s="302"/>
    </row>
    <row r="247">
      <c r="E247" s="302"/>
    </row>
    <row r="248">
      <c r="E248" s="302"/>
    </row>
    <row r="249">
      <c r="E249" s="302"/>
    </row>
    <row r="250">
      <c r="E250" s="302"/>
    </row>
    <row r="251">
      <c r="E251" s="302"/>
    </row>
    <row r="252">
      <c r="E252" s="302"/>
    </row>
    <row r="253">
      <c r="E253" s="302"/>
    </row>
    <row r="254">
      <c r="E254" s="302"/>
    </row>
    <row r="255">
      <c r="E255" s="302"/>
    </row>
    <row r="256">
      <c r="E256" s="302"/>
    </row>
    <row r="257">
      <c r="E257" s="302"/>
    </row>
    <row r="258">
      <c r="E258" s="302"/>
    </row>
    <row r="259">
      <c r="E259" s="302"/>
    </row>
    <row r="260">
      <c r="E260" s="302"/>
    </row>
    <row r="261">
      <c r="E261" s="302"/>
    </row>
    <row r="262">
      <c r="E262" s="302"/>
    </row>
    <row r="263">
      <c r="E263" s="302"/>
    </row>
    <row r="264">
      <c r="E264" s="302"/>
    </row>
    <row r="265">
      <c r="E265" s="302"/>
    </row>
    <row r="266">
      <c r="E266" s="302"/>
    </row>
    <row r="267">
      <c r="E267" s="302"/>
    </row>
    <row r="268">
      <c r="E268" s="302"/>
    </row>
    <row r="269">
      <c r="E269" s="302"/>
    </row>
    <row r="270">
      <c r="E270" s="302"/>
    </row>
    <row r="271">
      <c r="E271" s="302"/>
    </row>
    <row r="272">
      <c r="E272" s="302"/>
    </row>
    <row r="273">
      <c r="E273" s="302"/>
    </row>
    <row r="274">
      <c r="E274" s="302"/>
    </row>
    <row r="275">
      <c r="E275" s="302"/>
    </row>
    <row r="276">
      <c r="E276" s="302"/>
    </row>
    <row r="277">
      <c r="E277" s="302"/>
    </row>
    <row r="278">
      <c r="E278" s="302"/>
    </row>
    <row r="279">
      <c r="E279" s="302"/>
    </row>
    <row r="280">
      <c r="E280" s="302"/>
    </row>
    <row r="281">
      <c r="E281" s="302"/>
    </row>
    <row r="282">
      <c r="E282" s="302"/>
    </row>
    <row r="283">
      <c r="E283" s="302"/>
    </row>
    <row r="284">
      <c r="E284" s="302"/>
    </row>
    <row r="285">
      <c r="E285" s="302"/>
    </row>
    <row r="286">
      <c r="E286" s="302"/>
    </row>
    <row r="287">
      <c r="E287" s="302"/>
    </row>
    <row r="288">
      <c r="E288" s="302"/>
    </row>
    <row r="289">
      <c r="E289" s="302"/>
    </row>
    <row r="290">
      <c r="E290" s="302"/>
    </row>
    <row r="291">
      <c r="E291" s="302"/>
    </row>
    <row r="292">
      <c r="E292" s="302"/>
    </row>
    <row r="293">
      <c r="E293" s="302"/>
    </row>
    <row r="294">
      <c r="E294" s="302"/>
    </row>
    <row r="295">
      <c r="E295" s="302"/>
    </row>
    <row r="296">
      <c r="E296" s="302"/>
    </row>
    <row r="297">
      <c r="E297" s="302"/>
    </row>
    <row r="298">
      <c r="E298" s="302"/>
    </row>
    <row r="299">
      <c r="E299" s="302"/>
    </row>
    <row r="300">
      <c r="E300" s="302"/>
    </row>
    <row r="301">
      <c r="E301" s="302"/>
    </row>
    <row r="302">
      <c r="E302" s="302"/>
    </row>
    <row r="303">
      <c r="E303" s="302"/>
    </row>
    <row r="304">
      <c r="E304" s="302"/>
    </row>
    <row r="305">
      <c r="E305" s="302"/>
    </row>
    <row r="306">
      <c r="E306" s="302"/>
    </row>
    <row r="307">
      <c r="E307" s="302"/>
    </row>
    <row r="308">
      <c r="E308" s="302"/>
    </row>
    <row r="309">
      <c r="E309" s="302"/>
    </row>
    <row r="310">
      <c r="E310" s="302"/>
    </row>
    <row r="311">
      <c r="E311" s="302"/>
    </row>
    <row r="312">
      <c r="E312" s="302"/>
    </row>
    <row r="313">
      <c r="E313" s="302"/>
    </row>
    <row r="314">
      <c r="E314" s="302"/>
    </row>
    <row r="315">
      <c r="E315" s="302"/>
    </row>
    <row r="316">
      <c r="E316" s="302"/>
    </row>
    <row r="317">
      <c r="E317" s="302"/>
    </row>
    <row r="318">
      <c r="E318" s="302"/>
    </row>
    <row r="319">
      <c r="E319" s="302"/>
    </row>
    <row r="320">
      <c r="E320" s="302"/>
    </row>
    <row r="321">
      <c r="E321" s="302"/>
    </row>
    <row r="322">
      <c r="E322" s="302"/>
    </row>
    <row r="323">
      <c r="E323" s="302"/>
    </row>
    <row r="324">
      <c r="E324" s="302"/>
    </row>
    <row r="325">
      <c r="E325" s="302"/>
    </row>
    <row r="326">
      <c r="E326" s="302"/>
    </row>
    <row r="327">
      <c r="E327" s="302"/>
    </row>
    <row r="328">
      <c r="E328" s="302"/>
    </row>
    <row r="329">
      <c r="E329" s="302"/>
    </row>
    <row r="330">
      <c r="E330" s="302"/>
    </row>
    <row r="331">
      <c r="E331" s="302"/>
    </row>
    <row r="332">
      <c r="E332" s="302"/>
    </row>
    <row r="333">
      <c r="E333" s="302"/>
    </row>
    <row r="334">
      <c r="E334" s="302"/>
    </row>
    <row r="335">
      <c r="E335" s="302"/>
    </row>
    <row r="336">
      <c r="E336" s="302"/>
    </row>
    <row r="337">
      <c r="E337" s="302"/>
    </row>
    <row r="338">
      <c r="E338" s="302"/>
    </row>
    <row r="339">
      <c r="E339" s="302"/>
    </row>
    <row r="340">
      <c r="E340" s="302"/>
    </row>
    <row r="341">
      <c r="E341" s="302"/>
    </row>
    <row r="342">
      <c r="E342" s="302"/>
    </row>
    <row r="343">
      <c r="E343" s="302"/>
    </row>
    <row r="344">
      <c r="E344" s="302"/>
    </row>
    <row r="345">
      <c r="E345" s="302"/>
    </row>
    <row r="346">
      <c r="E346" s="302"/>
    </row>
    <row r="347">
      <c r="E347" s="302"/>
    </row>
    <row r="348">
      <c r="E348" s="302"/>
    </row>
    <row r="349">
      <c r="E349" s="302"/>
    </row>
    <row r="350">
      <c r="E350" s="302"/>
    </row>
    <row r="351">
      <c r="E351" s="302"/>
    </row>
    <row r="352">
      <c r="E352" s="302"/>
    </row>
    <row r="353">
      <c r="E353" s="302"/>
    </row>
    <row r="354">
      <c r="E354" s="302"/>
    </row>
    <row r="355">
      <c r="E355" s="302"/>
    </row>
    <row r="356">
      <c r="E356" s="302"/>
    </row>
    <row r="357">
      <c r="E357" s="302"/>
    </row>
    <row r="358">
      <c r="E358" s="302"/>
    </row>
    <row r="359">
      <c r="E359" s="302"/>
    </row>
    <row r="360">
      <c r="E360" s="302"/>
    </row>
    <row r="361">
      <c r="E361" s="302"/>
    </row>
    <row r="362">
      <c r="E362" s="302"/>
    </row>
    <row r="363">
      <c r="E363" s="302"/>
    </row>
    <row r="364">
      <c r="E364" s="302"/>
    </row>
    <row r="365">
      <c r="E365" s="302"/>
    </row>
    <row r="366">
      <c r="E366" s="302"/>
    </row>
    <row r="367">
      <c r="E367" s="302"/>
    </row>
    <row r="368">
      <c r="E368" s="302"/>
    </row>
    <row r="369">
      <c r="E369" s="302"/>
    </row>
    <row r="370">
      <c r="E370" s="302"/>
    </row>
    <row r="371">
      <c r="E371" s="302"/>
    </row>
    <row r="372">
      <c r="E372" s="302"/>
    </row>
    <row r="373">
      <c r="E373" s="302"/>
    </row>
    <row r="374">
      <c r="E374" s="302"/>
    </row>
    <row r="375">
      <c r="E375" s="302"/>
    </row>
    <row r="376">
      <c r="E376" s="302"/>
    </row>
    <row r="377">
      <c r="E377" s="302"/>
    </row>
    <row r="378">
      <c r="E378" s="302"/>
    </row>
    <row r="379">
      <c r="E379" s="302"/>
    </row>
    <row r="380">
      <c r="E380" s="302"/>
    </row>
    <row r="381">
      <c r="E381" s="302"/>
    </row>
    <row r="382">
      <c r="E382" s="302"/>
    </row>
    <row r="383">
      <c r="E383" s="302"/>
    </row>
    <row r="384">
      <c r="E384" s="302"/>
    </row>
    <row r="385">
      <c r="E385" s="302"/>
    </row>
    <row r="386">
      <c r="E386" s="302"/>
    </row>
    <row r="387">
      <c r="E387" s="302"/>
    </row>
    <row r="388">
      <c r="E388" s="302"/>
    </row>
    <row r="389">
      <c r="E389" s="302"/>
    </row>
    <row r="390">
      <c r="E390" s="302"/>
    </row>
    <row r="391">
      <c r="E391" s="302"/>
    </row>
    <row r="392">
      <c r="E392" s="302"/>
    </row>
    <row r="393">
      <c r="E393" s="302"/>
    </row>
    <row r="394">
      <c r="E394" s="302"/>
    </row>
    <row r="395">
      <c r="E395" s="302"/>
    </row>
    <row r="396">
      <c r="E396" s="302"/>
    </row>
    <row r="397">
      <c r="E397" s="302"/>
    </row>
    <row r="398">
      <c r="E398" s="302"/>
    </row>
    <row r="399">
      <c r="E399" s="302"/>
    </row>
    <row r="400">
      <c r="E400" s="302"/>
    </row>
    <row r="401">
      <c r="E401" s="302"/>
    </row>
    <row r="402">
      <c r="E402" s="302"/>
    </row>
    <row r="403">
      <c r="E403" s="302"/>
    </row>
    <row r="404">
      <c r="E404" s="302"/>
    </row>
    <row r="405">
      <c r="E405" s="302"/>
    </row>
    <row r="406">
      <c r="E406" s="302"/>
    </row>
    <row r="407">
      <c r="E407" s="302"/>
    </row>
    <row r="408">
      <c r="E408" s="302"/>
    </row>
    <row r="409">
      <c r="E409" s="302"/>
    </row>
    <row r="410">
      <c r="E410" s="302"/>
    </row>
    <row r="411">
      <c r="E411" s="302"/>
    </row>
    <row r="412">
      <c r="E412" s="302"/>
    </row>
    <row r="413">
      <c r="E413" s="302"/>
    </row>
    <row r="414">
      <c r="E414" s="302"/>
    </row>
    <row r="415">
      <c r="E415" s="302"/>
    </row>
    <row r="416">
      <c r="E416" s="302"/>
    </row>
    <row r="417">
      <c r="E417" s="302"/>
    </row>
    <row r="418">
      <c r="E418" s="302"/>
    </row>
    <row r="419">
      <c r="E419" s="302"/>
    </row>
    <row r="420">
      <c r="E420" s="302"/>
    </row>
    <row r="421">
      <c r="E421" s="302"/>
    </row>
    <row r="422">
      <c r="E422" s="302"/>
    </row>
    <row r="423">
      <c r="E423" s="302"/>
    </row>
    <row r="424">
      <c r="E424" s="302"/>
    </row>
    <row r="425">
      <c r="E425" s="302"/>
    </row>
    <row r="426">
      <c r="E426" s="302"/>
    </row>
    <row r="427">
      <c r="E427" s="302"/>
    </row>
    <row r="428">
      <c r="E428" s="302"/>
    </row>
    <row r="429">
      <c r="E429" s="302"/>
    </row>
    <row r="430">
      <c r="E430" s="302"/>
    </row>
    <row r="431">
      <c r="E431" s="302"/>
    </row>
    <row r="432">
      <c r="E432" s="302"/>
    </row>
    <row r="433">
      <c r="E433" s="302"/>
    </row>
    <row r="434">
      <c r="E434" s="302"/>
    </row>
    <row r="435">
      <c r="E435" s="302"/>
    </row>
    <row r="436">
      <c r="E436" s="302"/>
    </row>
    <row r="437">
      <c r="E437" s="302"/>
    </row>
    <row r="438">
      <c r="E438" s="302"/>
    </row>
    <row r="439">
      <c r="E439" s="302"/>
    </row>
    <row r="440">
      <c r="E440" s="302"/>
    </row>
    <row r="441">
      <c r="E441" s="302"/>
    </row>
    <row r="442">
      <c r="E442" s="302"/>
    </row>
    <row r="443">
      <c r="E443" s="302"/>
    </row>
    <row r="444">
      <c r="E444" s="302"/>
    </row>
    <row r="445">
      <c r="E445" s="302"/>
    </row>
    <row r="446">
      <c r="E446" s="302"/>
    </row>
    <row r="447">
      <c r="E447" s="302"/>
    </row>
    <row r="448">
      <c r="E448" s="302"/>
    </row>
    <row r="449">
      <c r="E449" s="302"/>
    </row>
    <row r="450">
      <c r="E450" s="302"/>
    </row>
    <row r="451">
      <c r="E451" s="302"/>
    </row>
    <row r="452">
      <c r="E452" s="302"/>
    </row>
    <row r="453">
      <c r="E453" s="302"/>
    </row>
    <row r="454">
      <c r="E454" s="302"/>
    </row>
    <row r="455">
      <c r="E455" s="302"/>
    </row>
    <row r="456">
      <c r="E456" s="302"/>
    </row>
    <row r="457">
      <c r="E457" s="302"/>
    </row>
    <row r="458">
      <c r="E458" s="302"/>
    </row>
    <row r="459">
      <c r="E459" s="302"/>
    </row>
    <row r="460">
      <c r="E460" s="302"/>
    </row>
    <row r="461">
      <c r="E461" s="302"/>
    </row>
    <row r="462">
      <c r="E462" s="302"/>
    </row>
    <row r="463">
      <c r="E463" s="302"/>
    </row>
    <row r="464">
      <c r="E464" s="302"/>
    </row>
    <row r="465">
      <c r="E465" s="302"/>
    </row>
    <row r="466">
      <c r="E466" s="302"/>
    </row>
    <row r="467">
      <c r="E467" s="302"/>
    </row>
    <row r="468">
      <c r="E468" s="302"/>
    </row>
    <row r="469">
      <c r="E469" s="302"/>
    </row>
    <row r="470">
      <c r="E470" s="302"/>
    </row>
    <row r="471">
      <c r="E471" s="302"/>
    </row>
    <row r="472">
      <c r="E472" s="302"/>
    </row>
    <row r="473">
      <c r="E473" s="302"/>
    </row>
    <row r="474">
      <c r="E474" s="302"/>
    </row>
    <row r="475">
      <c r="E475" s="302"/>
    </row>
    <row r="476">
      <c r="E476" s="302"/>
    </row>
    <row r="477">
      <c r="E477" s="302"/>
    </row>
    <row r="478">
      <c r="E478" s="302"/>
    </row>
    <row r="479">
      <c r="E479" s="302"/>
    </row>
    <row r="480">
      <c r="E480" s="302"/>
    </row>
    <row r="481">
      <c r="E481" s="302"/>
    </row>
    <row r="482">
      <c r="E482" s="302"/>
    </row>
    <row r="483">
      <c r="E483" s="302"/>
    </row>
    <row r="484">
      <c r="E484" s="302"/>
    </row>
    <row r="485">
      <c r="E485" s="302"/>
    </row>
    <row r="486">
      <c r="E486" s="302"/>
    </row>
    <row r="487">
      <c r="E487" s="302"/>
    </row>
    <row r="488">
      <c r="E488" s="302"/>
    </row>
    <row r="489">
      <c r="E489" s="302"/>
    </row>
    <row r="490">
      <c r="E490" s="302"/>
    </row>
    <row r="491">
      <c r="E491" s="302"/>
    </row>
    <row r="492">
      <c r="E492" s="302"/>
    </row>
    <row r="493">
      <c r="E493" s="302"/>
    </row>
    <row r="494">
      <c r="E494" s="302"/>
    </row>
    <row r="495">
      <c r="E495" s="302"/>
    </row>
    <row r="496">
      <c r="E496" s="302"/>
    </row>
    <row r="497">
      <c r="E497" s="302"/>
    </row>
    <row r="498">
      <c r="E498" s="302"/>
    </row>
    <row r="499">
      <c r="E499" s="302"/>
    </row>
    <row r="500">
      <c r="E500" s="302"/>
    </row>
    <row r="501">
      <c r="E501" s="302"/>
    </row>
    <row r="502">
      <c r="E502" s="302"/>
    </row>
    <row r="503">
      <c r="E503" s="302"/>
    </row>
    <row r="504">
      <c r="E504" s="302"/>
    </row>
    <row r="505">
      <c r="E505" s="302"/>
    </row>
    <row r="506">
      <c r="E506" s="302"/>
    </row>
    <row r="507">
      <c r="E507" s="302"/>
    </row>
    <row r="508">
      <c r="E508" s="302"/>
    </row>
    <row r="509">
      <c r="E509" s="302"/>
    </row>
    <row r="510">
      <c r="E510" s="302"/>
    </row>
    <row r="511">
      <c r="E511" s="302"/>
    </row>
    <row r="512">
      <c r="E512" s="302"/>
    </row>
    <row r="513">
      <c r="E513" s="302"/>
    </row>
    <row r="514">
      <c r="E514" s="302"/>
    </row>
    <row r="515">
      <c r="E515" s="302"/>
    </row>
    <row r="516">
      <c r="E516" s="302"/>
    </row>
    <row r="517">
      <c r="E517" s="302"/>
    </row>
    <row r="518">
      <c r="E518" s="302"/>
    </row>
    <row r="519">
      <c r="E519" s="302"/>
    </row>
    <row r="520">
      <c r="E520" s="302"/>
    </row>
    <row r="521">
      <c r="E521" s="302"/>
    </row>
    <row r="522">
      <c r="E522" s="302"/>
    </row>
    <row r="523">
      <c r="E523" s="302"/>
    </row>
    <row r="524">
      <c r="E524" s="302"/>
    </row>
    <row r="525">
      <c r="E525" s="302"/>
    </row>
    <row r="526">
      <c r="E526" s="302"/>
    </row>
    <row r="527">
      <c r="E527" s="302"/>
    </row>
    <row r="528">
      <c r="E528" s="302"/>
    </row>
    <row r="529">
      <c r="E529" s="302"/>
    </row>
    <row r="530">
      <c r="E530" s="302"/>
    </row>
    <row r="531">
      <c r="E531" s="302"/>
    </row>
    <row r="532">
      <c r="E532" s="302"/>
    </row>
    <row r="533">
      <c r="E533" s="302"/>
    </row>
    <row r="534">
      <c r="E534" s="302"/>
    </row>
    <row r="535">
      <c r="E535" s="302"/>
    </row>
    <row r="536">
      <c r="E536" s="302"/>
    </row>
    <row r="537">
      <c r="E537" s="302"/>
    </row>
    <row r="538">
      <c r="E538" s="302"/>
    </row>
    <row r="539">
      <c r="E539" s="302"/>
    </row>
    <row r="540">
      <c r="E540" s="302"/>
    </row>
    <row r="541">
      <c r="E541" s="302"/>
    </row>
    <row r="542">
      <c r="E542" s="302"/>
    </row>
    <row r="543">
      <c r="E543" s="302"/>
    </row>
    <row r="544">
      <c r="E544" s="302"/>
    </row>
    <row r="545">
      <c r="E545" s="302"/>
    </row>
    <row r="546">
      <c r="E546" s="302"/>
    </row>
    <row r="547">
      <c r="E547" s="302"/>
    </row>
    <row r="548">
      <c r="E548" s="302"/>
    </row>
    <row r="549">
      <c r="E549" s="302"/>
    </row>
    <row r="550">
      <c r="E550" s="302"/>
    </row>
    <row r="551">
      <c r="E551" s="302"/>
    </row>
    <row r="552">
      <c r="E552" s="302"/>
    </row>
    <row r="553">
      <c r="E553" s="302"/>
    </row>
    <row r="554">
      <c r="E554" s="302"/>
    </row>
    <row r="555">
      <c r="E555" s="302"/>
    </row>
    <row r="556">
      <c r="E556" s="302"/>
    </row>
    <row r="557">
      <c r="E557" s="302"/>
    </row>
    <row r="558">
      <c r="E558" s="302"/>
    </row>
    <row r="559">
      <c r="E559" s="302"/>
    </row>
    <row r="560">
      <c r="E560" s="302"/>
    </row>
    <row r="561">
      <c r="E561" s="302"/>
    </row>
    <row r="562">
      <c r="E562" s="302"/>
    </row>
    <row r="563">
      <c r="E563" s="302"/>
    </row>
    <row r="564">
      <c r="E564" s="302"/>
    </row>
    <row r="565">
      <c r="E565" s="302"/>
    </row>
    <row r="566">
      <c r="E566" s="302"/>
    </row>
    <row r="567">
      <c r="E567" s="302"/>
    </row>
    <row r="568">
      <c r="E568" s="302"/>
    </row>
    <row r="569">
      <c r="E569" s="302"/>
    </row>
    <row r="570">
      <c r="E570" s="302"/>
    </row>
    <row r="571">
      <c r="E571" s="302"/>
    </row>
    <row r="572">
      <c r="E572" s="302"/>
    </row>
    <row r="573">
      <c r="E573" s="302"/>
    </row>
    <row r="574">
      <c r="E574" s="302"/>
    </row>
    <row r="575">
      <c r="E575" s="302"/>
    </row>
    <row r="576">
      <c r="E576" s="302"/>
    </row>
    <row r="577">
      <c r="E577" s="302"/>
    </row>
    <row r="578">
      <c r="E578" s="302"/>
    </row>
    <row r="579">
      <c r="E579" s="302"/>
    </row>
    <row r="580">
      <c r="E580" s="302"/>
    </row>
    <row r="581">
      <c r="E581" s="302"/>
    </row>
    <row r="582">
      <c r="E582" s="302"/>
    </row>
    <row r="583">
      <c r="E583" s="302"/>
    </row>
    <row r="584">
      <c r="E584" s="302"/>
    </row>
    <row r="585">
      <c r="E585" s="302"/>
    </row>
    <row r="586">
      <c r="E586" s="302"/>
    </row>
    <row r="587">
      <c r="E587" s="302"/>
    </row>
    <row r="588">
      <c r="E588" s="302"/>
    </row>
    <row r="589">
      <c r="E589" s="302"/>
    </row>
    <row r="590">
      <c r="E590" s="302"/>
    </row>
    <row r="591">
      <c r="E591" s="302"/>
    </row>
    <row r="592">
      <c r="E592" s="302"/>
    </row>
    <row r="593">
      <c r="E593" s="302"/>
    </row>
    <row r="594">
      <c r="E594" s="302"/>
    </row>
    <row r="595">
      <c r="E595" s="302"/>
    </row>
    <row r="596">
      <c r="E596" s="302"/>
    </row>
    <row r="597">
      <c r="E597" s="302"/>
    </row>
    <row r="598">
      <c r="E598" s="302"/>
    </row>
    <row r="599">
      <c r="E599" s="302"/>
    </row>
    <row r="600">
      <c r="E600" s="302"/>
    </row>
    <row r="601">
      <c r="E601" s="302"/>
    </row>
    <row r="602">
      <c r="E602" s="302"/>
    </row>
    <row r="603">
      <c r="E603" s="302"/>
    </row>
    <row r="604">
      <c r="E604" s="302"/>
    </row>
    <row r="605">
      <c r="E605" s="302"/>
    </row>
    <row r="606">
      <c r="E606" s="302"/>
    </row>
    <row r="607">
      <c r="E607" s="302"/>
    </row>
    <row r="608">
      <c r="E608" s="302"/>
    </row>
    <row r="609">
      <c r="E609" s="302"/>
    </row>
    <row r="610">
      <c r="E610" s="302"/>
    </row>
    <row r="611">
      <c r="E611" s="302"/>
    </row>
    <row r="612">
      <c r="E612" s="302"/>
    </row>
    <row r="613">
      <c r="E613" s="302"/>
    </row>
    <row r="614">
      <c r="E614" s="302"/>
    </row>
    <row r="615">
      <c r="E615" s="302"/>
    </row>
    <row r="616">
      <c r="E616" s="302"/>
    </row>
    <row r="617">
      <c r="E617" s="302"/>
    </row>
    <row r="618">
      <c r="E618" s="302"/>
    </row>
    <row r="619">
      <c r="E619" s="302"/>
    </row>
    <row r="620">
      <c r="E620" s="302"/>
    </row>
    <row r="621">
      <c r="E621" s="302"/>
    </row>
    <row r="622">
      <c r="E622" s="302"/>
    </row>
    <row r="623">
      <c r="E623" s="302"/>
    </row>
    <row r="624">
      <c r="E624" s="302"/>
    </row>
    <row r="625">
      <c r="E625" s="302"/>
    </row>
    <row r="626">
      <c r="E626" s="302"/>
    </row>
    <row r="627">
      <c r="E627" s="302"/>
    </row>
    <row r="628">
      <c r="E628" s="302"/>
    </row>
    <row r="629">
      <c r="E629" s="302"/>
    </row>
    <row r="630">
      <c r="E630" s="302"/>
    </row>
    <row r="631">
      <c r="E631" s="302"/>
    </row>
    <row r="632">
      <c r="E632" s="302"/>
    </row>
    <row r="633">
      <c r="E633" s="302"/>
    </row>
    <row r="634">
      <c r="E634" s="302"/>
    </row>
    <row r="635">
      <c r="E635" s="302"/>
    </row>
    <row r="636">
      <c r="E636" s="302"/>
    </row>
    <row r="637">
      <c r="E637" s="302"/>
    </row>
    <row r="638">
      <c r="E638" s="302"/>
    </row>
    <row r="639">
      <c r="E639" s="302"/>
    </row>
    <row r="640">
      <c r="E640" s="302"/>
    </row>
    <row r="641">
      <c r="E641" s="302"/>
    </row>
    <row r="642">
      <c r="E642" s="302"/>
    </row>
    <row r="643">
      <c r="E643" s="302"/>
    </row>
    <row r="644">
      <c r="E644" s="302"/>
    </row>
    <row r="645">
      <c r="E645" s="302"/>
    </row>
    <row r="646">
      <c r="E646" s="302"/>
    </row>
    <row r="647">
      <c r="E647" s="302"/>
    </row>
    <row r="648">
      <c r="E648" s="302"/>
    </row>
    <row r="649">
      <c r="E649" s="302"/>
    </row>
    <row r="650">
      <c r="E650" s="302"/>
    </row>
    <row r="651">
      <c r="E651" s="302"/>
    </row>
    <row r="652">
      <c r="E652" s="302"/>
    </row>
    <row r="653">
      <c r="E653" s="302"/>
    </row>
    <row r="654">
      <c r="E654" s="302"/>
    </row>
    <row r="655">
      <c r="E655" s="302"/>
    </row>
    <row r="656">
      <c r="E656" s="302"/>
    </row>
    <row r="657">
      <c r="E657" s="302"/>
    </row>
    <row r="658">
      <c r="E658" s="302"/>
    </row>
    <row r="659">
      <c r="E659" s="302"/>
    </row>
    <row r="660">
      <c r="E660" s="302"/>
    </row>
    <row r="661">
      <c r="E661" s="302"/>
    </row>
    <row r="662">
      <c r="E662" s="302"/>
    </row>
    <row r="663">
      <c r="E663" s="302"/>
    </row>
    <row r="664">
      <c r="E664" s="302"/>
    </row>
    <row r="665">
      <c r="E665" s="302"/>
    </row>
    <row r="666">
      <c r="E666" s="302"/>
    </row>
    <row r="667">
      <c r="E667" s="302"/>
    </row>
    <row r="668">
      <c r="E668" s="302"/>
    </row>
    <row r="669">
      <c r="E669" s="302"/>
    </row>
    <row r="670">
      <c r="E670" s="302"/>
    </row>
    <row r="671">
      <c r="E671" s="302"/>
    </row>
    <row r="672">
      <c r="E672" s="302"/>
    </row>
    <row r="673">
      <c r="E673" s="302"/>
    </row>
    <row r="674">
      <c r="E674" s="302"/>
    </row>
    <row r="675">
      <c r="E675" s="302"/>
    </row>
    <row r="676">
      <c r="E676" s="302"/>
    </row>
    <row r="677">
      <c r="E677" s="302"/>
    </row>
    <row r="678">
      <c r="E678" s="302"/>
    </row>
    <row r="679">
      <c r="E679" s="302"/>
    </row>
    <row r="680">
      <c r="E680" s="302"/>
    </row>
    <row r="681">
      <c r="E681" s="302"/>
    </row>
    <row r="682">
      <c r="E682" s="302"/>
    </row>
    <row r="683">
      <c r="E683" s="302"/>
    </row>
    <row r="684">
      <c r="E684" s="302"/>
    </row>
    <row r="685">
      <c r="E685" s="302"/>
    </row>
    <row r="686">
      <c r="E686" s="302"/>
    </row>
    <row r="687">
      <c r="E687" s="302"/>
    </row>
    <row r="688">
      <c r="E688" s="302"/>
    </row>
    <row r="689">
      <c r="E689" s="302"/>
    </row>
    <row r="690">
      <c r="E690" s="302"/>
    </row>
    <row r="691">
      <c r="E691" s="302"/>
    </row>
    <row r="692">
      <c r="E692" s="302"/>
    </row>
    <row r="693">
      <c r="E693" s="302"/>
    </row>
    <row r="694">
      <c r="E694" s="302"/>
    </row>
    <row r="695">
      <c r="E695" s="302"/>
    </row>
    <row r="696">
      <c r="E696" s="302"/>
    </row>
    <row r="697">
      <c r="E697" s="302"/>
    </row>
    <row r="698">
      <c r="E698" s="302"/>
    </row>
    <row r="699">
      <c r="E699" s="302"/>
    </row>
    <row r="700">
      <c r="E700" s="302"/>
    </row>
    <row r="701">
      <c r="E701" s="302"/>
    </row>
    <row r="702">
      <c r="E702" s="302"/>
    </row>
    <row r="703">
      <c r="E703" s="302"/>
    </row>
    <row r="704">
      <c r="E704" s="302"/>
    </row>
    <row r="705">
      <c r="E705" s="302"/>
    </row>
    <row r="706">
      <c r="E706" s="302"/>
    </row>
    <row r="707">
      <c r="E707" s="302"/>
    </row>
    <row r="708">
      <c r="E708" s="302"/>
    </row>
    <row r="709">
      <c r="E709" s="302"/>
    </row>
    <row r="710">
      <c r="E710" s="302"/>
    </row>
    <row r="711">
      <c r="E711" s="302"/>
    </row>
    <row r="712">
      <c r="E712" s="302"/>
    </row>
    <row r="713">
      <c r="E713" s="302"/>
    </row>
    <row r="714">
      <c r="E714" s="302"/>
    </row>
    <row r="715">
      <c r="E715" s="302"/>
    </row>
    <row r="716">
      <c r="E716" s="302"/>
    </row>
    <row r="717">
      <c r="E717" s="302"/>
    </row>
    <row r="718">
      <c r="E718" s="302"/>
    </row>
    <row r="719">
      <c r="E719" s="302"/>
    </row>
    <row r="720">
      <c r="E720" s="302"/>
    </row>
    <row r="721">
      <c r="E721" s="302"/>
    </row>
    <row r="722">
      <c r="E722" s="302"/>
    </row>
    <row r="723">
      <c r="E723" s="302"/>
    </row>
    <row r="724">
      <c r="E724" s="302"/>
    </row>
    <row r="725">
      <c r="E725" s="302"/>
    </row>
    <row r="726">
      <c r="E726" s="302"/>
    </row>
    <row r="727">
      <c r="E727" s="302"/>
    </row>
    <row r="728">
      <c r="E728" s="302"/>
    </row>
    <row r="729">
      <c r="E729" s="302"/>
    </row>
    <row r="730">
      <c r="E730" s="302"/>
    </row>
    <row r="731">
      <c r="E731" s="302"/>
    </row>
    <row r="732">
      <c r="E732" s="302"/>
    </row>
    <row r="733">
      <c r="E733" s="302"/>
    </row>
    <row r="734">
      <c r="E734" s="302"/>
    </row>
    <row r="735">
      <c r="E735" s="302"/>
    </row>
    <row r="736">
      <c r="E736" s="302"/>
    </row>
    <row r="737">
      <c r="E737" s="302"/>
    </row>
    <row r="738">
      <c r="E738" s="302"/>
    </row>
    <row r="739">
      <c r="E739" s="302"/>
    </row>
    <row r="740">
      <c r="E740" s="302"/>
    </row>
    <row r="741">
      <c r="E741" s="302"/>
    </row>
    <row r="742">
      <c r="E742" s="302"/>
    </row>
    <row r="743">
      <c r="E743" s="302"/>
    </row>
    <row r="744">
      <c r="E744" s="302"/>
    </row>
    <row r="745">
      <c r="E745" s="302"/>
    </row>
    <row r="746">
      <c r="E746" s="302"/>
    </row>
    <row r="747">
      <c r="E747" s="302"/>
    </row>
    <row r="748">
      <c r="E748" s="302"/>
    </row>
    <row r="749">
      <c r="E749" s="302"/>
    </row>
    <row r="750">
      <c r="E750" s="302"/>
    </row>
    <row r="751">
      <c r="E751" s="302"/>
    </row>
    <row r="752">
      <c r="E752" s="302"/>
    </row>
    <row r="753">
      <c r="E753" s="302"/>
    </row>
    <row r="754">
      <c r="E754" s="302"/>
    </row>
    <row r="755">
      <c r="E755" s="302"/>
    </row>
    <row r="756">
      <c r="E756" s="302"/>
    </row>
    <row r="757">
      <c r="E757" s="302"/>
    </row>
    <row r="758">
      <c r="E758" s="302"/>
    </row>
    <row r="759">
      <c r="E759" s="302"/>
    </row>
    <row r="760">
      <c r="E760" s="302"/>
    </row>
    <row r="761">
      <c r="E761" s="302"/>
    </row>
    <row r="762">
      <c r="E762" s="302"/>
    </row>
    <row r="763">
      <c r="E763" s="302"/>
    </row>
    <row r="764">
      <c r="E764" s="302"/>
    </row>
    <row r="765">
      <c r="E765" s="302"/>
    </row>
    <row r="766">
      <c r="E766" s="302"/>
    </row>
    <row r="767">
      <c r="E767" s="302"/>
    </row>
    <row r="768">
      <c r="E768" s="302"/>
    </row>
    <row r="769">
      <c r="E769" s="302"/>
    </row>
    <row r="770">
      <c r="E770" s="302"/>
    </row>
    <row r="771">
      <c r="E771" s="302"/>
    </row>
    <row r="772">
      <c r="E772" s="302"/>
    </row>
    <row r="773">
      <c r="E773" s="302"/>
    </row>
    <row r="774">
      <c r="E774" s="302"/>
    </row>
    <row r="775">
      <c r="E775" s="302"/>
    </row>
    <row r="776">
      <c r="E776" s="302"/>
    </row>
    <row r="777">
      <c r="E777" s="302"/>
    </row>
    <row r="778">
      <c r="E778" s="302"/>
    </row>
    <row r="779">
      <c r="E779" s="302"/>
    </row>
    <row r="780">
      <c r="E780" s="302"/>
    </row>
    <row r="781">
      <c r="E781" s="302"/>
    </row>
    <row r="782">
      <c r="E782" s="302"/>
    </row>
    <row r="783">
      <c r="E783" s="302"/>
    </row>
    <row r="784">
      <c r="E784" s="302"/>
    </row>
    <row r="785">
      <c r="E785" s="302"/>
    </row>
    <row r="786">
      <c r="E786" s="302"/>
    </row>
    <row r="787">
      <c r="E787" s="302"/>
    </row>
    <row r="788">
      <c r="E788" s="302"/>
    </row>
    <row r="789">
      <c r="E789" s="302"/>
    </row>
    <row r="790">
      <c r="E790" s="302"/>
    </row>
    <row r="791">
      <c r="E791" s="302"/>
    </row>
    <row r="792">
      <c r="E792" s="302"/>
    </row>
    <row r="793">
      <c r="E793" s="302"/>
    </row>
    <row r="794">
      <c r="E794" s="302"/>
    </row>
    <row r="795">
      <c r="E795" s="302"/>
    </row>
    <row r="796">
      <c r="E796" s="302"/>
    </row>
    <row r="797">
      <c r="E797" s="302"/>
    </row>
    <row r="798">
      <c r="E798" s="302"/>
    </row>
    <row r="799">
      <c r="E799" s="302"/>
    </row>
    <row r="800">
      <c r="E800" s="302"/>
    </row>
    <row r="801">
      <c r="E801" s="302"/>
    </row>
    <row r="802">
      <c r="E802" s="302"/>
    </row>
    <row r="803">
      <c r="E803" s="302"/>
    </row>
    <row r="804">
      <c r="E804" s="302"/>
    </row>
    <row r="805">
      <c r="E805" s="302"/>
    </row>
    <row r="806">
      <c r="E806" s="302"/>
    </row>
    <row r="807">
      <c r="E807" s="302"/>
    </row>
    <row r="808">
      <c r="E808" s="302"/>
    </row>
    <row r="809">
      <c r="E809" s="302"/>
    </row>
    <row r="810">
      <c r="E810" s="302"/>
    </row>
    <row r="811">
      <c r="E811" s="302"/>
    </row>
    <row r="812">
      <c r="E812" s="302"/>
    </row>
    <row r="813">
      <c r="E813" s="302"/>
    </row>
    <row r="814">
      <c r="E814" s="302"/>
    </row>
    <row r="815">
      <c r="E815" s="302"/>
    </row>
    <row r="816">
      <c r="E816" s="302"/>
    </row>
    <row r="817">
      <c r="E817" s="302"/>
    </row>
    <row r="818">
      <c r="E818" s="302"/>
    </row>
    <row r="819">
      <c r="E819" s="302"/>
    </row>
    <row r="820">
      <c r="E820" s="302"/>
    </row>
    <row r="821">
      <c r="E821" s="302"/>
    </row>
    <row r="822">
      <c r="E822" s="302"/>
    </row>
    <row r="823">
      <c r="E823" s="302"/>
    </row>
    <row r="824">
      <c r="E824" s="302"/>
    </row>
    <row r="825">
      <c r="E825" s="302"/>
    </row>
    <row r="826">
      <c r="E826" s="302"/>
    </row>
    <row r="827">
      <c r="E827" s="302"/>
    </row>
    <row r="828">
      <c r="E828" s="302"/>
    </row>
    <row r="829">
      <c r="E829" s="302"/>
    </row>
    <row r="830">
      <c r="E830" s="302"/>
    </row>
    <row r="831">
      <c r="E831" s="302"/>
    </row>
    <row r="832">
      <c r="E832" s="302"/>
    </row>
    <row r="833">
      <c r="E833" s="302"/>
    </row>
    <row r="834">
      <c r="E834" s="302"/>
    </row>
    <row r="835">
      <c r="E835" s="302"/>
    </row>
    <row r="836">
      <c r="E836" s="302"/>
    </row>
    <row r="837">
      <c r="E837" s="302"/>
    </row>
    <row r="838">
      <c r="E838" s="302"/>
    </row>
    <row r="839">
      <c r="E839" s="302"/>
    </row>
    <row r="840">
      <c r="E840" s="302"/>
    </row>
    <row r="841">
      <c r="E841" s="302"/>
    </row>
    <row r="842">
      <c r="E842" s="302"/>
    </row>
    <row r="843">
      <c r="E843" s="302"/>
    </row>
    <row r="844">
      <c r="E844" s="302"/>
    </row>
    <row r="845">
      <c r="E845" s="302"/>
    </row>
    <row r="846">
      <c r="E846" s="302"/>
    </row>
    <row r="847">
      <c r="E847" s="302"/>
    </row>
    <row r="848">
      <c r="E848" s="302"/>
    </row>
    <row r="849">
      <c r="E849" s="302"/>
    </row>
    <row r="850">
      <c r="E850" s="302"/>
    </row>
    <row r="851">
      <c r="E851" s="302"/>
    </row>
    <row r="852">
      <c r="E852" s="302"/>
    </row>
    <row r="853">
      <c r="E853" s="302"/>
    </row>
    <row r="854">
      <c r="E854" s="302"/>
    </row>
    <row r="855">
      <c r="E855" s="302"/>
    </row>
    <row r="856">
      <c r="E856" s="302"/>
    </row>
    <row r="857">
      <c r="E857" s="302"/>
    </row>
    <row r="858">
      <c r="E858" s="302"/>
    </row>
    <row r="859">
      <c r="E859" s="302"/>
    </row>
    <row r="860">
      <c r="E860" s="302"/>
    </row>
    <row r="861">
      <c r="E861" s="302"/>
    </row>
    <row r="862">
      <c r="E862" s="302"/>
    </row>
    <row r="863">
      <c r="E863" s="302"/>
    </row>
    <row r="864">
      <c r="E864" s="302"/>
    </row>
    <row r="865">
      <c r="E865" s="302"/>
    </row>
    <row r="866">
      <c r="E866" s="302"/>
    </row>
    <row r="867">
      <c r="E867" s="302"/>
    </row>
    <row r="868">
      <c r="E868" s="302"/>
    </row>
    <row r="869">
      <c r="E869" s="302"/>
    </row>
    <row r="870">
      <c r="E870" s="302"/>
    </row>
    <row r="871">
      <c r="E871" s="302"/>
    </row>
    <row r="872">
      <c r="E872" s="302"/>
    </row>
    <row r="873">
      <c r="E873" s="302"/>
    </row>
    <row r="874">
      <c r="E874" s="302"/>
    </row>
    <row r="875">
      <c r="E875" s="302"/>
    </row>
    <row r="876">
      <c r="E876" s="302"/>
    </row>
    <row r="877">
      <c r="E877" s="302"/>
    </row>
    <row r="878">
      <c r="E878" s="302"/>
    </row>
    <row r="879">
      <c r="E879" s="302"/>
    </row>
    <row r="880">
      <c r="E880" s="302"/>
    </row>
    <row r="881">
      <c r="E881" s="302"/>
    </row>
    <row r="882">
      <c r="E882" s="302"/>
    </row>
    <row r="883">
      <c r="E883" s="302"/>
    </row>
    <row r="884">
      <c r="E884" s="302"/>
    </row>
    <row r="885">
      <c r="E885" s="302"/>
    </row>
    <row r="886">
      <c r="E886" s="302"/>
    </row>
    <row r="887">
      <c r="E887" s="302"/>
    </row>
    <row r="888">
      <c r="E888" s="302"/>
    </row>
    <row r="889">
      <c r="E889" s="302"/>
    </row>
    <row r="890">
      <c r="E890" s="302"/>
    </row>
    <row r="891">
      <c r="E891" s="302"/>
    </row>
    <row r="892">
      <c r="E892" s="302"/>
    </row>
    <row r="893">
      <c r="E893" s="302"/>
    </row>
    <row r="894">
      <c r="E894" s="302"/>
    </row>
    <row r="895">
      <c r="E895" s="302"/>
    </row>
    <row r="896">
      <c r="E896" s="302"/>
    </row>
    <row r="897">
      <c r="E897" s="302"/>
    </row>
    <row r="898">
      <c r="E898" s="302"/>
    </row>
    <row r="899">
      <c r="E899" s="302"/>
    </row>
    <row r="900">
      <c r="E900" s="302"/>
    </row>
    <row r="901">
      <c r="E901" s="302"/>
    </row>
    <row r="902">
      <c r="E902" s="302"/>
    </row>
    <row r="903">
      <c r="E903" s="302"/>
    </row>
    <row r="904">
      <c r="E904" s="302"/>
    </row>
    <row r="905">
      <c r="E905" s="302"/>
    </row>
    <row r="906">
      <c r="E906" s="302"/>
    </row>
    <row r="907">
      <c r="E907" s="302"/>
    </row>
    <row r="908">
      <c r="E908" s="302"/>
    </row>
    <row r="909">
      <c r="E909" s="302"/>
    </row>
    <row r="910">
      <c r="E910" s="302"/>
    </row>
    <row r="911">
      <c r="E911" s="302"/>
    </row>
    <row r="912">
      <c r="E912" s="302"/>
    </row>
    <row r="913">
      <c r="E913" s="302"/>
    </row>
    <row r="914">
      <c r="E914" s="302"/>
    </row>
    <row r="915">
      <c r="E915" s="302"/>
    </row>
    <row r="916">
      <c r="E916" s="302"/>
    </row>
    <row r="917">
      <c r="E917" s="302"/>
    </row>
    <row r="918">
      <c r="E918" s="302"/>
    </row>
    <row r="919">
      <c r="E919" s="302"/>
    </row>
    <row r="920">
      <c r="E920" s="302"/>
    </row>
    <row r="921">
      <c r="E921" s="302"/>
    </row>
    <row r="922">
      <c r="E922" s="302"/>
    </row>
    <row r="923">
      <c r="E923" s="302"/>
    </row>
    <row r="924">
      <c r="E924" s="302"/>
    </row>
    <row r="925">
      <c r="E925" s="302"/>
    </row>
    <row r="926">
      <c r="E926" s="302"/>
    </row>
    <row r="927">
      <c r="E927" s="302"/>
    </row>
    <row r="928">
      <c r="E928" s="302"/>
    </row>
    <row r="929">
      <c r="E929" s="302"/>
    </row>
    <row r="930">
      <c r="E930" s="302"/>
    </row>
    <row r="931">
      <c r="E931" s="302"/>
    </row>
    <row r="932">
      <c r="E932" s="302"/>
    </row>
    <row r="933">
      <c r="E933" s="302"/>
    </row>
    <row r="934">
      <c r="E934" s="302"/>
    </row>
    <row r="935">
      <c r="E935" s="302"/>
    </row>
    <row r="936">
      <c r="E936" s="302"/>
    </row>
    <row r="937">
      <c r="E937" s="302"/>
    </row>
    <row r="938">
      <c r="E938" s="302"/>
    </row>
    <row r="939">
      <c r="E939" s="302"/>
    </row>
    <row r="940">
      <c r="E940" s="302"/>
    </row>
    <row r="941">
      <c r="E941" s="302"/>
    </row>
    <row r="942">
      <c r="E942" s="302"/>
    </row>
    <row r="943">
      <c r="E943" s="302"/>
    </row>
    <row r="944">
      <c r="E944" s="302"/>
    </row>
    <row r="945">
      <c r="E945" s="302"/>
    </row>
    <row r="946">
      <c r="E946" s="302"/>
    </row>
    <row r="947">
      <c r="E947" s="302"/>
    </row>
    <row r="948">
      <c r="E948" s="302"/>
    </row>
    <row r="949">
      <c r="E949" s="302"/>
    </row>
    <row r="950">
      <c r="E950" s="302"/>
    </row>
    <row r="951">
      <c r="E951" s="302"/>
    </row>
    <row r="952">
      <c r="E952" s="302"/>
    </row>
    <row r="953">
      <c r="E953" s="302"/>
    </row>
    <row r="954">
      <c r="E954" s="302"/>
    </row>
    <row r="955">
      <c r="E955" s="302"/>
    </row>
    <row r="956">
      <c r="E956" s="302"/>
    </row>
    <row r="957">
      <c r="E957" s="302"/>
    </row>
    <row r="958">
      <c r="E958" s="302"/>
    </row>
    <row r="959">
      <c r="E959" s="302"/>
    </row>
    <row r="960">
      <c r="E960" s="302"/>
    </row>
    <row r="961">
      <c r="E961" s="302"/>
    </row>
    <row r="962">
      <c r="E962" s="302"/>
    </row>
    <row r="963">
      <c r="E963" s="302"/>
    </row>
    <row r="964">
      <c r="E964" s="302"/>
    </row>
    <row r="965">
      <c r="E965" s="302"/>
    </row>
    <row r="966">
      <c r="E966" s="302"/>
    </row>
    <row r="967">
      <c r="E967" s="302"/>
    </row>
    <row r="968">
      <c r="E968" s="302"/>
    </row>
    <row r="969">
      <c r="E969" s="302"/>
    </row>
    <row r="970">
      <c r="E970" s="302"/>
    </row>
    <row r="971">
      <c r="E971" s="302"/>
    </row>
    <row r="972">
      <c r="E972" s="302"/>
    </row>
    <row r="973">
      <c r="E973" s="302"/>
    </row>
    <row r="974">
      <c r="E974" s="302"/>
    </row>
    <row r="975">
      <c r="E975" s="302"/>
    </row>
    <row r="976">
      <c r="E976" s="302"/>
    </row>
    <row r="977">
      <c r="E977" s="302"/>
    </row>
    <row r="978">
      <c r="E978" s="302"/>
    </row>
    <row r="979">
      <c r="E979" s="302"/>
    </row>
    <row r="980">
      <c r="E980" s="302"/>
    </row>
    <row r="981">
      <c r="E981" s="302"/>
    </row>
    <row r="982">
      <c r="E982" s="302"/>
    </row>
    <row r="983">
      <c r="E983" s="302"/>
    </row>
    <row r="984">
      <c r="E984" s="302"/>
    </row>
    <row r="985">
      <c r="E985" s="302"/>
    </row>
    <row r="986">
      <c r="E986" s="302"/>
    </row>
    <row r="987">
      <c r="E987" s="302"/>
    </row>
    <row r="988">
      <c r="E988" s="302"/>
    </row>
    <row r="989">
      <c r="E989" s="302"/>
    </row>
    <row r="990">
      <c r="E990" s="302"/>
    </row>
    <row r="991">
      <c r="E991" s="302"/>
    </row>
    <row r="992">
      <c r="E992" s="302"/>
    </row>
    <row r="993">
      <c r="E993" s="302"/>
    </row>
    <row r="994">
      <c r="E994" s="302"/>
    </row>
    <row r="995">
      <c r="E995" s="302"/>
    </row>
    <row r="996">
      <c r="E996" s="302"/>
    </row>
    <row r="997">
      <c r="E997" s="302"/>
    </row>
    <row r="998">
      <c r="E998" s="302"/>
    </row>
    <row r="999">
      <c r="E999" s="302"/>
    </row>
    <row r="1000">
      <c r="E1000" s="302"/>
    </row>
    <row r="1001">
      <c r="E1001" s="302"/>
    </row>
    <row r="1002">
      <c r="E1002" s="302"/>
    </row>
    <row r="1003">
      <c r="E1003" s="302"/>
    </row>
    <row r="1004">
      <c r="E1004" s="302"/>
    </row>
    <row r="1005">
      <c r="E1005" s="302"/>
    </row>
    <row r="1006">
      <c r="E1006" s="302"/>
    </row>
    <row r="1007">
      <c r="E1007" s="302"/>
    </row>
    <row r="1008">
      <c r="E1008" s="302"/>
    </row>
    <row r="1009">
      <c r="E1009" s="302"/>
    </row>
    <row r="1010">
      <c r="E1010" s="302"/>
    </row>
    <row r="1011">
      <c r="E1011" s="302"/>
    </row>
    <row r="1012">
      <c r="E1012" s="302"/>
    </row>
    <row r="1013">
      <c r="E1013" s="302"/>
    </row>
    <row r="1014">
      <c r="E1014" s="302"/>
    </row>
    <row r="1015">
      <c r="E1015" s="302"/>
    </row>
    <row r="1016">
      <c r="E1016" s="302"/>
    </row>
    <row r="1017">
      <c r="E1017" s="302"/>
    </row>
    <row r="1018">
      <c r="E1018" s="302"/>
    </row>
    <row r="1019">
      <c r="E1019" s="302"/>
    </row>
    <row r="1020">
      <c r="E1020" s="302"/>
    </row>
    <row r="1021">
      <c r="E1021" s="302"/>
    </row>
    <row r="1022">
      <c r="E1022" s="302"/>
    </row>
    <row r="1023">
      <c r="E1023" s="302"/>
    </row>
    <row r="1024">
      <c r="E1024" s="302"/>
    </row>
    <row r="1025">
      <c r="E1025" s="302"/>
    </row>
    <row r="1026">
      <c r="E1026" s="302"/>
    </row>
    <row r="1027">
      <c r="E1027" s="302"/>
    </row>
    <row r="1028">
      <c r="E1028" s="302"/>
    </row>
    <row r="1029">
      <c r="E1029" s="302"/>
    </row>
    <row r="1030">
      <c r="E1030" s="302"/>
    </row>
    <row r="1031">
      <c r="E1031" s="302"/>
    </row>
    <row r="1032">
      <c r="E1032" s="302"/>
    </row>
    <row r="1033">
      <c r="E1033" s="302"/>
    </row>
    <row r="1034">
      <c r="E1034" s="302"/>
    </row>
  </sheetData>
  <mergeCells count="72">
    <mergeCell ref="F73:F85"/>
    <mergeCell ref="G73:G85"/>
    <mergeCell ref="H73:H85"/>
    <mergeCell ref="I73:I85"/>
    <mergeCell ref="J73:J85"/>
    <mergeCell ref="K73:K85"/>
    <mergeCell ref="L73:L85"/>
    <mergeCell ref="F86:F92"/>
    <mergeCell ref="G86:G92"/>
    <mergeCell ref="H86:H92"/>
    <mergeCell ref="I86:I92"/>
    <mergeCell ref="J86:J92"/>
    <mergeCell ref="K86:K92"/>
    <mergeCell ref="L86:L92"/>
    <mergeCell ref="F108:F122"/>
    <mergeCell ref="G108:G122"/>
    <mergeCell ref="H108:H122"/>
    <mergeCell ref="I108:I122"/>
    <mergeCell ref="J108:J122"/>
    <mergeCell ref="K108:K122"/>
    <mergeCell ref="L108:L122"/>
    <mergeCell ref="F93:F107"/>
    <mergeCell ref="G93:G107"/>
    <mergeCell ref="H93:H107"/>
    <mergeCell ref="I93:I107"/>
    <mergeCell ref="J93:J107"/>
    <mergeCell ref="K93:K107"/>
    <mergeCell ref="L93:L107"/>
    <mergeCell ref="F7:F12"/>
    <mergeCell ref="G7:G12"/>
    <mergeCell ref="H7:H12"/>
    <mergeCell ref="I7:I12"/>
    <mergeCell ref="J7:J12"/>
    <mergeCell ref="K7:K12"/>
    <mergeCell ref="L7:L12"/>
    <mergeCell ref="F13:F19"/>
    <mergeCell ref="G13:G19"/>
    <mergeCell ref="H13:H19"/>
    <mergeCell ref="I13:I19"/>
    <mergeCell ref="J13:J19"/>
    <mergeCell ref="K13:K19"/>
    <mergeCell ref="L13:L19"/>
    <mergeCell ref="F20:F32"/>
    <mergeCell ref="G20:G32"/>
    <mergeCell ref="H20:H32"/>
    <mergeCell ref="I20:I32"/>
    <mergeCell ref="J20:J32"/>
    <mergeCell ref="K20:K32"/>
    <mergeCell ref="L20:L32"/>
    <mergeCell ref="F33:F59"/>
    <mergeCell ref="G33:G59"/>
    <mergeCell ref="H33:H59"/>
    <mergeCell ref="I33:I59"/>
    <mergeCell ref="J33:J59"/>
    <mergeCell ref="K33:K59"/>
    <mergeCell ref="L33:L59"/>
    <mergeCell ref="F60:F72"/>
    <mergeCell ref="G60:G72"/>
    <mergeCell ref="H60:H72"/>
    <mergeCell ref="I60:I72"/>
    <mergeCell ref="J60:J72"/>
    <mergeCell ref="K60:K72"/>
    <mergeCell ref="L60:L72"/>
    <mergeCell ref="B93:B107"/>
    <mergeCell ref="B108:B122"/>
    <mergeCell ref="B7:B12"/>
    <mergeCell ref="B13:B19"/>
    <mergeCell ref="B20:B32"/>
    <mergeCell ref="B33:B59"/>
    <mergeCell ref="B60:B72"/>
    <mergeCell ref="B73:B85"/>
    <mergeCell ref="B86:B92"/>
  </mergeCells>
  <dataValidations>
    <dataValidation type="list" allowBlank="1" showErrorMessage="1" sqref="D7:D122">
      <formula1>"Pregrado,Maestrías,Especializaciones,Tecnologías,Doctorados,Esp. Médico Quirúrgicas"</formula1>
    </dataValidation>
  </dataValidations>
  <hyperlinks>
    <hyperlink r:id="rId1" ref="E20"/>
    <hyperlink r:id="rId2" ref="E39"/>
    <hyperlink r:id="rId3" ref="E67"/>
    <hyperlink r:id="rId4" ref="E76"/>
    <hyperlink r:id="rId5" ref="E82"/>
    <hyperlink r:id="rId6" ref="E87"/>
    <hyperlink r:id="rId7" ref="E92"/>
    <hyperlink r:id="rId8" ref="E99"/>
    <hyperlink r:id="rId9" ref="E106"/>
    <hyperlink r:id="rId10" ref="E107"/>
  </hyperlinks>
  <printOptions/>
  <pageMargins bottom="0.75" footer="0.0" header="0.0" left="0.7" right="0.7" top="0.75"/>
  <pageSetup orientation="portrait"/>
  <drawing r:id="rId1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2060"/>
    <pageSetUpPr/>
  </sheetPr>
  <sheetViews>
    <sheetView showGridLines="0" workbookViewId="0">
      <pane ySplit="6.0" topLeftCell="A7" activePane="bottomLeft" state="frozen"/>
      <selection activeCell="B8" sqref="B8" pane="bottomLeft"/>
    </sheetView>
  </sheetViews>
  <sheetFormatPr customHeight="1" defaultColWidth="12.63" defaultRowHeight="15.0"/>
  <cols>
    <col customWidth="1" min="1" max="1" width="4.13"/>
    <col customWidth="1" min="2" max="2" width="27.88"/>
    <col customWidth="1" min="3" max="3" width="10.88"/>
    <col customWidth="1" min="4" max="4" width="9.88"/>
    <col customWidth="1" min="5" max="5" width="14.75"/>
    <col customWidth="1" min="6" max="6" width="10.38"/>
    <col customWidth="1" min="7" max="7" width="8.38"/>
    <col customWidth="1" min="8" max="8" width="15.88"/>
    <col customWidth="1" min="9" max="10" width="8.75"/>
    <col customWidth="1" min="11" max="12" width="10.38"/>
    <col customWidth="1" min="13" max="13" width="10.75"/>
    <col customWidth="1" min="14" max="14" width="23.38"/>
    <col customWidth="1" min="15" max="15" width="22.88"/>
    <col customWidth="1" min="16" max="16" width="16.38"/>
    <col customWidth="1" min="17" max="31" width="11.38"/>
  </cols>
  <sheetData>
    <row r="2" ht="12.75" customHeight="1">
      <c r="A2" s="355"/>
      <c r="B2" s="356"/>
      <c r="C2" s="356"/>
      <c r="D2" s="356"/>
      <c r="E2" s="357" t="s">
        <v>0</v>
      </c>
      <c r="F2" s="355"/>
      <c r="G2" s="356"/>
      <c r="H2" s="356"/>
      <c r="I2" s="356"/>
      <c r="J2" s="356"/>
      <c r="K2" s="356"/>
    </row>
    <row r="3" ht="12.75" customHeight="1">
      <c r="A3" s="355"/>
      <c r="B3" s="356"/>
      <c r="C3" s="356"/>
      <c r="D3" s="356"/>
      <c r="E3" s="357" t="s">
        <v>944</v>
      </c>
      <c r="F3" s="355"/>
      <c r="G3" s="356"/>
      <c r="H3" s="356"/>
      <c r="I3" s="356"/>
      <c r="J3" s="356"/>
      <c r="K3" s="356"/>
    </row>
    <row r="4" ht="12.75" customHeight="1">
      <c r="A4" s="358"/>
      <c r="B4" s="358"/>
      <c r="C4" s="358"/>
      <c r="D4" s="358"/>
      <c r="E4" s="359" t="s">
        <v>945</v>
      </c>
      <c r="F4" s="358"/>
      <c r="G4" s="358"/>
      <c r="H4" s="358"/>
      <c r="I4" s="358"/>
      <c r="J4" s="358"/>
      <c r="K4" s="358"/>
    </row>
    <row r="5" ht="12.75" customHeight="1">
      <c r="A5" s="360"/>
      <c r="B5" s="360"/>
      <c r="C5" s="360"/>
      <c r="D5" s="360"/>
      <c r="E5" s="360"/>
      <c r="F5" s="360"/>
      <c r="G5" s="360"/>
      <c r="H5" s="360"/>
      <c r="I5" s="360"/>
      <c r="J5" s="360"/>
      <c r="K5" s="360"/>
    </row>
    <row r="6" ht="28.5" customHeight="1">
      <c r="A6" s="361" t="s">
        <v>17</v>
      </c>
      <c r="B6" s="361" t="s">
        <v>946</v>
      </c>
      <c r="C6" s="361" t="s">
        <v>910</v>
      </c>
      <c r="D6" s="361" t="s">
        <v>947</v>
      </c>
      <c r="E6" s="361" t="s">
        <v>822</v>
      </c>
      <c r="F6" s="361" t="s">
        <v>891</v>
      </c>
      <c r="G6" s="361" t="s">
        <v>809</v>
      </c>
      <c r="H6" s="361" t="s">
        <v>826</v>
      </c>
      <c r="I6" s="361" t="s">
        <v>948</v>
      </c>
      <c r="J6" s="361" t="s">
        <v>949</v>
      </c>
      <c r="K6" s="362" t="s">
        <v>811</v>
      </c>
    </row>
    <row r="7" ht="30.0" customHeight="1">
      <c r="A7" s="363">
        <v>1.0</v>
      </c>
      <c r="B7" s="364" t="s">
        <v>74</v>
      </c>
      <c r="C7" s="365">
        <f>ProgramasRC!F7</f>
        <v>0</v>
      </c>
      <c r="D7" s="365">
        <f>ProgramasRC!G7</f>
        <v>5</v>
      </c>
      <c r="E7" s="365">
        <f>ProgramasRC!H7</f>
        <v>0</v>
      </c>
      <c r="F7" s="365">
        <f>ProgramasRC!I7</f>
        <v>0</v>
      </c>
      <c r="G7" s="365">
        <f>ProgramasRC!J7</f>
        <v>1</v>
      </c>
      <c r="H7" s="365">
        <f>ProgramasRC!K7</f>
        <v>0</v>
      </c>
      <c r="I7" s="366">
        <f t="shared" ref="I7:I15" si="1">SUM(C7:D7)</f>
        <v>5</v>
      </c>
      <c r="J7" s="366">
        <f>SUM(E7:H7)</f>
        <v>1</v>
      </c>
      <c r="K7" s="365">
        <f t="shared" ref="K7:K15" si="2">SUM(I7:J7)</f>
        <v>6</v>
      </c>
    </row>
    <row r="8" ht="31.5" customHeight="1">
      <c r="A8" s="367">
        <v>2.0</v>
      </c>
      <c r="B8" s="133" t="s">
        <v>130</v>
      </c>
      <c r="C8" s="149">
        <f>ProgramasRC!F13</f>
        <v>0</v>
      </c>
      <c r="D8" s="149">
        <f>ProgramasRC!G13</f>
        <v>3</v>
      </c>
      <c r="E8" s="149">
        <f>ProgramasRC!H13</f>
        <v>2</v>
      </c>
      <c r="F8" s="149">
        <f>ProgramasRC!I13</f>
        <v>0</v>
      </c>
      <c r="G8" s="149">
        <f>ProgramasRC!J13</f>
        <v>1</v>
      </c>
      <c r="H8" s="149">
        <f>ProgramasRC!K13</f>
        <v>1</v>
      </c>
      <c r="I8" s="368">
        <f t="shared" si="1"/>
        <v>3</v>
      </c>
      <c r="J8" s="368">
        <f>SUM(E8+G8+H8)</f>
        <v>4</v>
      </c>
      <c r="K8" s="149">
        <f t="shared" si="2"/>
        <v>7</v>
      </c>
    </row>
    <row r="9" ht="30.0" customHeight="1">
      <c r="A9" s="369">
        <v>3.0</v>
      </c>
      <c r="B9" s="364" t="s">
        <v>827</v>
      </c>
      <c r="C9" s="365">
        <f>ProgramasRC!F20</f>
        <v>0</v>
      </c>
      <c r="D9" s="365">
        <f>ProgramasRC!G20</f>
        <v>4</v>
      </c>
      <c r="E9" s="365">
        <f>ProgramasRC!H20</f>
        <v>5</v>
      </c>
      <c r="F9" s="365">
        <f>ProgramasRC!I20</f>
        <v>0</v>
      </c>
      <c r="G9" s="365">
        <f>ProgramasRC!J20</f>
        <v>4</v>
      </c>
      <c r="H9" s="365">
        <f>ProgramasRC!K20</f>
        <v>0</v>
      </c>
      <c r="I9" s="370">
        <f t="shared" si="1"/>
        <v>4</v>
      </c>
      <c r="J9" s="370">
        <f t="shared" ref="J9:J15" si="3">SUM(E9:H9)</f>
        <v>9</v>
      </c>
      <c r="K9" s="365">
        <f t="shared" si="2"/>
        <v>13</v>
      </c>
    </row>
    <row r="10" ht="28.5" customHeight="1">
      <c r="A10" s="371">
        <v>4.0</v>
      </c>
      <c r="B10" s="133" t="s">
        <v>950</v>
      </c>
      <c r="C10" s="149">
        <f>ProgramasRC!F33</f>
        <v>0</v>
      </c>
      <c r="D10" s="149">
        <f>ProgramasRC!G33</f>
        <v>9</v>
      </c>
      <c r="E10" s="149">
        <f>ProgramasRC!H33</f>
        <v>1</v>
      </c>
      <c r="F10" s="149">
        <f>ProgramasRC!I33</f>
        <v>0</v>
      </c>
      <c r="G10" s="149">
        <f>ProgramasRC!J33</f>
        <v>12</v>
      </c>
      <c r="H10" s="149">
        <f>ProgramasRC!K33</f>
        <v>5</v>
      </c>
      <c r="I10" s="372">
        <f t="shared" si="1"/>
        <v>9</v>
      </c>
      <c r="J10" s="372">
        <f t="shared" si="3"/>
        <v>18</v>
      </c>
      <c r="K10" s="149">
        <f t="shared" si="2"/>
        <v>27</v>
      </c>
    </row>
    <row r="11" ht="30.75" customHeight="1">
      <c r="A11" s="373">
        <v>5.0</v>
      </c>
      <c r="B11" s="364" t="s">
        <v>333</v>
      </c>
      <c r="C11" s="365">
        <f>ProgramasRC!F60</f>
        <v>0</v>
      </c>
      <c r="D11" s="365">
        <f>ProgramasRC!G60</f>
        <v>8</v>
      </c>
      <c r="E11" s="365">
        <f>ProgramasRC!H60</f>
        <v>0</v>
      </c>
      <c r="F11" s="365">
        <f>ProgramasRC!I60</f>
        <v>0</v>
      </c>
      <c r="G11" s="365">
        <f>ProgramasRC!J60</f>
        <v>3</v>
      </c>
      <c r="H11" s="365">
        <f>ProgramasRC!K60</f>
        <v>2</v>
      </c>
      <c r="I11" s="374">
        <f t="shared" si="1"/>
        <v>8</v>
      </c>
      <c r="J11" s="374">
        <f t="shared" si="3"/>
        <v>5</v>
      </c>
      <c r="K11" s="365">
        <f t="shared" si="2"/>
        <v>13</v>
      </c>
    </row>
    <row r="12" ht="29.25" customHeight="1">
      <c r="A12" s="375">
        <v>6.0</v>
      </c>
      <c r="B12" s="133" t="s">
        <v>255</v>
      </c>
      <c r="C12" s="149">
        <f>ProgramasRC!F73</f>
        <v>0</v>
      </c>
      <c r="D12" s="149">
        <f>ProgramasRC!G73</f>
        <v>4</v>
      </c>
      <c r="E12" s="149">
        <f>ProgramasRC!H73</f>
        <v>2</v>
      </c>
      <c r="F12" s="149">
        <f>ProgramasRC!I73</f>
        <v>6</v>
      </c>
      <c r="G12" s="149">
        <f>ProgramasRC!J73</f>
        <v>1</v>
      </c>
      <c r="H12" s="149">
        <f>ProgramasRC!K73</f>
        <v>0</v>
      </c>
      <c r="I12" s="376">
        <f t="shared" si="1"/>
        <v>4</v>
      </c>
      <c r="J12" s="376">
        <f t="shared" si="3"/>
        <v>9</v>
      </c>
      <c r="K12" s="377">
        <f t="shared" si="2"/>
        <v>13</v>
      </c>
    </row>
    <row r="13" ht="29.25" customHeight="1">
      <c r="A13" s="378">
        <v>7.0</v>
      </c>
      <c r="B13" s="364" t="s">
        <v>576</v>
      </c>
      <c r="C13" s="365">
        <f>ProgramasRC!F86</f>
        <v>0</v>
      </c>
      <c r="D13" s="365">
        <f>ProgramasRC!G86</f>
        <v>4</v>
      </c>
      <c r="E13" s="365">
        <f>ProgramasRC!H86</f>
        <v>3</v>
      </c>
      <c r="F13" s="365">
        <f>ProgramasRC!I86</f>
        <v>0</v>
      </c>
      <c r="G13" s="365">
        <f>ProgramasRC!J86</f>
        <v>0</v>
      </c>
      <c r="H13" s="365">
        <f>ProgramasRC!K86</f>
        <v>0</v>
      </c>
      <c r="I13" s="379">
        <f t="shared" si="1"/>
        <v>4</v>
      </c>
      <c r="J13" s="379">
        <f t="shared" si="3"/>
        <v>3</v>
      </c>
      <c r="K13" s="365">
        <f t="shared" si="2"/>
        <v>7</v>
      </c>
    </row>
    <row r="14" ht="31.5" customHeight="1">
      <c r="A14" s="380">
        <v>8.0</v>
      </c>
      <c r="B14" s="133" t="s">
        <v>951</v>
      </c>
      <c r="C14" s="149">
        <f>ProgramasRC!F93</f>
        <v>1</v>
      </c>
      <c r="D14" s="149">
        <f>ProgramasRC!G93</f>
        <v>4</v>
      </c>
      <c r="E14" s="149">
        <f>ProgramasRC!H93</f>
        <v>3</v>
      </c>
      <c r="F14" s="149">
        <f>ProgramasRC!I93</f>
        <v>0</v>
      </c>
      <c r="G14" s="149">
        <f>ProgramasRC!J93</f>
        <v>7</v>
      </c>
      <c r="H14" s="149">
        <f>ProgramasRC!K93</f>
        <v>0</v>
      </c>
      <c r="I14" s="381">
        <f t="shared" si="1"/>
        <v>5</v>
      </c>
      <c r="J14" s="381">
        <f t="shared" si="3"/>
        <v>10</v>
      </c>
      <c r="K14" s="149">
        <f t="shared" si="2"/>
        <v>15</v>
      </c>
    </row>
    <row r="15" ht="27.0" customHeight="1">
      <c r="A15" s="382">
        <v>9.0</v>
      </c>
      <c r="B15" s="364" t="s">
        <v>952</v>
      </c>
      <c r="C15" s="365">
        <f>ProgramasRC!F108</f>
        <v>1</v>
      </c>
      <c r="D15" s="365">
        <f>ProgramasRC!G108</f>
        <v>3</v>
      </c>
      <c r="E15" s="365">
        <f>ProgramasRC!H108</f>
        <v>3</v>
      </c>
      <c r="F15" s="365">
        <f>ProgramasRC!I108</f>
        <v>0</v>
      </c>
      <c r="G15" s="365">
        <f>ProgramasRC!J108</f>
        <v>5</v>
      </c>
      <c r="H15" s="365">
        <f>ProgramasRC!K108</f>
        <v>3</v>
      </c>
      <c r="I15" s="383">
        <f t="shared" si="1"/>
        <v>4</v>
      </c>
      <c r="J15" s="383">
        <f t="shared" si="3"/>
        <v>11</v>
      </c>
      <c r="K15" s="365">
        <f t="shared" si="2"/>
        <v>15</v>
      </c>
    </row>
    <row r="16" ht="27.0" customHeight="1">
      <c r="A16" s="384" t="s">
        <v>953</v>
      </c>
      <c r="B16" s="385"/>
      <c r="C16" s="386">
        <f t="shared" ref="C16:K16" si="4">SUM(C7:C15)</f>
        <v>2</v>
      </c>
      <c r="D16" s="386">
        <f t="shared" si="4"/>
        <v>44</v>
      </c>
      <c r="E16" s="386">
        <f t="shared" si="4"/>
        <v>19</v>
      </c>
      <c r="F16" s="386">
        <f t="shared" si="4"/>
        <v>6</v>
      </c>
      <c r="G16" s="386">
        <f t="shared" si="4"/>
        <v>34</v>
      </c>
      <c r="H16" s="386">
        <f t="shared" si="4"/>
        <v>11</v>
      </c>
      <c r="I16" s="387">
        <f t="shared" si="4"/>
        <v>46</v>
      </c>
      <c r="J16" s="387">
        <f t="shared" si="4"/>
        <v>70</v>
      </c>
      <c r="K16" s="386">
        <f t="shared" si="4"/>
        <v>116</v>
      </c>
    </row>
    <row r="17" ht="12.75" customHeight="1">
      <c r="A17" s="388"/>
      <c r="B17" s="389"/>
      <c r="C17" s="361" t="s">
        <v>910</v>
      </c>
      <c r="D17" s="361" t="s">
        <v>947</v>
      </c>
      <c r="E17" s="361" t="s">
        <v>822</v>
      </c>
      <c r="F17" s="361" t="s">
        <v>891</v>
      </c>
      <c r="G17" s="361" t="s">
        <v>809</v>
      </c>
      <c r="H17" s="361" t="s">
        <v>826</v>
      </c>
      <c r="I17" s="361" t="s">
        <v>84</v>
      </c>
      <c r="J17" s="361" t="s">
        <v>96</v>
      </c>
      <c r="K17" s="390"/>
    </row>
    <row r="18" ht="12.75" customHeight="1">
      <c r="A18" s="391"/>
      <c r="C18" s="392">
        <f t="shared" ref="C18:J18" si="5">C16/$K$16</f>
        <v>0.01724137931</v>
      </c>
      <c r="D18" s="392">
        <f t="shared" si="5"/>
        <v>0.3793103448</v>
      </c>
      <c r="E18" s="392">
        <f t="shared" si="5"/>
        <v>0.1637931034</v>
      </c>
      <c r="F18" s="392">
        <f t="shared" si="5"/>
        <v>0.05172413793</v>
      </c>
      <c r="G18" s="392">
        <f t="shared" si="5"/>
        <v>0.2931034483</v>
      </c>
      <c r="H18" s="392">
        <f t="shared" si="5"/>
        <v>0.09482758621</v>
      </c>
      <c r="I18" s="393">
        <f t="shared" si="5"/>
        <v>0.3965517241</v>
      </c>
      <c r="J18" s="393">
        <f t="shared" si="5"/>
        <v>0.6034482759</v>
      </c>
      <c r="K18" s="390"/>
    </row>
    <row r="73" ht="33.0" customHeight="1">
      <c r="H73" s="394"/>
    </row>
  </sheetData>
  <mergeCells count="2">
    <mergeCell ref="A16:B16"/>
    <mergeCell ref="H73:K73"/>
  </mergeCells>
  <printOptions horizontalCentered="1"/>
  <pageMargins bottom="0.4724409448818898" footer="0.0" header="0.0" left="0.7086614173228347" right="0.1968503937007874" top="0.5905511811023623"/>
  <pageSetup scale="60" orientation="landscape"/>
  <headerFooter>
    <oddHeader>&amp;CCentro de Gestión de la Calidad y la Acreditación Institucional</oddHeader>
  </headerFooter>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00000"/>
    <pageSetUpPr/>
  </sheetPr>
  <sheetViews>
    <sheetView workbookViewId="0"/>
  </sheetViews>
  <sheetFormatPr customHeight="1" defaultColWidth="12.63" defaultRowHeight="15.0"/>
  <cols>
    <col customWidth="1" min="1" max="1" width="4.38"/>
    <col customWidth="1" min="2" max="2" width="34.75"/>
    <col customWidth="1" min="3" max="3" width="27.13"/>
    <col customWidth="1" min="4" max="4" width="9.38"/>
    <col customWidth="1" min="5" max="5" width="15.88"/>
    <col customWidth="1" min="6" max="6" width="13.75"/>
    <col customWidth="1" min="7" max="7" width="8.13"/>
    <col customWidth="1" min="8" max="8" width="20.0"/>
    <col customWidth="1" min="9" max="9" width="14.88"/>
    <col customWidth="1" min="10" max="10" width="3.38"/>
    <col customWidth="1" min="11" max="11" width="5.25"/>
    <col customWidth="1" min="12" max="12" width="41.88"/>
    <col customWidth="1" min="13" max="13" width="11.38"/>
    <col customWidth="1" min="14" max="14" width="16.38"/>
    <col customWidth="1" min="15" max="38" width="11.38"/>
  </cols>
  <sheetData>
    <row r="1" ht="12.0" customHeight="1">
      <c r="A1" s="395"/>
      <c r="B1" s="395"/>
      <c r="C1" s="395"/>
      <c r="D1" s="396"/>
      <c r="E1" s="396"/>
      <c r="F1" s="395"/>
      <c r="G1" s="395"/>
      <c r="H1" s="395"/>
      <c r="I1" s="395"/>
      <c r="J1" s="395"/>
      <c r="K1" s="397"/>
      <c r="L1" s="398"/>
      <c r="M1" s="399" t="s">
        <v>954</v>
      </c>
      <c r="N1" s="399" t="s">
        <v>955</v>
      </c>
      <c r="O1" s="400">
        <v>0.25</v>
      </c>
      <c r="P1" s="400">
        <v>0.4</v>
      </c>
      <c r="Q1" s="400">
        <v>0.6</v>
      </c>
      <c r="R1" s="399" t="s">
        <v>956</v>
      </c>
    </row>
    <row r="2" ht="12.0" customHeight="1">
      <c r="A2" s="401"/>
      <c r="B2" s="401"/>
      <c r="C2" s="402"/>
      <c r="D2" s="403" t="s">
        <v>0</v>
      </c>
      <c r="E2" s="403"/>
      <c r="F2" s="402"/>
      <c r="G2" s="402"/>
      <c r="H2" s="402"/>
      <c r="I2" s="402"/>
      <c r="J2" s="402"/>
      <c r="K2" s="404"/>
      <c r="L2" s="405" t="s">
        <v>957</v>
      </c>
      <c r="M2" s="406">
        <v>20.0</v>
      </c>
      <c r="N2" s="406">
        <v>42.0</v>
      </c>
      <c r="O2" s="407">
        <f t="shared" ref="O2:O6" si="1">$O$1*N2</f>
        <v>10.5</v>
      </c>
      <c r="P2" s="407">
        <f t="shared" ref="P2:P6" si="2">$P$1*N2</f>
        <v>16.8</v>
      </c>
      <c r="Q2" s="407">
        <f t="shared" ref="Q2:Q6" si="3">$Q$1*N2</f>
        <v>25.2</v>
      </c>
      <c r="R2" s="408">
        <f t="shared" ref="R2:R6" si="4">M2*1/N2</f>
        <v>0.4761904762</v>
      </c>
    </row>
    <row r="3" ht="12.0" customHeight="1">
      <c r="A3" s="401"/>
      <c r="B3" s="401"/>
      <c r="C3" s="402"/>
      <c r="D3" s="403" t="s">
        <v>958</v>
      </c>
      <c r="E3" s="403"/>
      <c r="F3" s="402"/>
      <c r="G3" s="402"/>
      <c r="H3" s="402"/>
      <c r="I3" s="402"/>
      <c r="J3" s="402"/>
      <c r="K3" s="404"/>
      <c r="L3" s="405" t="s">
        <v>959</v>
      </c>
      <c r="M3" s="409">
        <v>27.0</v>
      </c>
      <c r="N3" s="409">
        <f>'Acreditables a 2023'!$F$4</f>
        <v>68</v>
      </c>
      <c r="O3" s="407">
        <f t="shared" si="1"/>
        <v>17</v>
      </c>
      <c r="P3" s="407">
        <f t="shared" si="2"/>
        <v>27.2</v>
      </c>
      <c r="Q3" s="407">
        <f t="shared" si="3"/>
        <v>40.8</v>
      </c>
      <c r="R3" s="410">
        <f t="shared" si="4"/>
        <v>0.3970588235</v>
      </c>
    </row>
    <row r="4" ht="12.0" customHeight="1">
      <c r="A4" s="401"/>
      <c r="B4" s="401"/>
      <c r="C4" s="402"/>
      <c r="D4" s="411" t="s">
        <v>960</v>
      </c>
      <c r="E4" s="403"/>
      <c r="F4" s="402"/>
      <c r="G4" s="402"/>
      <c r="H4" s="402"/>
      <c r="I4" s="402"/>
      <c r="J4" s="412"/>
      <c r="K4" s="404"/>
      <c r="L4" s="405" t="s">
        <v>961</v>
      </c>
      <c r="M4" s="409">
        <v>36.0</v>
      </c>
      <c r="N4" s="406">
        <v>68.0</v>
      </c>
      <c r="O4" s="407">
        <f t="shared" si="1"/>
        <v>17</v>
      </c>
      <c r="P4" s="407">
        <f t="shared" si="2"/>
        <v>27.2</v>
      </c>
      <c r="Q4" s="407">
        <f t="shared" si="3"/>
        <v>40.8</v>
      </c>
      <c r="R4" s="410">
        <f t="shared" si="4"/>
        <v>0.5294117647</v>
      </c>
    </row>
    <row r="5" ht="12.0" customHeight="1">
      <c r="A5" s="413"/>
      <c r="B5" s="413"/>
      <c r="C5" s="412"/>
      <c r="D5" s="414"/>
      <c r="E5" s="415"/>
      <c r="F5" s="412"/>
      <c r="G5" s="412"/>
      <c r="H5" s="412"/>
      <c r="I5" s="412"/>
      <c r="J5" s="412"/>
      <c r="K5" s="416"/>
      <c r="L5" s="405" t="s">
        <v>962</v>
      </c>
      <c r="M5" s="409">
        <f>C45</f>
        <v>35</v>
      </c>
      <c r="N5" s="406">
        <v>68.0</v>
      </c>
      <c r="O5" s="407">
        <f t="shared" si="1"/>
        <v>17</v>
      </c>
      <c r="P5" s="407">
        <f t="shared" si="2"/>
        <v>27.2</v>
      </c>
      <c r="Q5" s="407">
        <f t="shared" si="3"/>
        <v>40.8</v>
      </c>
      <c r="R5" s="410">
        <f t="shared" si="4"/>
        <v>0.5147058824</v>
      </c>
    </row>
    <row r="6" ht="12.0" customHeight="1">
      <c r="A6" s="413"/>
      <c r="B6" s="413"/>
      <c r="C6" s="412"/>
      <c r="D6" s="414"/>
      <c r="E6" s="415"/>
      <c r="F6" s="412"/>
      <c r="G6" s="412"/>
      <c r="H6" s="412"/>
      <c r="I6" s="412"/>
      <c r="J6" s="412"/>
      <c r="K6" s="416"/>
      <c r="L6" s="417" t="s">
        <v>963</v>
      </c>
      <c r="M6" s="418">
        <v>35.0</v>
      </c>
      <c r="N6" s="419">
        <v>82.0</v>
      </c>
      <c r="O6" s="420">
        <f t="shared" si="1"/>
        <v>20.5</v>
      </c>
      <c r="P6" s="420">
        <f t="shared" si="2"/>
        <v>32.8</v>
      </c>
      <c r="Q6" s="420">
        <f t="shared" si="3"/>
        <v>49.2</v>
      </c>
      <c r="R6" s="421">
        <f t="shared" si="4"/>
        <v>0.4268292683</v>
      </c>
    </row>
    <row r="7" ht="12.0" customHeight="1">
      <c r="A7" s="413"/>
      <c r="B7" s="413"/>
      <c r="C7" s="412"/>
      <c r="D7" s="414"/>
      <c r="E7" s="415"/>
      <c r="F7" s="412"/>
      <c r="G7" s="412"/>
      <c r="H7" s="412"/>
      <c r="I7" s="412"/>
      <c r="J7" s="412"/>
      <c r="K7" s="416"/>
      <c r="L7" s="405" t="s">
        <v>964</v>
      </c>
      <c r="M7" s="422">
        <v>34.0</v>
      </c>
      <c r="N7" s="423"/>
      <c r="O7" s="423"/>
      <c r="P7" s="423"/>
      <c r="Q7" s="424"/>
      <c r="R7" s="425">
        <f>M7/Q6</f>
        <v>0.6910569106</v>
      </c>
    </row>
    <row r="8" ht="12.0" customHeight="1">
      <c r="A8" s="426"/>
      <c r="B8" s="426"/>
      <c r="C8" s="426"/>
      <c r="D8" s="427"/>
      <c r="E8" s="427"/>
      <c r="F8" s="426"/>
      <c r="G8" s="426"/>
      <c r="H8" s="426"/>
      <c r="I8" s="426"/>
      <c r="J8" s="428"/>
      <c r="K8" s="426"/>
    </row>
    <row r="9" ht="12.0" customHeight="1">
      <c r="A9" s="429" t="s">
        <v>965</v>
      </c>
      <c r="B9" s="429" t="s">
        <v>19</v>
      </c>
      <c r="C9" s="429" t="s">
        <v>966</v>
      </c>
      <c r="D9" s="429" t="s">
        <v>23</v>
      </c>
      <c r="E9" s="429" t="s">
        <v>62</v>
      </c>
      <c r="F9" s="429" t="s">
        <v>967</v>
      </c>
      <c r="G9" s="429" t="s">
        <v>48</v>
      </c>
      <c r="H9" s="430" t="s">
        <v>968</v>
      </c>
      <c r="I9" s="429" t="s">
        <v>969</v>
      </c>
      <c r="J9" s="431"/>
      <c r="K9" s="429" t="s">
        <v>17</v>
      </c>
      <c r="L9" s="429" t="s">
        <v>946</v>
      </c>
      <c r="M9" s="429" t="s">
        <v>910</v>
      </c>
      <c r="N9" s="429" t="s">
        <v>947</v>
      </c>
      <c r="O9" s="429" t="s">
        <v>822</v>
      </c>
      <c r="P9" s="429" t="s">
        <v>891</v>
      </c>
      <c r="Q9" s="429" t="s">
        <v>809</v>
      </c>
      <c r="R9" s="429" t="s">
        <v>826</v>
      </c>
    </row>
    <row r="10" ht="25.5" customHeight="1">
      <c r="A10" s="432">
        <v>1.0</v>
      </c>
      <c r="B10" s="124" t="s">
        <v>74</v>
      </c>
      <c r="C10" s="124" t="s">
        <v>126</v>
      </c>
      <c r="D10" s="433">
        <v>11067.0</v>
      </c>
      <c r="E10" s="434">
        <v>6402.0</v>
      </c>
      <c r="F10" s="435">
        <v>45036.0</v>
      </c>
      <c r="G10" s="79">
        <v>4.0</v>
      </c>
      <c r="H10" s="435">
        <f t="shared" ref="H10:H44" si="5">EDATE(F10,(G10*12)-14)</f>
        <v>46073</v>
      </c>
      <c r="I10" s="436">
        <f t="shared" ref="I10:I44" si="6">EDATE(F10,(G10*12))</f>
        <v>46497</v>
      </c>
      <c r="J10" s="431"/>
      <c r="K10" s="437">
        <v>1.0</v>
      </c>
      <c r="L10" s="124" t="s">
        <v>74</v>
      </c>
      <c r="M10" s="79"/>
      <c r="N10" s="79">
        <v>4.0</v>
      </c>
      <c r="O10" s="79"/>
      <c r="P10" s="79"/>
      <c r="Q10" s="79"/>
      <c r="R10" s="79"/>
    </row>
    <row r="11" ht="25.5" customHeight="1">
      <c r="A11" s="432">
        <v>2.0</v>
      </c>
      <c r="B11" s="124" t="s">
        <v>74</v>
      </c>
      <c r="C11" s="124" t="s">
        <v>101</v>
      </c>
      <c r="D11" s="433">
        <v>225.0</v>
      </c>
      <c r="E11" s="434">
        <v>1042.0</v>
      </c>
      <c r="F11" s="435">
        <v>44960.0</v>
      </c>
      <c r="G11" s="79">
        <v>6.0</v>
      </c>
      <c r="H11" s="435">
        <f t="shared" si="5"/>
        <v>46724</v>
      </c>
      <c r="I11" s="436">
        <f t="shared" si="6"/>
        <v>47152</v>
      </c>
      <c r="J11" s="431"/>
      <c r="K11" s="438">
        <v>2.0</v>
      </c>
      <c r="L11" s="66" t="s">
        <v>130</v>
      </c>
      <c r="M11" s="65"/>
      <c r="N11" s="65">
        <v>3.0</v>
      </c>
      <c r="O11" s="65"/>
      <c r="P11" s="65"/>
      <c r="Q11" s="65"/>
      <c r="R11" s="65"/>
    </row>
    <row r="12" ht="25.5" customHeight="1">
      <c r="A12" s="432">
        <v>3.0</v>
      </c>
      <c r="B12" s="124" t="s">
        <v>74</v>
      </c>
      <c r="C12" s="124" t="s">
        <v>109</v>
      </c>
      <c r="D12" s="433">
        <v>54801.0</v>
      </c>
      <c r="E12" s="439">
        <v>1037.0</v>
      </c>
      <c r="F12" s="435">
        <v>44960.0</v>
      </c>
      <c r="G12" s="79">
        <v>6.0</v>
      </c>
      <c r="H12" s="435">
        <f t="shared" si="5"/>
        <v>46724</v>
      </c>
      <c r="I12" s="436">
        <f t="shared" si="6"/>
        <v>47152</v>
      </c>
      <c r="J12" s="431"/>
      <c r="K12" s="440">
        <v>3.0</v>
      </c>
      <c r="L12" s="124" t="s">
        <v>827</v>
      </c>
      <c r="M12" s="79"/>
      <c r="N12" s="79">
        <v>1.0</v>
      </c>
      <c r="O12" s="79"/>
      <c r="P12" s="79"/>
      <c r="Q12" s="79"/>
      <c r="R12" s="79"/>
    </row>
    <row r="13" ht="25.5" customHeight="1">
      <c r="A13" s="432">
        <v>4.0</v>
      </c>
      <c r="B13" s="124" t="s">
        <v>74</v>
      </c>
      <c r="C13" s="124" t="s">
        <v>117</v>
      </c>
      <c r="D13" s="433">
        <v>4963.0</v>
      </c>
      <c r="E13" s="434">
        <v>6400.0</v>
      </c>
      <c r="F13" s="435">
        <v>45036.0</v>
      </c>
      <c r="G13" s="79">
        <v>6.0</v>
      </c>
      <c r="H13" s="435">
        <f t="shared" si="5"/>
        <v>46803</v>
      </c>
      <c r="I13" s="436">
        <f t="shared" si="6"/>
        <v>47228</v>
      </c>
      <c r="J13" s="431"/>
      <c r="K13" s="441">
        <v>4.0</v>
      </c>
      <c r="L13" s="66" t="s">
        <v>255</v>
      </c>
      <c r="M13" s="65"/>
      <c r="N13" s="65">
        <v>3.0</v>
      </c>
      <c r="O13" s="65"/>
      <c r="P13" s="65"/>
      <c r="Q13" s="65"/>
      <c r="R13" s="65"/>
    </row>
    <row r="14" ht="25.5" customHeight="1">
      <c r="A14" s="442">
        <v>5.0</v>
      </c>
      <c r="B14" s="124" t="s">
        <v>130</v>
      </c>
      <c r="C14" s="124" t="s">
        <v>131</v>
      </c>
      <c r="D14" s="433">
        <v>3833.0</v>
      </c>
      <c r="E14" s="434">
        <v>13200.0</v>
      </c>
      <c r="F14" s="435">
        <v>44029.0</v>
      </c>
      <c r="G14" s="79">
        <v>6.0</v>
      </c>
      <c r="H14" s="435">
        <f t="shared" si="5"/>
        <v>45794</v>
      </c>
      <c r="I14" s="436">
        <f t="shared" si="6"/>
        <v>46220</v>
      </c>
      <c r="J14" s="431"/>
      <c r="K14" s="443">
        <v>5.0</v>
      </c>
      <c r="L14" s="124" t="s">
        <v>333</v>
      </c>
      <c r="M14" s="79"/>
      <c r="N14" s="79">
        <v>4.0</v>
      </c>
      <c r="O14" s="79"/>
      <c r="P14" s="79"/>
      <c r="Q14" s="79"/>
      <c r="R14" s="79"/>
    </row>
    <row r="15" ht="25.5" customHeight="1">
      <c r="A15" s="442">
        <v>6.0</v>
      </c>
      <c r="B15" s="124" t="s">
        <v>130</v>
      </c>
      <c r="C15" s="124" t="s">
        <v>970</v>
      </c>
      <c r="D15" s="433">
        <v>7171.0</v>
      </c>
      <c r="E15" s="434">
        <v>2305.0</v>
      </c>
      <c r="F15" s="435">
        <v>44621.0</v>
      </c>
      <c r="G15" s="79">
        <v>6.0</v>
      </c>
      <c r="H15" s="435">
        <f t="shared" si="5"/>
        <v>46388</v>
      </c>
      <c r="I15" s="436">
        <f t="shared" si="6"/>
        <v>46813</v>
      </c>
      <c r="J15" s="431"/>
      <c r="K15" s="444">
        <v>6.0</v>
      </c>
      <c r="L15" s="66" t="s">
        <v>950</v>
      </c>
      <c r="M15" s="65"/>
      <c r="N15" s="65">
        <v>8.0</v>
      </c>
      <c r="O15" s="445"/>
      <c r="P15" s="445"/>
      <c r="Q15" s="445">
        <v>1.0</v>
      </c>
      <c r="R15" s="445">
        <v>2.0</v>
      </c>
    </row>
    <row r="16" ht="25.5" customHeight="1">
      <c r="A16" s="442">
        <v>7.0</v>
      </c>
      <c r="B16" s="124" t="s">
        <v>130</v>
      </c>
      <c r="C16" s="124" t="s">
        <v>172</v>
      </c>
      <c r="D16" s="446">
        <v>9833.0</v>
      </c>
      <c r="E16" s="447">
        <v>8482.0</v>
      </c>
      <c r="F16" s="435">
        <v>45771.0</v>
      </c>
      <c r="G16" s="448">
        <v>6.0</v>
      </c>
      <c r="H16" s="449">
        <f t="shared" si="5"/>
        <v>47538</v>
      </c>
      <c r="I16" s="436">
        <f t="shared" si="6"/>
        <v>47962</v>
      </c>
      <c r="J16" s="431"/>
      <c r="K16" s="450">
        <v>7.0</v>
      </c>
      <c r="L16" s="124" t="s">
        <v>576</v>
      </c>
      <c r="M16" s="79"/>
      <c r="N16" s="79"/>
      <c r="O16" s="79"/>
      <c r="P16" s="79"/>
      <c r="Q16" s="79"/>
      <c r="R16" s="79"/>
    </row>
    <row r="17" ht="25.5" customHeight="1">
      <c r="A17" s="451">
        <v>8.0</v>
      </c>
      <c r="B17" s="124" t="s">
        <v>827</v>
      </c>
      <c r="C17" s="124" t="s">
        <v>237</v>
      </c>
      <c r="D17" s="433">
        <v>8441.0</v>
      </c>
      <c r="E17" s="434">
        <v>8576.0</v>
      </c>
      <c r="F17" s="435">
        <v>45071.0</v>
      </c>
      <c r="G17" s="79">
        <v>4.0</v>
      </c>
      <c r="H17" s="435">
        <f t="shared" si="5"/>
        <v>46106</v>
      </c>
      <c r="I17" s="436">
        <f t="shared" si="6"/>
        <v>46532</v>
      </c>
      <c r="J17" s="431"/>
      <c r="K17" s="452">
        <v>8.0</v>
      </c>
      <c r="L17" s="124" t="s">
        <v>971</v>
      </c>
      <c r="M17" s="79"/>
      <c r="N17" s="79">
        <v>1.0</v>
      </c>
      <c r="O17" s="79"/>
      <c r="P17" s="79"/>
      <c r="Q17" s="79"/>
      <c r="R17" s="79"/>
    </row>
    <row r="18" ht="36.0" customHeight="1">
      <c r="A18" s="453">
        <v>9.0</v>
      </c>
      <c r="B18" s="124" t="s">
        <v>255</v>
      </c>
      <c r="C18" s="124" t="s">
        <v>972</v>
      </c>
      <c r="D18" s="433">
        <v>55202.0</v>
      </c>
      <c r="E18" s="434">
        <v>23018.0</v>
      </c>
      <c r="F18" s="435">
        <v>44530.0</v>
      </c>
      <c r="G18" s="79">
        <v>6.0</v>
      </c>
      <c r="H18" s="435">
        <f t="shared" si="5"/>
        <v>46295</v>
      </c>
      <c r="I18" s="436">
        <f t="shared" si="6"/>
        <v>46721</v>
      </c>
      <c r="J18" s="431"/>
      <c r="K18" s="454">
        <v>9.0</v>
      </c>
      <c r="L18" s="124" t="s">
        <v>952</v>
      </c>
      <c r="M18" s="79">
        <v>1.0</v>
      </c>
      <c r="N18" s="79">
        <v>2.0</v>
      </c>
      <c r="O18" s="79"/>
      <c r="P18" s="79"/>
      <c r="Q18" s="79">
        <v>3.0</v>
      </c>
      <c r="R18" s="79">
        <v>2.0</v>
      </c>
    </row>
    <row r="19" ht="21.75" customHeight="1">
      <c r="A19" s="453">
        <v>10.0</v>
      </c>
      <c r="B19" s="124" t="s">
        <v>255</v>
      </c>
      <c r="C19" s="124" t="s">
        <v>310</v>
      </c>
      <c r="D19" s="433">
        <v>5269.0</v>
      </c>
      <c r="E19" s="434">
        <v>10687.0</v>
      </c>
      <c r="F19" s="435">
        <v>45112.0</v>
      </c>
      <c r="G19" s="79">
        <v>6.0</v>
      </c>
      <c r="H19" s="435">
        <f t="shared" si="5"/>
        <v>46878</v>
      </c>
      <c r="I19" s="436">
        <f t="shared" si="6"/>
        <v>47304</v>
      </c>
      <c r="J19" s="455"/>
      <c r="K19" s="456"/>
      <c r="L19" s="457" t="s">
        <v>973</v>
      </c>
      <c r="M19" s="458">
        <f>SUM(M11:M18)</f>
        <v>1</v>
      </c>
      <c r="N19" s="458">
        <f>SUM(N10:N18)</f>
        <v>26</v>
      </c>
      <c r="O19" s="458">
        <f t="shared" ref="O19:R19" si="7">SUM(O11:O18)</f>
        <v>0</v>
      </c>
      <c r="P19" s="458">
        <f t="shared" si="7"/>
        <v>0</v>
      </c>
      <c r="Q19" s="458">
        <f t="shared" si="7"/>
        <v>4</v>
      </c>
      <c r="R19" s="458">
        <f t="shared" si="7"/>
        <v>4</v>
      </c>
    </row>
    <row r="20" ht="24.75" customHeight="1">
      <c r="A20" s="453">
        <v>11.0</v>
      </c>
      <c r="B20" s="124" t="s">
        <v>255</v>
      </c>
      <c r="C20" s="124" t="s">
        <v>285</v>
      </c>
      <c r="D20" s="433">
        <v>230.0</v>
      </c>
      <c r="E20" s="459">
        <v>14238.0</v>
      </c>
      <c r="F20" s="435">
        <v>45161.0</v>
      </c>
      <c r="G20" s="79">
        <v>6.0</v>
      </c>
      <c r="H20" s="435">
        <f t="shared" si="5"/>
        <v>46927</v>
      </c>
      <c r="I20" s="436">
        <f t="shared" si="6"/>
        <v>47353</v>
      </c>
      <c r="J20" s="431"/>
      <c r="K20" s="460"/>
      <c r="L20" s="457" t="s">
        <v>974</v>
      </c>
      <c r="M20" s="461">
        <f>SUM(M19:R19)</f>
        <v>35</v>
      </c>
      <c r="N20" s="462"/>
      <c r="O20" s="462"/>
      <c r="P20" s="462"/>
      <c r="Q20" s="462"/>
      <c r="R20" s="463"/>
    </row>
    <row r="21" ht="25.5" customHeight="1">
      <c r="A21" s="443">
        <v>12.0</v>
      </c>
      <c r="B21" s="124" t="s">
        <v>333</v>
      </c>
      <c r="C21" s="124" t="s">
        <v>975</v>
      </c>
      <c r="D21" s="433">
        <v>106575.0</v>
      </c>
      <c r="E21" s="434">
        <v>6405.0</v>
      </c>
      <c r="F21" s="435">
        <v>45036.0</v>
      </c>
      <c r="G21" s="79">
        <v>4.0</v>
      </c>
      <c r="H21" s="435">
        <f t="shared" si="5"/>
        <v>46073</v>
      </c>
      <c r="I21" s="436">
        <f t="shared" si="6"/>
        <v>46497</v>
      </c>
      <c r="J21" s="431"/>
      <c r="K21" s="428"/>
      <c r="L21" s="428"/>
      <c r="M21" s="464"/>
      <c r="N21" s="464"/>
      <c r="O21" s="428"/>
      <c r="P21" s="428"/>
      <c r="Q21" s="428"/>
      <c r="R21" s="465"/>
    </row>
    <row r="22" ht="25.5" customHeight="1">
      <c r="A22" s="443">
        <v>13.0</v>
      </c>
      <c r="B22" s="124" t="s">
        <v>333</v>
      </c>
      <c r="C22" s="124" t="s">
        <v>381</v>
      </c>
      <c r="D22" s="433">
        <v>13062.0</v>
      </c>
      <c r="E22" s="434">
        <v>6404.0</v>
      </c>
      <c r="F22" s="435">
        <v>45036.0</v>
      </c>
      <c r="G22" s="79">
        <v>4.0</v>
      </c>
      <c r="H22" s="435">
        <f t="shared" si="5"/>
        <v>46073</v>
      </c>
      <c r="I22" s="436">
        <f t="shared" si="6"/>
        <v>46497</v>
      </c>
      <c r="J22" s="431"/>
      <c r="K22" s="428"/>
      <c r="L22" s="428"/>
      <c r="M22" s="464"/>
      <c r="N22" s="464"/>
      <c r="O22" s="428"/>
      <c r="P22" s="428"/>
      <c r="Q22" s="428"/>
      <c r="R22" s="465"/>
    </row>
    <row r="23" ht="25.5" customHeight="1">
      <c r="A23" s="443">
        <v>14.0</v>
      </c>
      <c r="B23" s="124" t="s">
        <v>333</v>
      </c>
      <c r="C23" s="124" t="s">
        <v>392</v>
      </c>
      <c r="D23" s="433">
        <v>106604.0</v>
      </c>
      <c r="E23" s="459">
        <v>14237.0</v>
      </c>
      <c r="F23" s="435">
        <v>45161.0</v>
      </c>
      <c r="G23" s="79">
        <v>4.0</v>
      </c>
      <c r="H23" s="435">
        <f t="shared" si="5"/>
        <v>46196</v>
      </c>
      <c r="I23" s="436">
        <f t="shared" si="6"/>
        <v>46622</v>
      </c>
      <c r="J23" s="431"/>
      <c r="K23" s="428"/>
      <c r="L23" s="428"/>
      <c r="M23" s="464"/>
      <c r="N23" s="464"/>
      <c r="O23" s="428"/>
      <c r="P23" s="428"/>
      <c r="Q23" s="428"/>
      <c r="R23" s="465"/>
    </row>
    <row r="24" ht="25.5" customHeight="1">
      <c r="A24" s="443">
        <v>15.0</v>
      </c>
      <c r="B24" s="124" t="s">
        <v>333</v>
      </c>
      <c r="C24" s="124" t="s">
        <v>408</v>
      </c>
      <c r="D24" s="433">
        <v>232.0</v>
      </c>
      <c r="E24" s="112">
        <v>10048.0</v>
      </c>
      <c r="F24" s="435">
        <v>45100.0</v>
      </c>
      <c r="G24" s="79">
        <v>8.0</v>
      </c>
      <c r="H24" s="435">
        <f t="shared" si="5"/>
        <v>47596</v>
      </c>
      <c r="I24" s="436">
        <f t="shared" si="6"/>
        <v>48022</v>
      </c>
      <c r="J24" s="431"/>
      <c r="K24" s="428"/>
      <c r="L24" s="428"/>
      <c r="M24" s="464"/>
      <c r="N24" s="464"/>
      <c r="O24" s="428"/>
      <c r="P24" s="428"/>
      <c r="Q24" s="428"/>
      <c r="R24" s="465"/>
    </row>
    <row r="25" ht="25.5" customHeight="1">
      <c r="A25" s="444">
        <v>16.0</v>
      </c>
      <c r="B25" s="124" t="s">
        <v>413</v>
      </c>
      <c r="C25" s="124" t="s">
        <v>467</v>
      </c>
      <c r="D25" s="433">
        <v>106545.0</v>
      </c>
      <c r="E25" s="434">
        <v>2311.0</v>
      </c>
      <c r="F25" s="435">
        <v>44621.0</v>
      </c>
      <c r="G25" s="79">
        <v>4.0</v>
      </c>
      <c r="H25" s="435">
        <f t="shared" si="5"/>
        <v>45658</v>
      </c>
      <c r="I25" s="436">
        <f t="shared" si="6"/>
        <v>46082</v>
      </c>
      <c r="J25" s="431"/>
      <c r="K25" s="428"/>
      <c r="L25" s="466"/>
      <c r="M25" s="464"/>
      <c r="N25" s="464"/>
      <c r="O25" s="428"/>
      <c r="P25" s="428"/>
      <c r="Q25" s="428"/>
      <c r="R25" s="465"/>
    </row>
    <row r="26" ht="25.5" customHeight="1">
      <c r="A26" s="444">
        <v>17.0</v>
      </c>
      <c r="B26" s="124" t="s">
        <v>413</v>
      </c>
      <c r="C26" s="124" t="s">
        <v>476</v>
      </c>
      <c r="D26" s="433">
        <v>106651.0</v>
      </c>
      <c r="E26" s="434">
        <v>2312.0</v>
      </c>
      <c r="F26" s="435">
        <v>44621.0</v>
      </c>
      <c r="G26" s="79">
        <v>4.0</v>
      </c>
      <c r="H26" s="435">
        <f t="shared" si="5"/>
        <v>45658</v>
      </c>
      <c r="I26" s="436">
        <f t="shared" si="6"/>
        <v>46082</v>
      </c>
      <c r="J26" s="467"/>
      <c r="K26" s="428"/>
      <c r="L26" s="466"/>
      <c r="M26" s="464"/>
      <c r="N26" s="464"/>
      <c r="O26" s="428"/>
      <c r="P26" s="428"/>
      <c r="Q26" s="428"/>
      <c r="R26" s="465"/>
    </row>
    <row r="27" ht="25.5" customHeight="1">
      <c r="A27" s="444">
        <v>18.0</v>
      </c>
      <c r="B27" s="124" t="s">
        <v>413</v>
      </c>
      <c r="C27" s="124" t="s">
        <v>440</v>
      </c>
      <c r="D27" s="433">
        <v>3048.0</v>
      </c>
      <c r="E27" s="434">
        <v>7456.0</v>
      </c>
      <c r="F27" s="435">
        <v>44316.0</v>
      </c>
      <c r="G27" s="79">
        <v>6.0</v>
      </c>
      <c r="H27" s="435">
        <f t="shared" si="5"/>
        <v>46081</v>
      </c>
      <c r="I27" s="436">
        <f t="shared" si="6"/>
        <v>46507</v>
      </c>
      <c r="J27" s="467"/>
      <c r="K27" s="428"/>
      <c r="L27" s="466"/>
      <c r="M27" s="464"/>
      <c r="N27" s="464"/>
      <c r="O27" s="428"/>
      <c r="P27" s="428"/>
      <c r="Q27" s="428"/>
      <c r="R27" s="465"/>
    </row>
    <row r="28" ht="25.5" customHeight="1">
      <c r="A28" s="444">
        <v>19.0</v>
      </c>
      <c r="B28" s="124" t="s">
        <v>413</v>
      </c>
      <c r="C28" s="124" t="s">
        <v>510</v>
      </c>
      <c r="D28" s="433">
        <v>4010.0</v>
      </c>
      <c r="E28" s="434">
        <v>7568.0</v>
      </c>
      <c r="F28" s="435">
        <v>45054.0</v>
      </c>
      <c r="G28" s="79">
        <v>4.0</v>
      </c>
      <c r="H28" s="435">
        <f t="shared" si="5"/>
        <v>46089</v>
      </c>
      <c r="I28" s="436">
        <f t="shared" si="6"/>
        <v>46515</v>
      </c>
      <c r="J28" s="467"/>
      <c r="K28" s="428"/>
      <c r="L28" s="466"/>
      <c r="M28" s="464"/>
      <c r="N28" s="464"/>
      <c r="O28" s="428"/>
      <c r="P28" s="428"/>
      <c r="Q28" s="428"/>
      <c r="R28" s="465"/>
    </row>
    <row r="29" ht="25.5" customHeight="1">
      <c r="A29" s="444">
        <v>20.0</v>
      </c>
      <c r="B29" s="124" t="s">
        <v>413</v>
      </c>
      <c r="C29" s="124" t="s">
        <v>484</v>
      </c>
      <c r="D29" s="433">
        <v>106574.0</v>
      </c>
      <c r="E29" s="434">
        <v>1109.0</v>
      </c>
      <c r="F29" s="435">
        <v>44960.0</v>
      </c>
      <c r="G29" s="79">
        <v>6.0</v>
      </c>
      <c r="H29" s="435">
        <f t="shared" si="5"/>
        <v>46724</v>
      </c>
      <c r="I29" s="436">
        <f t="shared" si="6"/>
        <v>47152</v>
      </c>
      <c r="J29" s="467"/>
      <c r="K29" s="428"/>
      <c r="L29" s="466"/>
      <c r="M29" s="464"/>
      <c r="N29" s="464"/>
      <c r="O29" s="428"/>
      <c r="P29" s="428"/>
      <c r="Q29" s="428"/>
      <c r="R29" s="465"/>
    </row>
    <row r="30" ht="25.5" customHeight="1">
      <c r="A30" s="444">
        <v>21.0</v>
      </c>
      <c r="B30" s="124" t="s">
        <v>413</v>
      </c>
      <c r="C30" s="124" t="s">
        <v>492</v>
      </c>
      <c r="D30" s="433">
        <v>106794.0</v>
      </c>
      <c r="E30" s="434">
        <v>1110.0</v>
      </c>
      <c r="F30" s="435">
        <v>44960.0</v>
      </c>
      <c r="G30" s="79">
        <v>6.0</v>
      </c>
      <c r="H30" s="435">
        <f t="shared" si="5"/>
        <v>46724</v>
      </c>
      <c r="I30" s="436">
        <f t="shared" si="6"/>
        <v>47152</v>
      </c>
      <c r="J30" s="467"/>
      <c r="K30" s="428"/>
      <c r="L30" s="466"/>
      <c r="M30" s="464"/>
      <c r="N30" s="464"/>
      <c r="O30" s="428"/>
      <c r="P30" s="428"/>
      <c r="Q30" s="428"/>
      <c r="R30" s="465"/>
    </row>
    <row r="31" ht="25.5" customHeight="1">
      <c r="A31" s="444">
        <v>22.0</v>
      </c>
      <c r="B31" s="124" t="s">
        <v>413</v>
      </c>
      <c r="C31" s="124" t="s">
        <v>517</v>
      </c>
      <c r="D31" s="433">
        <v>2130.0</v>
      </c>
      <c r="E31" s="434">
        <v>8922.0</v>
      </c>
      <c r="F31" s="435">
        <v>45075.0</v>
      </c>
      <c r="G31" s="79">
        <v>6.0</v>
      </c>
      <c r="H31" s="435">
        <f t="shared" si="5"/>
        <v>46841</v>
      </c>
      <c r="I31" s="436">
        <f t="shared" si="6"/>
        <v>47267</v>
      </c>
      <c r="J31" s="467"/>
      <c r="K31" s="428"/>
      <c r="L31" s="466"/>
      <c r="M31" s="464"/>
      <c r="N31" s="464"/>
      <c r="O31" s="428"/>
      <c r="P31" s="428"/>
      <c r="Q31" s="428"/>
      <c r="R31" s="465"/>
    </row>
    <row r="32" ht="25.5" customHeight="1">
      <c r="A32" s="444">
        <v>23.0</v>
      </c>
      <c r="B32" s="124" t="s">
        <v>413</v>
      </c>
      <c r="C32" s="124" t="s">
        <v>548</v>
      </c>
      <c r="D32" s="433">
        <v>256.0</v>
      </c>
      <c r="E32" s="112">
        <v>22249.0</v>
      </c>
      <c r="F32" s="435">
        <v>45253.0</v>
      </c>
      <c r="G32" s="79">
        <v>6.0</v>
      </c>
      <c r="H32" s="435">
        <f t="shared" si="5"/>
        <v>47019</v>
      </c>
      <c r="I32" s="436">
        <f t="shared" si="6"/>
        <v>47445</v>
      </c>
      <c r="J32" s="467"/>
      <c r="K32" s="428"/>
      <c r="L32" s="466"/>
      <c r="M32" s="464"/>
      <c r="N32" s="464"/>
      <c r="O32" s="428"/>
      <c r="P32" s="428"/>
      <c r="Q32" s="428"/>
      <c r="R32" s="465"/>
    </row>
    <row r="33" ht="25.5" customHeight="1">
      <c r="A33" s="444">
        <v>24.0</v>
      </c>
      <c r="B33" s="124" t="s">
        <v>413</v>
      </c>
      <c r="C33" s="124" t="s">
        <v>532</v>
      </c>
      <c r="D33" s="433">
        <v>7170.0</v>
      </c>
      <c r="E33" s="459">
        <v>16903.0</v>
      </c>
      <c r="F33" s="435">
        <v>45189.0</v>
      </c>
      <c r="G33" s="79">
        <v>6.0</v>
      </c>
      <c r="H33" s="435">
        <f t="shared" si="5"/>
        <v>46954</v>
      </c>
      <c r="I33" s="436">
        <f t="shared" si="6"/>
        <v>47381</v>
      </c>
    </row>
    <row r="34" ht="25.5" customHeight="1">
      <c r="A34" s="444">
        <v>25.0</v>
      </c>
      <c r="B34" s="124" t="s">
        <v>413</v>
      </c>
      <c r="C34" s="124" t="s">
        <v>976</v>
      </c>
      <c r="D34" s="433">
        <v>229.0</v>
      </c>
      <c r="E34" s="468">
        <v>2015.0</v>
      </c>
      <c r="F34" s="435">
        <v>45350.0</v>
      </c>
      <c r="G34" s="79">
        <v>6.0</v>
      </c>
      <c r="H34" s="435">
        <f t="shared" si="5"/>
        <v>47115</v>
      </c>
      <c r="I34" s="436">
        <f t="shared" si="6"/>
        <v>47542</v>
      </c>
    </row>
    <row r="35" ht="25.5" customHeight="1">
      <c r="A35" s="444">
        <v>26.0</v>
      </c>
      <c r="B35" s="124" t="s">
        <v>413</v>
      </c>
      <c r="C35" s="124" t="s">
        <v>559</v>
      </c>
      <c r="D35" s="433">
        <v>1125.0</v>
      </c>
      <c r="E35" s="468">
        <v>1125.0</v>
      </c>
      <c r="F35" s="435">
        <v>45335.0</v>
      </c>
      <c r="G35" s="79">
        <v>6.0</v>
      </c>
      <c r="H35" s="435">
        <f t="shared" si="5"/>
        <v>47100</v>
      </c>
      <c r="I35" s="436">
        <f t="shared" si="6"/>
        <v>47527</v>
      </c>
    </row>
    <row r="36" ht="25.5" customHeight="1">
      <c r="A36" s="469">
        <v>27.0</v>
      </c>
      <c r="B36" s="124" t="s">
        <v>611</v>
      </c>
      <c r="C36" s="124" t="s">
        <v>648</v>
      </c>
      <c r="D36" s="433">
        <v>236.0</v>
      </c>
      <c r="E36" s="434">
        <v>8598.0</v>
      </c>
      <c r="F36" s="435">
        <v>45071.0</v>
      </c>
      <c r="G36" s="79">
        <v>6.0</v>
      </c>
      <c r="H36" s="435">
        <f t="shared" si="5"/>
        <v>46837</v>
      </c>
      <c r="I36" s="436">
        <f t="shared" si="6"/>
        <v>47263</v>
      </c>
    </row>
    <row r="37" ht="25.5" customHeight="1">
      <c r="A37" s="470">
        <v>28.0</v>
      </c>
      <c r="B37" s="124" t="s">
        <v>695</v>
      </c>
      <c r="C37" s="124" t="s">
        <v>724</v>
      </c>
      <c r="D37" s="433">
        <v>223.0</v>
      </c>
      <c r="E37" s="434">
        <v>13233.0</v>
      </c>
      <c r="F37" s="435">
        <v>44029.0</v>
      </c>
      <c r="G37" s="79">
        <v>6.0</v>
      </c>
      <c r="H37" s="435">
        <f t="shared" si="5"/>
        <v>45794</v>
      </c>
      <c r="I37" s="436">
        <f t="shared" si="6"/>
        <v>46220</v>
      </c>
    </row>
    <row r="38" ht="25.5" customHeight="1">
      <c r="A38" s="470">
        <v>29.0</v>
      </c>
      <c r="B38" s="124" t="s">
        <v>695</v>
      </c>
      <c r="C38" s="124" t="s">
        <v>706</v>
      </c>
      <c r="D38" s="433">
        <v>238.0</v>
      </c>
      <c r="E38" s="471">
        <v>4006.0</v>
      </c>
      <c r="F38" s="435">
        <v>43567.0</v>
      </c>
      <c r="G38" s="79">
        <v>8.0</v>
      </c>
      <c r="H38" s="435">
        <f t="shared" si="5"/>
        <v>46065</v>
      </c>
      <c r="I38" s="436">
        <f t="shared" si="6"/>
        <v>46489</v>
      </c>
    </row>
    <row r="39" ht="25.5" customHeight="1">
      <c r="A39" s="470">
        <v>30.0</v>
      </c>
      <c r="B39" s="124" t="s">
        <v>695</v>
      </c>
      <c r="C39" s="124" t="s">
        <v>714</v>
      </c>
      <c r="D39" s="472">
        <v>90930.0</v>
      </c>
      <c r="E39" s="434">
        <v>7576.0</v>
      </c>
      <c r="F39" s="473">
        <v>43670.0</v>
      </c>
      <c r="G39" s="79">
        <v>8.0</v>
      </c>
      <c r="H39" s="435">
        <f t="shared" si="5"/>
        <v>46166</v>
      </c>
      <c r="I39" s="436">
        <f t="shared" si="6"/>
        <v>46592</v>
      </c>
    </row>
    <row r="40" ht="23.25" customHeight="1">
      <c r="A40" s="470">
        <v>31.0</v>
      </c>
      <c r="B40" s="124" t="s">
        <v>695</v>
      </c>
      <c r="C40" s="124" t="s">
        <v>762</v>
      </c>
      <c r="D40" s="472">
        <v>54103.0</v>
      </c>
      <c r="E40" s="112">
        <v>20075.0</v>
      </c>
      <c r="F40" s="473">
        <v>45230.0</v>
      </c>
      <c r="G40" s="79">
        <v>6.0</v>
      </c>
      <c r="H40" s="435">
        <f t="shared" si="5"/>
        <v>46996</v>
      </c>
      <c r="I40" s="436">
        <f t="shared" si="6"/>
        <v>47422</v>
      </c>
    </row>
    <row r="41" ht="23.25" customHeight="1">
      <c r="A41" s="470">
        <v>32.0</v>
      </c>
      <c r="B41" s="124" t="s">
        <v>695</v>
      </c>
      <c r="C41" s="124" t="s">
        <v>742</v>
      </c>
      <c r="D41" s="472">
        <v>53918.0</v>
      </c>
      <c r="E41" s="434">
        <v>16771.0</v>
      </c>
      <c r="F41" s="473">
        <v>44447.0</v>
      </c>
      <c r="G41" s="79">
        <v>6.0</v>
      </c>
      <c r="H41" s="435">
        <f t="shared" si="5"/>
        <v>46211</v>
      </c>
      <c r="I41" s="436">
        <f t="shared" si="6"/>
        <v>46638</v>
      </c>
    </row>
    <row r="42" ht="23.25" customHeight="1">
      <c r="A42" s="470">
        <v>33.0</v>
      </c>
      <c r="B42" s="124" t="s">
        <v>695</v>
      </c>
      <c r="C42" s="124" t="s">
        <v>731</v>
      </c>
      <c r="D42" s="433">
        <v>7520.0</v>
      </c>
      <c r="E42" s="474">
        <v>3248.0</v>
      </c>
      <c r="F42" s="435">
        <v>43895.0</v>
      </c>
      <c r="G42" s="79">
        <v>8.0</v>
      </c>
      <c r="H42" s="435">
        <f t="shared" si="5"/>
        <v>46392</v>
      </c>
      <c r="I42" s="436">
        <f t="shared" si="6"/>
        <v>46817</v>
      </c>
    </row>
    <row r="43" ht="25.5" customHeight="1">
      <c r="A43" s="470">
        <v>34.0</v>
      </c>
      <c r="B43" s="124" t="s">
        <v>695</v>
      </c>
      <c r="C43" s="124" t="s">
        <v>768</v>
      </c>
      <c r="D43" s="433">
        <v>53505.0</v>
      </c>
      <c r="E43" s="468">
        <v>20747.0</v>
      </c>
      <c r="F43" s="475">
        <v>45232.0</v>
      </c>
      <c r="G43" s="448">
        <v>6.0</v>
      </c>
      <c r="H43" s="449">
        <f t="shared" si="5"/>
        <v>46998</v>
      </c>
      <c r="I43" s="436">
        <f t="shared" si="6"/>
        <v>47424</v>
      </c>
    </row>
    <row r="44" ht="12.0" customHeight="1">
      <c r="A44" s="470">
        <v>35.0</v>
      </c>
      <c r="B44" s="124" t="s">
        <v>695</v>
      </c>
      <c r="C44" s="124" t="s">
        <v>755</v>
      </c>
      <c r="D44" s="433">
        <v>55175.0</v>
      </c>
      <c r="E44" s="468">
        <v>20074.0</v>
      </c>
      <c r="F44" s="476">
        <v>45230.0</v>
      </c>
      <c r="G44" s="448">
        <v>4.0</v>
      </c>
      <c r="H44" s="449">
        <f t="shared" si="5"/>
        <v>46265</v>
      </c>
      <c r="I44" s="436">
        <f t="shared" si="6"/>
        <v>46691</v>
      </c>
    </row>
    <row r="45" ht="27.0" customHeight="1">
      <c r="A45" s="477" t="s">
        <v>973</v>
      </c>
      <c r="B45" s="478"/>
      <c r="C45" s="479">
        <f>COUNT(A10:A45)</f>
        <v>35</v>
      </c>
      <c r="D45" s="429"/>
      <c r="E45" s="429"/>
      <c r="F45" s="429"/>
      <c r="G45" s="480"/>
      <c r="H45" s="429"/>
      <c r="I45" s="429"/>
    </row>
  </sheetData>
  <autoFilter ref="$A$9:$I$45">
    <sortState ref="A9:I45">
      <sortCondition ref="A9:A45"/>
    </sortState>
  </autoFilter>
  <mergeCells count="3">
    <mergeCell ref="M7:Q7"/>
    <mergeCell ref="M20:R20"/>
    <mergeCell ref="A45:B45"/>
  </mergeCells>
  <hyperlinks>
    <hyperlink r:id="rId2" ref="E10"/>
    <hyperlink r:id="rId3" ref="E11"/>
    <hyperlink r:id="rId4" ref="E12"/>
    <hyperlink r:id="rId5" ref="E13"/>
    <hyperlink r:id="rId6" ref="E14"/>
    <hyperlink r:id="rId7" ref="E15"/>
    <hyperlink r:id="rId8" ref="E17"/>
    <hyperlink r:id="rId9" ref="E18"/>
    <hyperlink r:id="rId10" ref="E19"/>
    <hyperlink r:id="rId11" ref="E20"/>
    <hyperlink r:id="rId12" ref="E21"/>
    <hyperlink r:id="rId13" ref="E22"/>
    <hyperlink r:id="rId14" ref="E23"/>
    <hyperlink r:id="rId15" ref="E24"/>
    <hyperlink r:id="rId16" ref="E25"/>
    <hyperlink r:id="rId17" ref="E26"/>
    <hyperlink r:id="rId18" ref="E27"/>
    <hyperlink r:id="rId19" ref="E28"/>
    <hyperlink r:id="rId20" ref="E29"/>
    <hyperlink r:id="rId21" ref="E30"/>
    <hyperlink r:id="rId22" ref="E31"/>
    <hyperlink r:id="rId23" ref="E32"/>
    <hyperlink r:id="rId24" ref="E33"/>
    <hyperlink r:id="rId25" ref="E34"/>
    <hyperlink r:id="rId26" ref="E35"/>
    <hyperlink r:id="rId27" ref="E36"/>
    <hyperlink r:id="rId28" ref="E37"/>
    <hyperlink r:id="rId29" ref="E38"/>
    <hyperlink r:id="rId30" ref="E39"/>
    <hyperlink r:id="rId31" ref="E40"/>
    <hyperlink r:id="rId32" ref="E41"/>
    <hyperlink r:id="rId33" ref="E42"/>
    <hyperlink r:id="rId34" ref="E43"/>
    <hyperlink r:id="rId35" ref="E44"/>
  </hyperlinks>
  <printOptions/>
  <pageMargins bottom="0.75" footer="0.0" header="0.0" left="0.7" right="0.7" top="0.75"/>
  <pageSetup orientation="landscape"/>
  <drawing r:id="rId36"/>
  <legacyDrawing r:id="rId37"/>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17365D"/>
    <pageSetUpPr/>
  </sheetPr>
  <sheetViews>
    <sheetView workbookViewId="0"/>
  </sheetViews>
  <sheetFormatPr customHeight="1" defaultColWidth="12.63" defaultRowHeight="15.0"/>
  <cols>
    <col customWidth="1" min="1" max="1" width="66.0"/>
    <col customWidth="1" min="2" max="3" width="11.38"/>
    <col customWidth="1" min="4" max="4" width="47.38"/>
    <col customWidth="1" min="5" max="5" width="13.0"/>
    <col customWidth="1" min="6" max="25" width="10.63"/>
  </cols>
  <sheetData>
    <row r="1" ht="12.0" customHeight="1">
      <c r="A1" s="481" t="s">
        <v>977</v>
      </c>
      <c r="B1" s="482"/>
      <c r="C1" s="482"/>
      <c r="D1" s="483"/>
      <c r="E1" s="484"/>
      <c r="F1" s="485"/>
      <c r="G1" s="485"/>
      <c r="H1" s="485"/>
      <c r="I1" s="485"/>
      <c r="J1" s="485"/>
      <c r="K1" s="485"/>
      <c r="L1" s="485"/>
      <c r="M1" s="485"/>
      <c r="N1" s="485"/>
      <c r="O1" s="485"/>
      <c r="P1" s="485"/>
      <c r="Q1" s="485"/>
      <c r="R1" s="485"/>
      <c r="S1" s="485"/>
      <c r="T1" s="485"/>
      <c r="U1" s="485"/>
      <c r="V1" s="485"/>
      <c r="W1" s="485"/>
      <c r="X1" s="485"/>
      <c r="Y1" s="485"/>
      <c r="Z1" s="485"/>
    </row>
    <row r="2" ht="12.0" customHeight="1">
      <c r="A2" s="486" t="s">
        <v>978</v>
      </c>
      <c r="B2" s="482"/>
      <c r="C2" s="482"/>
      <c r="D2" s="487"/>
      <c r="E2" s="484"/>
      <c r="F2" s="485"/>
      <c r="G2" s="485"/>
      <c r="H2" s="485"/>
      <c r="I2" s="485"/>
      <c r="J2" s="485"/>
      <c r="K2" s="485"/>
      <c r="L2" s="485"/>
      <c r="M2" s="485"/>
      <c r="N2" s="485"/>
      <c r="O2" s="485"/>
      <c r="P2" s="485"/>
      <c r="Q2" s="485"/>
      <c r="R2" s="485"/>
      <c r="S2" s="485"/>
      <c r="T2" s="485"/>
      <c r="U2" s="485"/>
      <c r="V2" s="485"/>
      <c r="W2" s="485"/>
      <c r="X2" s="485"/>
      <c r="Y2" s="485"/>
      <c r="Z2" s="485"/>
    </row>
    <row r="3" ht="12.0" customHeight="1">
      <c r="A3" s="488" t="s">
        <v>20</v>
      </c>
      <c r="B3" s="489" t="s">
        <v>979</v>
      </c>
      <c r="C3" s="484" t="s">
        <v>980</v>
      </c>
      <c r="D3" s="490" t="s">
        <v>981</v>
      </c>
      <c r="E3" s="484" t="s">
        <v>35</v>
      </c>
      <c r="F3" s="485"/>
      <c r="G3" s="485"/>
      <c r="H3" s="485"/>
      <c r="I3" s="485"/>
      <c r="J3" s="485"/>
      <c r="K3" s="485"/>
      <c r="L3" s="485"/>
      <c r="M3" s="485"/>
      <c r="N3" s="485"/>
      <c r="O3" s="485"/>
      <c r="P3" s="485"/>
      <c r="Q3" s="485"/>
      <c r="R3" s="485"/>
      <c r="S3" s="485"/>
      <c r="T3" s="485"/>
      <c r="U3" s="485"/>
      <c r="V3" s="485"/>
      <c r="W3" s="485"/>
      <c r="X3" s="485"/>
      <c r="Y3" s="485"/>
      <c r="Z3" s="485"/>
    </row>
    <row r="4" ht="12.0" customHeight="1">
      <c r="A4" s="133" t="s">
        <v>517</v>
      </c>
      <c r="B4" s="491">
        <v>42661.0</v>
      </c>
      <c r="C4" s="491">
        <v>42663.0</v>
      </c>
      <c r="D4" s="492" t="s">
        <v>982</v>
      </c>
      <c r="E4" s="492" t="s">
        <v>85</v>
      </c>
      <c r="F4" s="485"/>
      <c r="G4" s="485"/>
      <c r="H4" s="485"/>
      <c r="I4" s="485"/>
      <c r="J4" s="485"/>
      <c r="K4" s="485"/>
      <c r="L4" s="485"/>
      <c r="M4" s="485"/>
      <c r="N4" s="485"/>
      <c r="O4" s="485"/>
      <c r="P4" s="485"/>
      <c r="Q4" s="485"/>
      <c r="R4" s="485"/>
      <c r="S4" s="485"/>
      <c r="T4" s="485"/>
      <c r="U4" s="485"/>
      <c r="V4" s="485"/>
      <c r="W4" s="485"/>
      <c r="X4" s="485"/>
      <c r="Y4" s="485"/>
      <c r="Z4" s="485"/>
    </row>
    <row r="5" ht="12.0" customHeight="1">
      <c r="A5" s="133" t="s">
        <v>101</v>
      </c>
      <c r="B5" s="491">
        <v>42667.0</v>
      </c>
      <c r="C5" s="491">
        <v>42669.0</v>
      </c>
      <c r="D5" s="492" t="s">
        <v>982</v>
      </c>
      <c r="E5" s="492" t="s">
        <v>85</v>
      </c>
      <c r="F5" s="485"/>
      <c r="G5" s="485"/>
      <c r="H5" s="485"/>
      <c r="I5" s="485"/>
      <c r="J5" s="485"/>
      <c r="K5" s="485"/>
      <c r="L5" s="485"/>
      <c r="M5" s="485"/>
      <c r="N5" s="485"/>
      <c r="O5" s="485"/>
      <c r="P5" s="485"/>
      <c r="Q5" s="485"/>
      <c r="R5" s="485"/>
      <c r="S5" s="485"/>
      <c r="T5" s="485"/>
      <c r="U5" s="485"/>
      <c r="V5" s="485"/>
      <c r="W5" s="485"/>
      <c r="X5" s="485"/>
      <c r="Y5" s="485"/>
      <c r="Z5" s="485"/>
    </row>
    <row r="6" ht="12.0" customHeight="1">
      <c r="A6" s="133" t="s">
        <v>983</v>
      </c>
      <c r="B6" s="491">
        <v>42670.0</v>
      </c>
      <c r="C6" s="491">
        <v>42671.0</v>
      </c>
      <c r="D6" s="492" t="s">
        <v>982</v>
      </c>
      <c r="E6" s="492" t="s">
        <v>85</v>
      </c>
      <c r="F6" s="485"/>
      <c r="G6" s="485"/>
      <c r="H6" s="485"/>
      <c r="I6" s="485"/>
      <c r="J6" s="485"/>
      <c r="K6" s="485"/>
      <c r="L6" s="485"/>
      <c r="M6" s="485"/>
      <c r="N6" s="485"/>
      <c r="O6" s="485"/>
      <c r="P6" s="485"/>
      <c r="Q6" s="485"/>
      <c r="R6" s="485"/>
      <c r="S6" s="485"/>
      <c r="T6" s="485"/>
      <c r="U6" s="485"/>
      <c r="V6" s="485"/>
      <c r="W6" s="485"/>
      <c r="X6" s="485"/>
      <c r="Y6" s="485"/>
      <c r="Z6" s="485"/>
    </row>
    <row r="7" ht="12.0" customHeight="1">
      <c r="A7" s="133" t="s">
        <v>984</v>
      </c>
      <c r="B7" s="491">
        <v>42675.0</v>
      </c>
      <c r="C7" s="491">
        <v>42676.0</v>
      </c>
      <c r="D7" s="492" t="s">
        <v>982</v>
      </c>
      <c r="E7" s="492" t="s">
        <v>85</v>
      </c>
      <c r="F7" s="485"/>
      <c r="G7" s="485"/>
      <c r="H7" s="485"/>
      <c r="I7" s="485"/>
      <c r="J7" s="485"/>
      <c r="K7" s="485"/>
      <c r="L7" s="485"/>
      <c r="M7" s="485"/>
      <c r="N7" s="485"/>
      <c r="O7" s="485"/>
      <c r="P7" s="485"/>
      <c r="Q7" s="485"/>
      <c r="R7" s="485"/>
      <c r="S7" s="485"/>
      <c r="T7" s="485"/>
      <c r="U7" s="485"/>
      <c r="V7" s="485"/>
      <c r="W7" s="485"/>
      <c r="X7" s="485"/>
      <c r="Y7" s="485"/>
      <c r="Z7" s="485"/>
    </row>
    <row r="8" ht="12.0" customHeight="1">
      <c r="A8" s="133" t="s">
        <v>564</v>
      </c>
      <c r="B8" s="491">
        <v>42677.0</v>
      </c>
      <c r="C8" s="491">
        <v>42678.0</v>
      </c>
      <c r="D8" s="492" t="s">
        <v>982</v>
      </c>
      <c r="E8" s="492" t="s">
        <v>85</v>
      </c>
      <c r="F8" s="485"/>
      <c r="G8" s="485"/>
      <c r="H8" s="485"/>
      <c r="I8" s="485"/>
      <c r="J8" s="485"/>
      <c r="K8" s="485"/>
      <c r="L8" s="485"/>
      <c r="M8" s="485"/>
      <c r="N8" s="485"/>
      <c r="O8" s="485"/>
      <c r="P8" s="485"/>
      <c r="Q8" s="485"/>
      <c r="R8" s="485"/>
      <c r="S8" s="485"/>
      <c r="T8" s="485"/>
      <c r="U8" s="485"/>
      <c r="V8" s="485"/>
      <c r="W8" s="485"/>
      <c r="X8" s="485"/>
      <c r="Y8" s="485"/>
      <c r="Z8" s="485"/>
    </row>
    <row r="9" ht="12.0" customHeight="1">
      <c r="A9" s="133" t="s">
        <v>985</v>
      </c>
      <c r="B9" s="491">
        <v>42682.0</v>
      </c>
      <c r="C9" s="491">
        <v>42683.0</v>
      </c>
      <c r="D9" s="492" t="s">
        <v>982</v>
      </c>
      <c r="E9" s="492" t="s">
        <v>85</v>
      </c>
      <c r="F9" s="485"/>
      <c r="G9" s="485"/>
      <c r="H9" s="485"/>
      <c r="I9" s="485"/>
      <c r="J9" s="485"/>
      <c r="K9" s="485"/>
      <c r="L9" s="485"/>
      <c r="M9" s="485"/>
      <c r="N9" s="485"/>
      <c r="O9" s="485"/>
      <c r="P9" s="485"/>
      <c r="Q9" s="485"/>
      <c r="R9" s="485"/>
      <c r="S9" s="485"/>
      <c r="T9" s="485"/>
      <c r="U9" s="485"/>
      <c r="V9" s="485"/>
      <c r="W9" s="485"/>
      <c r="X9" s="485"/>
      <c r="Y9" s="485"/>
      <c r="Z9" s="485"/>
    </row>
    <row r="10" ht="12.0" customHeight="1">
      <c r="A10" s="133" t="s">
        <v>986</v>
      </c>
      <c r="B10" s="491">
        <v>42684.0</v>
      </c>
      <c r="C10" s="491">
        <v>42685.0</v>
      </c>
      <c r="D10" s="492" t="s">
        <v>982</v>
      </c>
      <c r="E10" s="492" t="s">
        <v>85</v>
      </c>
      <c r="F10" s="485"/>
      <c r="G10" s="485"/>
      <c r="H10" s="485"/>
      <c r="I10" s="485"/>
      <c r="J10" s="485"/>
      <c r="K10" s="485"/>
      <c r="L10" s="485"/>
      <c r="M10" s="485"/>
      <c r="N10" s="485"/>
      <c r="O10" s="485"/>
      <c r="P10" s="485"/>
      <c r="Q10" s="485"/>
      <c r="R10" s="485"/>
      <c r="S10" s="485"/>
      <c r="T10" s="485"/>
      <c r="U10" s="485"/>
      <c r="V10" s="485"/>
      <c r="W10" s="485"/>
      <c r="X10" s="485"/>
      <c r="Y10" s="485"/>
      <c r="Z10" s="485"/>
    </row>
    <row r="11" ht="12.0" customHeight="1">
      <c r="A11" s="493" t="s">
        <v>987</v>
      </c>
      <c r="B11" s="494">
        <v>42691.0</v>
      </c>
      <c r="C11" s="494">
        <v>42693.0</v>
      </c>
      <c r="D11" s="495" t="s">
        <v>988</v>
      </c>
      <c r="E11" s="492" t="s">
        <v>85</v>
      </c>
      <c r="F11" s="485"/>
      <c r="G11" s="485"/>
      <c r="H11" s="485"/>
      <c r="I11" s="485"/>
      <c r="J11" s="485"/>
      <c r="K11" s="485"/>
      <c r="L11" s="485"/>
      <c r="M11" s="485"/>
      <c r="N11" s="485"/>
      <c r="O11" s="485"/>
      <c r="P11" s="485"/>
      <c r="Q11" s="485"/>
      <c r="R11" s="485"/>
      <c r="S11" s="485"/>
      <c r="T11" s="485"/>
      <c r="U11" s="485"/>
      <c r="V11" s="485"/>
      <c r="W11" s="485"/>
      <c r="X11" s="485"/>
      <c r="Y11" s="485"/>
      <c r="Z11" s="485"/>
    </row>
    <row r="12" ht="12.0" customHeight="1">
      <c r="A12" s="496" t="s">
        <v>510</v>
      </c>
      <c r="B12" s="497">
        <v>42698.0</v>
      </c>
      <c r="C12" s="497">
        <v>42700.0</v>
      </c>
      <c r="D12" s="498" t="s">
        <v>982</v>
      </c>
      <c r="E12" s="498" t="s">
        <v>85</v>
      </c>
      <c r="F12" s="485"/>
      <c r="G12" s="485"/>
      <c r="H12" s="485"/>
      <c r="I12" s="485"/>
      <c r="J12" s="485"/>
      <c r="K12" s="485"/>
      <c r="L12" s="485"/>
      <c r="M12" s="485"/>
      <c r="N12" s="485"/>
      <c r="O12" s="485"/>
      <c r="P12" s="485"/>
      <c r="Q12" s="485"/>
      <c r="R12" s="485"/>
      <c r="S12" s="485"/>
      <c r="T12" s="485"/>
      <c r="U12" s="485"/>
      <c r="V12" s="485"/>
      <c r="W12" s="485"/>
      <c r="X12" s="485"/>
      <c r="Y12" s="485"/>
      <c r="Z12" s="485"/>
    </row>
    <row r="13" ht="12.0" customHeight="1">
      <c r="A13" s="499" t="s">
        <v>989</v>
      </c>
      <c r="B13" s="500">
        <v>42887.0</v>
      </c>
      <c r="C13" s="500">
        <v>42888.0</v>
      </c>
      <c r="D13" s="501" t="s">
        <v>990</v>
      </c>
      <c r="E13" s="502" t="s">
        <v>85</v>
      </c>
      <c r="F13" s="485"/>
      <c r="G13" s="485"/>
      <c r="H13" s="485"/>
      <c r="I13" s="485"/>
      <c r="J13" s="485"/>
      <c r="K13" s="485"/>
      <c r="L13" s="485"/>
      <c r="M13" s="485"/>
      <c r="N13" s="485"/>
      <c r="O13" s="485"/>
      <c r="P13" s="485"/>
      <c r="Q13" s="485"/>
      <c r="R13" s="485"/>
      <c r="S13" s="485"/>
      <c r="T13" s="485"/>
      <c r="U13" s="485"/>
      <c r="V13" s="485"/>
      <c r="W13" s="485"/>
      <c r="X13" s="485"/>
      <c r="Y13" s="485"/>
      <c r="Z13" s="485"/>
    </row>
    <row r="14" ht="12.0" customHeight="1">
      <c r="A14" s="503" t="s">
        <v>532</v>
      </c>
      <c r="B14" s="494">
        <v>42978.0</v>
      </c>
      <c r="C14" s="494">
        <v>42978.0</v>
      </c>
      <c r="D14" s="495" t="s">
        <v>988</v>
      </c>
      <c r="E14" s="492" t="s">
        <v>85</v>
      </c>
      <c r="F14" s="485"/>
      <c r="G14" s="485"/>
      <c r="H14" s="485"/>
      <c r="I14" s="485"/>
      <c r="J14" s="485"/>
      <c r="K14" s="485"/>
      <c r="L14" s="485"/>
      <c r="M14" s="485"/>
      <c r="N14" s="485"/>
      <c r="O14" s="485"/>
      <c r="P14" s="485"/>
      <c r="Q14" s="485"/>
      <c r="R14" s="485"/>
      <c r="S14" s="485"/>
      <c r="T14" s="485"/>
      <c r="U14" s="485"/>
      <c r="V14" s="485"/>
      <c r="W14" s="485"/>
      <c r="X14" s="485"/>
      <c r="Y14" s="485"/>
      <c r="Z14" s="485"/>
    </row>
    <row r="15" ht="12.0" customHeight="1">
      <c r="A15" s="504" t="s">
        <v>310</v>
      </c>
      <c r="B15" s="491">
        <v>42992.0</v>
      </c>
      <c r="C15" s="491">
        <v>42993.0</v>
      </c>
      <c r="D15" s="492" t="s">
        <v>990</v>
      </c>
      <c r="E15" s="492" t="s">
        <v>85</v>
      </c>
      <c r="F15" s="485"/>
      <c r="G15" s="485"/>
      <c r="H15" s="485"/>
      <c r="I15" s="485"/>
      <c r="J15" s="485"/>
      <c r="K15" s="485"/>
      <c r="L15" s="485"/>
      <c r="M15" s="485"/>
      <c r="N15" s="485"/>
      <c r="O15" s="485"/>
      <c r="P15" s="485"/>
      <c r="Q15" s="485"/>
      <c r="R15" s="485"/>
      <c r="S15" s="485"/>
      <c r="T15" s="485"/>
      <c r="U15" s="485"/>
      <c r="V15" s="485"/>
      <c r="W15" s="485"/>
      <c r="X15" s="485"/>
      <c r="Y15" s="485"/>
      <c r="Z15" s="485"/>
    </row>
    <row r="16" ht="12.0" customHeight="1">
      <c r="A16" s="504" t="s">
        <v>774</v>
      </c>
      <c r="B16" s="491">
        <v>43031.0</v>
      </c>
      <c r="C16" s="491">
        <v>43032.0</v>
      </c>
      <c r="D16" s="492" t="s">
        <v>990</v>
      </c>
      <c r="E16" s="492" t="s">
        <v>85</v>
      </c>
      <c r="F16" s="485"/>
      <c r="G16" s="485"/>
      <c r="H16" s="485"/>
      <c r="I16" s="485"/>
      <c r="J16" s="485"/>
      <c r="K16" s="485"/>
      <c r="L16" s="485"/>
      <c r="M16" s="485"/>
      <c r="N16" s="485"/>
      <c r="O16" s="485"/>
      <c r="P16" s="485"/>
      <c r="Q16" s="485"/>
      <c r="R16" s="485"/>
      <c r="S16" s="485"/>
      <c r="T16" s="485"/>
      <c r="U16" s="485"/>
      <c r="V16" s="485"/>
      <c r="W16" s="485"/>
      <c r="X16" s="485"/>
      <c r="Y16" s="485"/>
      <c r="Z16" s="485"/>
    </row>
    <row r="17" ht="12.0" customHeight="1">
      <c r="A17" s="505" t="s">
        <v>237</v>
      </c>
      <c r="B17" s="497">
        <v>43041.0</v>
      </c>
      <c r="C17" s="497">
        <v>43042.0</v>
      </c>
      <c r="D17" s="498" t="s">
        <v>982</v>
      </c>
      <c r="E17" s="498" t="s">
        <v>85</v>
      </c>
      <c r="F17" s="485"/>
      <c r="G17" s="485"/>
      <c r="H17" s="485"/>
      <c r="I17" s="485"/>
      <c r="J17" s="485"/>
      <c r="K17" s="485"/>
      <c r="L17" s="485"/>
      <c r="M17" s="485"/>
      <c r="N17" s="485"/>
      <c r="O17" s="485"/>
      <c r="P17" s="485"/>
      <c r="Q17" s="485"/>
      <c r="R17" s="485"/>
      <c r="S17" s="485"/>
      <c r="T17" s="485"/>
      <c r="U17" s="485"/>
      <c r="V17" s="485"/>
      <c r="W17" s="485"/>
      <c r="X17" s="485"/>
      <c r="Y17" s="485"/>
      <c r="Z17" s="485"/>
    </row>
    <row r="18" ht="12.0" customHeight="1">
      <c r="A18" s="506" t="s">
        <v>117</v>
      </c>
      <c r="B18" s="500">
        <v>43171.0</v>
      </c>
      <c r="C18" s="500">
        <v>43173.0</v>
      </c>
      <c r="D18" s="501" t="s">
        <v>982</v>
      </c>
      <c r="E18" s="502" t="s">
        <v>85</v>
      </c>
      <c r="F18" s="485"/>
      <c r="G18" s="485"/>
      <c r="H18" s="485"/>
      <c r="I18" s="485"/>
      <c r="J18" s="485"/>
      <c r="K18" s="485"/>
      <c r="L18" s="485"/>
      <c r="M18" s="485"/>
      <c r="N18" s="485"/>
      <c r="O18" s="485"/>
      <c r="P18" s="485"/>
      <c r="Q18" s="485"/>
      <c r="R18" s="485"/>
      <c r="S18" s="485"/>
      <c r="T18" s="485"/>
      <c r="U18" s="485"/>
      <c r="V18" s="485"/>
      <c r="W18" s="485"/>
      <c r="X18" s="485"/>
      <c r="Y18" s="485"/>
      <c r="Z18" s="485"/>
    </row>
    <row r="19" ht="12.0" customHeight="1">
      <c r="A19" s="133" t="s">
        <v>706</v>
      </c>
      <c r="B19" s="491">
        <v>43223.0</v>
      </c>
      <c r="C19" s="491">
        <v>43224.0</v>
      </c>
      <c r="D19" s="492" t="s">
        <v>990</v>
      </c>
      <c r="E19" s="492" t="s">
        <v>85</v>
      </c>
      <c r="F19" s="485"/>
      <c r="G19" s="485"/>
      <c r="H19" s="485"/>
      <c r="I19" s="485"/>
      <c r="J19" s="485"/>
      <c r="K19" s="485"/>
      <c r="L19" s="485"/>
      <c r="M19" s="485"/>
      <c r="N19" s="485"/>
      <c r="O19" s="485"/>
      <c r="P19" s="485"/>
      <c r="Q19" s="485"/>
      <c r="R19" s="485"/>
      <c r="S19" s="485"/>
      <c r="T19" s="485"/>
      <c r="U19" s="485"/>
      <c r="V19" s="485"/>
      <c r="W19" s="485"/>
      <c r="X19" s="485"/>
      <c r="Y19" s="485"/>
      <c r="Z19" s="485"/>
    </row>
    <row r="20" ht="12.0" customHeight="1">
      <c r="A20" s="133" t="s">
        <v>422</v>
      </c>
      <c r="B20" s="491">
        <v>43227.0</v>
      </c>
      <c r="C20" s="491">
        <v>43228.0</v>
      </c>
      <c r="D20" s="492" t="s">
        <v>982</v>
      </c>
      <c r="E20" s="492" t="s">
        <v>85</v>
      </c>
      <c r="F20" s="485"/>
      <c r="G20" s="485"/>
      <c r="H20" s="485"/>
      <c r="I20" s="485"/>
      <c r="J20" s="485"/>
      <c r="K20" s="485"/>
      <c r="L20" s="485"/>
      <c r="M20" s="485"/>
      <c r="N20" s="485"/>
      <c r="O20" s="485"/>
      <c r="P20" s="485"/>
      <c r="Q20" s="485"/>
      <c r="R20" s="485"/>
      <c r="S20" s="485"/>
      <c r="T20" s="485"/>
      <c r="U20" s="485"/>
      <c r="V20" s="485"/>
      <c r="W20" s="485"/>
      <c r="X20" s="485"/>
      <c r="Y20" s="485"/>
      <c r="Z20" s="485"/>
    </row>
    <row r="21" ht="12.0" customHeight="1">
      <c r="A21" s="133" t="s">
        <v>714</v>
      </c>
      <c r="B21" s="491">
        <v>43271.0</v>
      </c>
      <c r="C21" s="491">
        <v>43273.0</v>
      </c>
      <c r="D21" s="492" t="s">
        <v>982</v>
      </c>
      <c r="E21" s="492" t="s">
        <v>85</v>
      </c>
      <c r="F21" s="485"/>
      <c r="G21" s="485"/>
      <c r="H21" s="485"/>
      <c r="I21" s="485"/>
      <c r="J21" s="485"/>
      <c r="K21" s="485"/>
      <c r="L21" s="485"/>
      <c r="M21" s="485"/>
      <c r="N21" s="485"/>
      <c r="O21" s="485"/>
      <c r="P21" s="485"/>
      <c r="Q21" s="485"/>
      <c r="R21" s="485"/>
      <c r="S21" s="485"/>
      <c r="T21" s="485"/>
      <c r="U21" s="485"/>
      <c r="V21" s="485"/>
      <c r="W21" s="485"/>
      <c r="X21" s="485"/>
      <c r="Y21" s="485"/>
      <c r="Z21" s="485"/>
    </row>
    <row r="22" ht="12.0" customHeight="1">
      <c r="A22" s="133" t="s">
        <v>585</v>
      </c>
      <c r="B22" s="491">
        <v>43370.0</v>
      </c>
      <c r="C22" s="491">
        <v>43371.0</v>
      </c>
      <c r="D22" s="492" t="s">
        <v>982</v>
      </c>
      <c r="E22" s="492" t="s">
        <v>85</v>
      </c>
      <c r="F22" s="485"/>
      <c r="G22" s="485"/>
      <c r="H22" s="485"/>
      <c r="I22" s="485"/>
      <c r="J22" s="485"/>
      <c r="K22" s="485"/>
      <c r="L22" s="485"/>
      <c r="M22" s="485"/>
      <c r="N22" s="485"/>
      <c r="O22" s="485"/>
      <c r="P22" s="485"/>
      <c r="Q22" s="485"/>
      <c r="R22" s="485"/>
      <c r="S22" s="485"/>
      <c r="T22" s="485"/>
      <c r="U22" s="485"/>
      <c r="V22" s="485"/>
      <c r="W22" s="485"/>
      <c r="X22" s="485"/>
      <c r="Y22" s="485"/>
      <c r="Z22" s="485"/>
    </row>
    <row r="23" ht="12.0" customHeight="1">
      <c r="A23" s="493" t="s">
        <v>762</v>
      </c>
      <c r="B23" s="494">
        <v>43416.0</v>
      </c>
      <c r="C23" s="494">
        <v>43418.0</v>
      </c>
      <c r="D23" s="495" t="s">
        <v>991</v>
      </c>
      <c r="E23" s="492" t="s">
        <v>85</v>
      </c>
      <c r="F23" s="485"/>
      <c r="G23" s="485"/>
      <c r="H23" s="485"/>
      <c r="I23" s="485"/>
      <c r="J23" s="485"/>
      <c r="K23" s="485"/>
      <c r="L23" s="485"/>
      <c r="M23" s="485"/>
      <c r="N23" s="485"/>
      <c r="O23" s="485"/>
      <c r="P23" s="485"/>
      <c r="Q23" s="485"/>
      <c r="R23" s="485"/>
      <c r="S23" s="485"/>
      <c r="T23" s="485"/>
      <c r="U23" s="485"/>
      <c r="V23" s="485"/>
      <c r="W23" s="485"/>
      <c r="X23" s="485"/>
      <c r="Y23" s="485"/>
      <c r="Z23" s="485"/>
    </row>
    <row r="24" ht="12.0" customHeight="1">
      <c r="A24" s="507" t="s">
        <v>992</v>
      </c>
      <c r="B24" s="508">
        <v>43418.0</v>
      </c>
      <c r="C24" s="508">
        <v>43420.0</v>
      </c>
      <c r="D24" s="509" t="s">
        <v>993</v>
      </c>
      <c r="E24" s="498" t="s">
        <v>85</v>
      </c>
      <c r="F24" s="485"/>
      <c r="G24" s="485"/>
      <c r="H24" s="485"/>
      <c r="I24" s="485"/>
      <c r="J24" s="485"/>
      <c r="K24" s="485"/>
      <c r="L24" s="485"/>
      <c r="M24" s="485"/>
      <c r="N24" s="485"/>
      <c r="O24" s="485"/>
      <c r="P24" s="485"/>
      <c r="Q24" s="485"/>
      <c r="R24" s="485"/>
      <c r="S24" s="485"/>
      <c r="T24" s="485"/>
      <c r="U24" s="485"/>
      <c r="V24" s="485"/>
      <c r="W24" s="485"/>
      <c r="X24" s="485"/>
      <c r="Y24" s="485"/>
      <c r="Z24" s="485"/>
    </row>
    <row r="25" ht="12.0" customHeight="1">
      <c r="A25" s="510" t="s">
        <v>131</v>
      </c>
      <c r="B25" s="511">
        <v>43537.0</v>
      </c>
      <c r="C25" s="511">
        <v>43539.0</v>
      </c>
      <c r="D25" s="502" t="s">
        <v>990</v>
      </c>
      <c r="E25" s="502" t="s">
        <v>85</v>
      </c>
      <c r="F25" s="485"/>
      <c r="G25" s="485"/>
      <c r="H25" s="485"/>
      <c r="I25" s="485"/>
      <c r="J25" s="485"/>
      <c r="K25" s="485"/>
      <c r="L25" s="485"/>
      <c r="M25" s="485"/>
      <c r="N25" s="485"/>
      <c r="O25" s="485"/>
      <c r="P25" s="485"/>
      <c r="Q25" s="485"/>
      <c r="R25" s="485"/>
      <c r="S25" s="485"/>
      <c r="T25" s="485"/>
      <c r="U25" s="485"/>
      <c r="V25" s="485"/>
      <c r="W25" s="485"/>
      <c r="X25" s="485"/>
      <c r="Y25" s="485"/>
      <c r="Z25" s="485"/>
    </row>
    <row r="26" ht="12.0" customHeight="1">
      <c r="A26" s="133" t="s">
        <v>731</v>
      </c>
      <c r="B26" s="491">
        <v>43544.0</v>
      </c>
      <c r="C26" s="491">
        <v>43546.0</v>
      </c>
      <c r="D26" s="492" t="s">
        <v>990</v>
      </c>
      <c r="E26" s="492" t="s">
        <v>85</v>
      </c>
      <c r="F26" s="485"/>
      <c r="G26" s="485"/>
      <c r="H26" s="485"/>
      <c r="I26" s="485"/>
      <c r="J26" s="485"/>
      <c r="K26" s="485"/>
      <c r="L26" s="485"/>
      <c r="M26" s="485"/>
      <c r="N26" s="485"/>
      <c r="O26" s="485"/>
      <c r="P26" s="485"/>
      <c r="Q26" s="485"/>
      <c r="R26" s="485"/>
      <c r="S26" s="485"/>
      <c r="T26" s="485"/>
      <c r="U26" s="485"/>
      <c r="V26" s="485"/>
      <c r="W26" s="485"/>
      <c r="X26" s="485"/>
      <c r="Y26" s="485"/>
      <c r="Z26" s="485"/>
    </row>
    <row r="27" ht="12.0" customHeight="1">
      <c r="A27" s="133" t="s">
        <v>724</v>
      </c>
      <c r="B27" s="491">
        <v>43608.0</v>
      </c>
      <c r="C27" s="491">
        <v>43610.0</v>
      </c>
      <c r="D27" s="492" t="s">
        <v>982</v>
      </c>
      <c r="E27" s="492" t="s">
        <v>85</v>
      </c>
      <c r="F27" s="485"/>
      <c r="G27" s="485"/>
      <c r="H27" s="485"/>
      <c r="I27" s="485"/>
      <c r="J27" s="485"/>
      <c r="K27" s="485"/>
      <c r="L27" s="485"/>
      <c r="M27" s="485"/>
      <c r="N27" s="485"/>
      <c r="O27" s="485"/>
      <c r="P27" s="485"/>
      <c r="Q27" s="485"/>
      <c r="R27" s="485"/>
      <c r="S27" s="485"/>
      <c r="T27" s="485"/>
      <c r="U27" s="485"/>
      <c r="V27" s="485"/>
      <c r="W27" s="485"/>
      <c r="X27" s="485"/>
      <c r="Y27" s="485"/>
      <c r="Z27" s="485"/>
    </row>
    <row r="28" ht="12.0" customHeight="1">
      <c r="A28" s="133" t="s">
        <v>217</v>
      </c>
      <c r="B28" s="491">
        <v>43726.0</v>
      </c>
      <c r="C28" s="491">
        <v>43728.0</v>
      </c>
      <c r="D28" s="492" t="s">
        <v>990</v>
      </c>
      <c r="E28" s="492" t="s">
        <v>85</v>
      </c>
      <c r="F28" s="485"/>
      <c r="G28" s="485"/>
      <c r="H28" s="485"/>
      <c r="I28" s="485"/>
      <c r="J28" s="485"/>
      <c r="K28" s="485"/>
      <c r="L28" s="485"/>
      <c r="M28" s="485"/>
      <c r="N28" s="485"/>
      <c r="O28" s="485"/>
      <c r="P28" s="485"/>
      <c r="Q28" s="485"/>
      <c r="R28" s="485"/>
      <c r="S28" s="485"/>
      <c r="T28" s="485"/>
      <c r="U28" s="485"/>
      <c r="V28" s="485"/>
      <c r="W28" s="485"/>
      <c r="X28" s="485"/>
      <c r="Y28" s="485"/>
      <c r="Z28" s="485"/>
    </row>
    <row r="29" ht="12.0" customHeight="1">
      <c r="A29" s="493" t="s">
        <v>351</v>
      </c>
      <c r="B29" s="494">
        <v>43782.0</v>
      </c>
      <c r="C29" s="494">
        <v>43784.0</v>
      </c>
      <c r="D29" s="495" t="s">
        <v>994</v>
      </c>
      <c r="E29" s="492" t="s">
        <v>85</v>
      </c>
      <c r="F29" s="485"/>
      <c r="G29" s="485"/>
      <c r="H29" s="485"/>
      <c r="I29" s="485"/>
      <c r="J29" s="485"/>
      <c r="K29" s="485"/>
      <c r="L29" s="485"/>
      <c r="M29" s="485"/>
      <c r="N29" s="485"/>
      <c r="O29" s="485"/>
      <c r="P29" s="485"/>
      <c r="Q29" s="485"/>
      <c r="R29" s="485"/>
      <c r="S29" s="485"/>
      <c r="T29" s="485"/>
      <c r="U29" s="485"/>
      <c r="V29" s="485"/>
      <c r="W29" s="485"/>
      <c r="X29" s="485"/>
      <c r="Y29" s="485"/>
      <c r="Z29" s="485"/>
    </row>
    <row r="30" ht="12.0" customHeight="1">
      <c r="A30" s="133" t="s">
        <v>440</v>
      </c>
      <c r="B30" s="491">
        <v>43783.0</v>
      </c>
      <c r="C30" s="491">
        <v>43785.0</v>
      </c>
      <c r="D30" s="492" t="s">
        <v>990</v>
      </c>
      <c r="E30" s="492" t="s">
        <v>85</v>
      </c>
      <c r="F30" s="485"/>
      <c r="G30" s="485"/>
      <c r="H30" s="485"/>
      <c r="I30" s="485"/>
      <c r="J30" s="485"/>
      <c r="K30" s="485"/>
      <c r="L30" s="485"/>
      <c r="M30" s="485"/>
      <c r="N30" s="485"/>
      <c r="O30" s="485"/>
      <c r="P30" s="485"/>
      <c r="Q30" s="485"/>
      <c r="R30" s="485"/>
      <c r="S30" s="485"/>
      <c r="T30" s="485"/>
      <c r="U30" s="485"/>
      <c r="V30" s="485"/>
      <c r="W30" s="485"/>
      <c r="X30" s="485"/>
      <c r="Y30" s="485"/>
      <c r="Z30" s="485"/>
    </row>
    <row r="31" ht="12.0" customHeight="1">
      <c r="A31" s="496" t="s">
        <v>260</v>
      </c>
      <c r="B31" s="497">
        <v>43795.0</v>
      </c>
      <c r="C31" s="497">
        <v>43796.0</v>
      </c>
      <c r="D31" s="498" t="s">
        <v>982</v>
      </c>
      <c r="E31" s="498" t="s">
        <v>85</v>
      </c>
      <c r="F31" s="485"/>
      <c r="G31" s="485"/>
      <c r="H31" s="485"/>
      <c r="I31" s="485"/>
      <c r="J31" s="485"/>
      <c r="K31" s="485"/>
      <c r="L31" s="485"/>
      <c r="M31" s="485"/>
      <c r="N31" s="485"/>
      <c r="O31" s="485"/>
      <c r="P31" s="485"/>
      <c r="Q31" s="485"/>
      <c r="R31" s="485"/>
      <c r="S31" s="485"/>
      <c r="T31" s="485"/>
      <c r="U31" s="485"/>
      <c r="V31" s="485"/>
      <c r="W31" s="485"/>
      <c r="X31" s="485"/>
      <c r="Y31" s="485"/>
      <c r="Z31" s="485"/>
    </row>
    <row r="32" ht="12.0" customHeight="1">
      <c r="A32" s="512" t="s">
        <v>972</v>
      </c>
      <c r="B32" s="513">
        <v>44091.0</v>
      </c>
      <c r="C32" s="513">
        <v>44093.0</v>
      </c>
      <c r="D32" s="492" t="s">
        <v>982</v>
      </c>
      <c r="E32" s="502" t="s">
        <v>638</v>
      </c>
      <c r="F32" s="485"/>
      <c r="G32" s="485"/>
      <c r="H32" s="485"/>
      <c r="I32" s="485"/>
      <c r="J32" s="485"/>
      <c r="K32" s="485"/>
      <c r="L32" s="485"/>
      <c r="M32" s="485"/>
      <c r="N32" s="485"/>
      <c r="O32" s="485"/>
      <c r="P32" s="485"/>
      <c r="Q32" s="485"/>
      <c r="R32" s="485"/>
      <c r="S32" s="485"/>
      <c r="T32" s="485"/>
      <c r="U32" s="485"/>
      <c r="V32" s="485"/>
      <c r="W32" s="485"/>
      <c r="X32" s="485"/>
      <c r="Y32" s="485"/>
      <c r="Z32" s="485"/>
    </row>
    <row r="33" ht="12.0" customHeight="1">
      <c r="A33" s="512" t="s">
        <v>742</v>
      </c>
      <c r="B33" s="513">
        <v>44098.0</v>
      </c>
      <c r="C33" s="513">
        <v>44099.0</v>
      </c>
      <c r="D33" s="492" t="s">
        <v>982</v>
      </c>
      <c r="E33" s="492" t="s">
        <v>638</v>
      </c>
      <c r="F33" s="485"/>
      <c r="G33" s="485"/>
      <c r="H33" s="485"/>
      <c r="I33" s="485"/>
      <c r="J33" s="485"/>
      <c r="K33" s="485"/>
      <c r="L33" s="485"/>
      <c r="M33" s="485"/>
      <c r="N33" s="485"/>
      <c r="O33" s="485"/>
      <c r="P33" s="485"/>
      <c r="Q33" s="485"/>
      <c r="R33" s="485"/>
      <c r="S33" s="485"/>
      <c r="T33" s="485"/>
      <c r="U33" s="485"/>
      <c r="V33" s="485"/>
      <c r="W33" s="485"/>
      <c r="X33" s="485"/>
      <c r="Y33" s="485"/>
      <c r="Z33" s="485"/>
    </row>
    <row r="34" ht="12.0" customHeight="1">
      <c r="A34" s="512" t="s">
        <v>995</v>
      </c>
      <c r="B34" s="513">
        <v>44111.0</v>
      </c>
      <c r="C34" s="513">
        <v>44113.0</v>
      </c>
      <c r="D34" s="492" t="s">
        <v>982</v>
      </c>
      <c r="E34" s="492" t="s">
        <v>638</v>
      </c>
      <c r="F34" s="485"/>
      <c r="G34" s="485"/>
      <c r="H34" s="485"/>
      <c r="I34" s="485"/>
      <c r="J34" s="485"/>
      <c r="K34" s="485"/>
      <c r="L34" s="485"/>
      <c r="M34" s="485"/>
      <c r="N34" s="485"/>
      <c r="O34" s="485"/>
      <c r="P34" s="485"/>
      <c r="Q34" s="485"/>
      <c r="R34" s="485"/>
      <c r="S34" s="485"/>
      <c r="T34" s="485"/>
      <c r="U34" s="485"/>
      <c r="V34" s="485"/>
      <c r="W34" s="485"/>
      <c r="X34" s="485"/>
      <c r="Y34" s="485"/>
      <c r="Z34" s="485"/>
    </row>
    <row r="35" ht="12.0" customHeight="1">
      <c r="A35" s="512" t="s">
        <v>476</v>
      </c>
      <c r="B35" s="513">
        <v>44126.0</v>
      </c>
      <c r="C35" s="513">
        <v>44127.0</v>
      </c>
      <c r="D35" s="492" t="s">
        <v>982</v>
      </c>
      <c r="E35" s="492" t="s">
        <v>638</v>
      </c>
      <c r="F35" s="485"/>
      <c r="G35" s="485"/>
      <c r="H35" s="485"/>
      <c r="I35" s="485"/>
      <c r="J35" s="485"/>
      <c r="K35" s="485"/>
      <c r="L35" s="485"/>
      <c r="M35" s="485"/>
      <c r="N35" s="485"/>
      <c r="O35" s="485"/>
      <c r="P35" s="485"/>
      <c r="Q35" s="485"/>
      <c r="R35" s="485"/>
      <c r="S35" s="485"/>
      <c r="T35" s="485"/>
      <c r="U35" s="485"/>
      <c r="V35" s="485"/>
      <c r="W35" s="485"/>
      <c r="X35" s="485"/>
      <c r="Y35" s="485"/>
      <c r="Z35" s="485"/>
    </row>
    <row r="36" ht="12.0" customHeight="1">
      <c r="A36" s="514" t="s">
        <v>532</v>
      </c>
      <c r="B36" s="515">
        <v>44131.0</v>
      </c>
      <c r="C36" s="515">
        <v>44131.0</v>
      </c>
      <c r="D36" s="509" t="s">
        <v>996</v>
      </c>
      <c r="E36" s="498" t="s">
        <v>638</v>
      </c>
      <c r="F36" s="485"/>
      <c r="G36" s="485"/>
      <c r="H36" s="485"/>
      <c r="I36" s="485"/>
      <c r="J36" s="485"/>
      <c r="K36" s="485"/>
      <c r="L36" s="485"/>
      <c r="M36" s="485"/>
      <c r="N36" s="485"/>
      <c r="O36" s="485"/>
      <c r="P36" s="485"/>
      <c r="Q36" s="485"/>
      <c r="R36" s="485"/>
      <c r="S36" s="485"/>
      <c r="T36" s="485"/>
      <c r="U36" s="485"/>
      <c r="V36" s="485"/>
      <c r="W36" s="485"/>
      <c r="X36" s="485"/>
      <c r="Y36" s="485"/>
      <c r="Z36" s="485"/>
    </row>
    <row r="37" ht="12.0" customHeight="1">
      <c r="A37" s="512" t="s">
        <v>467</v>
      </c>
      <c r="B37" s="513">
        <v>44301.0</v>
      </c>
      <c r="C37" s="513">
        <v>44302.0</v>
      </c>
      <c r="D37" s="492" t="s">
        <v>990</v>
      </c>
      <c r="E37" s="502" t="s">
        <v>638</v>
      </c>
      <c r="F37" s="485"/>
      <c r="G37" s="485"/>
      <c r="H37" s="485"/>
      <c r="I37" s="485"/>
      <c r="J37" s="485"/>
      <c r="K37" s="485"/>
      <c r="L37" s="485"/>
      <c r="M37" s="485"/>
      <c r="N37" s="485"/>
      <c r="O37" s="485"/>
      <c r="P37" s="485"/>
      <c r="Q37" s="485"/>
      <c r="R37" s="485"/>
      <c r="S37" s="485"/>
      <c r="T37" s="485"/>
      <c r="U37" s="485"/>
      <c r="V37" s="485"/>
      <c r="W37" s="485"/>
      <c r="X37" s="485"/>
      <c r="Y37" s="485"/>
      <c r="Z37" s="485"/>
    </row>
    <row r="38" ht="12.0" customHeight="1">
      <c r="A38" s="512" t="s">
        <v>648</v>
      </c>
      <c r="B38" s="513">
        <v>44357.0</v>
      </c>
      <c r="C38" s="513">
        <v>44358.0</v>
      </c>
      <c r="D38" s="492" t="s">
        <v>982</v>
      </c>
      <c r="E38" s="492" t="s">
        <v>638</v>
      </c>
      <c r="F38" s="485"/>
      <c r="G38" s="485"/>
      <c r="H38" s="485"/>
      <c r="I38" s="485"/>
      <c r="J38" s="485"/>
      <c r="K38" s="485"/>
      <c r="L38" s="485"/>
      <c r="M38" s="485"/>
      <c r="N38" s="485"/>
      <c r="O38" s="485"/>
      <c r="P38" s="485"/>
      <c r="Q38" s="485"/>
      <c r="R38" s="485"/>
      <c r="S38" s="485"/>
      <c r="T38" s="485"/>
      <c r="U38" s="485"/>
      <c r="V38" s="485"/>
      <c r="W38" s="485"/>
      <c r="X38" s="485"/>
      <c r="Y38" s="485"/>
      <c r="Z38" s="485"/>
    </row>
    <row r="39" ht="12.0" customHeight="1">
      <c r="A39" s="512" t="s">
        <v>484</v>
      </c>
      <c r="B39" s="513">
        <v>44362.0</v>
      </c>
      <c r="C39" s="513">
        <v>44363.0</v>
      </c>
      <c r="D39" s="492" t="s">
        <v>990</v>
      </c>
      <c r="E39" s="492" t="s">
        <v>638</v>
      </c>
      <c r="F39" s="485"/>
      <c r="G39" s="485"/>
      <c r="H39" s="485"/>
      <c r="I39" s="485"/>
      <c r="J39" s="485"/>
      <c r="K39" s="485"/>
      <c r="L39" s="485"/>
      <c r="M39" s="485"/>
      <c r="N39" s="485"/>
      <c r="O39" s="485"/>
      <c r="P39" s="485"/>
      <c r="Q39" s="485"/>
      <c r="R39" s="485"/>
      <c r="S39" s="485"/>
      <c r="T39" s="485"/>
      <c r="U39" s="485"/>
      <c r="V39" s="485"/>
      <c r="W39" s="485"/>
      <c r="X39" s="485"/>
      <c r="Y39" s="485"/>
      <c r="Z39" s="485"/>
    </row>
    <row r="40" ht="12.0" customHeight="1">
      <c r="A40" s="512" t="s">
        <v>510</v>
      </c>
      <c r="B40" s="513">
        <v>44368.0</v>
      </c>
      <c r="C40" s="513">
        <v>44369.0</v>
      </c>
      <c r="D40" s="492" t="s">
        <v>990</v>
      </c>
      <c r="E40" s="492" t="s">
        <v>638</v>
      </c>
      <c r="F40" s="485"/>
      <c r="G40" s="485"/>
      <c r="H40" s="485"/>
      <c r="I40" s="485"/>
      <c r="J40" s="485"/>
      <c r="K40" s="485"/>
      <c r="L40" s="485"/>
      <c r="M40" s="485"/>
      <c r="N40" s="485"/>
      <c r="O40" s="485"/>
      <c r="P40" s="485"/>
      <c r="Q40" s="485"/>
      <c r="R40" s="485"/>
      <c r="S40" s="485"/>
      <c r="T40" s="485"/>
      <c r="U40" s="485"/>
      <c r="V40" s="485"/>
      <c r="W40" s="485"/>
      <c r="X40" s="485"/>
      <c r="Y40" s="485"/>
      <c r="Z40" s="485"/>
    </row>
    <row r="41" ht="12.0" customHeight="1">
      <c r="A41" s="512" t="s">
        <v>492</v>
      </c>
      <c r="B41" s="513">
        <v>44371.0</v>
      </c>
      <c r="C41" s="513">
        <v>44372.0</v>
      </c>
      <c r="D41" s="492" t="s">
        <v>990</v>
      </c>
      <c r="E41" s="492" t="s">
        <v>638</v>
      </c>
      <c r="F41" s="485"/>
      <c r="G41" s="485"/>
      <c r="H41" s="485"/>
      <c r="I41" s="485"/>
      <c r="J41" s="485"/>
      <c r="K41" s="485"/>
      <c r="L41" s="485"/>
      <c r="M41" s="485"/>
      <c r="N41" s="485"/>
      <c r="O41" s="485"/>
      <c r="P41" s="485"/>
      <c r="Q41" s="485"/>
      <c r="R41" s="485"/>
      <c r="S41" s="485"/>
      <c r="T41" s="485"/>
      <c r="U41" s="485"/>
      <c r="V41" s="485"/>
      <c r="W41" s="485"/>
      <c r="X41" s="485"/>
      <c r="Y41" s="485"/>
      <c r="Z41" s="485"/>
    </row>
    <row r="42" ht="12.0" customHeight="1">
      <c r="A42" s="512" t="s">
        <v>101</v>
      </c>
      <c r="B42" s="513">
        <v>44462.0</v>
      </c>
      <c r="C42" s="513">
        <v>44463.0</v>
      </c>
      <c r="D42" s="492" t="s">
        <v>990</v>
      </c>
      <c r="E42" s="492" t="s">
        <v>638</v>
      </c>
      <c r="F42" s="485"/>
      <c r="G42" s="485"/>
      <c r="H42" s="485"/>
      <c r="I42" s="485"/>
      <c r="J42" s="485"/>
      <c r="K42" s="485"/>
      <c r="L42" s="485"/>
      <c r="M42" s="485"/>
      <c r="N42" s="485"/>
      <c r="O42" s="485"/>
      <c r="P42" s="485"/>
      <c r="Q42" s="485"/>
      <c r="R42" s="485"/>
      <c r="S42" s="485"/>
      <c r="T42" s="485"/>
      <c r="U42" s="485"/>
      <c r="V42" s="485"/>
      <c r="W42" s="485"/>
      <c r="X42" s="485"/>
      <c r="Y42" s="485"/>
      <c r="Z42" s="485"/>
    </row>
    <row r="43" ht="12.0" customHeight="1">
      <c r="A43" s="512" t="s">
        <v>517</v>
      </c>
      <c r="B43" s="513">
        <v>44504.0</v>
      </c>
      <c r="C43" s="513">
        <v>44506.0</v>
      </c>
      <c r="D43" s="492" t="s">
        <v>990</v>
      </c>
      <c r="E43" s="492" t="s">
        <v>638</v>
      </c>
      <c r="F43" s="485"/>
      <c r="G43" s="485"/>
      <c r="H43" s="485"/>
      <c r="I43" s="485"/>
      <c r="J43" s="485"/>
      <c r="K43" s="485"/>
      <c r="L43" s="485"/>
      <c r="M43" s="485"/>
      <c r="N43" s="485"/>
      <c r="O43" s="485"/>
      <c r="P43" s="485"/>
      <c r="Q43" s="485"/>
      <c r="R43" s="485"/>
      <c r="S43" s="485"/>
      <c r="T43" s="485"/>
      <c r="U43" s="485"/>
      <c r="V43" s="485"/>
      <c r="W43" s="485"/>
      <c r="X43" s="485"/>
      <c r="Y43" s="485"/>
      <c r="Z43" s="485"/>
    </row>
    <row r="44" ht="12.0" customHeight="1">
      <c r="A44" s="512" t="s">
        <v>109</v>
      </c>
      <c r="B44" s="513">
        <v>44508.0</v>
      </c>
      <c r="C44" s="513">
        <v>44510.0</v>
      </c>
      <c r="D44" s="492" t="s">
        <v>982</v>
      </c>
      <c r="E44" s="492" t="s">
        <v>638</v>
      </c>
      <c r="F44" s="485"/>
      <c r="G44" s="485"/>
      <c r="H44" s="485"/>
      <c r="I44" s="485"/>
      <c r="J44" s="485"/>
      <c r="K44" s="485"/>
      <c r="L44" s="485"/>
      <c r="M44" s="485"/>
      <c r="N44" s="485"/>
      <c r="O44" s="485"/>
      <c r="P44" s="485"/>
      <c r="Q44" s="485"/>
      <c r="R44" s="485"/>
      <c r="S44" s="485"/>
      <c r="T44" s="485"/>
      <c r="U44" s="485"/>
      <c r="V44" s="485"/>
      <c r="W44" s="485"/>
      <c r="X44" s="485"/>
      <c r="Y44" s="485"/>
      <c r="Z44" s="485"/>
    </row>
    <row r="45" ht="12.0" customHeight="1">
      <c r="A45" s="516" t="s">
        <v>997</v>
      </c>
      <c r="B45" s="517">
        <v>44516.0</v>
      </c>
      <c r="C45" s="517">
        <v>44517.0</v>
      </c>
      <c r="D45" s="495" t="s">
        <v>994</v>
      </c>
      <c r="E45" s="492" t="s">
        <v>638</v>
      </c>
      <c r="F45" s="485"/>
      <c r="G45" s="485"/>
      <c r="H45" s="485"/>
      <c r="I45" s="485"/>
      <c r="J45" s="485"/>
      <c r="K45" s="485"/>
      <c r="L45" s="485"/>
      <c r="M45" s="485"/>
      <c r="N45" s="485"/>
      <c r="O45" s="485"/>
      <c r="P45" s="485"/>
      <c r="Q45" s="485"/>
      <c r="R45" s="485"/>
      <c r="S45" s="485"/>
      <c r="T45" s="485"/>
      <c r="U45" s="485"/>
      <c r="V45" s="485"/>
      <c r="W45" s="485"/>
      <c r="X45" s="485"/>
      <c r="Y45" s="485"/>
      <c r="Z45" s="485"/>
    </row>
    <row r="46" ht="12.0" customHeight="1">
      <c r="A46" s="512" t="s">
        <v>310</v>
      </c>
      <c r="B46" s="513">
        <v>44518.0</v>
      </c>
      <c r="C46" s="513">
        <v>44519.0</v>
      </c>
      <c r="D46" s="492" t="s">
        <v>990</v>
      </c>
      <c r="E46" s="492" t="s">
        <v>638</v>
      </c>
      <c r="F46" s="485"/>
      <c r="G46" s="485"/>
      <c r="H46" s="485"/>
      <c r="I46" s="485"/>
      <c r="J46" s="485"/>
      <c r="K46" s="485"/>
      <c r="L46" s="485"/>
      <c r="M46" s="485"/>
      <c r="N46" s="485"/>
      <c r="O46" s="485"/>
      <c r="P46" s="485"/>
      <c r="Q46" s="485"/>
      <c r="R46" s="485"/>
      <c r="S46" s="485"/>
      <c r="T46" s="485"/>
      <c r="U46" s="485"/>
      <c r="V46" s="485"/>
      <c r="W46" s="485"/>
      <c r="X46" s="485"/>
      <c r="Y46" s="485"/>
      <c r="Z46" s="485"/>
    </row>
    <row r="47" ht="12.0" customHeight="1">
      <c r="A47" s="518" t="s">
        <v>998</v>
      </c>
      <c r="B47" s="519">
        <v>44522.0</v>
      </c>
      <c r="C47" s="519">
        <v>44523.0</v>
      </c>
      <c r="D47" s="509" t="s">
        <v>999</v>
      </c>
      <c r="E47" s="498" t="s">
        <v>85</v>
      </c>
      <c r="F47" s="485"/>
      <c r="G47" s="485"/>
      <c r="H47" s="485"/>
      <c r="I47" s="485"/>
      <c r="J47" s="485"/>
      <c r="K47" s="485"/>
      <c r="L47" s="485"/>
      <c r="M47" s="485"/>
      <c r="N47" s="485"/>
      <c r="O47" s="485"/>
      <c r="P47" s="485"/>
      <c r="Q47" s="485"/>
      <c r="R47" s="485"/>
      <c r="S47" s="485"/>
      <c r="T47" s="485"/>
      <c r="U47" s="485"/>
      <c r="V47" s="485"/>
      <c r="W47" s="485"/>
      <c r="X47" s="485"/>
      <c r="Y47" s="485"/>
      <c r="Z47" s="485"/>
    </row>
    <row r="48" ht="12.0" customHeight="1">
      <c r="A48" s="512" t="s">
        <v>975</v>
      </c>
      <c r="B48" s="513">
        <v>44655.0</v>
      </c>
      <c r="C48" s="520">
        <v>44656.0</v>
      </c>
      <c r="D48" s="492" t="s">
        <v>990</v>
      </c>
      <c r="E48" s="492" t="s">
        <v>638</v>
      </c>
      <c r="F48" s="485"/>
      <c r="G48" s="485"/>
      <c r="H48" s="485"/>
      <c r="I48" s="485"/>
      <c r="J48" s="485"/>
      <c r="K48" s="485"/>
      <c r="L48" s="485"/>
      <c r="M48" s="485"/>
      <c r="N48" s="485"/>
      <c r="O48" s="485"/>
      <c r="P48" s="485"/>
      <c r="Q48" s="485"/>
      <c r="R48" s="485"/>
      <c r="S48" s="485"/>
      <c r="T48" s="485"/>
      <c r="U48" s="485"/>
      <c r="V48" s="485"/>
      <c r="W48" s="485"/>
      <c r="X48" s="485"/>
      <c r="Y48" s="485"/>
      <c r="Z48" s="485"/>
    </row>
    <row r="49" ht="12.0" customHeight="1">
      <c r="A49" s="512" t="s">
        <v>237</v>
      </c>
      <c r="B49" s="513">
        <v>44658.0</v>
      </c>
      <c r="C49" s="520">
        <v>44659.0</v>
      </c>
      <c r="D49" s="492" t="s">
        <v>990</v>
      </c>
      <c r="E49" s="492" t="s">
        <v>638</v>
      </c>
      <c r="F49" s="485"/>
      <c r="G49" s="485"/>
      <c r="H49" s="485"/>
      <c r="I49" s="485"/>
      <c r="J49" s="485"/>
      <c r="K49" s="485"/>
      <c r="L49" s="485"/>
      <c r="M49" s="485"/>
      <c r="N49" s="485"/>
      <c r="O49" s="485"/>
      <c r="P49" s="485"/>
      <c r="Q49" s="485"/>
      <c r="R49" s="485"/>
      <c r="S49" s="485"/>
      <c r="T49" s="485"/>
      <c r="U49" s="485"/>
      <c r="V49" s="485"/>
      <c r="W49" s="485"/>
      <c r="X49" s="485"/>
      <c r="Y49" s="485"/>
      <c r="Z49" s="485"/>
    </row>
    <row r="50" ht="12.0" customHeight="1">
      <c r="A50" s="512" t="s">
        <v>381</v>
      </c>
      <c r="B50" s="513">
        <v>44669.0</v>
      </c>
      <c r="C50" s="520">
        <v>44670.0</v>
      </c>
      <c r="D50" s="492" t="s">
        <v>982</v>
      </c>
      <c r="E50" s="492" t="s">
        <v>638</v>
      </c>
      <c r="F50" s="485"/>
      <c r="G50" s="485"/>
      <c r="H50" s="485"/>
      <c r="I50" s="485"/>
      <c r="J50" s="485"/>
      <c r="K50" s="485"/>
      <c r="L50" s="485"/>
      <c r="M50" s="485"/>
      <c r="N50" s="485"/>
      <c r="O50" s="485"/>
      <c r="P50" s="485"/>
      <c r="Q50" s="485"/>
      <c r="R50" s="485"/>
      <c r="S50" s="485"/>
      <c r="T50" s="485"/>
      <c r="U50" s="485"/>
      <c r="V50" s="485"/>
      <c r="W50" s="485"/>
      <c r="X50" s="485"/>
      <c r="Y50" s="485"/>
      <c r="Z50" s="485"/>
    </row>
    <row r="51" ht="12.0" customHeight="1">
      <c r="A51" s="512" t="s">
        <v>285</v>
      </c>
      <c r="B51" s="513">
        <v>44679.0</v>
      </c>
      <c r="C51" s="520">
        <v>44680.0</v>
      </c>
      <c r="D51" s="492" t="s">
        <v>982</v>
      </c>
      <c r="E51" s="492" t="s">
        <v>85</v>
      </c>
      <c r="F51" s="485"/>
      <c r="G51" s="485"/>
      <c r="H51" s="485"/>
      <c r="I51" s="485"/>
      <c r="J51" s="485"/>
      <c r="K51" s="485"/>
      <c r="L51" s="485"/>
      <c r="M51" s="485"/>
      <c r="N51" s="485"/>
      <c r="O51" s="485"/>
      <c r="P51" s="485"/>
      <c r="Q51" s="485"/>
      <c r="R51" s="485"/>
      <c r="S51" s="485"/>
      <c r="T51" s="485"/>
      <c r="U51" s="485"/>
      <c r="V51" s="485"/>
      <c r="W51" s="485"/>
      <c r="X51" s="485"/>
      <c r="Y51" s="485"/>
      <c r="Z51" s="485"/>
    </row>
    <row r="52" ht="12.0" customHeight="1">
      <c r="A52" s="512" t="s">
        <v>392</v>
      </c>
      <c r="B52" s="513">
        <v>44683.0</v>
      </c>
      <c r="C52" s="520">
        <v>44684.0</v>
      </c>
      <c r="D52" s="492" t="s">
        <v>990</v>
      </c>
      <c r="E52" s="492" t="s">
        <v>638</v>
      </c>
      <c r="F52" s="485"/>
      <c r="G52" s="485"/>
      <c r="H52" s="485"/>
      <c r="I52" s="485"/>
      <c r="J52" s="485"/>
      <c r="K52" s="485"/>
      <c r="L52" s="485"/>
      <c r="M52" s="485"/>
      <c r="N52" s="485"/>
      <c r="O52" s="485"/>
      <c r="P52" s="485"/>
      <c r="Q52" s="485"/>
      <c r="R52" s="485"/>
      <c r="S52" s="485"/>
      <c r="T52" s="485"/>
      <c r="U52" s="485"/>
      <c r="V52" s="485"/>
      <c r="W52" s="485"/>
      <c r="X52" s="485"/>
      <c r="Y52" s="485"/>
      <c r="Z52" s="485"/>
    </row>
    <row r="53" ht="12.0" customHeight="1">
      <c r="A53" s="512" t="s">
        <v>117</v>
      </c>
      <c r="B53" s="513">
        <v>44686.0</v>
      </c>
      <c r="C53" s="520">
        <v>44687.0</v>
      </c>
      <c r="D53" s="492" t="s">
        <v>982</v>
      </c>
      <c r="E53" s="492" t="s">
        <v>638</v>
      </c>
      <c r="F53" s="485"/>
      <c r="G53" s="485"/>
      <c r="H53" s="485"/>
      <c r="I53" s="485"/>
      <c r="J53" s="485"/>
      <c r="K53" s="485"/>
      <c r="L53" s="485"/>
      <c r="M53" s="485"/>
      <c r="N53" s="485"/>
      <c r="O53" s="485"/>
      <c r="P53" s="485"/>
      <c r="Q53" s="485"/>
      <c r="R53" s="485"/>
      <c r="S53" s="485"/>
      <c r="T53" s="485"/>
      <c r="U53" s="485"/>
      <c r="V53" s="485"/>
      <c r="W53" s="485"/>
      <c r="X53" s="485"/>
      <c r="Y53" s="485"/>
      <c r="Z53" s="485"/>
    </row>
    <row r="54" ht="12.0" customHeight="1">
      <c r="A54" s="512" t="s">
        <v>1000</v>
      </c>
      <c r="B54" s="513">
        <v>44693.0</v>
      </c>
      <c r="C54" s="520">
        <v>44694.0</v>
      </c>
      <c r="D54" s="492" t="s">
        <v>982</v>
      </c>
      <c r="E54" s="492" t="s">
        <v>85</v>
      </c>
      <c r="F54" s="485"/>
      <c r="G54" s="485"/>
      <c r="H54" s="485"/>
      <c r="I54" s="485"/>
      <c r="J54" s="485"/>
      <c r="K54" s="485"/>
      <c r="L54" s="485"/>
      <c r="M54" s="485"/>
      <c r="N54" s="485"/>
      <c r="O54" s="485"/>
      <c r="P54" s="485"/>
      <c r="Q54" s="485"/>
      <c r="R54" s="485"/>
      <c r="S54" s="485"/>
      <c r="T54" s="485"/>
      <c r="U54" s="485"/>
      <c r="V54" s="485"/>
      <c r="W54" s="485"/>
      <c r="X54" s="485"/>
      <c r="Y54" s="485"/>
      <c r="Z54" s="485"/>
    </row>
    <row r="55" ht="12.0" customHeight="1">
      <c r="A55" s="512" t="s">
        <v>755</v>
      </c>
      <c r="B55" s="513">
        <v>44712.0</v>
      </c>
      <c r="C55" s="520">
        <v>44713.0</v>
      </c>
      <c r="D55" s="492" t="s">
        <v>982</v>
      </c>
      <c r="E55" s="492" t="s">
        <v>638</v>
      </c>
      <c r="F55" s="485"/>
      <c r="G55" s="485"/>
      <c r="H55" s="485"/>
      <c r="I55" s="485"/>
      <c r="J55" s="485"/>
      <c r="K55" s="485"/>
      <c r="L55" s="485"/>
      <c r="M55" s="485"/>
      <c r="N55" s="485"/>
      <c r="O55" s="485"/>
      <c r="P55" s="485"/>
      <c r="Q55" s="485"/>
      <c r="R55" s="485"/>
      <c r="S55" s="485"/>
      <c r="T55" s="485"/>
      <c r="U55" s="485"/>
      <c r="V55" s="485"/>
      <c r="W55" s="485"/>
      <c r="X55" s="485"/>
      <c r="Y55" s="485"/>
      <c r="Z55" s="485"/>
    </row>
    <row r="56" ht="12.0" customHeight="1">
      <c r="A56" s="512" t="s">
        <v>1001</v>
      </c>
      <c r="B56" s="513">
        <v>44718.0</v>
      </c>
      <c r="C56" s="520">
        <v>44719.0</v>
      </c>
      <c r="D56" s="492" t="s">
        <v>990</v>
      </c>
      <c r="E56" s="492" t="s">
        <v>638</v>
      </c>
      <c r="F56" s="485"/>
      <c r="G56" s="485"/>
      <c r="H56" s="485"/>
      <c r="I56" s="485"/>
      <c r="J56" s="485"/>
      <c r="K56" s="485"/>
      <c r="L56" s="485"/>
      <c r="M56" s="485"/>
      <c r="N56" s="485"/>
      <c r="O56" s="485"/>
      <c r="P56" s="485"/>
      <c r="Q56" s="485"/>
      <c r="R56" s="485"/>
      <c r="S56" s="485"/>
      <c r="T56" s="485"/>
      <c r="U56" s="485"/>
      <c r="V56" s="485"/>
      <c r="W56" s="485"/>
      <c r="X56" s="485"/>
      <c r="Y56" s="485"/>
      <c r="Z56" s="485"/>
    </row>
    <row r="57" ht="12.0" customHeight="1">
      <c r="A57" s="512" t="s">
        <v>768</v>
      </c>
      <c r="B57" s="513">
        <v>44753.0</v>
      </c>
      <c r="C57" s="520">
        <v>44754.0</v>
      </c>
      <c r="D57" s="492" t="s">
        <v>982</v>
      </c>
      <c r="E57" s="492" t="s">
        <v>638</v>
      </c>
      <c r="F57" s="485"/>
      <c r="G57" s="485"/>
      <c r="H57" s="485"/>
      <c r="I57" s="485"/>
      <c r="J57" s="485"/>
      <c r="K57" s="485"/>
      <c r="L57" s="485"/>
      <c r="M57" s="485"/>
      <c r="N57" s="485"/>
      <c r="O57" s="485"/>
      <c r="P57" s="485"/>
      <c r="Q57" s="485"/>
      <c r="R57" s="485"/>
      <c r="S57" s="485"/>
      <c r="T57" s="485"/>
      <c r="U57" s="485"/>
      <c r="V57" s="485"/>
      <c r="W57" s="485"/>
      <c r="X57" s="485"/>
      <c r="Y57" s="485"/>
      <c r="Z57" s="485"/>
    </row>
    <row r="58" ht="12.0" customHeight="1">
      <c r="A58" s="512" t="s">
        <v>762</v>
      </c>
      <c r="B58" s="513">
        <v>44756.0</v>
      </c>
      <c r="C58" s="520">
        <v>44757.0</v>
      </c>
      <c r="D58" s="492" t="s">
        <v>982</v>
      </c>
      <c r="E58" s="492" t="s">
        <v>638</v>
      </c>
      <c r="F58" s="485"/>
      <c r="G58" s="485"/>
      <c r="H58" s="485"/>
      <c r="I58" s="485"/>
      <c r="J58" s="485"/>
      <c r="K58" s="485"/>
      <c r="L58" s="485"/>
      <c r="M58" s="485"/>
      <c r="N58" s="485"/>
      <c r="O58" s="485"/>
      <c r="P58" s="485"/>
      <c r="Q58" s="485"/>
      <c r="R58" s="485"/>
      <c r="S58" s="485"/>
      <c r="T58" s="485"/>
      <c r="U58" s="485"/>
      <c r="V58" s="485"/>
      <c r="W58" s="485"/>
      <c r="X58" s="485"/>
      <c r="Y58" s="485"/>
      <c r="Z58" s="485"/>
    </row>
    <row r="59" ht="12.0" customHeight="1">
      <c r="A59" s="514" t="s">
        <v>532</v>
      </c>
      <c r="B59" s="515">
        <v>44900.0</v>
      </c>
      <c r="C59" s="521">
        <v>44902.0</v>
      </c>
      <c r="D59" s="498" t="s">
        <v>982</v>
      </c>
      <c r="E59" s="498" t="s">
        <v>85</v>
      </c>
      <c r="F59" s="485"/>
      <c r="G59" s="485"/>
      <c r="H59" s="485"/>
      <c r="I59" s="485"/>
      <c r="J59" s="485"/>
      <c r="K59" s="485"/>
      <c r="L59" s="485"/>
      <c r="M59" s="485"/>
      <c r="N59" s="485"/>
      <c r="O59" s="485"/>
      <c r="P59" s="485"/>
      <c r="Q59" s="485"/>
      <c r="R59" s="485"/>
      <c r="S59" s="485"/>
      <c r="T59" s="485"/>
      <c r="U59" s="485"/>
      <c r="V59" s="485"/>
      <c r="W59" s="485"/>
      <c r="X59" s="485"/>
      <c r="Y59" s="485"/>
      <c r="Z59" s="485"/>
    </row>
    <row r="60" ht="12.0" customHeight="1">
      <c r="A60" s="512" t="s">
        <v>548</v>
      </c>
      <c r="B60" s="513">
        <v>45112.0</v>
      </c>
      <c r="C60" s="520">
        <v>45114.0</v>
      </c>
      <c r="D60" s="502" t="s">
        <v>982</v>
      </c>
      <c r="E60" s="492" t="s">
        <v>85</v>
      </c>
      <c r="F60" s="485"/>
      <c r="G60" s="485"/>
      <c r="H60" s="485"/>
      <c r="I60" s="485"/>
      <c r="J60" s="485"/>
      <c r="K60" s="485"/>
      <c r="L60" s="485"/>
      <c r="M60" s="485"/>
      <c r="N60" s="485"/>
      <c r="O60" s="485"/>
      <c r="P60" s="485"/>
      <c r="Q60" s="485"/>
      <c r="R60" s="485"/>
      <c r="S60" s="485"/>
      <c r="T60" s="485"/>
      <c r="U60" s="485"/>
      <c r="V60" s="485"/>
      <c r="W60" s="485"/>
      <c r="X60" s="485"/>
      <c r="Y60" s="485"/>
      <c r="Z60" s="485"/>
    </row>
    <row r="61" ht="12.0" customHeight="1">
      <c r="A61" s="512" t="s">
        <v>559</v>
      </c>
      <c r="B61" s="513">
        <v>45139.0</v>
      </c>
      <c r="C61" s="520">
        <v>45141.0</v>
      </c>
      <c r="D61" s="492" t="s">
        <v>982</v>
      </c>
      <c r="E61" s="492" t="s">
        <v>85</v>
      </c>
      <c r="F61" s="485"/>
      <c r="G61" s="485"/>
      <c r="H61" s="485"/>
      <c r="I61" s="485"/>
      <c r="J61" s="485"/>
      <c r="K61" s="485"/>
      <c r="L61" s="485"/>
      <c r="M61" s="485"/>
      <c r="N61" s="485"/>
      <c r="O61" s="485"/>
      <c r="P61" s="485"/>
      <c r="Q61" s="485"/>
      <c r="R61" s="485"/>
      <c r="S61" s="485"/>
      <c r="T61" s="485"/>
      <c r="U61" s="485"/>
      <c r="V61" s="485"/>
      <c r="W61" s="485"/>
      <c r="X61" s="485"/>
      <c r="Y61" s="485"/>
      <c r="Z61" s="485"/>
    </row>
    <row r="62" ht="12.0" customHeight="1">
      <c r="A62" s="512" t="s">
        <v>564</v>
      </c>
      <c r="B62" s="513">
        <v>45161.0</v>
      </c>
      <c r="C62" s="520">
        <v>45162.0</v>
      </c>
      <c r="D62" s="492" t="s">
        <v>990</v>
      </c>
      <c r="E62" s="492" t="s">
        <v>85</v>
      </c>
      <c r="F62" s="485"/>
      <c r="G62" s="485"/>
      <c r="H62" s="485"/>
      <c r="I62" s="485"/>
      <c r="J62" s="485"/>
      <c r="K62" s="485"/>
      <c r="L62" s="485"/>
      <c r="M62" s="485"/>
      <c r="N62" s="485"/>
      <c r="O62" s="485"/>
      <c r="P62" s="485"/>
      <c r="Q62" s="485"/>
      <c r="R62" s="485"/>
      <c r="S62" s="485"/>
      <c r="T62" s="485"/>
      <c r="U62" s="485"/>
      <c r="V62" s="485"/>
      <c r="W62" s="485"/>
      <c r="X62" s="485"/>
      <c r="Y62" s="485"/>
      <c r="Z62" s="485"/>
    </row>
    <row r="63" ht="12.0" customHeight="1">
      <c r="A63" s="514" t="s">
        <v>989</v>
      </c>
      <c r="B63" s="515">
        <v>45246.0</v>
      </c>
      <c r="C63" s="515">
        <v>45247.0</v>
      </c>
      <c r="D63" s="498" t="s">
        <v>990</v>
      </c>
      <c r="E63" s="522" t="s">
        <v>85</v>
      </c>
      <c r="F63" s="485"/>
      <c r="G63" s="485"/>
      <c r="H63" s="485"/>
      <c r="I63" s="485"/>
      <c r="J63" s="485"/>
      <c r="K63" s="485"/>
      <c r="L63" s="485"/>
      <c r="M63" s="485"/>
      <c r="N63" s="485"/>
      <c r="O63" s="485"/>
      <c r="P63" s="485"/>
      <c r="Q63" s="485"/>
      <c r="R63" s="485"/>
      <c r="S63" s="485"/>
      <c r="T63" s="485"/>
      <c r="U63" s="485"/>
      <c r="V63" s="485"/>
      <c r="W63" s="485"/>
      <c r="X63" s="485"/>
      <c r="Y63" s="485"/>
      <c r="Z63" s="485"/>
    </row>
    <row r="64" ht="15.0" customHeight="1">
      <c r="A64" s="512" t="s">
        <v>1002</v>
      </c>
      <c r="B64" s="523">
        <v>45547.0</v>
      </c>
      <c r="C64" s="523">
        <v>45548.0</v>
      </c>
      <c r="D64" s="502" t="s">
        <v>990</v>
      </c>
      <c r="E64" s="492" t="s">
        <v>85</v>
      </c>
      <c r="F64" s="485"/>
      <c r="G64" s="485"/>
      <c r="H64" s="485"/>
      <c r="I64" s="485"/>
      <c r="J64" s="485"/>
      <c r="K64" s="485"/>
      <c r="L64" s="485"/>
      <c r="M64" s="485"/>
      <c r="N64" s="485"/>
      <c r="O64" s="485"/>
      <c r="P64" s="485"/>
      <c r="Q64" s="485"/>
      <c r="R64" s="485"/>
      <c r="S64" s="485"/>
      <c r="T64" s="485"/>
      <c r="U64" s="485"/>
      <c r="V64" s="485"/>
      <c r="W64" s="485"/>
      <c r="X64" s="485"/>
      <c r="Y64" s="485"/>
      <c r="Z64" s="485"/>
    </row>
    <row r="65" ht="15.0" customHeight="1">
      <c r="A65" s="514" t="s">
        <v>172</v>
      </c>
      <c r="B65" s="524">
        <v>45608.0</v>
      </c>
      <c r="C65" s="524">
        <v>45610.0</v>
      </c>
      <c r="D65" s="522" t="s">
        <v>982</v>
      </c>
      <c r="E65" s="498" t="s">
        <v>85</v>
      </c>
      <c r="F65" s="485"/>
      <c r="G65" s="485"/>
      <c r="H65" s="485"/>
      <c r="I65" s="485"/>
      <c r="J65" s="485"/>
      <c r="K65" s="485"/>
      <c r="L65" s="485"/>
      <c r="M65" s="485"/>
      <c r="N65" s="485"/>
      <c r="O65" s="485"/>
      <c r="P65" s="485"/>
      <c r="Q65" s="485"/>
      <c r="R65" s="485"/>
      <c r="S65" s="485"/>
      <c r="T65" s="485"/>
      <c r="U65" s="485"/>
      <c r="V65" s="485"/>
      <c r="W65" s="485"/>
      <c r="X65" s="485"/>
      <c r="Y65" s="485"/>
      <c r="Z65" s="485"/>
    </row>
    <row r="66" ht="15.0" customHeight="1">
      <c r="A66" s="525" t="s">
        <v>217</v>
      </c>
      <c r="B66" s="526">
        <v>45806.0</v>
      </c>
      <c r="C66" s="526">
        <v>45808.0</v>
      </c>
      <c r="D66" s="527" t="s">
        <v>990</v>
      </c>
      <c r="E66" s="492" t="s">
        <v>85</v>
      </c>
      <c r="F66" s="485"/>
      <c r="G66" s="485"/>
      <c r="H66" s="485"/>
      <c r="I66" s="485"/>
      <c r="J66" s="485"/>
      <c r="K66" s="485"/>
      <c r="L66" s="485"/>
      <c r="M66" s="485"/>
      <c r="N66" s="485"/>
      <c r="O66" s="485"/>
      <c r="P66" s="485"/>
      <c r="Q66" s="485"/>
      <c r="R66" s="485"/>
      <c r="S66" s="485"/>
      <c r="T66" s="485"/>
      <c r="U66" s="485"/>
      <c r="V66" s="485"/>
      <c r="W66" s="485"/>
      <c r="X66" s="485"/>
      <c r="Y66" s="485"/>
      <c r="Z66" s="485"/>
    </row>
    <row r="67" ht="15.0" customHeight="1">
      <c r="A67" s="528" t="s">
        <v>260</v>
      </c>
      <c r="B67" s="529">
        <v>45931.0</v>
      </c>
      <c r="C67" s="529">
        <v>45933.0</v>
      </c>
      <c r="D67" s="527" t="s">
        <v>990</v>
      </c>
      <c r="E67" s="492" t="s">
        <v>85</v>
      </c>
      <c r="F67" s="485"/>
      <c r="G67" s="485"/>
      <c r="H67" s="485"/>
      <c r="I67" s="485"/>
      <c r="J67" s="485"/>
      <c r="K67" s="485"/>
      <c r="L67" s="485"/>
      <c r="M67" s="485"/>
      <c r="N67" s="485"/>
      <c r="O67" s="485"/>
      <c r="P67" s="485"/>
      <c r="Q67" s="485"/>
      <c r="R67" s="485"/>
      <c r="S67" s="485"/>
      <c r="T67" s="485"/>
      <c r="U67" s="485"/>
      <c r="V67" s="485"/>
      <c r="W67" s="485"/>
      <c r="X67" s="485"/>
      <c r="Y67" s="485"/>
      <c r="Z67" s="485"/>
    </row>
    <row r="68" ht="15.0" customHeight="1">
      <c r="A68" s="528" t="s">
        <v>271</v>
      </c>
      <c r="B68" s="529">
        <v>45938.0</v>
      </c>
      <c r="C68" s="529">
        <v>45940.0</v>
      </c>
      <c r="D68" s="527" t="s">
        <v>982</v>
      </c>
      <c r="E68" s="492" t="s">
        <v>85</v>
      </c>
      <c r="F68" s="485"/>
      <c r="G68" s="485"/>
      <c r="H68" s="485"/>
      <c r="I68" s="485"/>
      <c r="J68" s="485"/>
      <c r="K68" s="485"/>
      <c r="L68" s="485"/>
      <c r="M68" s="485"/>
      <c r="N68" s="485"/>
      <c r="O68" s="485"/>
      <c r="P68" s="485"/>
      <c r="Q68" s="485"/>
      <c r="R68" s="485"/>
      <c r="S68" s="485"/>
      <c r="T68" s="485"/>
      <c r="U68" s="485"/>
      <c r="V68" s="485"/>
      <c r="W68" s="485"/>
      <c r="X68" s="485"/>
      <c r="Y68" s="485"/>
      <c r="Z68" s="485"/>
    </row>
    <row r="69" ht="15.0" customHeight="1">
      <c r="A69" s="528" t="s">
        <v>585</v>
      </c>
      <c r="B69" s="529">
        <v>45944.0</v>
      </c>
      <c r="C69" s="529">
        <v>45946.0</v>
      </c>
      <c r="D69" s="527" t="s">
        <v>982</v>
      </c>
      <c r="E69" s="492" t="s">
        <v>85</v>
      </c>
      <c r="F69" s="485"/>
      <c r="G69" s="485"/>
      <c r="H69" s="485"/>
      <c r="I69" s="485"/>
      <c r="J69" s="485"/>
      <c r="K69" s="485"/>
      <c r="L69" s="485"/>
      <c r="M69" s="485"/>
      <c r="N69" s="485"/>
      <c r="O69" s="485"/>
      <c r="P69" s="485"/>
      <c r="Q69" s="485"/>
      <c r="R69" s="485"/>
      <c r="S69" s="485"/>
      <c r="T69" s="485"/>
      <c r="U69" s="485"/>
      <c r="V69" s="485"/>
      <c r="W69" s="485"/>
      <c r="X69" s="485"/>
      <c r="Y69" s="485"/>
      <c r="Z69" s="485"/>
    </row>
    <row r="70" ht="15.0" customHeight="1">
      <c r="A70" s="528" t="s">
        <v>593</v>
      </c>
      <c r="B70" s="529">
        <v>45959.0</v>
      </c>
      <c r="C70" s="529">
        <v>45961.0</v>
      </c>
      <c r="D70" s="527" t="s">
        <v>982</v>
      </c>
      <c r="E70" s="492" t="s">
        <v>85</v>
      </c>
      <c r="F70" s="485"/>
      <c r="G70" s="485"/>
      <c r="H70" s="485"/>
      <c r="I70" s="485"/>
      <c r="J70" s="485"/>
      <c r="K70" s="485"/>
      <c r="L70" s="485"/>
      <c r="M70" s="485"/>
      <c r="N70" s="485"/>
      <c r="O70" s="485"/>
      <c r="P70" s="485"/>
      <c r="Q70" s="485"/>
      <c r="R70" s="485"/>
      <c r="S70" s="485"/>
      <c r="T70" s="485"/>
      <c r="U70" s="485"/>
      <c r="V70" s="485"/>
      <c r="W70" s="485"/>
      <c r="X70" s="485"/>
      <c r="Y70" s="485"/>
      <c r="Z70" s="485"/>
    </row>
    <row r="71" ht="15.0" customHeight="1">
      <c r="A71" s="528" t="s">
        <v>467</v>
      </c>
      <c r="B71" s="529">
        <v>45979.0</v>
      </c>
      <c r="C71" s="529">
        <v>45981.0</v>
      </c>
      <c r="D71" s="527" t="s">
        <v>990</v>
      </c>
      <c r="E71" s="530" t="s">
        <v>85</v>
      </c>
      <c r="F71" s="485"/>
      <c r="G71" s="485"/>
      <c r="H71" s="485"/>
      <c r="I71" s="485"/>
      <c r="J71" s="485"/>
      <c r="K71" s="485"/>
      <c r="L71" s="485"/>
      <c r="M71" s="485"/>
      <c r="N71" s="485"/>
      <c r="O71" s="485"/>
      <c r="P71" s="485"/>
      <c r="Q71" s="485"/>
      <c r="R71" s="485"/>
      <c r="S71" s="485"/>
      <c r="T71" s="485"/>
      <c r="U71" s="485"/>
      <c r="V71" s="485"/>
      <c r="W71" s="485"/>
      <c r="X71" s="485"/>
      <c r="Y71" s="485"/>
      <c r="Z71" s="485"/>
    </row>
    <row r="72">
      <c r="A72" s="528" t="s">
        <v>554</v>
      </c>
      <c r="B72" s="531">
        <v>45985.0</v>
      </c>
      <c r="C72" s="531">
        <v>45987.0</v>
      </c>
      <c r="D72" s="532" t="s">
        <v>982</v>
      </c>
      <c r="E72" s="528" t="s">
        <v>1003</v>
      </c>
      <c r="F72" s="485"/>
      <c r="G72" s="485"/>
      <c r="H72" s="485"/>
      <c r="I72" s="485"/>
      <c r="J72" s="485"/>
      <c r="K72" s="485"/>
      <c r="L72" s="485"/>
      <c r="M72" s="485"/>
      <c r="N72" s="485"/>
      <c r="O72" s="485"/>
      <c r="P72" s="485"/>
      <c r="Q72" s="485"/>
      <c r="R72" s="485"/>
      <c r="S72" s="485"/>
      <c r="T72" s="485"/>
      <c r="U72" s="485"/>
      <c r="V72" s="485"/>
      <c r="W72" s="485"/>
      <c r="X72" s="485"/>
      <c r="Y72" s="485"/>
      <c r="Z72" s="485"/>
    </row>
    <row r="73">
      <c r="A73" s="528" t="s">
        <v>476</v>
      </c>
      <c r="B73" s="531">
        <v>45985.0</v>
      </c>
      <c r="C73" s="531">
        <v>45987.0</v>
      </c>
      <c r="D73" s="532" t="s">
        <v>990</v>
      </c>
      <c r="E73" s="528" t="s">
        <v>85</v>
      </c>
      <c r="F73" s="485"/>
      <c r="G73" s="485"/>
      <c r="H73" s="485"/>
      <c r="I73" s="485"/>
      <c r="J73" s="485"/>
      <c r="K73" s="485"/>
      <c r="L73" s="485"/>
      <c r="M73" s="485"/>
      <c r="N73" s="485"/>
      <c r="O73" s="485"/>
      <c r="P73" s="485"/>
      <c r="Q73" s="485"/>
      <c r="R73" s="485"/>
      <c r="S73" s="485"/>
      <c r="T73" s="485"/>
      <c r="U73" s="485"/>
      <c r="V73" s="485"/>
      <c r="W73" s="485"/>
      <c r="X73" s="485"/>
      <c r="Y73" s="485"/>
      <c r="Z73" s="485"/>
    </row>
    <row r="74">
      <c r="A74" s="528" t="s">
        <v>1004</v>
      </c>
      <c r="B74" s="531">
        <v>45986.0</v>
      </c>
      <c r="C74" s="531">
        <v>45988.0</v>
      </c>
      <c r="D74" s="532" t="s">
        <v>982</v>
      </c>
      <c r="E74" s="528" t="s">
        <v>85</v>
      </c>
      <c r="F74" s="485"/>
      <c r="G74" s="485"/>
      <c r="H74" s="485"/>
      <c r="I74" s="485"/>
      <c r="J74" s="485"/>
      <c r="K74" s="485"/>
      <c r="L74" s="485"/>
      <c r="M74" s="485"/>
      <c r="N74" s="485"/>
      <c r="O74" s="485"/>
      <c r="P74" s="485"/>
      <c r="Q74" s="485"/>
      <c r="R74" s="485"/>
      <c r="S74" s="485"/>
      <c r="T74" s="485"/>
      <c r="U74" s="485"/>
      <c r="V74" s="485"/>
      <c r="W74" s="485"/>
      <c r="X74" s="485"/>
      <c r="Y74" s="485"/>
      <c r="Z74" s="485"/>
    </row>
    <row r="75">
      <c r="A75" s="533" t="s">
        <v>690</v>
      </c>
      <c r="B75" s="534">
        <v>45988.0</v>
      </c>
      <c r="C75" s="534">
        <v>45990.0</v>
      </c>
      <c r="D75" s="535" t="s">
        <v>982</v>
      </c>
      <c r="E75" s="533" t="s">
        <v>85</v>
      </c>
      <c r="F75" s="485"/>
      <c r="G75" s="485"/>
      <c r="H75" s="485"/>
      <c r="I75" s="485"/>
      <c r="J75" s="485"/>
      <c r="K75" s="485"/>
      <c r="L75" s="485"/>
      <c r="M75" s="485"/>
      <c r="N75" s="485"/>
      <c r="O75" s="485"/>
      <c r="P75" s="485"/>
      <c r="Q75" s="485"/>
      <c r="R75" s="485"/>
      <c r="S75" s="485"/>
      <c r="T75" s="485"/>
      <c r="U75" s="485"/>
      <c r="V75" s="485"/>
      <c r="W75" s="485"/>
      <c r="X75" s="485"/>
      <c r="Y75" s="485"/>
      <c r="Z75" s="485"/>
    </row>
    <row r="76">
      <c r="A76" s="536" t="s">
        <v>1005</v>
      </c>
      <c r="B76" s="537">
        <v>46099.0</v>
      </c>
      <c r="C76" s="537">
        <v>46101.0</v>
      </c>
      <c r="D76" s="536" t="s">
        <v>990</v>
      </c>
      <c r="E76" s="538" t="s">
        <v>85</v>
      </c>
      <c r="F76" s="485"/>
      <c r="G76" s="485"/>
      <c r="H76" s="485"/>
      <c r="I76" s="485"/>
      <c r="J76" s="485"/>
      <c r="K76" s="485"/>
      <c r="L76" s="485"/>
      <c r="M76" s="485"/>
      <c r="N76" s="485"/>
      <c r="O76" s="485"/>
      <c r="P76" s="485"/>
      <c r="Q76" s="485"/>
      <c r="R76" s="485"/>
      <c r="S76" s="485"/>
      <c r="T76" s="485"/>
      <c r="U76" s="485"/>
      <c r="V76" s="485"/>
      <c r="W76" s="485"/>
      <c r="X76" s="485"/>
      <c r="Y76" s="485"/>
      <c r="Z76" s="485"/>
    </row>
    <row r="77">
      <c r="A77" s="539"/>
      <c r="B77" s="539"/>
      <c r="C77" s="539"/>
      <c r="D77" s="539"/>
      <c r="E77" s="538" t="s">
        <v>85</v>
      </c>
      <c r="F77" s="485"/>
      <c r="G77" s="485"/>
      <c r="H77" s="485"/>
      <c r="I77" s="485"/>
      <c r="J77" s="485"/>
      <c r="K77" s="485"/>
      <c r="L77" s="485"/>
      <c r="M77" s="485"/>
      <c r="N77" s="485"/>
      <c r="O77" s="485"/>
      <c r="P77" s="485"/>
      <c r="Q77" s="485"/>
      <c r="R77" s="485"/>
      <c r="S77" s="485"/>
      <c r="T77" s="485"/>
      <c r="U77" s="485"/>
      <c r="V77" s="485"/>
      <c r="W77" s="485"/>
      <c r="X77" s="485"/>
      <c r="Y77" s="485"/>
      <c r="Z77" s="485"/>
    </row>
    <row r="78">
      <c r="A78" s="539"/>
      <c r="B78" s="539"/>
      <c r="C78" s="539"/>
      <c r="D78" s="539"/>
      <c r="E78" s="538" t="s">
        <v>85</v>
      </c>
      <c r="F78" s="485"/>
      <c r="G78" s="485"/>
      <c r="H78" s="485"/>
      <c r="I78" s="485"/>
      <c r="J78" s="485"/>
      <c r="K78" s="485"/>
      <c r="L78" s="485"/>
      <c r="M78" s="485"/>
      <c r="N78" s="485"/>
      <c r="O78" s="485"/>
      <c r="P78" s="485"/>
      <c r="Q78" s="485"/>
      <c r="R78" s="485"/>
      <c r="S78" s="485"/>
      <c r="T78" s="485"/>
      <c r="U78" s="485"/>
      <c r="V78" s="485"/>
      <c r="W78" s="485"/>
      <c r="X78" s="485"/>
      <c r="Y78" s="485"/>
      <c r="Z78" s="485"/>
    </row>
    <row r="79">
      <c r="A79" s="539"/>
      <c r="B79" s="539"/>
      <c r="C79" s="539"/>
      <c r="D79" s="539"/>
      <c r="E79" s="538" t="s">
        <v>85</v>
      </c>
      <c r="F79" s="485"/>
      <c r="G79" s="485"/>
      <c r="H79" s="485"/>
      <c r="I79" s="485"/>
      <c r="J79" s="485"/>
      <c r="K79" s="485"/>
      <c r="L79" s="485"/>
      <c r="M79" s="485"/>
      <c r="N79" s="485"/>
      <c r="O79" s="485"/>
      <c r="P79" s="485"/>
      <c r="Q79" s="485"/>
      <c r="R79" s="485"/>
      <c r="S79" s="485"/>
      <c r="T79" s="485"/>
      <c r="U79" s="485"/>
      <c r="V79" s="485"/>
      <c r="W79" s="485"/>
      <c r="X79" s="485"/>
      <c r="Y79" s="485"/>
      <c r="Z79" s="485"/>
    </row>
    <row r="80">
      <c r="A80" s="539"/>
      <c r="B80" s="539"/>
      <c r="C80" s="539"/>
      <c r="D80" s="539"/>
      <c r="E80" s="538" t="s">
        <v>85</v>
      </c>
      <c r="F80" s="485"/>
      <c r="G80" s="485"/>
      <c r="H80" s="485"/>
      <c r="I80" s="485"/>
      <c r="J80" s="485"/>
      <c r="K80" s="485"/>
      <c r="L80" s="485"/>
      <c r="M80" s="485"/>
      <c r="N80" s="485"/>
      <c r="O80" s="485"/>
      <c r="P80" s="485"/>
      <c r="Q80" s="485"/>
      <c r="R80" s="485"/>
      <c r="S80" s="485"/>
      <c r="T80" s="485"/>
      <c r="U80" s="485"/>
      <c r="V80" s="485"/>
      <c r="W80" s="485"/>
      <c r="X80" s="485"/>
      <c r="Y80" s="485"/>
      <c r="Z80" s="485"/>
    </row>
    <row r="81">
      <c r="A81" s="539"/>
      <c r="B81" s="539"/>
      <c r="C81" s="539"/>
      <c r="D81" s="539"/>
      <c r="E81" s="538" t="s">
        <v>85</v>
      </c>
      <c r="F81" s="485"/>
      <c r="G81" s="485"/>
      <c r="H81" s="485"/>
      <c r="I81" s="485"/>
      <c r="J81" s="485"/>
      <c r="K81" s="485"/>
      <c r="L81" s="485"/>
      <c r="M81" s="485"/>
      <c r="N81" s="485"/>
      <c r="O81" s="485"/>
      <c r="P81" s="485"/>
      <c r="Q81" s="485"/>
      <c r="R81" s="485"/>
      <c r="S81" s="485"/>
      <c r="T81" s="485"/>
      <c r="U81" s="485"/>
      <c r="V81" s="485"/>
      <c r="W81" s="485"/>
      <c r="X81" s="485"/>
      <c r="Y81" s="485"/>
      <c r="Z81" s="485"/>
    </row>
    <row r="82">
      <c r="A82" s="485"/>
      <c r="B82" s="485"/>
      <c r="C82" s="485"/>
      <c r="D82" s="485"/>
      <c r="E82" s="485"/>
      <c r="F82" s="485"/>
      <c r="G82" s="485"/>
      <c r="H82" s="485"/>
      <c r="I82" s="485"/>
      <c r="J82" s="485"/>
      <c r="K82" s="485"/>
      <c r="L82" s="485"/>
      <c r="M82" s="485"/>
      <c r="N82" s="485"/>
      <c r="O82" s="485"/>
      <c r="P82" s="485"/>
      <c r="Q82" s="485"/>
      <c r="R82" s="485"/>
      <c r="S82" s="485"/>
      <c r="T82" s="485"/>
      <c r="U82" s="485"/>
      <c r="V82" s="485"/>
      <c r="W82" s="485"/>
      <c r="X82" s="485"/>
      <c r="Y82" s="485"/>
      <c r="Z82" s="485"/>
    </row>
    <row r="83">
      <c r="A83" s="485"/>
      <c r="B83" s="485"/>
      <c r="C83" s="485"/>
      <c r="D83" s="485"/>
      <c r="E83" s="485"/>
      <c r="F83" s="485"/>
      <c r="G83" s="485"/>
      <c r="H83" s="485"/>
      <c r="I83" s="485"/>
      <c r="J83" s="485"/>
      <c r="K83" s="485"/>
      <c r="L83" s="485"/>
      <c r="M83" s="485"/>
      <c r="N83" s="485"/>
      <c r="O83" s="485"/>
      <c r="P83" s="485"/>
      <c r="Q83" s="485"/>
      <c r="R83" s="485"/>
      <c r="S83" s="485"/>
      <c r="T83" s="485"/>
      <c r="U83" s="485"/>
      <c r="V83" s="485"/>
      <c r="W83" s="485"/>
      <c r="X83" s="485"/>
      <c r="Y83" s="485"/>
      <c r="Z83" s="485"/>
    </row>
    <row r="84">
      <c r="A84" s="485"/>
      <c r="B84" s="485"/>
      <c r="C84" s="485"/>
      <c r="D84" s="485"/>
      <c r="E84" s="485"/>
      <c r="F84" s="485"/>
      <c r="G84" s="485"/>
      <c r="H84" s="485"/>
      <c r="I84" s="485"/>
      <c r="J84" s="485"/>
      <c r="K84" s="485"/>
      <c r="L84" s="485"/>
      <c r="M84" s="485"/>
      <c r="N84" s="485"/>
      <c r="O84" s="485"/>
      <c r="P84" s="485"/>
      <c r="Q84" s="485"/>
      <c r="R84" s="485"/>
      <c r="S84" s="485"/>
      <c r="T84" s="485"/>
      <c r="U84" s="485"/>
      <c r="V84" s="485"/>
      <c r="W84" s="485"/>
      <c r="X84" s="485"/>
      <c r="Y84" s="485"/>
      <c r="Z84" s="485"/>
    </row>
    <row r="85">
      <c r="A85" s="485"/>
      <c r="B85" s="485"/>
      <c r="C85" s="485"/>
      <c r="D85" s="485"/>
      <c r="E85" s="485"/>
      <c r="F85" s="485"/>
      <c r="G85" s="485"/>
      <c r="H85" s="485"/>
      <c r="I85" s="485"/>
      <c r="J85" s="485"/>
      <c r="K85" s="485"/>
      <c r="L85" s="485"/>
      <c r="M85" s="485"/>
      <c r="N85" s="485"/>
      <c r="O85" s="485"/>
      <c r="P85" s="485"/>
      <c r="Q85" s="485"/>
      <c r="R85" s="485"/>
      <c r="S85" s="485"/>
      <c r="T85" s="485"/>
      <c r="U85" s="485"/>
      <c r="V85" s="485"/>
      <c r="W85" s="485"/>
      <c r="X85" s="485"/>
      <c r="Y85" s="485"/>
      <c r="Z85" s="485"/>
    </row>
    <row r="86">
      <c r="A86" s="485"/>
      <c r="B86" s="485"/>
      <c r="C86" s="485"/>
      <c r="D86" s="485"/>
      <c r="E86" s="485"/>
      <c r="F86" s="485"/>
      <c r="G86" s="485"/>
      <c r="H86" s="485"/>
      <c r="I86" s="485"/>
      <c r="J86" s="485"/>
      <c r="K86" s="485"/>
      <c r="L86" s="485"/>
      <c r="M86" s="485"/>
      <c r="N86" s="485"/>
      <c r="O86" s="485"/>
      <c r="P86" s="485"/>
      <c r="Q86" s="485"/>
      <c r="R86" s="485"/>
      <c r="S86" s="485"/>
      <c r="T86" s="485"/>
      <c r="U86" s="485"/>
      <c r="V86" s="485"/>
      <c r="W86" s="485"/>
      <c r="X86" s="485"/>
      <c r="Y86" s="485"/>
      <c r="Z86" s="485"/>
    </row>
    <row r="87">
      <c r="A87" s="485"/>
      <c r="B87" s="485"/>
      <c r="C87" s="485"/>
      <c r="D87" s="485"/>
      <c r="E87" s="485"/>
      <c r="F87" s="485"/>
      <c r="G87" s="485"/>
      <c r="H87" s="485"/>
      <c r="I87" s="485"/>
      <c r="J87" s="485"/>
      <c r="K87" s="485"/>
      <c r="L87" s="485"/>
      <c r="M87" s="485"/>
      <c r="N87" s="485"/>
      <c r="O87" s="485"/>
      <c r="P87" s="485"/>
      <c r="Q87" s="485"/>
      <c r="R87" s="485"/>
      <c r="S87" s="485"/>
      <c r="T87" s="485"/>
      <c r="U87" s="485"/>
      <c r="V87" s="485"/>
      <c r="W87" s="485"/>
      <c r="X87" s="485"/>
      <c r="Y87" s="485"/>
      <c r="Z87" s="485"/>
    </row>
    <row r="88">
      <c r="A88" s="485"/>
      <c r="B88" s="485"/>
      <c r="C88" s="485"/>
      <c r="D88" s="485"/>
      <c r="E88" s="485"/>
      <c r="F88" s="485"/>
      <c r="G88" s="485"/>
      <c r="H88" s="485"/>
      <c r="I88" s="485"/>
      <c r="J88" s="485"/>
      <c r="K88" s="485"/>
      <c r="L88" s="485"/>
      <c r="M88" s="485"/>
      <c r="N88" s="485"/>
      <c r="O88" s="485"/>
      <c r="P88" s="485"/>
      <c r="Q88" s="485"/>
      <c r="R88" s="485"/>
      <c r="S88" s="485"/>
      <c r="T88" s="485"/>
      <c r="U88" s="485"/>
      <c r="V88" s="485"/>
      <c r="W88" s="485"/>
      <c r="X88" s="485"/>
      <c r="Y88" s="485"/>
      <c r="Z88" s="485"/>
    </row>
    <row r="89">
      <c r="A89" s="485"/>
      <c r="B89" s="485"/>
      <c r="C89" s="485"/>
      <c r="D89" s="485"/>
      <c r="E89" s="485"/>
      <c r="F89" s="485"/>
      <c r="G89" s="485"/>
      <c r="H89" s="485"/>
      <c r="I89" s="485"/>
      <c r="J89" s="485"/>
      <c r="K89" s="485"/>
      <c r="L89" s="485"/>
      <c r="M89" s="485"/>
      <c r="N89" s="485"/>
      <c r="O89" s="485"/>
      <c r="P89" s="485"/>
      <c r="Q89" s="485"/>
      <c r="R89" s="485"/>
      <c r="S89" s="485"/>
      <c r="T89" s="485"/>
      <c r="U89" s="485"/>
      <c r="V89" s="485"/>
      <c r="W89" s="485"/>
      <c r="X89" s="485"/>
      <c r="Y89" s="485"/>
      <c r="Z89" s="485"/>
    </row>
    <row r="90">
      <c r="A90" s="485"/>
      <c r="B90" s="485"/>
      <c r="C90" s="485"/>
      <c r="D90" s="485"/>
      <c r="E90" s="485"/>
      <c r="F90" s="485"/>
      <c r="G90" s="485"/>
      <c r="H90" s="485"/>
      <c r="I90" s="485"/>
      <c r="J90" s="485"/>
      <c r="K90" s="485"/>
      <c r="L90" s="485"/>
      <c r="M90" s="485"/>
      <c r="N90" s="485"/>
      <c r="O90" s="485"/>
      <c r="P90" s="485"/>
      <c r="Q90" s="485"/>
      <c r="R90" s="485"/>
      <c r="S90" s="485"/>
      <c r="T90" s="485"/>
      <c r="U90" s="485"/>
      <c r="V90" s="485"/>
      <c r="W90" s="485"/>
      <c r="X90" s="485"/>
      <c r="Y90" s="485"/>
      <c r="Z90" s="485"/>
    </row>
    <row r="91">
      <c r="A91" s="485"/>
      <c r="B91" s="485"/>
      <c r="C91" s="485"/>
      <c r="D91" s="485"/>
      <c r="E91" s="485"/>
      <c r="F91" s="485"/>
      <c r="G91" s="485"/>
      <c r="H91" s="485"/>
      <c r="I91" s="485"/>
      <c r="J91" s="485"/>
      <c r="K91" s="485"/>
      <c r="L91" s="485"/>
      <c r="M91" s="485"/>
      <c r="N91" s="485"/>
      <c r="O91" s="485"/>
      <c r="P91" s="485"/>
      <c r="Q91" s="485"/>
      <c r="R91" s="485"/>
      <c r="S91" s="485"/>
      <c r="T91" s="485"/>
      <c r="U91" s="485"/>
      <c r="V91" s="485"/>
      <c r="W91" s="485"/>
      <c r="X91" s="485"/>
      <c r="Y91" s="485"/>
      <c r="Z91" s="485"/>
    </row>
    <row r="92">
      <c r="A92" s="485"/>
      <c r="B92" s="485"/>
      <c r="C92" s="485"/>
      <c r="D92" s="485"/>
      <c r="E92" s="485"/>
      <c r="F92" s="485"/>
      <c r="G92" s="485"/>
      <c r="H92" s="485"/>
      <c r="I92" s="485"/>
      <c r="J92" s="485"/>
      <c r="K92" s="485"/>
      <c r="L92" s="485"/>
      <c r="M92" s="485"/>
      <c r="N92" s="485"/>
      <c r="O92" s="485"/>
      <c r="P92" s="485"/>
      <c r="Q92" s="485"/>
      <c r="R92" s="485"/>
      <c r="S92" s="485"/>
      <c r="T92" s="485"/>
      <c r="U92" s="485"/>
      <c r="V92" s="485"/>
      <c r="W92" s="485"/>
      <c r="X92" s="485"/>
      <c r="Y92" s="485"/>
      <c r="Z92" s="485"/>
    </row>
    <row r="93">
      <c r="A93" s="485"/>
      <c r="B93" s="485"/>
      <c r="C93" s="485"/>
      <c r="D93" s="485"/>
      <c r="E93" s="485"/>
      <c r="F93" s="485"/>
      <c r="G93" s="485"/>
      <c r="H93" s="485"/>
      <c r="I93" s="485"/>
      <c r="J93" s="485"/>
      <c r="K93" s="485"/>
      <c r="L93" s="485"/>
      <c r="M93" s="485"/>
      <c r="N93" s="485"/>
      <c r="O93" s="485"/>
      <c r="P93" s="485"/>
      <c r="Q93" s="485"/>
      <c r="R93" s="485"/>
      <c r="S93" s="485"/>
      <c r="T93" s="485"/>
      <c r="U93" s="485"/>
      <c r="V93" s="485"/>
      <c r="W93" s="485"/>
      <c r="X93" s="485"/>
      <c r="Y93" s="485"/>
      <c r="Z93" s="485"/>
    </row>
    <row r="94">
      <c r="A94" s="485"/>
      <c r="B94" s="485"/>
      <c r="C94" s="485"/>
      <c r="D94" s="485"/>
      <c r="E94" s="485"/>
      <c r="F94" s="485"/>
      <c r="G94" s="485"/>
      <c r="H94" s="485"/>
      <c r="I94" s="485"/>
      <c r="J94" s="485"/>
      <c r="K94" s="485"/>
      <c r="L94" s="485"/>
      <c r="M94" s="485"/>
      <c r="N94" s="485"/>
      <c r="O94" s="485"/>
      <c r="P94" s="485"/>
      <c r="Q94" s="485"/>
      <c r="R94" s="485"/>
      <c r="S94" s="485"/>
      <c r="T94" s="485"/>
      <c r="U94" s="485"/>
      <c r="V94" s="485"/>
      <c r="W94" s="485"/>
      <c r="X94" s="485"/>
      <c r="Y94" s="485"/>
      <c r="Z94" s="485"/>
    </row>
    <row r="95">
      <c r="A95" s="485"/>
      <c r="B95" s="485"/>
      <c r="C95" s="485"/>
      <c r="D95" s="485"/>
      <c r="E95" s="485"/>
      <c r="F95" s="485"/>
      <c r="G95" s="485"/>
      <c r="H95" s="485"/>
      <c r="I95" s="485"/>
      <c r="J95" s="485"/>
      <c r="K95" s="485"/>
      <c r="L95" s="485"/>
      <c r="M95" s="485"/>
      <c r="N95" s="485"/>
      <c r="O95" s="485"/>
      <c r="P95" s="485"/>
      <c r="Q95" s="485"/>
      <c r="R95" s="485"/>
      <c r="S95" s="485"/>
      <c r="T95" s="485"/>
      <c r="U95" s="485"/>
      <c r="V95" s="485"/>
      <c r="W95" s="485"/>
      <c r="X95" s="485"/>
      <c r="Y95" s="485"/>
      <c r="Z95" s="485"/>
    </row>
    <row r="96">
      <c r="A96" s="485"/>
      <c r="B96" s="485"/>
      <c r="C96" s="485"/>
      <c r="D96" s="485"/>
      <c r="E96" s="485"/>
      <c r="F96" s="485"/>
      <c r="G96" s="485"/>
      <c r="H96" s="485"/>
      <c r="I96" s="485"/>
      <c r="J96" s="485"/>
      <c r="K96" s="485"/>
      <c r="L96" s="485"/>
      <c r="M96" s="485"/>
      <c r="N96" s="485"/>
      <c r="O96" s="485"/>
      <c r="P96" s="485"/>
      <c r="Q96" s="485"/>
      <c r="R96" s="485"/>
      <c r="S96" s="485"/>
      <c r="T96" s="485"/>
      <c r="U96" s="485"/>
      <c r="V96" s="485"/>
      <c r="W96" s="485"/>
      <c r="X96" s="485"/>
      <c r="Y96" s="485"/>
      <c r="Z96" s="485"/>
    </row>
    <row r="97">
      <c r="A97" s="485"/>
      <c r="B97" s="485"/>
      <c r="C97" s="485"/>
      <c r="D97" s="485"/>
      <c r="E97" s="485"/>
      <c r="F97" s="485"/>
      <c r="G97" s="485"/>
      <c r="H97" s="485"/>
      <c r="I97" s="485"/>
      <c r="J97" s="485"/>
      <c r="K97" s="485"/>
      <c r="L97" s="485"/>
      <c r="M97" s="485"/>
      <c r="N97" s="485"/>
      <c r="O97" s="485"/>
      <c r="P97" s="485"/>
      <c r="Q97" s="485"/>
      <c r="R97" s="485"/>
      <c r="S97" s="485"/>
      <c r="T97" s="485"/>
      <c r="U97" s="485"/>
      <c r="V97" s="485"/>
      <c r="W97" s="485"/>
      <c r="X97" s="485"/>
      <c r="Y97" s="485"/>
      <c r="Z97" s="485"/>
    </row>
    <row r="98">
      <c r="A98" s="485"/>
      <c r="B98" s="485"/>
      <c r="C98" s="485"/>
      <c r="D98" s="485"/>
      <c r="E98" s="485"/>
      <c r="F98" s="485"/>
      <c r="G98" s="485"/>
      <c r="H98" s="485"/>
      <c r="I98" s="485"/>
      <c r="J98" s="485"/>
      <c r="K98" s="485"/>
      <c r="L98" s="485"/>
      <c r="M98" s="485"/>
      <c r="N98" s="485"/>
      <c r="O98" s="485"/>
      <c r="P98" s="485"/>
      <c r="Q98" s="485"/>
      <c r="R98" s="485"/>
      <c r="S98" s="485"/>
      <c r="T98" s="485"/>
      <c r="U98" s="485"/>
      <c r="V98" s="485"/>
      <c r="W98" s="485"/>
      <c r="X98" s="485"/>
      <c r="Y98" s="485"/>
      <c r="Z98" s="485"/>
    </row>
    <row r="99">
      <c r="A99" s="485"/>
      <c r="B99" s="485"/>
      <c r="C99" s="485"/>
      <c r="D99" s="485"/>
      <c r="E99" s="485"/>
      <c r="F99" s="485"/>
      <c r="G99" s="485"/>
      <c r="H99" s="485"/>
      <c r="I99" s="485"/>
      <c r="J99" s="485"/>
      <c r="K99" s="485"/>
      <c r="L99" s="485"/>
      <c r="M99" s="485"/>
      <c r="N99" s="485"/>
      <c r="O99" s="485"/>
      <c r="P99" s="485"/>
      <c r="Q99" s="485"/>
      <c r="R99" s="485"/>
      <c r="S99" s="485"/>
      <c r="T99" s="485"/>
      <c r="U99" s="485"/>
      <c r="V99" s="485"/>
      <c r="W99" s="485"/>
      <c r="X99" s="485"/>
      <c r="Y99" s="485"/>
      <c r="Z99" s="485"/>
    </row>
    <row r="100">
      <c r="A100" s="485"/>
      <c r="B100" s="485"/>
      <c r="C100" s="485"/>
      <c r="D100" s="485"/>
      <c r="E100" s="485"/>
      <c r="F100" s="485"/>
      <c r="G100" s="485"/>
      <c r="H100" s="485"/>
      <c r="I100" s="485"/>
      <c r="J100" s="485"/>
      <c r="K100" s="485"/>
      <c r="L100" s="485"/>
      <c r="M100" s="485"/>
      <c r="N100" s="485"/>
      <c r="O100" s="485"/>
      <c r="P100" s="485"/>
      <c r="Q100" s="485"/>
      <c r="R100" s="485"/>
      <c r="S100" s="485"/>
      <c r="T100" s="485"/>
      <c r="U100" s="485"/>
      <c r="V100" s="485"/>
      <c r="W100" s="485"/>
      <c r="X100" s="485"/>
      <c r="Y100" s="485"/>
      <c r="Z100" s="485"/>
    </row>
    <row r="101">
      <c r="A101" s="485"/>
      <c r="B101" s="485"/>
      <c r="C101" s="485"/>
      <c r="D101" s="485"/>
      <c r="E101" s="485"/>
      <c r="F101" s="485"/>
      <c r="G101" s="485"/>
      <c r="H101" s="485"/>
      <c r="I101" s="485"/>
      <c r="J101" s="485"/>
      <c r="K101" s="485"/>
      <c r="L101" s="485"/>
      <c r="M101" s="485"/>
      <c r="N101" s="485"/>
      <c r="O101" s="485"/>
      <c r="P101" s="485"/>
      <c r="Q101" s="485"/>
      <c r="R101" s="485"/>
      <c r="S101" s="485"/>
      <c r="T101" s="485"/>
      <c r="U101" s="485"/>
      <c r="V101" s="485"/>
      <c r="W101" s="485"/>
      <c r="X101" s="485"/>
      <c r="Y101" s="485"/>
      <c r="Z101" s="485"/>
    </row>
    <row r="102">
      <c r="A102" s="485"/>
      <c r="B102" s="485"/>
      <c r="C102" s="485"/>
      <c r="D102" s="485"/>
      <c r="E102" s="485"/>
      <c r="F102" s="485"/>
      <c r="G102" s="485"/>
      <c r="H102" s="485"/>
      <c r="I102" s="485"/>
      <c r="J102" s="485"/>
      <c r="K102" s="485"/>
      <c r="L102" s="485"/>
      <c r="M102" s="485"/>
      <c r="N102" s="485"/>
      <c r="O102" s="485"/>
      <c r="P102" s="485"/>
      <c r="Q102" s="485"/>
      <c r="R102" s="485"/>
      <c r="S102" s="485"/>
      <c r="T102" s="485"/>
      <c r="U102" s="485"/>
      <c r="V102" s="485"/>
      <c r="W102" s="485"/>
      <c r="X102" s="485"/>
      <c r="Y102" s="485"/>
      <c r="Z102" s="485"/>
    </row>
    <row r="103">
      <c r="A103" s="485"/>
      <c r="B103" s="485"/>
      <c r="C103" s="485"/>
      <c r="D103" s="485"/>
      <c r="E103" s="485"/>
      <c r="F103" s="485"/>
      <c r="G103" s="485"/>
      <c r="H103" s="485"/>
      <c r="I103" s="485"/>
      <c r="J103" s="485"/>
      <c r="K103" s="485"/>
      <c r="L103" s="485"/>
      <c r="M103" s="485"/>
      <c r="N103" s="485"/>
      <c r="O103" s="485"/>
      <c r="P103" s="485"/>
      <c r="Q103" s="485"/>
      <c r="R103" s="485"/>
      <c r="S103" s="485"/>
      <c r="T103" s="485"/>
      <c r="U103" s="485"/>
      <c r="V103" s="485"/>
      <c r="W103" s="485"/>
      <c r="X103" s="485"/>
      <c r="Y103" s="485"/>
      <c r="Z103" s="485"/>
    </row>
    <row r="104">
      <c r="A104" s="485"/>
      <c r="B104" s="485"/>
      <c r="C104" s="485"/>
      <c r="D104" s="485"/>
      <c r="E104" s="485"/>
      <c r="F104" s="485"/>
      <c r="G104" s="485"/>
      <c r="H104" s="485"/>
      <c r="I104" s="485"/>
      <c r="J104" s="485"/>
      <c r="K104" s="485"/>
      <c r="L104" s="485"/>
      <c r="M104" s="485"/>
      <c r="N104" s="485"/>
      <c r="O104" s="485"/>
      <c r="P104" s="485"/>
      <c r="Q104" s="485"/>
      <c r="R104" s="485"/>
      <c r="S104" s="485"/>
      <c r="T104" s="485"/>
      <c r="U104" s="485"/>
      <c r="V104" s="485"/>
      <c r="W104" s="485"/>
      <c r="X104" s="485"/>
      <c r="Y104" s="485"/>
      <c r="Z104" s="485"/>
    </row>
    <row r="105">
      <c r="A105" s="485"/>
      <c r="B105" s="485"/>
      <c r="C105" s="485"/>
      <c r="D105" s="485"/>
      <c r="E105" s="485"/>
      <c r="F105" s="485"/>
      <c r="G105" s="485"/>
      <c r="H105" s="485"/>
      <c r="I105" s="485"/>
      <c r="J105" s="485"/>
      <c r="K105" s="485"/>
      <c r="L105" s="485"/>
      <c r="M105" s="485"/>
      <c r="N105" s="485"/>
      <c r="O105" s="485"/>
      <c r="P105" s="485"/>
      <c r="Q105" s="485"/>
      <c r="R105" s="485"/>
      <c r="S105" s="485"/>
      <c r="T105" s="485"/>
      <c r="U105" s="485"/>
      <c r="V105" s="485"/>
      <c r="W105" s="485"/>
      <c r="X105" s="485"/>
      <c r="Y105" s="485"/>
      <c r="Z105" s="485"/>
    </row>
    <row r="106">
      <c r="A106" s="485"/>
      <c r="B106" s="485"/>
      <c r="C106" s="485"/>
      <c r="D106" s="485"/>
      <c r="E106" s="485"/>
      <c r="F106" s="485"/>
      <c r="G106" s="485"/>
      <c r="H106" s="485"/>
      <c r="I106" s="485"/>
      <c r="J106" s="485"/>
      <c r="K106" s="485"/>
      <c r="L106" s="485"/>
      <c r="M106" s="485"/>
      <c r="N106" s="485"/>
      <c r="O106" s="485"/>
      <c r="P106" s="485"/>
      <c r="Q106" s="485"/>
      <c r="R106" s="485"/>
      <c r="S106" s="485"/>
      <c r="T106" s="485"/>
      <c r="U106" s="485"/>
      <c r="V106" s="485"/>
      <c r="W106" s="485"/>
      <c r="X106" s="485"/>
      <c r="Y106" s="485"/>
      <c r="Z106" s="485"/>
    </row>
    <row r="107">
      <c r="A107" s="485"/>
      <c r="B107" s="485"/>
      <c r="C107" s="485"/>
      <c r="D107" s="485"/>
      <c r="E107" s="485"/>
      <c r="F107" s="485"/>
      <c r="G107" s="485"/>
      <c r="H107" s="485"/>
      <c r="I107" s="485"/>
      <c r="J107" s="485"/>
      <c r="K107" s="485"/>
      <c r="L107" s="485"/>
      <c r="M107" s="485"/>
      <c r="N107" s="485"/>
      <c r="O107" s="485"/>
      <c r="P107" s="485"/>
      <c r="Q107" s="485"/>
      <c r="R107" s="485"/>
      <c r="S107" s="485"/>
      <c r="T107" s="485"/>
      <c r="U107" s="485"/>
      <c r="V107" s="485"/>
      <c r="W107" s="485"/>
      <c r="X107" s="485"/>
      <c r="Y107" s="485"/>
      <c r="Z107" s="485"/>
    </row>
    <row r="108">
      <c r="A108" s="485"/>
      <c r="B108" s="485"/>
      <c r="C108" s="485"/>
      <c r="D108" s="485"/>
      <c r="E108" s="485"/>
      <c r="F108" s="485"/>
      <c r="G108" s="485"/>
      <c r="H108" s="485"/>
      <c r="I108" s="485"/>
      <c r="J108" s="485"/>
      <c r="K108" s="485"/>
      <c r="L108" s="485"/>
      <c r="M108" s="485"/>
      <c r="N108" s="485"/>
      <c r="O108" s="485"/>
      <c r="P108" s="485"/>
      <c r="Q108" s="485"/>
      <c r="R108" s="485"/>
      <c r="S108" s="485"/>
      <c r="T108" s="485"/>
      <c r="U108" s="485"/>
      <c r="V108" s="485"/>
      <c r="W108" s="485"/>
      <c r="X108" s="485"/>
      <c r="Y108" s="485"/>
      <c r="Z108" s="485"/>
    </row>
    <row r="109">
      <c r="A109" s="485"/>
      <c r="B109" s="485"/>
      <c r="C109" s="485"/>
      <c r="D109" s="485"/>
      <c r="E109" s="485"/>
      <c r="F109" s="485"/>
      <c r="G109" s="485"/>
      <c r="H109" s="485"/>
      <c r="I109" s="485"/>
      <c r="J109" s="485"/>
      <c r="K109" s="485"/>
      <c r="L109" s="485"/>
      <c r="M109" s="485"/>
      <c r="N109" s="485"/>
      <c r="O109" s="485"/>
      <c r="P109" s="485"/>
      <c r="Q109" s="485"/>
      <c r="R109" s="485"/>
      <c r="S109" s="485"/>
      <c r="T109" s="485"/>
      <c r="U109" s="485"/>
      <c r="V109" s="485"/>
      <c r="W109" s="485"/>
      <c r="X109" s="485"/>
      <c r="Y109" s="485"/>
      <c r="Z109" s="485"/>
    </row>
    <row r="110">
      <c r="A110" s="485"/>
      <c r="B110" s="485"/>
      <c r="C110" s="485"/>
      <c r="D110" s="485"/>
      <c r="E110" s="485"/>
      <c r="F110" s="485"/>
      <c r="G110" s="485"/>
      <c r="H110" s="485"/>
      <c r="I110" s="485"/>
      <c r="J110" s="485"/>
      <c r="K110" s="485"/>
      <c r="L110" s="485"/>
      <c r="M110" s="485"/>
      <c r="N110" s="485"/>
      <c r="O110" s="485"/>
      <c r="P110" s="485"/>
      <c r="Q110" s="485"/>
      <c r="R110" s="485"/>
      <c r="S110" s="485"/>
      <c r="T110" s="485"/>
      <c r="U110" s="485"/>
      <c r="V110" s="485"/>
      <c r="W110" s="485"/>
      <c r="X110" s="485"/>
      <c r="Y110" s="485"/>
      <c r="Z110" s="485"/>
    </row>
    <row r="111">
      <c r="A111" s="485"/>
      <c r="B111" s="485"/>
      <c r="C111" s="485"/>
      <c r="D111" s="485"/>
      <c r="E111" s="485"/>
      <c r="F111" s="485"/>
      <c r="G111" s="485"/>
      <c r="H111" s="485"/>
      <c r="I111" s="485"/>
      <c r="J111" s="485"/>
      <c r="K111" s="485"/>
      <c r="L111" s="485"/>
      <c r="M111" s="485"/>
      <c r="N111" s="485"/>
      <c r="O111" s="485"/>
      <c r="P111" s="485"/>
      <c r="Q111" s="485"/>
      <c r="R111" s="485"/>
      <c r="S111" s="485"/>
      <c r="T111" s="485"/>
      <c r="U111" s="485"/>
      <c r="V111" s="485"/>
      <c r="W111" s="485"/>
      <c r="X111" s="485"/>
      <c r="Y111" s="485"/>
      <c r="Z111" s="485"/>
    </row>
    <row r="112">
      <c r="A112" s="485"/>
      <c r="B112" s="485"/>
      <c r="C112" s="485"/>
      <c r="D112" s="485"/>
      <c r="E112" s="485"/>
      <c r="F112" s="485"/>
      <c r="G112" s="485"/>
      <c r="H112" s="485"/>
      <c r="I112" s="485"/>
      <c r="J112" s="485"/>
      <c r="K112" s="485"/>
      <c r="L112" s="485"/>
      <c r="M112" s="485"/>
      <c r="N112" s="485"/>
      <c r="O112" s="485"/>
      <c r="P112" s="485"/>
      <c r="Q112" s="485"/>
      <c r="R112" s="485"/>
      <c r="S112" s="485"/>
      <c r="T112" s="485"/>
      <c r="U112" s="485"/>
      <c r="V112" s="485"/>
      <c r="W112" s="485"/>
      <c r="X112" s="485"/>
      <c r="Y112" s="485"/>
      <c r="Z112" s="485"/>
    </row>
    <row r="113">
      <c r="A113" s="485"/>
      <c r="B113" s="485"/>
      <c r="C113" s="485"/>
      <c r="D113" s="485"/>
      <c r="E113" s="485"/>
      <c r="F113" s="485"/>
      <c r="G113" s="485"/>
      <c r="H113" s="485"/>
      <c r="I113" s="485"/>
      <c r="J113" s="485"/>
      <c r="K113" s="485"/>
      <c r="L113" s="485"/>
      <c r="M113" s="485"/>
      <c r="N113" s="485"/>
      <c r="O113" s="485"/>
      <c r="P113" s="485"/>
      <c r="Q113" s="485"/>
      <c r="R113" s="485"/>
      <c r="S113" s="485"/>
      <c r="T113" s="485"/>
      <c r="U113" s="485"/>
      <c r="V113" s="485"/>
      <c r="W113" s="485"/>
      <c r="X113" s="485"/>
      <c r="Y113" s="485"/>
      <c r="Z113" s="485"/>
    </row>
    <row r="114">
      <c r="A114" s="485"/>
      <c r="B114" s="485"/>
      <c r="C114" s="485"/>
      <c r="D114" s="485"/>
      <c r="E114" s="485"/>
      <c r="F114" s="485"/>
      <c r="G114" s="485"/>
      <c r="H114" s="485"/>
      <c r="I114" s="485"/>
      <c r="J114" s="485"/>
      <c r="K114" s="485"/>
      <c r="L114" s="485"/>
      <c r="M114" s="485"/>
      <c r="N114" s="485"/>
      <c r="O114" s="485"/>
      <c r="P114" s="485"/>
      <c r="Q114" s="485"/>
      <c r="R114" s="485"/>
      <c r="S114" s="485"/>
      <c r="T114" s="485"/>
      <c r="U114" s="485"/>
      <c r="V114" s="485"/>
      <c r="W114" s="485"/>
      <c r="X114" s="485"/>
      <c r="Y114" s="485"/>
      <c r="Z114" s="485"/>
    </row>
    <row r="115">
      <c r="A115" s="485"/>
      <c r="B115" s="485"/>
      <c r="C115" s="485"/>
      <c r="D115" s="485"/>
      <c r="E115" s="485"/>
      <c r="F115" s="485"/>
      <c r="G115" s="485"/>
      <c r="H115" s="485"/>
      <c r="I115" s="485"/>
      <c r="J115" s="485"/>
      <c r="K115" s="485"/>
      <c r="L115" s="485"/>
      <c r="M115" s="485"/>
      <c r="N115" s="485"/>
      <c r="O115" s="485"/>
      <c r="P115" s="485"/>
      <c r="Q115" s="485"/>
      <c r="R115" s="485"/>
      <c r="S115" s="485"/>
      <c r="T115" s="485"/>
      <c r="U115" s="485"/>
      <c r="V115" s="485"/>
      <c r="W115" s="485"/>
      <c r="X115" s="485"/>
      <c r="Y115" s="485"/>
      <c r="Z115" s="485"/>
    </row>
    <row r="116">
      <c r="A116" s="485"/>
      <c r="B116" s="485"/>
      <c r="C116" s="485"/>
      <c r="D116" s="485"/>
      <c r="E116" s="485"/>
      <c r="F116" s="485"/>
      <c r="G116" s="485"/>
      <c r="H116" s="485"/>
      <c r="I116" s="485"/>
      <c r="J116" s="485"/>
      <c r="K116" s="485"/>
      <c r="L116" s="485"/>
      <c r="M116" s="485"/>
      <c r="N116" s="485"/>
      <c r="O116" s="485"/>
      <c r="P116" s="485"/>
      <c r="Q116" s="485"/>
      <c r="R116" s="485"/>
      <c r="S116" s="485"/>
      <c r="T116" s="485"/>
      <c r="U116" s="485"/>
      <c r="V116" s="485"/>
      <c r="W116" s="485"/>
      <c r="X116" s="485"/>
      <c r="Y116" s="485"/>
      <c r="Z116" s="485"/>
    </row>
    <row r="117">
      <c r="A117" s="485"/>
      <c r="B117" s="485"/>
      <c r="C117" s="485"/>
      <c r="D117" s="485"/>
      <c r="E117" s="485"/>
      <c r="F117" s="485"/>
      <c r="G117" s="485"/>
      <c r="H117" s="485"/>
      <c r="I117" s="485"/>
      <c r="J117" s="485"/>
      <c r="K117" s="485"/>
      <c r="L117" s="485"/>
      <c r="M117" s="485"/>
      <c r="N117" s="485"/>
      <c r="O117" s="485"/>
      <c r="P117" s="485"/>
      <c r="Q117" s="485"/>
      <c r="R117" s="485"/>
      <c r="S117" s="485"/>
      <c r="T117" s="485"/>
      <c r="U117" s="485"/>
      <c r="V117" s="485"/>
      <c r="W117" s="485"/>
      <c r="X117" s="485"/>
      <c r="Y117" s="485"/>
      <c r="Z117" s="485"/>
    </row>
    <row r="118">
      <c r="A118" s="485"/>
      <c r="B118" s="485"/>
      <c r="C118" s="485"/>
      <c r="D118" s="485"/>
      <c r="E118" s="485"/>
      <c r="F118" s="485"/>
      <c r="G118" s="485"/>
      <c r="H118" s="485"/>
      <c r="I118" s="485"/>
      <c r="J118" s="485"/>
      <c r="K118" s="485"/>
      <c r="L118" s="485"/>
      <c r="M118" s="485"/>
      <c r="N118" s="485"/>
      <c r="O118" s="485"/>
      <c r="P118" s="485"/>
      <c r="Q118" s="485"/>
      <c r="R118" s="485"/>
      <c r="S118" s="485"/>
      <c r="T118" s="485"/>
      <c r="U118" s="485"/>
      <c r="V118" s="485"/>
      <c r="W118" s="485"/>
      <c r="X118" s="485"/>
      <c r="Y118" s="485"/>
      <c r="Z118" s="485"/>
    </row>
    <row r="119">
      <c r="A119" s="485"/>
      <c r="B119" s="485"/>
      <c r="C119" s="485"/>
      <c r="D119" s="485"/>
      <c r="E119" s="485"/>
      <c r="F119" s="485"/>
      <c r="G119" s="485"/>
      <c r="H119" s="485"/>
      <c r="I119" s="485"/>
      <c r="J119" s="485"/>
      <c r="K119" s="485"/>
      <c r="L119" s="485"/>
      <c r="M119" s="485"/>
      <c r="N119" s="485"/>
      <c r="O119" s="485"/>
      <c r="P119" s="485"/>
      <c r="Q119" s="485"/>
      <c r="R119" s="485"/>
      <c r="S119" s="485"/>
      <c r="T119" s="485"/>
      <c r="U119" s="485"/>
      <c r="V119" s="485"/>
      <c r="W119" s="485"/>
      <c r="X119" s="485"/>
      <c r="Y119" s="485"/>
      <c r="Z119" s="485"/>
    </row>
    <row r="120">
      <c r="A120" s="485"/>
      <c r="B120" s="485"/>
      <c r="C120" s="485"/>
      <c r="D120" s="485"/>
      <c r="E120" s="485"/>
      <c r="F120" s="485"/>
      <c r="G120" s="485"/>
      <c r="H120" s="485"/>
      <c r="I120" s="485"/>
      <c r="J120" s="485"/>
      <c r="K120" s="485"/>
      <c r="L120" s="485"/>
      <c r="M120" s="485"/>
      <c r="N120" s="485"/>
      <c r="O120" s="485"/>
      <c r="P120" s="485"/>
      <c r="Q120" s="485"/>
      <c r="R120" s="485"/>
      <c r="S120" s="485"/>
      <c r="T120" s="485"/>
      <c r="U120" s="485"/>
      <c r="V120" s="485"/>
      <c r="W120" s="485"/>
      <c r="X120" s="485"/>
      <c r="Y120" s="485"/>
      <c r="Z120" s="485"/>
    </row>
    <row r="121">
      <c r="A121" s="485"/>
      <c r="B121" s="485"/>
      <c r="C121" s="485"/>
      <c r="D121" s="485"/>
      <c r="E121" s="485"/>
      <c r="F121" s="485"/>
      <c r="G121" s="485"/>
      <c r="H121" s="485"/>
      <c r="I121" s="485"/>
      <c r="J121" s="485"/>
      <c r="K121" s="485"/>
      <c r="L121" s="485"/>
      <c r="M121" s="485"/>
      <c r="N121" s="485"/>
      <c r="O121" s="485"/>
      <c r="P121" s="485"/>
      <c r="Q121" s="485"/>
      <c r="R121" s="485"/>
      <c r="S121" s="485"/>
      <c r="T121" s="485"/>
      <c r="U121" s="485"/>
      <c r="V121" s="485"/>
      <c r="W121" s="485"/>
      <c r="X121" s="485"/>
      <c r="Y121" s="485"/>
      <c r="Z121" s="485"/>
    </row>
    <row r="122">
      <c r="A122" s="485"/>
      <c r="B122" s="485"/>
      <c r="C122" s="485"/>
      <c r="D122" s="485"/>
      <c r="E122" s="485"/>
      <c r="F122" s="485"/>
      <c r="G122" s="485"/>
      <c r="H122" s="485"/>
      <c r="I122" s="485"/>
      <c r="J122" s="485"/>
      <c r="K122" s="485"/>
      <c r="L122" s="485"/>
      <c r="M122" s="485"/>
      <c r="N122" s="485"/>
      <c r="O122" s="485"/>
      <c r="P122" s="485"/>
      <c r="Q122" s="485"/>
      <c r="R122" s="485"/>
      <c r="S122" s="485"/>
      <c r="T122" s="485"/>
      <c r="U122" s="485"/>
      <c r="V122" s="485"/>
      <c r="W122" s="485"/>
      <c r="X122" s="485"/>
      <c r="Y122" s="485"/>
      <c r="Z122" s="485"/>
    </row>
    <row r="123">
      <c r="A123" s="485"/>
      <c r="B123" s="485"/>
      <c r="C123" s="485"/>
      <c r="D123" s="485"/>
      <c r="E123" s="485"/>
      <c r="F123" s="485"/>
      <c r="G123" s="485"/>
      <c r="H123" s="485"/>
      <c r="I123" s="485"/>
      <c r="J123" s="485"/>
      <c r="K123" s="485"/>
      <c r="L123" s="485"/>
      <c r="M123" s="485"/>
      <c r="N123" s="485"/>
      <c r="O123" s="485"/>
      <c r="P123" s="485"/>
      <c r="Q123" s="485"/>
      <c r="R123" s="485"/>
      <c r="S123" s="485"/>
      <c r="T123" s="485"/>
      <c r="U123" s="485"/>
      <c r="V123" s="485"/>
      <c r="W123" s="485"/>
      <c r="X123" s="485"/>
      <c r="Y123" s="485"/>
      <c r="Z123" s="485"/>
    </row>
    <row r="124">
      <c r="A124" s="485"/>
      <c r="B124" s="485"/>
      <c r="C124" s="485"/>
      <c r="D124" s="485"/>
      <c r="E124" s="485"/>
      <c r="F124" s="485"/>
      <c r="G124" s="485"/>
      <c r="H124" s="485"/>
      <c r="I124" s="485"/>
      <c r="J124" s="485"/>
      <c r="K124" s="485"/>
      <c r="L124" s="485"/>
      <c r="M124" s="485"/>
      <c r="N124" s="485"/>
      <c r="O124" s="485"/>
      <c r="P124" s="485"/>
      <c r="Q124" s="485"/>
      <c r="R124" s="485"/>
      <c r="S124" s="485"/>
      <c r="T124" s="485"/>
      <c r="U124" s="485"/>
      <c r="V124" s="485"/>
      <c r="W124" s="485"/>
      <c r="X124" s="485"/>
      <c r="Y124" s="485"/>
      <c r="Z124" s="485"/>
    </row>
    <row r="125">
      <c r="A125" s="485"/>
      <c r="B125" s="485"/>
      <c r="C125" s="485"/>
      <c r="D125" s="485"/>
      <c r="E125" s="485"/>
      <c r="F125" s="485"/>
      <c r="G125" s="485"/>
      <c r="H125" s="485"/>
      <c r="I125" s="485"/>
      <c r="J125" s="485"/>
      <c r="K125" s="485"/>
      <c r="L125" s="485"/>
      <c r="M125" s="485"/>
      <c r="N125" s="485"/>
      <c r="O125" s="485"/>
      <c r="P125" s="485"/>
      <c r="Q125" s="485"/>
      <c r="R125" s="485"/>
      <c r="S125" s="485"/>
      <c r="T125" s="485"/>
      <c r="U125" s="485"/>
      <c r="V125" s="485"/>
      <c r="W125" s="485"/>
      <c r="X125" s="485"/>
      <c r="Y125" s="485"/>
      <c r="Z125" s="485"/>
    </row>
    <row r="126">
      <c r="A126" s="485"/>
      <c r="B126" s="485"/>
      <c r="C126" s="485"/>
      <c r="D126" s="485"/>
      <c r="E126" s="485"/>
      <c r="F126" s="485"/>
      <c r="G126" s="485"/>
      <c r="H126" s="485"/>
      <c r="I126" s="485"/>
      <c r="J126" s="485"/>
      <c r="K126" s="485"/>
      <c r="L126" s="485"/>
      <c r="M126" s="485"/>
      <c r="N126" s="485"/>
      <c r="O126" s="485"/>
      <c r="P126" s="485"/>
      <c r="Q126" s="485"/>
      <c r="R126" s="485"/>
      <c r="S126" s="485"/>
      <c r="T126" s="485"/>
      <c r="U126" s="485"/>
      <c r="V126" s="485"/>
      <c r="W126" s="485"/>
      <c r="X126" s="485"/>
      <c r="Y126" s="485"/>
      <c r="Z126" s="485"/>
    </row>
    <row r="127">
      <c r="A127" s="485"/>
      <c r="B127" s="485"/>
      <c r="C127" s="485"/>
      <c r="D127" s="485"/>
      <c r="E127" s="485"/>
      <c r="F127" s="485"/>
      <c r="G127" s="485"/>
      <c r="H127" s="485"/>
      <c r="I127" s="485"/>
      <c r="J127" s="485"/>
      <c r="K127" s="485"/>
      <c r="L127" s="485"/>
      <c r="M127" s="485"/>
      <c r="N127" s="485"/>
      <c r="O127" s="485"/>
      <c r="P127" s="485"/>
      <c r="Q127" s="485"/>
      <c r="R127" s="485"/>
      <c r="S127" s="485"/>
      <c r="T127" s="485"/>
      <c r="U127" s="485"/>
      <c r="V127" s="485"/>
      <c r="W127" s="485"/>
      <c r="X127" s="485"/>
      <c r="Y127" s="485"/>
      <c r="Z127" s="485"/>
    </row>
    <row r="128">
      <c r="A128" s="485"/>
      <c r="B128" s="485"/>
      <c r="C128" s="485"/>
      <c r="D128" s="485"/>
      <c r="E128" s="485"/>
      <c r="F128" s="485"/>
      <c r="G128" s="485"/>
      <c r="H128" s="485"/>
      <c r="I128" s="485"/>
      <c r="J128" s="485"/>
      <c r="K128" s="485"/>
      <c r="L128" s="485"/>
      <c r="M128" s="485"/>
      <c r="N128" s="485"/>
      <c r="O128" s="485"/>
      <c r="P128" s="485"/>
      <c r="Q128" s="485"/>
      <c r="R128" s="485"/>
      <c r="S128" s="485"/>
      <c r="T128" s="485"/>
      <c r="U128" s="485"/>
      <c r="V128" s="485"/>
      <c r="W128" s="485"/>
      <c r="X128" s="485"/>
      <c r="Y128" s="485"/>
      <c r="Z128" s="485"/>
    </row>
    <row r="129">
      <c r="A129" s="485"/>
      <c r="B129" s="485"/>
      <c r="C129" s="485"/>
      <c r="D129" s="485"/>
      <c r="E129" s="485"/>
      <c r="F129" s="485"/>
      <c r="G129" s="485"/>
      <c r="H129" s="485"/>
      <c r="I129" s="485"/>
      <c r="J129" s="485"/>
      <c r="K129" s="485"/>
      <c r="L129" s="485"/>
      <c r="M129" s="485"/>
      <c r="N129" s="485"/>
      <c r="O129" s="485"/>
      <c r="P129" s="485"/>
      <c r="Q129" s="485"/>
      <c r="R129" s="485"/>
      <c r="S129" s="485"/>
      <c r="T129" s="485"/>
      <c r="U129" s="485"/>
      <c r="V129" s="485"/>
      <c r="W129" s="485"/>
      <c r="X129" s="485"/>
      <c r="Y129" s="485"/>
      <c r="Z129" s="485"/>
    </row>
    <row r="130">
      <c r="A130" s="485"/>
      <c r="B130" s="485"/>
      <c r="C130" s="485"/>
      <c r="D130" s="485"/>
      <c r="E130" s="485"/>
      <c r="F130" s="485"/>
      <c r="G130" s="485"/>
      <c r="H130" s="485"/>
      <c r="I130" s="485"/>
      <c r="J130" s="485"/>
      <c r="K130" s="485"/>
      <c r="L130" s="485"/>
      <c r="M130" s="485"/>
      <c r="N130" s="485"/>
      <c r="O130" s="485"/>
      <c r="P130" s="485"/>
      <c r="Q130" s="485"/>
      <c r="R130" s="485"/>
      <c r="S130" s="485"/>
      <c r="T130" s="485"/>
      <c r="U130" s="485"/>
      <c r="V130" s="485"/>
      <c r="W130" s="485"/>
      <c r="X130" s="485"/>
      <c r="Y130" s="485"/>
      <c r="Z130" s="485"/>
    </row>
    <row r="131">
      <c r="A131" s="485"/>
      <c r="B131" s="485"/>
      <c r="C131" s="485"/>
      <c r="D131" s="485"/>
      <c r="E131" s="485"/>
      <c r="F131" s="485"/>
      <c r="G131" s="485"/>
      <c r="H131" s="485"/>
      <c r="I131" s="485"/>
      <c r="J131" s="485"/>
      <c r="K131" s="485"/>
      <c r="L131" s="485"/>
      <c r="M131" s="485"/>
      <c r="N131" s="485"/>
      <c r="O131" s="485"/>
      <c r="P131" s="485"/>
      <c r="Q131" s="485"/>
      <c r="R131" s="485"/>
      <c r="S131" s="485"/>
      <c r="T131" s="485"/>
      <c r="U131" s="485"/>
      <c r="V131" s="485"/>
      <c r="W131" s="485"/>
      <c r="X131" s="485"/>
      <c r="Y131" s="485"/>
      <c r="Z131" s="485"/>
    </row>
    <row r="132">
      <c r="A132" s="485"/>
      <c r="B132" s="485"/>
      <c r="C132" s="485"/>
      <c r="D132" s="485"/>
      <c r="E132" s="485"/>
      <c r="F132" s="485"/>
      <c r="G132" s="485"/>
      <c r="H132" s="485"/>
      <c r="I132" s="485"/>
      <c r="J132" s="485"/>
      <c r="K132" s="485"/>
      <c r="L132" s="485"/>
      <c r="M132" s="485"/>
      <c r="N132" s="485"/>
      <c r="O132" s="485"/>
      <c r="P132" s="485"/>
      <c r="Q132" s="485"/>
      <c r="R132" s="485"/>
      <c r="S132" s="485"/>
      <c r="T132" s="485"/>
      <c r="U132" s="485"/>
      <c r="V132" s="485"/>
      <c r="W132" s="485"/>
      <c r="X132" s="485"/>
      <c r="Y132" s="485"/>
      <c r="Z132" s="485"/>
    </row>
    <row r="133">
      <c r="A133" s="485"/>
      <c r="B133" s="485"/>
      <c r="C133" s="485"/>
      <c r="D133" s="485"/>
      <c r="E133" s="485"/>
      <c r="F133" s="485"/>
      <c r="G133" s="485"/>
      <c r="H133" s="485"/>
      <c r="I133" s="485"/>
      <c r="J133" s="485"/>
      <c r="K133" s="485"/>
      <c r="L133" s="485"/>
      <c r="M133" s="485"/>
      <c r="N133" s="485"/>
      <c r="O133" s="485"/>
      <c r="P133" s="485"/>
      <c r="Q133" s="485"/>
      <c r="R133" s="485"/>
      <c r="S133" s="485"/>
      <c r="T133" s="485"/>
      <c r="U133" s="485"/>
      <c r="V133" s="485"/>
      <c r="W133" s="485"/>
      <c r="X133" s="485"/>
      <c r="Y133" s="485"/>
      <c r="Z133" s="485"/>
    </row>
    <row r="134">
      <c r="A134" s="485"/>
      <c r="B134" s="485"/>
      <c r="C134" s="485"/>
      <c r="D134" s="485"/>
      <c r="E134" s="485"/>
      <c r="F134" s="485"/>
      <c r="G134" s="485"/>
      <c r="H134" s="485"/>
      <c r="I134" s="485"/>
      <c r="J134" s="485"/>
      <c r="K134" s="485"/>
      <c r="L134" s="485"/>
      <c r="M134" s="485"/>
      <c r="N134" s="485"/>
      <c r="O134" s="485"/>
      <c r="P134" s="485"/>
      <c r="Q134" s="485"/>
      <c r="R134" s="485"/>
      <c r="S134" s="485"/>
      <c r="T134" s="485"/>
      <c r="U134" s="485"/>
      <c r="V134" s="485"/>
      <c r="W134" s="485"/>
      <c r="X134" s="485"/>
      <c r="Y134" s="485"/>
      <c r="Z134" s="485"/>
    </row>
    <row r="135">
      <c r="A135" s="485"/>
      <c r="B135" s="485"/>
      <c r="C135" s="485"/>
      <c r="D135" s="485"/>
      <c r="E135" s="485"/>
      <c r="F135" s="485"/>
      <c r="G135" s="485"/>
      <c r="H135" s="485"/>
      <c r="I135" s="485"/>
      <c r="J135" s="485"/>
      <c r="K135" s="485"/>
      <c r="L135" s="485"/>
      <c r="M135" s="485"/>
      <c r="N135" s="485"/>
      <c r="O135" s="485"/>
      <c r="P135" s="485"/>
      <c r="Q135" s="485"/>
      <c r="R135" s="485"/>
      <c r="S135" s="485"/>
      <c r="T135" s="485"/>
      <c r="U135" s="485"/>
      <c r="V135" s="485"/>
      <c r="W135" s="485"/>
      <c r="X135" s="485"/>
      <c r="Y135" s="485"/>
      <c r="Z135" s="485"/>
    </row>
    <row r="136">
      <c r="A136" s="485"/>
      <c r="B136" s="485"/>
      <c r="C136" s="485"/>
      <c r="D136" s="485"/>
      <c r="E136" s="485"/>
      <c r="F136" s="485"/>
      <c r="G136" s="485"/>
      <c r="H136" s="485"/>
      <c r="I136" s="485"/>
      <c r="J136" s="485"/>
      <c r="K136" s="485"/>
      <c r="L136" s="485"/>
      <c r="M136" s="485"/>
      <c r="N136" s="485"/>
      <c r="O136" s="485"/>
      <c r="P136" s="485"/>
      <c r="Q136" s="485"/>
      <c r="R136" s="485"/>
      <c r="S136" s="485"/>
      <c r="T136" s="485"/>
      <c r="U136" s="485"/>
      <c r="V136" s="485"/>
      <c r="W136" s="485"/>
      <c r="X136" s="485"/>
      <c r="Y136" s="485"/>
      <c r="Z136" s="485"/>
    </row>
    <row r="137">
      <c r="A137" s="485"/>
      <c r="B137" s="485"/>
      <c r="C137" s="485"/>
      <c r="D137" s="485"/>
      <c r="E137" s="485"/>
      <c r="F137" s="485"/>
      <c r="G137" s="485"/>
      <c r="H137" s="485"/>
      <c r="I137" s="485"/>
      <c r="J137" s="485"/>
      <c r="K137" s="485"/>
      <c r="L137" s="485"/>
      <c r="M137" s="485"/>
      <c r="N137" s="485"/>
      <c r="O137" s="485"/>
      <c r="P137" s="485"/>
      <c r="Q137" s="485"/>
      <c r="R137" s="485"/>
      <c r="S137" s="485"/>
      <c r="T137" s="485"/>
      <c r="U137" s="485"/>
      <c r="V137" s="485"/>
      <c r="W137" s="485"/>
      <c r="X137" s="485"/>
      <c r="Y137" s="485"/>
      <c r="Z137" s="485"/>
    </row>
    <row r="138">
      <c r="A138" s="485"/>
      <c r="B138" s="485"/>
      <c r="C138" s="485"/>
      <c r="D138" s="485"/>
      <c r="E138" s="485"/>
      <c r="F138" s="485"/>
      <c r="G138" s="485"/>
      <c r="H138" s="485"/>
      <c r="I138" s="485"/>
      <c r="J138" s="485"/>
      <c r="K138" s="485"/>
      <c r="L138" s="485"/>
      <c r="M138" s="485"/>
      <c r="N138" s="485"/>
      <c r="O138" s="485"/>
      <c r="P138" s="485"/>
      <c r="Q138" s="485"/>
      <c r="R138" s="485"/>
      <c r="S138" s="485"/>
      <c r="T138" s="485"/>
      <c r="U138" s="485"/>
      <c r="V138" s="485"/>
      <c r="W138" s="485"/>
      <c r="X138" s="485"/>
      <c r="Y138" s="485"/>
      <c r="Z138" s="485"/>
    </row>
    <row r="139">
      <c r="A139" s="485"/>
      <c r="B139" s="485"/>
      <c r="C139" s="485"/>
      <c r="D139" s="485"/>
      <c r="E139" s="485"/>
      <c r="F139" s="485"/>
      <c r="G139" s="485"/>
      <c r="H139" s="485"/>
      <c r="I139" s="485"/>
      <c r="J139" s="485"/>
      <c r="K139" s="485"/>
      <c r="L139" s="485"/>
      <c r="M139" s="485"/>
      <c r="N139" s="485"/>
      <c r="O139" s="485"/>
      <c r="P139" s="485"/>
      <c r="Q139" s="485"/>
      <c r="R139" s="485"/>
      <c r="S139" s="485"/>
      <c r="T139" s="485"/>
      <c r="U139" s="485"/>
      <c r="V139" s="485"/>
      <c r="W139" s="485"/>
      <c r="X139" s="485"/>
      <c r="Y139" s="485"/>
      <c r="Z139" s="485"/>
    </row>
    <row r="140">
      <c r="A140" s="485"/>
      <c r="B140" s="485"/>
      <c r="C140" s="485"/>
      <c r="D140" s="485"/>
      <c r="E140" s="485"/>
      <c r="F140" s="485"/>
      <c r="G140" s="485"/>
      <c r="H140" s="485"/>
      <c r="I140" s="485"/>
      <c r="J140" s="485"/>
      <c r="K140" s="485"/>
      <c r="L140" s="485"/>
      <c r="M140" s="485"/>
      <c r="N140" s="485"/>
      <c r="O140" s="485"/>
      <c r="P140" s="485"/>
      <c r="Q140" s="485"/>
      <c r="R140" s="485"/>
      <c r="S140" s="485"/>
      <c r="T140" s="485"/>
      <c r="U140" s="485"/>
      <c r="V140" s="485"/>
      <c r="W140" s="485"/>
      <c r="X140" s="485"/>
      <c r="Y140" s="485"/>
      <c r="Z140" s="485"/>
    </row>
    <row r="141">
      <c r="A141" s="485"/>
      <c r="B141" s="485"/>
      <c r="C141" s="485"/>
      <c r="D141" s="485"/>
      <c r="E141" s="485"/>
      <c r="F141" s="485"/>
      <c r="G141" s="485"/>
      <c r="H141" s="485"/>
      <c r="I141" s="485"/>
      <c r="J141" s="485"/>
      <c r="K141" s="485"/>
      <c r="L141" s="485"/>
      <c r="M141" s="485"/>
      <c r="N141" s="485"/>
      <c r="O141" s="485"/>
      <c r="P141" s="485"/>
      <c r="Q141" s="485"/>
      <c r="R141" s="485"/>
      <c r="S141" s="485"/>
      <c r="T141" s="485"/>
      <c r="U141" s="485"/>
      <c r="V141" s="485"/>
      <c r="W141" s="485"/>
      <c r="X141" s="485"/>
      <c r="Y141" s="485"/>
      <c r="Z141" s="485"/>
    </row>
    <row r="142">
      <c r="A142" s="485"/>
      <c r="B142" s="485"/>
      <c r="C142" s="485"/>
      <c r="D142" s="485"/>
      <c r="E142" s="485"/>
      <c r="F142" s="485"/>
      <c r="G142" s="485"/>
      <c r="H142" s="485"/>
      <c r="I142" s="485"/>
      <c r="J142" s="485"/>
      <c r="K142" s="485"/>
      <c r="L142" s="485"/>
      <c r="M142" s="485"/>
      <c r="N142" s="485"/>
      <c r="O142" s="485"/>
      <c r="P142" s="485"/>
      <c r="Q142" s="485"/>
      <c r="R142" s="485"/>
      <c r="S142" s="485"/>
      <c r="T142" s="485"/>
      <c r="U142" s="485"/>
      <c r="V142" s="485"/>
      <c r="W142" s="485"/>
      <c r="X142" s="485"/>
      <c r="Y142" s="485"/>
      <c r="Z142" s="485"/>
    </row>
    <row r="143">
      <c r="A143" s="485"/>
      <c r="B143" s="485"/>
      <c r="C143" s="485"/>
      <c r="D143" s="485"/>
      <c r="E143" s="485"/>
      <c r="F143" s="485"/>
      <c r="G143" s="485"/>
      <c r="H143" s="485"/>
      <c r="I143" s="485"/>
      <c r="J143" s="485"/>
      <c r="K143" s="485"/>
      <c r="L143" s="485"/>
      <c r="M143" s="485"/>
      <c r="N143" s="485"/>
      <c r="O143" s="485"/>
      <c r="P143" s="485"/>
      <c r="Q143" s="485"/>
      <c r="R143" s="485"/>
      <c r="S143" s="485"/>
      <c r="T143" s="485"/>
      <c r="U143" s="485"/>
      <c r="V143" s="485"/>
      <c r="W143" s="485"/>
      <c r="X143" s="485"/>
      <c r="Y143" s="485"/>
      <c r="Z143" s="485"/>
    </row>
    <row r="144">
      <c r="A144" s="485"/>
      <c r="B144" s="485"/>
      <c r="C144" s="485"/>
      <c r="D144" s="485"/>
      <c r="E144" s="485"/>
      <c r="F144" s="485"/>
      <c r="G144" s="485"/>
      <c r="H144" s="485"/>
      <c r="I144" s="485"/>
      <c r="J144" s="485"/>
      <c r="K144" s="485"/>
      <c r="L144" s="485"/>
      <c r="M144" s="485"/>
      <c r="N144" s="485"/>
      <c r="O144" s="485"/>
      <c r="P144" s="485"/>
      <c r="Q144" s="485"/>
      <c r="R144" s="485"/>
      <c r="S144" s="485"/>
      <c r="T144" s="485"/>
      <c r="U144" s="485"/>
      <c r="V144" s="485"/>
      <c r="W144" s="485"/>
      <c r="X144" s="485"/>
      <c r="Y144" s="485"/>
      <c r="Z144" s="485"/>
    </row>
    <row r="145">
      <c r="A145" s="485"/>
      <c r="B145" s="485"/>
      <c r="C145" s="485"/>
      <c r="D145" s="485"/>
      <c r="E145" s="485"/>
      <c r="F145" s="485"/>
      <c r="G145" s="485"/>
      <c r="H145" s="485"/>
      <c r="I145" s="485"/>
      <c r="J145" s="485"/>
      <c r="K145" s="485"/>
      <c r="L145" s="485"/>
      <c r="M145" s="485"/>
      <c r="N145" s="485"/>
      <c r="O145" s="485"/>
      <c r="P145" s="485"/>
      <c r="Q145" s="485"/>
      <c r="R145" s="485"/>
      <c r="S145" s="485"/>
      <c r="T145" s="485"/>
      <c r="U145" s="485"/>
      <c r="V145" s="485"/>
      <c r="W145" s="485"/>
      <c r="X145" s="485"/>
      <c r="Y145" s="485"/>
      <c r="Z145" s="485"/>
    </row>
    <row r="146">
      <c r="A146" s="485"/>
      <c r="B146" s="485"/>
      <c r="C146" s="485"/>
      <c r="D146" s="485"/>
      <c r="E146" s="485"/>
      <c r="F146" s="485"/>
      <c r="G146" s="485"/>
      <c r="H146" s="485"/>
      <c r="I146" s="485"/>
      <c r="J146" s="485"/>
      <c r="K146" s="485"/>
      <c r="L146" s="485"/>
      <c r="M146" s="485"/>
      <c r="N146" s="485"/>
      <c r="O146" s="485"/>
      <c r="P146" s="485"/>
      <c r="Q146" s="485"/>
      <c r="R146" s="485"/>
      <c r="S146" s="485"/>
      <c r="T146" s="485"/>
      <c r="U146" s="485"/>
      <c r="V146" s="485"/>
      <c r="W146" s="485"/>
      <c r="X146" s="485"/>
      <c r="Y146" s="485"/>
      <c r="Z146" s="485"/>
    </row>
    <row r="147">
      <c r="A147" s="485"/>
      <c r="B147" s="485"/>
      <c r="C147" s="485"/>
      <c r="D147" s="485"/>
      <c r="E147" s="485"/>
      <c r="F147" s="485"/>
      <c r="G147" s="485"/>
      <c r="H147" s="485"/>
      <c r="I147" s="485"/>
      <c r="J147" s="485"/>
      <c r="K147" s="485"/>
      <c r="L147" s="485"/>
      <c r="M147" s="485"/>
      <c r="N147" s="485"/>
      <c r="O147" s="485"/>
      <c r="P147" s="485"/>
      <c r="Q147" s="485"/>
      <c r="R147" s="485"/>
      <c r="S147" s="485"/>
      <c r="T147" s="485"/>
      <c r="U147" s="485"/>
      <c r="V147" s="485"/>
      <c r="W147" s="485"/>
      <c r="X147" s="485"/>
      <c r="Y147" s="485"/>
      <c r="Z147" s="485"/>
    </row>
    <row r="148">
      <c r="A148" s="485"/>
      <c r="B148" s="485"/>
      <c r="C148" s="485"/>
      <c r="D148" s="485"/>
      <c r="E148" s="485"/>
      <c r="F148" s="485"/>
      <c r="G148" s="485"/>
      <c r="H148" s="485"/>
      <c r="I148" s="485"/>
      <c r="J148" s="485"/>
      <c r="K148" s="485"/>
      <c r="L148" s="485"/>
      <c r="M148" s="485"/>
      <c r="N148" s="485"/>
      <c r="O148" s="485"/>
      <c r="P148" s="485"/>
      <c r="Q148" s="485"/>
      <c r="R148" s="485"/>
      <c r="S148" s="485"/>
      <c r="T148" s="485"/>
      <c r="U148" s="485"/>
      <c r="V148" s="485"/>
      <c r="W148" s="485"/>
      <c r="X148" s="485"/>
      <c r="Y148" s="485"/>
      <c r="Z148" s="485"/>
    </row>
    <row r="149">
      <c r="A149" s="485"/>
      <c r="B149" s="485"/>
      <c r="C149" s="485"/>
      <c r="D149" s="485"/>
      <c r="E149" s="485"/>
      <c r="F149" s="485"/>
      <c r="G149" s="485"/>
      <c r="H149" s="485"/>
      <c r="I149" s="485"/>
      <c r="J149" s="485"/>
      <c r="K149" s="485"/>
      <c r="L149" s="485"/>
      <c r="M149" s="485"/>
      <c r="N149" s="485"/>
      <c r="O149" s="485"/>
      <c r="P149" s="485"/>
      <c r="Q149" s="485"/>
      <c r="R149" s="485"/>
      <c r="S149" s="485"/>
      <c r="T149" s="485"/>
      <c r="U149" s="485"/>
      <c r="V149" s="485"/>
      <c r="W149" s="485"/>
      <c r="X149" s="485"/>
      <c r="Y149" s="485"/>
      <c r="Z149" s="485"/>
    </row>
    <row r="150">
      <c r="A150" s="485"/>
      <c r="B150" s="485"/>
      <c r="C150" s="485"/>
      <c r="D150" s="485"/>
      <c r="E150" s="485"/>
      <c r="F150" s="485"/>
      <c r="G150" s="485"/>
      <c r="H150" s="485"/>
      <c r="I150" s="485"/>
      <c r="J150" s="485"/>
      <c r="K150" s="485"/>
      <c r="L150" s="485"/>
      <c r="M150" s="485"/>
      <c r="N150" s="485"/>
      <c r="O150" s="485"/>
      <c r="P150" s="485"/>
      <c r="Q150" s="485"/>
      <c r="R150" s="485"/>
      <c r="S150" s="485"/>
      <c r="T150" s="485"/>
      <c r="U150" s="485"/>
      <c r="V150" s="485"/>
      <c r="W150" s="485"/>
      <c r="X150" s="485"/>
      <c r="Y150" s="485"/>
      <c r="Z150" s="485"/>
    </row>
    <row r="151">
      <c r="A151" s="485"/>
      <c r="B151" s="485"/>
      <c r="C151" s="485"/>
      <c r="D151" s="485"/>
      <c r="E151" s="485"/>
      <c r="F151" s="485"/>
      <c r="G151" s="485"/>
      <c r="H151" s="485"/>
      <c r="I151" s="485"/>
      <c r="J151" s="485"/>
      <c r="K151" s="485"/>
      <c r="L151" s="485"/>
      <c r="M151" s="485"/>
      <c r="N151" s="485"/>
      <c r="O151" s="485"/>
      <c r="P151" s="485"/>
      <c r="Q151" s="485"/>
      <c r="R151" s="485"/>
      <c r="S151" s="485"/>
      <c r="T151" s="485"/>
      <c r="U151" s="485"/>
      <c r="V151" s="485"/>
      <c r="W151" s="485"/>
      <c r="X151" s="485"/>
      <c r="Y151" s="485"/>
      <c r="Z151" s="485"/>
    </row>
    <row r="152">
      <c r="A152" s="485"/>
      <c r="B152" s="485"/>
      <c r="C152" s="485"/>
      <c r="D152" s="485"/>
      <c r="E152" s="485"/>
      <c r="F152" s="485"/>
      <c r="G152" s="485"/>
      <c r="H152" s="485"/>
      <c r="I152" s="485"/>
      <c r="J152" s="485"/>
      <c r="K152" s="485"/>
      <c r="L152" s="485"/>
      <c r="M152" s="485"/>
      <c r="N152" s="485"/>
      <c r="O152" s="485"/>
      <c r="P152" s="485"/>
      <c r="Q152" s="485"/>
      <c r="R152" s="485"/>
      <c r="S152" s="485"/>
      <c r="T152" s="485"/>
      <c r="U152" s="485"/>
      <c r="V152" s="485"/>
      <c r="W152" s="485"/>
      <c r="X152" s="485"/>
      <c r="Y152" s="485"/>
      <c r="Z152" s="485"/>
    </row>
    <row r="153">
      <c r="A153" s="485"/>
      <c r="B153" s="485"/>
      <c r="C153" s="485"/>
      <c r="D153" s="485"/>
      <c r="E153" s="485"/>
      <c r="F153" s="485"/>
      <c r="G153" s="485"/>
      <c r="H153" s="485"/>
      <c r="I153" s="485"/>
      <c r="J153" s="485"/>
      <c r="K153" s="485"/>
      <c r="L153" s="485"/>
      <c r="M153" s="485"/>
      <c r="N153" s="485"/>
      <c r="O153" s="485"/>
      <c r="P153" s="485"/>
      <c r="Q153" s="485"/>
      <c r="R153" s="485"/>
      <c r="S153" s="485"/>
      <c r="T153" s="485"/>
      <c r="U153" s="485"/>
      <c r="V153" s="485"/>
      <c r="W153" s="485"/>
      <c r="X153" s="485"/>
      <c r="Y153" s="485"/>
      <c r="Z153" s="485"/>
    </row>
    <row r="154">
      <c r="A154" s="485"/>
      <c r="B154" s="485"/>
      <c r="C154" s="485"/>
      <c r="D154" s="485"/>
      <c r="E154" s="485"/>
      <c r="F154" s="485"/>
      <c r="G154" s="485"/>
      <c r="H154" s="485"/>
      <c r="I154" s="485"/>
      <c r="J154" s="485"/>
      <c r="K154" s="485"/>
      <c r="L154" s="485"/>
      <c r="M154" s="485"/>
      <c r="N154" s="485"/>
      <c r="O154" s="485"/>
      <c r="P154" s="485"/>
      <c r="Q154" s="485"/>
      <c r="R154" s="485"/>
      <c r="S154" s="485"/>
      <c r="T154" s="485"/>
      <c r="U154" s="485"/>
      <c r="V154" s="485"/>
      <c r="W154" s="485"/>
      <c r="X154" s="485"/>
      <c r="Y154" s="485"/>
      <c r="Z154" s="485"/>
    </row>
    <row r="155">
      <c r="A155" s="485"/>
      <c r="B155" s="485"/>
      <c r="C155" s="485"/>
      <c r="D155" s="485"/>
      <c r="E155" s="485"/>
      <c r="F155" s="485"/>
      <c r="G155" s="485"/>
      <c r="H155" s="485"/>
      <c r="I155" s="485"/>
      <c r="J155" s="485"/>
      <c r="K155" s="485"/>
      <c r="L155" s="485"/>
      <c r="M155" s="485"/>
      <c r="N155" s="485"/>
      <c r="O155" s="485"/>
      <c r="P155" s="485"/>
      <c r="Q155" s="485"/>
      <c r="R155" s="485"/>
      <c r="S155" s="485"/>
      <c r="T155" s="485"/>
      <c r="U155" s="485"/>
      <c r="V155" s="485"/>
      <c r="W155" s="485"/>
      <c r="X155" s="485"/>
      <c r="Y155" s="485"/>
      <c r="Z155" s="485"/>
    </row>
    <row r="156">
      <c r="A156" s="485"/>
      <c r="B156" s="485"/>
      <c r="C156" s="485"/>
      <c r="D156" s="485"/>
      <c r="E156" s="485"/>
      <c r="F156" s="485"/>
      <c r="G156" s="485"/>
      <c r="H156" s="485"/>
      <c r="I156" s="485"/>
      <c r="J156" s="485"/>
      <c r="K156" s="485"/>
      <c r="L156" s="485"/>
      <c r="M156" s="485"/>
      <c r="N156" s="485"/>
      <c r="O156" s="485"/>
      <c r="P156" s="485"/>
      <c r="Q156" s="485"/>
      <c r="R156" s="485"/>
      <c r="S156" s="485"/>
      <c r="T156" s="485"/>
      <c r="U156" s="485"/>
      <c r="V156" s="485"/>
      <c r="W156" s="485"/>
      <c r="X156" s="485"/>
      <c r="Y156" s="485"/>
      <c r="Z156" s="485"/>
    </row>
    <row r="157">
      <c r="A157" s="485"/>
      <c r="B157" s="485"/>
      <c r="C157" s="485"/>
      <c r="D157" s="485"/>
      <c r="E157" s="485"/>
      <c r="F157" s="485"/>
      <c r="G157" s="485"/>
      <c r="H157" s="485"/>
      <c r="I157" s="485"/>
      <c r="J157" s="485"/>
      <c r="K157" s="485"/>
      <c r="L157" s="485"/>
      <c r="M157" s="485"/>
      <c r="N157" s="485"/>
      <c r="O157" s="485"/>
      <c r="P157" s="485"/>
      <c r="Q157" s="485"/>
      <c r="R157" s="485"/>
      <c r="S157" s="485"/>
      <c r="T157" s="485"/>
      <c r="U157" s="485"/>
      <c r="V157" s="485"/>
      <c r="W157" s="485"/>
      <c r="X157" s="485"/>
      <c r="Y157" s="485"/>
      <c r="Z157" s="485"/>
    </row>
    <row r="158">
      <c r="A158" s="485"/>
      <c r="B158" s="485"/>
      <c r="C158" s="485"/>
      <c r="D158" s="485"/>
      <c r="E158" s="485"/>
      <c r="F158" s="485"/>
      <c r="G158" s="485"/>
      <c r="H158" s="485"/>
      <c r="I158" s="485"/>
      <c r="J158" s="485"/>
      <c r="K158" s="485"/>
      <c r="L158" s="485"/>
      <c r="M158" s="485"/>
      <c r="N158" s="485"/>
      <c r="O158" s="485"/>
      <c r="P158" s="485"/>
      <c r="Q158" s="485"/>
      <c r="R158" s="485"/>
      <c r="S158" s="485"/>
      <c r="T158" s="485"/>
      <c r="U158" s="485"/>
      <c r="V158" s="485"/>
      <c r="W158" s="485"/>
      <c r="X158" s="485"/>
      <c r="Y158" s="485"/>
      <c r="Z158" s="485"/>
    </row>
    <row r="159">
      <c r="A159" s="485"/>
      <c r="B159" s="485"/>
      <c r="C159" s="485"/>
      <c r="D159" s="485"/>
      <c r="E159" s="485"/>
      <c r="F159" s="485"/>
      <c r="G159" s="485"/>
      <c r="H159" s="485"/>
      <c r="I159" s="485"/>
      <c r="J159" s="485"/>
      <c r="K159" s="485"/>
      <c r="L159" s="485"/>
      <c r="M159" s="485"/>
      <c r="N159" s="485"/>
      <c r="O159" s="485"/>
      <c r="P159" s="485"/>
      <c r="Q159" s="485"/>
      <c r="R159" s="485"/>
      <c r="S159" s="485"/>
      <c r="T159" s="485"/>
      <c r="U159" s="485"/>
      <c r="V159" s="485"/>
      <c r="W159" s="485"/>
      <c r="X159" s="485"/>
      <c r="Y159" s="485"/>
      <c r="Z159" s="485"/>
    </row>
    <row r="160">
      <c r="A160" s="485"/>
      <c r="B160" s="485"/>
      <c r="C160" s="485"/>
      <c r="D160" s="485"/>
      <c r="E160" s="485"/>
      <c r="F160" s="485"/>
      <c r="G160" s="485"/>
      <c r="H160" s="485"/>
      <c r="I160" s="485"/>
      <c r="J160" s="485"/>
      <c r="K160" s="485"/>
      <c r="L160" s="485"/>
      <c r="M160" s="485"/>
      <c r="N160" s="485"/>
      <c r="O160" s="485"/>
      <c r="P160" s="485"/>
      <c r="Q160" s="485"/>
      <c r="R160" s="485"/>
      <c r="S160" s="485"/>
      <c r="T160" s="485"/>
      <c r="U160" s="485"/>
      <c r="V160" s="485"/>
      <c r="W160" s="485"/>
      <c r="X160" s="485"/>
      <c r="Y160" s="485"/>
      <c r="Z160" s="485"/>
    </row>
    <row r="161">
      <c r="A161" s="485"/>
      <c r="B161" s="485"/>
      <c r="C161" s="485"/>
      <c r="D161" s="485"/>
      <c r="E161" s="485"/>
      <c r="F161" s="485"/>
      <c r="G161" s="485"/>
      <c r="H161" s="485"/>
      <c r="I161" s="485"/>
      <c r="J161" s="485"/>
      <c r="K161" s="485"/>
      <c r="L161" s="485"/>
      <c r="M161" s="485"/>
      <c r="N161" s="485"/>
      <c r="O161" s="485"/>
      <c r="P161" s="485"/>
      <c r="Q161" s="485"/>
      <c r="R161" s="485"/>
      <c r="S161" s="485"/>
      <c r="T161" s="485"/>
      <c r="U161" s="485"/>
      <c r="V161" s="485"/>
      <c r="W161" s="485"/>
      <c r="X161" s="485"/>
      <c r="Y161" s="485"/>
      <c r="Z161" s="485"/>
    </row>
    <row r="162">
      <c r="A162" s="485"/>
      <c r="B162" s="485"/>
      <c r="C162" s="485"/>
      <c r="D162" s="485"/>
      <c r="E162" s="485"/>
      <c r="F162" s="485"/>
      <c r="G162" s="485"/>
      <c r="H162" s="485"/>
      <c r="I162" s="485"/>
      <c r="J162" s="485"/>
      <c r="K162" s="485"/>
      <c r="L162" s="485"/>
      <c r="M162" s="485"/>
      <c r="N162" s="485"/>
      <c r="O162" s="485"/>
      <c r="P162" s="485"/>
      <c r="Q162" s="485"/>
      <c r="R162" s="485"/>
      <c r="S162" s="485"/>
      <c r="T162" s="485"/>
      <c r="U162" s="485"/>
      <c r="V162" s="485"/>
      <c r="W162" s="485"/>
      <c r="X162" s="485"/>
      <c r="Y162" s="485"/>
      <c r="Z162" s="485"/>
    </row>
    <row r="163">
      <c r="A163" s="485"/>
      <c r="B163" s="485"/>
      <c r="C163" s="485"/>
      <c r="D163" s="485"/>
      <c r="E163" s="485"/>
      <c r="F163" s="485"/>
      <c r="G163" s="485"/>
      <c r="H163" s="485"/>
      <c r="I163" s="485"/>
      <c r="J163" s="485"/>
      <c r="K163" s="485"/>
      <c r="L163" s="485"/>
      <c r="M163" s="485"/>
      <c r="N163" s="485"/>
      <c r="O163" s="485"/>
      <c r="P163" s="485"/>
      <c r="Q163" s="485"/>
      <c r="R163" s="485"/>
      <c r="S163" s="485"/>
      <c r="T163" s="485"/>
      <c r="U163" s="485"/>
      <c r="V163" s="485"/>
      <c r="W163" s="485"/>
      <c r="X163" s="485"/>
      <c r="Y163" s="485"/>
      <c r="Z163" s="485"/>
    </row>
    <row r="164">
      <c r="A164" s="485"/>
      <c r="B164" s="485"/>
      <c r="C164" s="485"/>
      <c r="D164" s="485"/>
      <c r="E164" s="485"/>
      <c r="F164" s="485"/>
      <c r="G164" s="485"/>
      <c r="H164" s="485"/>
      <c r="I164" s="485"/>
      <c r="J164" s="485"/>
      <c r="K164" s="485"/>
      <c r="L164" s="485"/>
      <c r="M164" s="485"/>
      <c r="N164" s="485"/>
      <c r="O164" s="485"/>
      <c r="P164" s="485"/>
      <c r="Q164" s="485"/>
      <c r="R164" s="485"/>
      <c r="S164" s="485"/>
      <c r="T164" s="485"/>
      <c r="U164" s="485"/>
      <c r="V164" s="485"/>
      <c r="W164" s="485"/>
      <c r="X164" s="485"/>
      <c r="Y164" s="485"/>
      <c r="Z164" s="485"/>
    </row>
    <row r="165">
      <c r="A165" s="485"/>
      <c r="B165" s="485"/>
      <c r="C165" s="485"/>
      <c r="D165" s="485"/>
      <c r="E165" s="485"/>
      <c r="F165" s="485"/>
      <c r="G165" s="485"/>
      <c r="H165" s="485"/>
      <c r="I165" s="485"/>
      <c r="J165" s="485"/>
      <c r="K165" s="485"/>
      <c r="L165" s="485"/>
      <c r="M165" s="485"/>
      <c r="N165" s="485"/>
      <c r="O165" s="485"/>
      <c r="P165" s="485"/>
      <c r="Q165" s="485"/>
      <c r="R165" s="485"/>
      <c r="S165" s="485"/>
      <c r="T165" s="485"/>
      <c r="U165" s="485"/>
      <c r="V165" s="485"/>
      <c r="W165" s="485"/>
      <c r="X165" s="485"/>
      <c r="Y165" s="485"/>
      <c r="Z165" s="485"/>
    </row>
    <row r="166">
      <c r="A166" s="485"/>
      <c r="B166" s="485"/>
      <c r="C166" s="485"/>
      <c r="D166" s="485"/>
      <c r="E166" s="485"/>
      <c r="F166" s="485"/>
      <c r="G166" s="485"/>
      <c r="H166" s="485"/>
      <c r="I166" s="485"/>
      <c r="J166" s="485"/>
      <c r="K166" s="485"/>
      <c r="L166" s="485"/>
      <c r="M166" s="485"/>
      <c r="N166" s="485"/>
      <c r="O166" s="485"/>
      <c r="P166" s="485"/>
      <c r="Q166" s="485"/>
      <c r="R166" s="485"/>
      <c r="S166" s="485"/>
      <c r="T166" s="485"/>
      <c r="U166" s="485"/>
      <c r="V166" s="485"/>
      <c r="W166" s="485"/>
      <c r="X166" s="485"/>
      <c r="Y166" s="485"/>
      <c r="Z166" s="485"/>
    </row>
    <row r="167">
      <c r="A167" s="485"/>
      <c r="B167" s="485"/>
      <c r="C167" s="485"/>
      <c r="D167" s="485"/>
      <c r="E167" s="485"/>
      <c r="F167" s="485"/>
      <c r="G167" s="485"/>
      <c r="H167" s="485"/>
      <c r="I167" s="485"/>
      <c r="J167" s="485"/>
      <c r="K167" s="485"/>
      <c r="L167" s="485"/>
      <c r="M167" s="485"/>
      <c r="N167" s="485"/>
      <c r="O167" s="485"/>
      <c r="P167" s="485"/>
      <c r="Q167" s="485"/>
      <c r="R167" s="485"/>
      <c r="S167" s="485"/>
      <c r="T167" s="485"/>
      <c r="U167" s="485"/>
      <c r="V167" s="485"/>
      <c r="W167" s="485"/>
      <c r="X167" s="485"/>
      <c r="Y167" s="485"/>
      <c r="Z167" s="485"/>
    </row>
    <row r="168">
      <c r="A168" s="485"/>
      <c r="B168" s="485"/>
      <c r="C168" s="485"/>
      <c r="D168" s="485"/>
      <c r="E168" s="485"/>
      <c r="F168" s="485"/>
      <c r="G168" s="485"/>
      <c r="H168" s="485"/>
      <c r="I168" s="485"/>
      <c r="J168" s="485"/>
      <c r="K168" s="485"/>
      <c r="L168" s="485"/>
      <c r="M168" s="485"/>
      <c r="N168" s="485"/>
      <c r="O168" s="485"/>
      <c r="P168" s="485"/>
      <c r="Q168" s="485"/>
      <c r="R168" s="485"/>
      <c r="S168" s="485"/>
      <c r="T168" s="485"/>
      <c r="U168" s="485"/>
      <c r="V168" s="485"/>
      <c r="W168" s="485"/>
      <c r="X168" s="485"/>
      <c r="Y168" s="485"/>
      <c r="Z168" s="485"/>
    </row>
    <row r="169">
      <c r="A169" s="485"/>
      <c r="B169" s="485"/>
      <c r="C169" s="485"/>
      <c r="D169" s="485"/>
      <c r="E169" s="485"/>
      <c r="F169" s="485"/>
      <c r="G169" s="485"/>
      <c r="H169" s="485"/>
      <c r="I169" s="485"/>
      <c r="J169" s="485"/>
      <c r="K169" s="485"/>
      <c r="L169" s="485"/>
      <c r="M169" s="485"/>
      <c r="N169" s="485"/>
      <c r="O169" s="485"/>
      <c r="P169" s="485"/>
      <c r="Q169" s="485"/>
      <c r="R169" s="485"/>
      <c r="S169" s="485"/>
      <c r="T169" s="485"/>
      <c r="U169" s="485"/>
      <c r="V169" s="485"/>
      <c r="W169" s="485"/>
      <c r="X169" s="485"/>
      <c r="Y169" s="485"/>
      <c r="Z169" s="485"/>
    </row>
    <row r="170">
      <c r="A170" s="485"/>
      <c r="B170" s="485"/>
      <c r="C170" s="485"/>
      <c r="D170" s="485"/>
      <c r="E170" s="485"/>
      <c r="F170" s="485"/>
      <c r="G170" s="485"/>
      <c r="H170" s="485"/>
      <c r="I170" s="485"/>
      <c r="J170" s="485"/>
      <c r="K170" s="485"/>
      <c r="L170" s="485"/>
      <c r="M170" s="485"/>
      <c r="N170" s="485"/>
      <c r="O170" s="485"/>
      <c r="P170" s="485"/>
      <c r="Q170" s="485"/>
      <c r="R170" s="485"/>
      <c r="S170" s="485"/>
      <c r="T170" s="485"/>
      <c r="U170" s="485"/>
      <c r="V170" s="485"/>
      <c r="W170" s="485"/>
      <c r="X170" s="485"/>
      <c r="Y170" s="485"/>
      <c r="Z170" s="485"/>
    </row>
    <row r="171">
      <c r="A171" s="485"/>
      <c r="B171" s="485"/>
      <c r="C171" s="485"/>
      <c r="D171" s="485"/>
      <c r="E171" s="485"/>
      <c r="F171" s="485"/>
      <c r="G171" s="485"/>
      <c r="H171" s="485"/>
      <c r="I171" s="485"/>
      <c r="J171" s="485"/>
      <c r="K171" s="485"/>
      <c r="L171" s="485"/>
      <c r="M171" s="485"/>
      <c r="N171" s="485"/>
      <c r="O171" s="485"/>
      <c r="P171" s="485"/>
      <c r="Q171" s="485"/>
      <c r="R171" s="485"/>
      <c r="S171" s="485"/>
      <c r="T171" s="485"/>
      <c r="U171" s="485"/>
      <c r="V171" s="485"/>
      <c r="W171" s="485"/>
      <c r="X171" s="485"/>
      <c r="Y171" s="485"/>
      <c r="Z171" s="485"/>
    </row>
    <row r="172">
      <c r="A172" s="485"/>
      <c r="B172" s="485"/>
      <c r="C172" s="485"/>
      <c r="D172" s="485"/>
      <c r="E172" s="485"/>
      <c r="F172" s="485"/>
      <c r="G172" s="485"/>
      <c r="H172" s="485"/>
      <c r="I172" s="485"/>
      <c r="J172" s="485"/>
      <c r="K172" s="485"/>
      <c r="L172" s="485"/>
      <c r="M172" s="485"/>
      <c r="N172" s="485"/>
      <c r="O172" s="485"/>
      <c r="P172" s="485"/>
      <c r="Q172" s="485"/>
      <c r="R172" s="485"/>
      <c r="S172" s="485"/>
      <c r="T172" s="485"/>
      <c r="U172" s="485"/>
      <c r="V172" s="485"/>
      <c r="W172" s="485"/>
      <c r="X172" s="485"/>
      <c r="Y172" s="485"/>
      <c r="Z172" s="485"/>
    </row>
    <row r="173">
      <c r="A173" s="485"/>
      <c r="B173" s="485"/>
      <c r="C173" s="485"/>
      <c r="D173" s="485"/>
      <c r="E173" s="485"/>
      <c r="F173" s="485"/>
      <c r="G173" s="485"/>
      <c r="H173" s="485"/>
      <c r="I173" s="485"/>
      <c r="J173" s="485"/>
      <c r="K173" s="485"/>
      <c r="L173" s="485"/>
      <c r="M173" s="485"/>
      <c r="N173" s="485"/>
      <c r="O173" s="485"/>
      <c r="P173" s="485"/>
      <c r="Q173" s="485"/>
      <c r="R173" s="485"/>
      <c r="S173" s="485"/>
      <c r="T173" s="485"/>
      <c r="U173" s="485"/>
      <c r="V173" s="485"/>
      <c r="W173" s="485"/>
      <c r="X173" s="485"/>
      <c r="Y173" s="485"/>
      <c r="Z173" s="485"/>
    </row>
    <row r="174">
      <c r="A174" s="485"/>
      <c r="B174" s="485"/>
      <c r="C174" s="485"/>
      <c r="D174" s="485"/>
      <c r="E174" s="485"/>
      <c r="F174" s="485"/>
      <c r="G174" s="485"/>
      <c r="H174" s="485"/>
      <c r="I174" s="485"/>
      <c r="J174" s="485"/>
      <c r="K174" s="485"/>
      <c r="L174" s="485"/>
      <c r="M174" s="485"/>
      <c r="N174" s="485"/>
      <c r="O174" s="485"/>
      <c r="P174" s="485"/>
      <c r="Q174" s="485"/>
      <c r="R174" s="485"/>
      <c r="S174" s="485"/>
      <c r="T174" s="485"/>
      <c r="U174" s="485"/>
      <c r="V174" s="485"/>
      <c r="W174" s="485"/>
      <c r="X174" s="485"/>
      <c r="Y174" s="485"/>
      <c r="Z174" s="485"/>
    </row>
    <row r="175">
      <c r="A175" s="485"/>
      <c r="B175" s="485"/>
      <c r="C175" s="485"/>
      <c r="D175" s="485"/>
      <c r="E175" s="485"/>
      <c r="F175" s="485"/>
      <c r="G175" s="485"/>
      <c r="H175" s="485"/>
      <c r="I175" s="485"/>
      <c r="J175" s="485"/>
      <c r="K175" s="485"/>
      <c r="L175" s="485"/>
      <c r="M175" s="485"/>
      <c r="N175" s="485"/>
      <c r="O175" s="485"/>
      <c r="P175" s="485"/>
      <c r="Q175" s="485"/>
      <c r="R175" s="485"/>
      <c r="S175" s="485"/>
      <c r="T175" s="485"/>
      <c r="U175" s="485"/>
      <c r="V175" s="485"/>
      <c r="W175" s="485"/>
      <c r="X175" s="485"/>
      <c r="Y175" s="485"/>
      <c r="Z175" s="485"/>
    </row>
    <row r="176">
      <c r="A176" s="485"/>
      <c r="B176" s="485"/>
      <c r="C176" s="485"/>
      <c r="D176" s="485"/>
      <c r="E176" s="485"/>
      <c r="F176" s="485"/>
      <c r="G176" s="485"/>
      <c r="H176" s="485"/>
      <c r="I176" s="485"/>
      <c r="J176" s="485"/>
      <c r="K176" s="485"/>
      <c r="L176" s="485"/>
      <c r="M176" s="485"/>
      <c r="N176" s="485"/>
      <c r="O176" s="485"/>
      <c r="P176" s="485"/>
      <c r="Q176" s="485"/>
      <c r="R176" s="485"/>
      <c r="S176" s="485"/>
      <c r="T176" s="485"/>
      <c r="U176" s="485"/>
      <c r="V176" s="485"/>
      <c r="W176" s="485"/>
      <c r="X176" s="485"/>
      <c r="Y176" s="485"/>
      <c r="Z176" s="485"/>
    </row>
    <row r="177">
      <c r="A177" s="485"/>
      <c r="B177" s="485"/>
      <c r="C177" s="485"/>
      <c r="D177" s="485"/>
      <c r="E177" s="485"/>
      <c r="F177" s="485"/>
      <c r="G177" s="485"/>
      <c r="H177" s="485"/>
      <c r="I177" s="485"/>
      <c r="J177" s="485"/>
      <c r="K177" s="485"/>
      <c r="L177" s="485"/>
      <c r="M177" s="485"/>
      <c r="N177" s="485"/>
      <c r="O177" s="485"/>
      <c r="P177" s="485"/>
      <c r="Q177" s="485"/>
      <c r="R177" s="485"/>
      <c r="S177" s="485"/>
      <c r="T177" s="485"/>
      <c r="U177" s="485"/>
      <c r="V177" s="485"/>
      <c r="W177" s="485"/>
      <c r="X177" s="485"/>
      <c r="Y177" s="485"/>
      <c r="Z177" s="485"/>
    </row>
    <row r="178">
      <c r="A178" s="485"/>
      <c r="B178" s="485"/>
      <c r="C178" s="485"/>
      <c r="D178" s="485"/>
      <c r="E178" s="485"/>
      <c r="F178" s="485"/>
      <c r="G178" s="485"/>
      <c r="H178" s="485"/>
      <c r="I178" s="485"/>
      <c r="J178" s="485"/>
      <c r="K178" s="485"/>
      <c r="L178" s="485"/>
      <c r="M178" s="485"/>
      <c r="N178" s="485"/>
      <c r="O178" s="485"/>
      <c r="P178" s="485"/>
      <c r="Q178" s="485"/>
      <c r="R178" s="485"/>
      <c r="S178" s="485"/>
      <c r="T178" s="485"/>
      <c r="U178" s="485"/>
      <c r="V178" s="485"/>
      <c r="W178" s="485"/>
      <c r="X178" s="485"/>
      <c r="Y178" s="485"/>
      <c r="Z178" s="485"/>
    </row>
    <row r="179">
      <c r="A179" s="485"/>
      <c r="B179" s="485"/>
      <c r="C179" s="485"/>
      <c r="D179" s="485"/>
      <c r="E179" s="485"/>
      <c r="F179" s="485"/>
      <c r="G179" s="485"/>
      <c r="H179" s="485"/>
      <c r="I179" s="485"/>
      <c r="J179" s="485"/>
      <c r="K179" s="485"/>
      <c r="L179" s="485"/>
      <c r="M179" s="485"/>
      <c r="N179" s="485"/>
      <c r="O179" s="485"/>
      <c r="P179" s="485"/>
      <c r="Q179" s="485"/>
      <c r="R179" s="485"/>
      <c r="S179" s="485"/>
      <c r="T179" s="485"/>
      <c r="U179" s="485"/>
      <c r="V179" s="485"/>
      <c r="W179" s="485"/>
      <c r="X179" s="485"/>
      <c r="Y179" s="485"/>
      <c r="Z179" s="485"/>
    </row>
    <row r="180">
      <c r="A180" s="485"/>
      <c r="B180" s="485"/>
      <c r="C180" s="485"/>
      <c r="D180" s="485"/>
      <c r="E180" s="485"/>
      <c r="F180" s="485"/>
      <c r="G180" s="485"/>
      <c r="H180" s="485"/>
      <c r="I180" s="485"/>
      <c r="J180" s="485"/>
      <c r="K180" s="485"/>
      <c r="L180" s="485"/>
      <c r="M180" s="485"/>
      <c r="N180" s="485"/>
      <c r="O180" s="485"/>
      <c r="P180" s="485"/>
      <c r="Q180" s="485"/>
      <c r="R180" s="485"/>
      <c r="S180" s="485"/>
      <c r="T180" s="485"/>
      <c r="U180" s="485"/>
      <c r="V180" s="485"/>
      <c r="W180" s="485"/>
      <c r="X180" s="485"/>
      <c r="Y180" s="485"/>
      <c r="Z180" s="485"/>
    </row>
    <row r="181">
      <c r="A181" s="485"/>
      <c r="B181" s="485"/>
      <c r="C181" s="485"/>
      <c r="D181" s="485"/>
      <c r="E181" s="485"/>
      <c r="F181" s="485"/>
      <c r="G181" s="485"/>
      <c r="H181" s="485"/>
      <c r="I181" s="485"/>
      <c r="J181" s="485"/>
      <c r="K181" s="485"/>
      <c r="L181" s="485"/>
      <c r="M181" s="485"/>
      <c r="N181" s="485"/>
      <c r="O181" s="485"/>
      <c r="P181" s="485"/>
      <c r="Q181" s="485"/>
      <c r="R181" s="485"/>
      <c r="S181" s="485"/>
      <c r="T181" s="485"/>
      <c r="U181" s="485"/>
      <c r="V181" s="485"/>
      <c r="W181" s="485"/>
      <c r="X181" s="485"/>
      <c r="Y181" s="485"/>
      <c r="Z181" s="485"/>
    </row>
    <row r="182">
      <c r="A182" s="485"/>
      <c r="B182" s="485"/>
      <c r="C182" s="485"/>
      <c r="D182" s="485"/>
      <c r="E182" s="485"/>
      <c r="F182" s="485"/>
      <c r="G182" s="485"/>
      <c r="H182" s="485"/>
      <c r="I182" s="485"/>
      <c r="J182" s="485"/>
      <c r="K182" s="485"/>
      <c r="L182" s="485"/>
      <c r="M182" s="485"/>
      <c r="N182" s="485"/>
      <c r="O182" s="485"/>
      <c r="P182" s="485"/>
      <c r="Q182" s="485"/>
      <c r="R182" s="485"/>
      <c r="S182" s="485"/>
      <c r="T182" s="485"/>
      <c r="U182" s="485"/>
      <c r="V182" s="485"/>
      <c r="W182" s="485"/>
      <c r="X182" s="485"/>
      <c r="Y182" s="485"/>
      <c r="Z182" s="485"/>
    </row>
    <row r="183">
      <c r="A183" s="485"/>
      <c r="B183" s="485"/>
      <c r="C183" s="485"/>
      <c r="D183" s="485"/>
      <c r="E183" s="485"/>
      <c r="F183" s="485"/>
      <c r="G183" s="485"/>
      <c r="H183" s="485"/>
      <c r="I183" s="485"/>
      <c r="J183" s="485"/>
      <c r="K183" s="485"/>
      <c r="L183" s="485"/>
      <c r="M183" s="485"/>
      <c r="N183" s="485"/>
      <c r="O183" s="485"/>
      <c r="P183" s="485"/>
      <c r="Q183" s="485"/>
      <c r="R183" s="485"/>
      <c r="S183" s="485"/>
      <c r="T183" s="485"/>
      <c r="U183" s="485"/>
      <c r="V183" s="485"/>
      <c r="W183" s="485"/>
      <c r="X183" s="485"/>
      <c r="Y183" s="485"/>
      <c r="Z183" s="485"/>
    </row>
    <row r="184">
      <c r="A184" s="485"/>
      <c r="B184" s="485"/>
      <c r="C184" s="485"/>
      <c r="D184" s="485"/>
      <c r="E184" s="485"/>
      <c r="F184" s="485"/>
      <c r="G184" s="485"/>
      <c r="H184" s="485"/>
      <c r="I184" s="485"/>
      <c r="J184" s="485"/>
      <c r="K184" s="485"/>
      <c r="L184" s="485"/>
      <c r="M184" s="485"/>
      <c r="N184" s="485"/>
      <c r="O184" s="485"/>
      <c r="P184" s="485"/>
      <c r="Q184" s="485"/>
      <c r="R184" s="485"/>
      <c r="S184" s="485"/>
      <c r="T184" s="485"/>
      <c r="U184" s="485"/>
      <c r="V184" s="485"/>
      <c r="W184" s="485"/>
      <c r="X184" s="485"/>
      <c r="Y184" s="485"/>
      <c r="Z184" s="485"/>
    </row>
    <row r="185">
      <c r="A185" s="485"/>
      <c r="B185" s="485"/>
      <c r="C185" s="485"/>
      <c r="D185" s="485"/>
      <c r="E185" s="485"/>
      <c r="F185" s="485"/>
      <c r="G185" s="485"/>
      <c r="H185" s="485"/>
      <c r="I185" s="485"/>
      <c r="J185" s="485"/>
      <c r="K185" s="485"/>
      <c r="L185" s="485"/>
      <c r="M185" s="485"/>
      <c r="N185" s="485"/>
      <c r="O185" s="485"/>
      <c r="P185" s="485"/>
      <c r="Q185" s="485"/>
      <c r="R185" s="485"/>
      <c r="S185" s="485"/>
      <c r="T185" s="485"/>
      <c r="U185" s="485"/>
      <c r="V185" s="485"/>
      <c r="W185" s="485"/>
      <c r="X185" s="485"/>
      <c r="Y185" s="485"/>
      <c r="Z185" s="485"/>
    </row>
    <row r="186">
      <c r="A186" s="485"/>
      <c r="B186" s="485"/>
      <c r="C186" s="485"/>
      <c r="D186" s="485"/>
      <c r="E186" s="485"/>
      <c r="F186" s="485"/>
      <c r="G186" s="485"/>
      <c r="H186" s="485"/>
      <c r="I186" s="485"/>
      <c r="J186" s="485"/>
      <c r="K186" s="485"/>
      <c r="L186" s="485"/>
      <c r="M186" s="485"/>
      <c r="N186" s="485"/>
      <c r="O186" s="485"/>
      <c r="P186" s="485"/>
      <c r="Q186" s="485"/>
      <c r="R186" s="485"/>
      <c r="S186" s="485"/>
      <c r="T186" s="485"/>
      <c r="U186" s="485"/>
      <c r="V186" s="485"/>
      <c r="W186" s="485"/>
      <c r="X186" s="485"/>
      <c r="Y186" s="485"/>
      <c r="Z186" s="485"/>
    </row>
    <row r="187">
      <c r="A187" s="485"/>
      <c r="B187" s="485"/>
      <c r="C187" s="485"/>
      <c r="D187" s="485"/>
      <c r="E187" s="485"/>
      <c r="F187" s="485"/>
      <c r="G187" s="485"/>
      <c r="H187" s="485"/>
      <c r="I187" s="485"/>
      <c r="J187" s="485"/>
      <c r="K187" s="485"/>
      <c r="L187" s="485"/>
      <c r="M187" s="485"/>
      <c r="N187" s="485"/>
      <c r="O187" s="485"/>
      <c r="P187" s="485"/>
      <c r="Q187" s="485"/>
      <c r="R187" s="485"/>
      <c r="S187" s="485"/>
      <c r="T187" s="485"/>
      <c r="U187" s="485"/>
      <c r="V187" s="485"/>
      <c r="W187" s="485"/>
      <c r="X187" s="485"/>
      <c r="Y187" s="485"/>
      <c r="Z187" s="485"/>
    </row>
    <row r="188">
      <c r="A188" s="485"/>
      <c r="B188" s="485"/>
      <c r="C188" s="485"/>
      <c r="D188" s="485"/>
      <c r="E188" s="485"/>
      <c r="F188" s="485"/>
      <c r="G188" s="485"/>
      <c r="H188" s="485"/>
      <c r="I188" s="485"/>
      <c r="J188" s="485"/>
      <c r="K188" s="485"/>
      <c r="L188" s="485"/>
      <c r="M188" s="485"/>
      <c r="N188" s="485"/>
      <c r="O188" s="485"/>
      <c r="P188" s="485"/>
      <c r="Q188" s="485"/>
      <c r="R188" s="485"/>
      <c r="S188" s="485"/>
      <c r="T188" s="485"/>
      <c r="U188" s="485"/>
      <c r="V188" s="485"/>
      <c r="W188" s="485"/>
      <c r="X188" s="485"/>
      <c r="Y188" s="485"/>
      <c r="Z188" s="485"/>
    </row>
    <row r="189">
      <c r="A189" s="485"/>
      <c r="B189" s="485"/>
      <c r="C189" s="485"/>
      <c r="D189" s="485"/>
      <c r="E189" s="485"/>
      <c r="F189" s="485"/>
      <c r="G189" s="485"/>
      <c r="H189" s="485"/>
      <c r="I189" s="485"/>
      <c r="J189" s="485"/>
      <c r="K189" s="485"/>
      <c r="L189" s="485"/>
      <c r="M189" s="485"/>
      <c r="N189" s="485"/>
      <c r="O189" s="485"/>
      <c r="P189" s="485"/>
      <c r="Q189" s="485"/>
      <c r="R189" s="485"/>
      <c r="S189" s="485"/>
      <c r="T189" s="485"/>
      <c r="U189" s="485"/>
      <c r="V189" s="485"/>
      <c r="W189" s="485"/>
      <c r="X189" s="485"/>
      <c r="Y189" s="485"/>
      <c r="Z189" s="485"/>
    </row>
    <row r="190">
      <c r="A190" s="485"/>
      <c r="B190" s="485"/>
      <c r="C190" s="485"/>
      <c r="D190" s="485"/>
      <c r="E190" s="485"/>
      <c r="F190" s="485"/>
      <c r="G190" s="485"/>
      <c r="H190" s="485"/>
      <c r="I190" s="485"/>
      <c r="J190" s="485"/>
      <c r="K190" s="485"/>
      <c r="L190" s="485"/>
      <c r="M190" s="485"/>
      <c r="N190" s="485"/>
      <c r="O190" s="485"/>
      <c r="P190" s="485"/>
      <c r="Q190" s="485"/>
      <c r="R190" s="485"/>
      <c r="S190" s="485"/>
      <c r="T190" s="485"/>
      <c r="U190" s="485"/>
      <c r="V190" s="485"/>
      <c r="W190" s="485"/>
      <c r="X190" s="485"/>
      <c r="Y190" s="485"/>
      <c r="Z190" s="485"/>
    </row>
    <row r="191">
      <c r="A191" s="485"/>
      <c r="B191" s="485"/>
      <c r="C191" s="485"/>
      <c r="D191" s="485"/>
      <c r="E191" s="485"/>
      <c r="F191" s="485"/>
      <c r="G191" s="485"/>
      <c r="H191" s="485"/>
      <c r="I191" s="485"/>
      <c r="J191" s="485"/>
      <c r="K191" s="485"/>
      <c r="L191" s="485"/>
      <c r="M191" s="485"/>
      <c r="N191" s="485"/>
      <c r="O191" s="485"/>
      <c r="P191" s="485"/>
      <c r="Q191" s="485"/>
      <c r="R191" s="485"/>
      <c r="S191" s="485"/>
      <c r="T191" s="485"/>
      <c r="U191" s="485"/>
      <c r="V191" s="485"/>
      <c r="W191" s="485"/>
      <c r="X191" s="485"/>
      <c r="Y191" s="485"/>
      <c r="Z191" s="485"/>
    </row>
    <row r="192">
      <c r="A192" s="485"/>
      <c r="B192" s="485"/>
      <c r="C192" s="485"/>
      <c r="D192" s="485"/>
      <c r="E192" s="485"/>
      <c r="F192" s="485"/>
      <c r="G192" s="485"/>
      <c r="H192" s="485"/>
      <c r="I192" s="485"/>
      <c r="J192" s="485"/>
      <c r="K192" s="485"/>
      <c r="L192" s="485"/>
      <c r="M192" s="485"/>
      <c r="N192" s="485"/>
      <c r="O192" s="485"/>
      <c r="P192" s="485"/>
      <c r="Q192" s="485"/>
      <c r="R192" s="485"/>
      <c r="S192" s="485"/>
      <c r="T192" s="485"/>
      <c r="U192" s="485"/>
      <c r="V192" s="485"/>
      <c r="W192" s="485"/>
      <c r="X192" s="485"/>
      <c r="Y192" s="485"/>
      <c r="Z192" s="485"/>
    </row>
    <row r="193">
      <c r="A193" s="485"/>
      <c r="B193" s="485"/>
      <c r="C193" s="485"/>
      <c r="D193" s="485"/>
      <c r="E193" s="485"/>
      <c r="F193" s="485"/>
      <c r="G193" s="485"/>
      <c r="H193" s="485"/>
      <c r="I193" s="485"/>
      <c r="J193" s="485"/>
      <c r="K193" s="485"/>
      <c r="L193" s="485"/>
      <c r="M193" s="485"/>
      <c r="N193" s="485"/>
      <c r="O193" s="485"/>
      <c r="P193" s="485"/>
      <c r="Q193" s="485"/>
      <c r="R193" s="485"/>
      <c r="S193" s="485"/>
      <c r="T193" s="485"/>
      <c r="U193" s="485"/>
      <c r="V193" s="485"/>
      <c r="W193" s="485"/>
      <c r="X193" s="485"/>
      <c r="Y193" s="485"/>
      <c r="Z193" s="485"/>
    </row>
    <row r="194">
      <c r="A194" s="485"/>
      <c r="B194" s="485"/>
      <c r="C194" s="485"/>
      <c r="D194" s="485"/>
      <c r="E194" s="485"/>
      <c r="F194" s="485"/>
      <c r="G194" s="485"/>
      <c r="H194" s="485"/>
      <c r="I194" s="485"/>
      <c r="J194" s="485"/>
      <c r="K194" s="485"/>
      <c r="L194" s="485"/>
      <c r="M194" s="485"/>
      <c r="N194" s="485"/>
      <c r="O194" s="485"/>
      <c r="P194" s="485"/>
      <c r="Q194" s="485"/>
      <c r="R194" s="485"/>
      <c r="S194" s="485"/>
      <c r="T194" s="485"/>
      <c r="U194" s="485"/>
      <c r="V194" s="485"/>
      <c r="W194" s="485"/>
      <c r="X194" s="485"/>
      <c r="Y194" s="485"/>
      <c r="Z194" s="485"/>
    </row>
    <row r="195">
      <c r="A195" s="485"/>
      <c r="B195" s="485"/>
      <c r="C195" s="485"/>
      <c r="D195" s="485"/>
      <c r="E195" s="485"/>
      <c r="F195" s="485"/>
      <c r="G195" s="485"/>
      <c r="H195" s="485"/>
      <c r="I195" s="485"/>
      <c r="J195" s="485"/>
      <c r="K195" s="485"/>
      <c r="L195" s="485"/>
      <c r="M195" s="485"/>
      <c r="N195" s="485"/>
      <c r="O195" s="485"/>
      <c r="P195" s="485"/>
      <c r="Q195" s="485"/>
      <c r="R195" s="485"/>
      <c r="S195" s="485"/>
      <c r="T195" s="485"/>
      <c r="U195" s="485"/>
      <c r="V195" s="485"/>
      <c r="W195" s="485"/>
      <c r="X195" s="485"/>
      <c r="Y195" s="485"/>
      <c r="Z195" s="485"/>
    </row>
    <row r="196">
      <c r="A196" s="485"/>
      <c r="B196" s="485"/>
      <c r="C196" s="485"/>
      <c r="D196" s="485"/>
      <c r="E196" s="485"/>
      <c r="F196" s="485"/>
      <c r="G196" s="485"/>
      <c r="H196" s="485"/>
      <c r="I196" s="485"/>
      <c r="J196" s="485"/>
      <c r="K196" s="485"/>
      <c r="L196" s="485"/>
      <c r="M196" s="485"/>
      <c r="N196" s="485"/>
      <c r="O196" s="485"/>
      <c r="P196" s="485"/>
      <c r="Q196" s="485"/>
      <c r="R196" s="485"/>
      <c r="S196" s="485"/>
      <c r="T196" s="485"/>
      <c r="U196" s="485"/>
      <c r="V196" s="485"/>
      <c r="W196" s="485"/>
      <c r="X196" s="485"/>
      <c r="Y196" s="485"/>
      <c r="Z196" s="485"/>
    </row>
    <row r="197">
      <c r="A197" s="485"/>
      <c r="B197" s="485"/>
      <c r="C197" s="485"/>
      <c r="D197" s="485"/>
      <c r="E197" s="485"/>
      <c r="F197" s="485"/>
      <c r="G197" s="485"/>
      <c r="H197" s="485"/>
      <c r="I197" s="485"/>
      <c r="J197" s="485"/>
      <c r="K197" s="485"/>
      <c r="L197" s="485"/>
      <c r="M197" s="485"/>
      <c r="N197" s="485"/>
      <c r="O197" s="485"/>
      <c r="P197" s="485"/>
      <c r="Q197" s="485"/>
      <c r="R197" s="485"/>
      <c r="S197" s="485"/>
      <c r="T197" s="485"/>
      <c r="U197" s="485"/>
      <c r="V197" s="485"/>
      <c r="W197" s="485"/>
      <c r="X197" s="485"/>
      <c r="Y197" s="485"/>
      <c r="Z197" s="485"/>
    </row>
    <row r="198">
      <c r="A198" s="485"/>
      <c r="B198" s="485"/>
      <c r="C198" s="485"/>
      <c r="D198" s="485"/>
      <c r="E198" s="485"/>
      <c r="F198" s="485"/>
      <c r="G198" s="485"/>
      <c r="H198" s="485"/>
      <c r="I198" s="485"/>
      <c r="J198" s="485"/>
      <c r="K198" s="485"/>
      <c r="L198" s="485"/>
      <c r="M198" s="485"/>
      <c r="N198" s="485"/>
      <c r="O198" s="485"/>
      <c r="P198" s="485"/>
      <c r="Q198" s="485"/>
      <c r="R198" s="485"/>
      <c r="S198" s="485"/>
      <c r="T198" s="485"/>
      <c r="U198" s="485"/>
      <c r="V198" s="485"/>
      <c r="W198" s="485"/>
      <c r="X198" s="485"/>
      <c r="Y198" s="485"/>
      <c r="Z198" s="485"/>
    </row>
    <row r="199">
      <c r="A199" s="485"/>
      <c r="B199" s="485"/>
      <c r="C199" s="485"/>
      <c r="D199" s="485"/>
      <c r="E199" s="485"/>
      <c r="F199" s="485"/>
      <c r="G199" s="485"/>
      <c r="H199" s="485"/>
      <c r="I199" s="485"/>
      <c r="J199" s="485"/>
      <c r="K199" s="485"/>
      <c r="L199" s="485"/>
      <c r="M199" s="485"/>
      <c r="N199" s="485"/>
      <c r="O199" s="485"/>
      <c r="P199" s="485"/>
      <c r="Q199" s="485"/>
      <c r="R199" s="485"/>
      <c r="S199" s="485"/>
      <c r="T199" s="485"/>
      <c r="U199" s="485"/>
      <c r="V199" s="485"/>
      <c r="W199" s="485"/>
      <c r="X199" s="485"/>
      <c r="Y199" s="485"/>
      <c r="Z199" s="485"/>
    </row>
    <row r="200">
      <c r="A200" s="485"/>
      <c r="B200" s="485"/>
      <c r="C200" s="485"/>
      <c r="D200" s="485"/>
      <c r="E200" s="485"/>
      <c r="F200" s="485"/>
      <c r="G200" s="485"/>
      <c r="H200" s="485"/>
      <c r="I200" s="485"/>
      <c r="J200" s="485"/>
      <c r="K200" s="485"/>
      <c r="L200" s="485"/>
      <c r="M200" s="485"/>
      <c r="N200" s="485"/>
      <c r="O200" s="485"/>
      <c r="P200" s="485"/>
      <c r="Q200" s="485"/>
      <c r="R200" s="485"/>
      <c r="S200" s="485"/>
      <c r="T200" s="485"/>
      <c r="U200" s="485"/>
      <c r="V200" s="485"/>
      <c r="W200" s="485"/>
      <c r="X200" s="485"/>
      <c r="Y200" s="485"/>
      <c r="Z200" s="485"/>
    </row>
    <row r="201">
      <c r="A201" s="485"/>
      <c r="B201" s="485"/>
      <c r="C201" s="485"/>
      <c r="D201" s="485"/>
      <c r="E201" s="485"/>
      <c r="F201" s="485"/>
      <c r="G201" s="485"/>
      <c r="H201" s="485"/>
      <c r="I201" s="485"/>
      <c r="J201" s="485"/>
      <c r="K201" s="485"/>
      <c r="L201" s="485"/>
      <c r="M201" s="485"/>
      <c r="N201" s="485"/>
      <c r="O201" s="485"/>
      <c r="P201" s="485"/>
      <c r="Q201" s="485"/>
      <c r="R201" s="485"/>
      <c r="S201" s="485"/>
      <c r="T201" s="485"/>
      <c r="U201" s="485"/>
      <c r="V201" s="485"/>
      <c r="W201" s="485"/>
      <c r="X201" s="485"/>
      <c r="Y201" s="485"/>
      <c r="Z201" s="485"/>
    </row>
    <row r="202">
      <c r="A202" s="485"/>
      <c r="B202" s="485"/>
      <c r="C202" s="485"/>
      <c r="D202" s="485"/>
      <c r="E202" s="485"/>
      <c r="F202" s="485"/>
      <c r="G202" s="485"/>
      <c r="H202" s="485"/>
      <c r="I202" s="485"/>
      <c r="J202" s="485"/>
      <c r="K202" s="485"/>
      <c r="L202" s="485"/>
      <c r="M202" s="485"/>
      <c r="N202" s="485"/>
      <c r="O202" s="485"/>
      <c r="P202" s="485"/>
      <c r="Q202" s="485"/>
      <c r="R202" s="485"/>
      <c r="S202" s="485"/>
      <c r="T202" s="485"/>
      <c r="U202" s="485"/>
      <c r="V202" s="485"/>
      <c r="W202" s="485"/>
      <c r="X202" s="485"/>
      <c r="Y202" s="485"/>
      <c r="Z202" s="485"/>
    </row>
    <row r="203">
      <c r="A203" s="485"/>
      <c r="B203" s="485"/>
      <c r="C203" s="485"/>
      <c r="D203" s="485"/>
      <c r="E203" s="485"/>
      <c r="F203" s="485"/>
      <c r="G203" s="485"/>
      <c r="H203" s="485"/>
      <c r="I203" s="485"/>
      <c r="J203" s="485"/>
      <c r="K203" s="485"/>
      <c r="L203" s="485"/>
      <c r="M203" s="485"/>
      <c r="N203" s="485"/>
      <c r="O203" s="485"/>
      <c r="P203" s="485"/>
      <c r="Q203" s="485"/>
      <c r="R203" s="485"/>
      <c r="S203" s="485"/>
      <c r="T203" s="485"/>
      <c r="U203" s="485"/>
      <c r="V203" s="485"/>
      <c r="W203" s="485"/>
      <c r="X203" s="485"/>
      <c r="Y203" s="485"/>
      <c r="Z203" s="485"/>
    </row>
    <row r="204">
      <c r="A204" s="485"/>
      <c r="B204" s="485"/>
      <c r="C204" s="485"/>
      <c r="D204" s="485"/>
      <c r="E204" s="485"/>
      <c r="F204" s="485"/>
      <c r="G204" s="485"/>
      <c r="H204" s="485"/>
      <c r="I204" s="485"/>
      <c r="J204" s="485"/>
      <c r="K204" s="485"/>
      <c r="L204" s="485"/>
      <c r="M204" s="485"/>
      <c r="N204" s="485"/>
      <c r="O204" s="485"/>
      <c r="P204" s="485"/>
      <c r="Q204" s="485"/>
      <c r="R204" s="485"/>
      <c r="S204" s="485"/>
      <c r="T204" s="485"/>
      <c r="U204" s="485"/>
      <c r="V204" s="485"/>
      <c r="W204" s="485"/>
      <c r="X204" s="485"/>
      <c r="Y204" s="485"/>
      <c r="Z204" s="485"/>
    </row>
    <row r="205">
      <c r="A205" s="485"/>
      <c r="B205" s="485"/>
      <c r="C205" s="485"/>
      <c r="D205" s="485"/>
      <c r="E205" s="485"/>
      <c r="F205" s="485"/>
      <c r="G205" s="485"/>
      <c r="H205" s="485"/>
      <c r="I205" s="485"/>
      <c r="J205" s="485"/>
      <c r="K205" s="485"/>
      <c r="L205" s="485"/>
      <c r="M205" s="485"/>
      <c r="N205" s="485"/>
      <c r="O205" s="485"/>
      <c r="P205" s="485"/>
      <c r="Q205" s="485"/>
      <c r="R205" s="485"/>
      <c r="S205" s="485"/>
      <c r="T205" s="485"/>
      <c r="U205" s="485"/>
      <c r="V205" s="485"/>
      <c r="W205" s="485"/>
      <c r="X205" s="485"/>
      <c r="Y205" s="485"/>
      <c r="Z205" s="485"/>
    </row>
    <row r="206">
      <c r="A206" s="485"/>
      <c r="B206" s="485"/>
      <c r="C206" s="485"/>
      <c r="D206" s="485"/>
      <c r="E206" s="485"/>
      <c r="F206" s="485"/>
      <c r="G206" s="485"/>
      <c r="H206" s="485"/>
      <c r="I206" s="485"/>
      <c r="J206" s="485"/>
      <c r="K206" s="485"/>
      <c r="L206" s="485"/>
      <c r="M206" s="485"/>
      <c r="N206" s="485"/>
      <c r="O206" s="485"/>
      <c r="P206" s="485"/>
      <c r="Q206" s="485"/>
      <c r="R206" s="485"/>
      <c r="S206" s="485"/>
      <c r="T206" s="485"/>
      <c r="U206" s="485"/>
      <c r="V206" s="485"/>
      <c r="W206" s="485"/>
      <c r="X206" s="485"/>
      <c r="Y206" s="485"/>
      <c r="Z206" s="485"/>
    </row>
    <row r="207">
      <c r="A207" s="485"/>
      <c r="B207" s="485"/>
      <c r="C207" s="485"/>
      <c r="D207" s="485"/>
      <c r="E207" s="485"/>
      <c r="F207" s="485"/>
      <c r="G207" s="485"/>
      <c r="H207" s="485"/>
      <c r="I207" s="485"/>
      <c r="J207" s="485"/>
      <c r="K207" s="485"/>
      <c r="L207" s="485"/>
      <c r="M207" s="485"/>
      <c r="N207" s="485"/>
      <c r="O207" s="485"/>
      <c r="P207" s="485"/>
      <c r="Q207" s="485"/>
      <c r="R207" s="485"/>
      <c r="S207" s="485"/>
      <c r="T207" s="485"/>
      <c r="U207" s="485"/>
      <c r="V207" s="485"/>
      <c r="W207" s="485"/>
      <c r="X207" s="485"/>
      <c r="Y207" s="485"/>
      <c r="Z207" s="485"/>
    </row>
    <row r="208">
      <c r="A208" s="485"/>
      <c r="B208" s="485"/>
      <c r="C208" s="485"/>
      <c r="D208" s="485"/>
      <c r="E208" s="485"/>
      <c r="F208" s="485"/>
      <c r="G208" s="485"/>
      <c r="H208" s="485"/>
      <c r="I208" s="485"/>
      <c r="J208" s="485"/>
      <c r="K208" s="485"/>
      <c r="L208" s="485"/>
      <c r="M208" s="485"/>
      <c r="N208" s="485"/>
      <c r="O208" s="485"/>
      <c r="P208" s="485"/>
      <c r="Q208" s="485"/>
      <c r="R208" s="485"/>
      <c r="S208" s="485"/>
      <c r="T208" s="485"/>
      <c r="U208" s="485"/>
      <c r="V208" s="485"/>
      <c r="W208" s="485"/>
      <c r="X208" s="485"/>
      <c r="Y208" s="485"/>
      <c r="Z208" s="485"/>
    </row>
    <row r="209">
      <c r="A209" s="485"/>
      <c r="B209" s="485"/>
      <c r="C209" s="485"/>
      <c r="D209" s="485"/>
      <c r="E209" s="485"/>
      <c r="F209" s="485"/>
      <c r="G209" s="485"/>
      <c r="H209" s="485"/>
      <c r="I209" s="485"/>
      <c r="J209" s="485"/>
      <c r="K209" s="485"/>
      <c r="L209" s="485"/>
      <c r="M209" s="485"/>
      <c r="N209" s="485"/>
      <c r="O209" s="485"/>
      <c r="P209" s="485"/>
      <c r="Q209" s="485"/>
      <c r="R209" s="485"/>
      <c r="S209" s="485"/>
      <c r="T209" s="485"/>
      <c r="U209" s="485"/>
      <c r="V209" s="485"/>
      <c r="W209" s="485"/>
      <c r="X209" s="485"/>
      <c r="Y209" s="485"/>
      <c r="Z209" s="485"/>
    </row>
    <row r="210">
      <c r="A210" s="485"/>
      <c r="B210" s="485"/>
      <c r="C210" s="485"/>
      <c r="D210" s="485"/>
      <c r="E210" s="485"/>
      <c r="F210" s="485"/>
      <c r="G210" s="485"/>
      <c r="H210" s="485"/>
      <c r="I210" s="485"/>
      <c r="J210" s="485"/>
      <c r="K210" s="485"/>
      <c r="L210" s="485"/>
      <c r="M210" s="485"/>
      <c r="N210" s="485"/>
      <c r="O210" s="485"/>
      <c r="P210" s="485"/>
      <c r="Q210" s="485"/>
      <c r="R210" s="485"/>
      <c r="S210" s="485"/>
      <c r="T210" s="485"/>
      <c r="U210" s="485"/>
      <c r="V210" s="485"/>
      <c r="W210" s="485"/>
      <c r="X210" s="485"/>
      <c r="Y210" s="485"/>
      <c r="Z210" s="485"/>
    </row>
    <row r="211">
      <c r="A211" s="485"/>
      <c r="B211" s="485"/>
      <c r="C211" s="485"/>
      <c r="D211" s="485"/>
      <c r="E211" s="485"/>
      <c r="F211" s="485"/>
      <c r="G211" s="485"/>
      <c r="H211" s="485"/>
      <c r="I211" s="485"/>
      <c r="J211" s="485"/>
      <c r="K211" s="485"/>
      <c r="L211" s="485"/>
      <c r="M211" s="485"/>
      <c r="N211" s="485"/>
      <c r="O211" s="485"/>
      <c r="P211" s="485"/>
      <c r="Q211" s="485"/>
      <c r="R211" s="485"/>
      <c r="S211" s="485"/>
      <c r="T211" s="485"/>
      <c r="U211" s="485"/>
      <c r="V211" s="485"/>
      <c r="W211" s="485"/>
      <c r="X211" s="485"/>
      <c r="Y211" s="485"/>
      <c r="Z211" s="485"/>
    </row>
    <row r="212">
      <c r="A212" s="485"/>
      <c r="B212" s="485"/>
      <c r="C212" s="485"/>
      <c r="D212" s="485"/>
      <c r="E212" s="485"/>
      <c r="F212" s="485"/>
      <c r="G212" s="485"/>
      <c r="H212" s="485"/>
      <c r="I212" s="485"/>
      <c r="J212" s="485"/>
      <c r="K212" s="485"/>
      <c r="L212" s="485"/>
      <c r="M212" s="485"/>
      <c r="N212" s="485"/>
      <c r="O212" s="485"/>
      <c r="P212" s="485"/>
      <c r="Q212" s="485"/>
      <c r="R212" s="485"/>
      <c r="S212" s="485"/>
      <c r="T212" s="485"/>
      <c r="U212" s="485"/>
      <c r="V212" s="485"/>
      <c r="W212" s="485"/>
      <c r="X212" s="485"/>
      <c r="Y212" s="485"/>
      <c r="Z212" s="485"/>
    </row>
    <row r="213">
      <c r="A213" s="485"/>
      <c r="B213" s="485"/>
      <c r="C213" s="485"/>
      <c r="D213" s="485"/>
      <c r="E213" s="485"/>
      <c r="F213" s="485"/>
      <c r="G213" s="485"/>
      <c r="H213" s="485"/>
      <c r="I213" s="485"/>
      <c r="J213" s="485"/>
      <c r="K213" s="485"/>
      <c r="L213" s="485"/>
      <c r="M213" s="485"/>
      <c r="N213" s="485"/>
      <c r="O213" s="485"/>
      <c r="P213" s="485"/>
      <c r="Q213" s="485"/>
      <c r="R213" s="485"/>
      <c r="S213" s="485"/>
      <c r="T213" s="485"/>
      <c r="U213" s="485"/>
      <c r="V213" s="485"/>
      <c r="W213" s="485"/>
      <c r="X213" s="485"/>
      <c r="Y213" s="485"/>
      <c r="Z213" s="485"/>
    </row>
    <row r="214">
      <c r="A214" s="485"/>
      <c r="B214" s="485"/>
      <c r="C214" s="485"/>
      <c r="D214" s="485"/>
      <c r="E214" s="485"/>
      <c r="F214" s="485"/>
      <c r="G214" s="485"/>
      <c r="H214" s="485"/>
      <c r="I214" s="485"/>
      <c r="J214" s="485"/>
      <c r="K214" s="485"/>
      <c r="L214" s="485"/>
      <c r="M214" s="485"/>
      <c r="N214" s="485"/>
      <c r="O214" s="485"/>
      <c r="P214" s="485"/>
      <c r="Q214" s="485"/>
      <c r="R214" s="485"/>
      <c r="S214" s="485"/>
      <c r="T214" s="485"/>
      <c r="U214" s="485"/>
      <c r="V214" s="485"/>
      <c r="W214" s="485"/>
      <c r="X214" s="485"/>
      <c r="Y214" s="485"/>
      <c r="Z214" s="485"/>
    </row>
    <row r="215">
      <c r="A215" s="485"/>
      <c r="B215" s="485"/>
      <c r="C215" s="485"/>
      <c r="D215" s="485"/>
      <c r="E215" s="485"/>
      <c r="F215" s="485"/>
      <c r="G215" s="485"/>
      <c r="H215" s="485"/>
      <c r="I215" s="485"/>
      <c r="J215" s="485"/>
      <c r="K215" s="485"/>
      <c r="L215" s="485"/>
      <c r="M215" s="485"/>
      <c r="N215" s="485"/>
      <c r="O215" s="485"/>
      <c r="P215" s="485"/>
      <c r="Q215" s="485"/>
      <c r="R215" s="485"/>
      <c r="S215" s="485"/>
      <c r="T215" s="485"/>
      <c r="U215" s="485"/>
      <c r="V215" s="485"/>
      <c r="W215" s="485"/>
      <c r="X215" s="485"/>
      <c r="Y215" s="485"/>
      <c r="Z215" s="485"/>
    </row>
    <row r="216">
      <c r="A216" s="485"/>
      <c r="B216" s="485"/>
      <c r="C216" s="485"/>
      <c r="D216" s="485"/>
      <c r="E216" s="485"/>
      <c r="F216" s="485"/>
      <c r="G216" s="485"/>
      <c r="H216" s="485"/>
      <c r="I216" s="485"/>
      <c r="J216" s="485"/>
      <c r="K216" s="485"/>
      <c r="L216" s="485"/>
      <c r="M216" s="485"/>
      <c r="N216" s="485"/>
      <c r="O216" s="485"/>
      <c r="P216" s="485"/>
      <c r="Q216" s="485"/>
      <c r="R216" s="485"/>
      <c r="S216" s="485"/>
      <c r="T216" s="485"/>
      <c r="U216" s="485"/>
      <c r="V216" s="485"/>
      <c r="W216" s="485"/>
      <c r="X216" s="485"/>
      <c r="Y216" s="485"/>
      <c r="Z216" s="485"/>
    </row>
    <row r="217">
      <c r="A217" s="485"/>
      <c r="B217" s="485"/>
      <c r="C217" s="485"/>
      <c r="D217" s="485"/>
      <c r="E217" s="485"/>
      <c r="F217" s="485"/>
      <c r="G217" s="485"/>
      <c r="H217" s="485"/>
      <c r="I217" s="485"/>
      <c r="J217" s="485"/>
      <c r="K217" s="485"/>
      <c r="L217" s="485"/>
      <c r="M217" s="485"/>
      <c r="N217" s="485"/>
      <c r="O217" s="485"/>
      <c r="P217" s="485"/>
      <c r="Q217" s="485"/>
      <c r="R217" s="485"/>
      <c r="S217" s="485"/>
      <c r="T217" s="485"/>
      <c r="U217" s="485"/>
      <c r="V217" s="485"/>
      <c r="W217" s="485"/>
      <c r="X217" s="485"/>
      <c r="Y217" s="485"/>
      <c r="Z217" s="485"/>
    </row>
    <row r="218">
      <c r="A218" s="485"/>
      <c r="B218" s="485"/>
      <c r="C218" s="485"/>
      <c r="D218" s="485"/>
      <c r="E218" s="485"/>
      <c r="F218" s="485"/>
      <c r="G218" s="485"/>
      <c r="H218" s="485"/>
      <c r="I218" s="485"/>
      <c r="J218" s="485"/>
      <c r="K218" s="485"/>
      <c r="L218" s="485"/>
      <c r="M218" s="485"/>
      <c r="N218" s="485"/>
      <c r="O218" s="485"/>
      <c r="P218" s="485"/>
      <c r="Q218" s="485"/>
      <c r="R218" s="485"/>
      <c r="S218" s="485"/>
      <c r="T218" s="485"/>
      <c r="U218" s="485"/>
      <c r="V218" s="485"/>
      <c r="W218" s="485"/>
      <c r="X218" s="485"/>
      <c r="Y218" s="485"/>
      <c r="Z218" s="485"/>
    </row>
    <row r="219">
      <c r="A219" s="485"/>
      <c r="B219" s="485"/>
      <c r="C219" s="485"/>
      <c r="D219" s="485"/>
      <c r="E219" s="485"/>
      <c r="F219" s="485"/>
      <c r="G219" s="485"/>
      <c r="H219" s="485"/>
      <c r="I219" s="485"/>
      <c r="J219" s="485"/>
      <c r="K219" s="485"/>
      <c r="L219" s="485"/>
      <c r="M219" s="485"/>
      <c r="N219" s="485"/>
      <c r="O219" s="485"/>
      <c r="P219" s="485"/>
      <c r="Q219" s="485"/>
      <c r="R219" s="485"/>
      <c r="S219" s="485"/>
      <c r="T219" s="485"/>
      <c r="U219" s="485"/>
      <c r="V219" s="485"/>
      <c r="W219" s="485"/>
      <c r="X219" s="485"/>
      <c r="Y219" s="485"/>
      <c r="Z219" s="485"/>
    </row>
    <row r="220">
      <c r="A220" s="485"/>
      <c r="B220" s="485"/>
      <c r="C220" s="485"/>
      <c r="D220" s="485"/>
      <c r="E220" s="485"/>
      <c r="F220" s="485"/>
      <c r="G220" s="485"/>
      <c r="H220" s="485"/>
      <c r="I220" s="485"/>
      <c r="J220" s="485"/>
      <c r="K220" s="485"/>
      <c r="L220" s="485"/>
      <c r="M220" s="485"/>
      <c r="N220" s="485"/>
      <c r="O220" s="485"/>
      <c r="P220" s="485"/>
      <c r="Q220" s="485"/>
      <c r="R220" s="485"/>
      <c r="S220" s="485"/>
      <c r="T220" s="485"/>
      <c r="U220" s="485"/>
      <c r="V220" s="485"/>
      <c r="W220" s="485"/>
      <c r="X220" s="485"/>
      <c r="Y220" s="485"/>
      <c r="Z220" s="485"/>
    </row>
    <row r="221">
      <c r="A221" s="485"/>
      <c r="B221" s="485"/>
      <c r="C221" s="485"/>
      <c r="D221" s="485"/>
      <c r="E221" s="485"/>
      <c r="F221" s="485"/>
      <c r="G221" s="485"/>
      <c r="H221" s="485"/>
      <c r="I221" s="485"/>
      <c r="J221" s="485"/>
      <c r="K221" s="485"/>
      <c r="L221" s="485"/>
      <c r="M221" s="485"/>
      <c r="N221" s="485"/>
      <c r="O221" s="485"/>
      <c r="P221" s="485"/>
      <c r="Q221" s="485"/>
      <c r="R221" s="485"/>
      <c r="S221" s="485"/>
      <c r="T221" s="485"/>
      <c r="U221" s="485"/>
      <c r="V221" s="485"/>
      <c r="W221" s="485"/>
      <c r="X221" s="485"/>
      <c r="Y221" s="485"/>
      <c r="Z221" s="485"/>
    </row>
    <row r="222">
      <c r="A222" s="485"/>
      <c r="B222" s="485"/>
      <c r="C222" s="485"/>
      <c r="D222" s="485"/>
      <c r="E222" s="485"/>
      <c r="F222" s="485"/>
      <c r="G222" s="485"/>
      <c r="H222" s="485"/>
      <c r="I222" s="485"/>
      <c r="J222" s="485"/>
      <c r="K222" s="485"/>
      <c r="L222" s="485"/>
      <c r="M222" s="485"/>
      <c r="N222" s="485"/>
      <c r="O222" s="485"/>
      <c r="P222" s="485"/>
      <c r="Q222" s="485"/>
      <c r="R222" s="485"/>
      <c r="S222" s="485"/>
      <c r="T222" s="485"/>
      <c r="U222" s="485"/>
      <c r="V222" s="485"/>
      <c r="W222" s="485"/>
      <c r="X222" s="485"/>
      <c r="Y222" s="485"/>
      <c r="Z222" s="485"/>
    </row>
    <row r="223">
      <c r="A223" s="485"/>
      <c r="B223" s="485"/>
      <c r="C223" s="485"/>
      <c r="D223" s="485"/>
      <c r="E223" s="485"/>
      <c r="F223" s="485"/>
      <c r="G223" s="485"/>
      <c r="H223" s="485"/>
      <c r="I223" s="485"/>
      <c r="J223" s="485"/>
      <c r="K223" s="485"/>
      <c r="L223" s="485"/>
      <c r="M223" s="485"/>
      <c r="N223" s="485"/>
      <c r="O223" s="485"/>
      <c r="P223" s="485"/>
      <c r="Q223" s="485"/>
      <c r="R223" s="485"/>
      <c r="S223" s="485"/>
      <c r="T223" s="485"/>
      <c r="U223" s="485"/>
      <c r="V223" s="485"/>
      <c r="W223" s="485"/>
      <c r="X223" s="485"/>
      <c r="Y223" s="485"/>
      <c r="Z223" s="485"/>
    </row>
    <row r="224">
      <c r="A224" s="485"/>
      <c r="B224" s="485"/>
      <c r="C224" s="485"/>
      <c r="D224" s="485"/>
      <c r="E224" s="485"/>
      <c r="F224" s="485"/>
      <c r="G224" s="485"/>
      <c r="H224" s="485"/>
      <c r="I224" s="485"/>
      <c r="J224" s="485"/>
      <c r="K224" s="485"/>
      <c r="L224" s="485"/>
      <c r="M224" s="485"/>
      <c r="N224" s="485"/>
      <c r="O224" s="485"/>
      <c r="P224" s="485"/>
      <c r="Q224" s="485"/>
      <c r="R224" s="485"/>
      <c r="S224" s="485"/>
      <c r="T224" s="485"/>
      <c r="U224" s="485"/>
      <c r="V224" s="485"/>
      <c r="W224" s="485"/>
      <c r="X224" s="485"/>
      <c r="Y224" s="485"/>
      <c r="Z224" s="485"/>
    </row>
    <row r="225">
      <c r="A225" s="485"/>
      <c r="B225" s="485"/>
      <c r="C225" s="485"/>
      <c r="D225" s="485"/>
      <c r="E225" s="485"/>
      <c r="F225" s="485"/>
      <c r="G225" s="485"/>
      <c r="H225" s="485"/>
      <c r="I225" s="485"/>
      <c r="J225" s="485"/>
      <c r="K225" s="485"/>
      <c r="L225" s="485"/>
      <c r="M225" s="485"/>
      <c r="N225" s="485"/>
      <c r="O225" s="485"/>
      <c r="P225" s="485"/>
      <c r="Q225" s="485"/>
      <c r="R225" s="485"/>
      <c r="S225" s="485"/>
      <c r="T225" s="485"/>
      <c r="U225" s="485"/>
      <c r="V225" s="485"/>
      <c r="W225" s="485"/>
      <c r="X225" s="485"/>
      <c r="Y225" s="485"/>
      <c r="Z225" s="485"/>
    </row>
    <row r="226">
      <c r="A226" s="485"/>
      <c r="B226" s="485"/>
      <c r="C226" s="485"/>
      <c r="D226" s="485"/>
      <c r="E226" s="485"/>
      <c r="F226" s="485"/>
      <c r="G226" s="485"/>
      <c r="H226" s="485"/>
      <c r="I226" s="485"/>
      <c r="J226" s="485"/>
      <c r="K226" s="485"/>
      <c r="L226" s="485"/>
      <c r="M226" s="485"/>
      <c r="N226" s="485"/>
      <c r="O226" s="485"/>
      <c r="P226" s="485"/>
      <c r="Q226" s="485"/>
      <c r="R226" s="485"/>
      <c r="S226" s="485"/>
      <c r="T226" s="485"/>
      <c r="U226" s="485"/>
      <c r="V226" s="485"/>
      <c r="W226" s="485"/>
      <c r="X226" s="485"/>
      <c r="Y226" s="485"/>
      <c r="Z226" s="485"/>
    </row>
    <row r="227">
      <c r="A227" s="485"/>
      <c r="B227" s="485"/>
      <c r="C227" s="485"/>
      <c r="D227" s="485"/>
      <c r="E227" s="485"/>
      <c r="F227" s="485"/>
      <c r="G227" s="485"/>
      <c r="H227" s="485"/>
      <c r="I227" s="485"/>
      <c r="J227" s="485"/>
      <c r="K227" s="485"/>
      <c r="L227" s="485"/>
      <c r="M227" s="485"/>
      <c r="N227" s="485"/>
      <c r="O227" s="485"/>
      <c r="P227" s="485"/>
      <c r="Q227" s="485"/>
      <c r="R227" s="485"/>
      <c r="S227" s="485"/>
      <c r="T227" s="485"/>
      <c r="U227" s="485"/>
      <c r="V227" s="485"/>
      <c r="W227" s="485"/>
      <c r="X227" s="485"/>
      <c r="Y227" s="485"/>
      <c r="Z227" s="485"/>
    </row>
    <row r="228">
      <c r="A228" s="485"/>
      <c r="B228" s="485"/>
      <c r="C228" s="485"/>
      <c r="D228" s="485"/>
      <c r="E228" s="485"/>
      <c r="F228" s="485"/>
      <c r="G228" s="485"/>
      <c r="H228" s="485"/>
      <c r="I228" s="485"/>
      <c r="J228" s="485"/>
      <c r="K228" s="485"/>
      <c r="L228" s="485"/>
      <c r="M228" s="485"/>
      <c r="N228" s="485"/>
      <c r="O228" s="485"/>
      <c r="P228" s="485"/>
      <c r="Q228" s="485"/>
      <c r="R228" s="485"/>
      <c r="S228" s="485"/>
      <c r="T228" s="485"/>
      <c r="U228" s="485"/>
      <c r="V228" s="485"/>
      <c r="W228" s="485"/>
      <c r="X228" s="485"/>
      <c r="Y228" s="485"/>
      <c r="Z228" s="485"/>
    </row>
    <row r="229">
      <c r="A229" s="485"/>
      <c r="B229" s="485"/>
      <c r="C229" s="485"/>
      <c r="D229" s="485"/>
      <c r="E229" s="485"/>
      <c r="F229" s="485"/>
      <c r="G229" s="485"/>
      <c r="H229" s="485"/>
      <c r="I229" s="485"/>
      <c r="J229" s="485"/>
      <c r="K229" s="485"/>
      <c r="L229" s="485"/>
      <c r="M229" s="485"/>
      <c r="N229" s="485"/>
      <c r="O229" s="485"/>
      <c r="P229" s="485"/>
      <c r="Q229" s="485"/>
      <c r="R229" s="485"/>
      <c r="S229" s="485"/>
      <c r="T229" s="485"/>
      <c r="U229" s="485"/>
      <c r="V229" s="485"/>
      <c r="W229" s="485"/>
      <c r="X229" s="485"/>
      <c r="Y229" s="485"/>
      <c r="Z229" s="485"/>
    </row>
    <row r="230">
      <c r="A230" s="485"/>
      <c r="B230" s="485"/>
      <c r="C230" s="485"/>
      <c r="D230" s="485"/>
      <c r="E230" s="485"/>
      <c r="F230" s="485"/>
      <c r="G230" s="485"/>
      <c r="H230" s="485"/>
      <c r="I230" s="485"/>
      <c r="J230" s="485"/>
      <c r="K230" s="485"/>
      <c r="L230" s="485"/>
      <c r="M230" s="485"/>
      <c r="N230" s="485"/>
      <c r="O230" s="485"/>
      <c r="P230" s="485"/>
      <c r="Q230" s="485"/>
      <c r="R230" s="485"/>
      <c r="S230" s="485"/>
      <c r="T230" s="485"/>
      <c r="U230" s="485"/>
      <c r="V230" s="485"/>
      <c r="W230" s="485"/>
      <c r="X230" s="485"/>
      <c r="Y230" s="485"/>
      <c r="Z230" s="485"/>
    </row>
    <row r="231">
      <c r="A231" s="485"/>
      <c r="B231" s="485"/>
      <c r="C231" s="485"/>
      <c r="D231" s="485"/>
      <c r="E231" s="485"/>
      <c r="F231" s="485"/>
      <c r="G231" s="485"/>
      <c r="H231" s="485"/>
      <c r="I231" s="485"/>
      <c r="J231" s="485"/>
      <c r="K231" s="485"/>
      <c r="L231" s="485"/>
      <c r="M231" s="485"/>
      <c r="N231" s="485"/>
      <c r="O231" s="485"/>
      <c r="P231" s="485"/>
      <c r="Q231" s="485"/>
      <c r="R231" s="485"/>
      <c r="S231" s="485"/>
      <c r="T231" s="485"/>
      <c r="U231" s="485"/>
      <c r="V231" s="485"/>
      <c r="W231" s="485"/>
      <c r="X231" s="485"/>
      <c r="Y231" s="485"/>
      <c r="Z231" s="485"/>
    </row>
    <row r="232">
      <c r="A232" s="485"/>
      <c r="B232" s="485"/>
      <c r="C232" s="485"/>
      <c r="D232" s="485"/>
      <c r="E232" s="485"/>
      <c r="F232" s="485"/>
      <c r="G232" s="485"/>
      <c r="H232" s="485"/>
      <c r="I232" s="485"/>
      <c r="J232" s="485"/>
      <c r="K232" s="485"/>
      <c r="L232" s="485"/>
      <c r="M232" s="485"/>
      <c r="N232" s="485"/>
      <c r="O232" s="485"/>
      <c r="P232" s="485"/>
      <c r="Q232" s="485"/>
      <c r="R232" s="485"/>
      <c r="S232" s="485"/>
      <c r="T232" s="485"/>
      <c r="U232" s="485"/>
      <c r="V232" s="485"/>
      <c r="W232" s="485"/>
      <c r="X232" s="485"/>
      <c r="Y232" s="485"/>
      <c r="Z232" s="485"/>
    </row>
    <row r="233">
      <c r="A233" s="485"/>
      <c r="B233" s="485"/>
      <c r="C233" s="485"/>
      <c r="D233" s="485"/>
      <c r="E233" s="485"/>
      <c r="F233" s="485"/>
      <c r="G233" s="485"/>
      <c r="H233" s="485"/>
      <c r="I233" s="485"/>
      <c r="J233" s="485"/>
      <c r="K233" s="485"/>
      <c r="L233" s="485"/>
      <c r="M233" s="485"/>
      <c r="N233" s="485"/>
      <c r="O233" s="485"/>
      <c r="P233" s="485"/>
      <c r="Q233" s="485"/>
      <c r="R233" s="485"/>
      <c r="S233" s="485"/>
      <c r="T233" s="485"/>
      <c r="U233" s="485"/>
      <c r="V233" s="485"/>
      <c r="W233" s="485"/>
      <c r="X233" s="485"/>
      <c r="Y233" s="485"/>
      <c r="Z233" s="485"/>
    </row>
    <row r="234">
      <c r="A234" s="485"/>
      <c r="B234" s="485"/>
      <c r="C234" s="485"/>
      <c r="D234" s="485"/>
      <c r="E234" s="485"/>
      <c r="F234" s="485"/>
      <c r="G234" s="485"/>
      <c r="H234" s="485"/>
      <c r="I234" s="485"/>
      <c r="J234" s="485"/>
      <c r="K234" s="485"/>
      <c r="L234" s="485"/>
      <c r="M234" s="485"/>
      <c r="N234" s="485"/>
      <c r="O234" s="485"/>
      <c r="P234" s="485"/>
      <c r="Q234" s="485"/>
      <c r="R234" s="485"/>
      <c r="S234" s="485"/>
      <c r="T234" s="485"/>
      <c r="U234" s="485"/>
      <c r="V234" s="485"/>
      <c r="W234" s="485"/>
      <c r="X234" s="485"/>
      <c r="Y234" s="485"/>
      <c r="Z234" s="485"/>
    </row>
    <row r="235">
      <c r="A235" s="485"/>
      <c r="B235" s="485"/>
      <c r="C235" s="485"/>
      <c r="D235" s="485"/>
      <c r="E235" s="485"/>
      <c r="F235" s="485"/>
      <c r="G235" s="485"/>
      <c r="H235" s="485"/>
      <c r="I235" s="485"/>
      <c r="J235" s="485"/>
      <c r="K235" s="485"/>
      <c r="L235" s="485"/>
      <c r="M235" s="485"/>
      <c r="N235" s="485"/>
      <c r="O235" s="485"/>
      <c r="P235" s="485"/>
      <c r="Q235" s="485"/>
      <c r="R235" s="485"/>
      <c r="S235" s="485"/>
      <c r="T235" s="485"/>
      <c r="U235" s="485"/>
      <c r="V235" s="485"/>
      <c r="W235" s="485"/>
      <c r="X235" s="485"/>
      <c r="Y235" s="485"/>
      <c r="Z235" s="485"/>
    </row>
    <row r="236">
      <c r="A236" s="485"/>
      <c r="B236" s="485"/>
      <c r="C236" s="485"/>
      <c r="D236" s="485"/>
      <c r="E236" s="485"/>
      <c r="F236" s="485"/>
      <c r="G236" s="485"/>
      <c r="H236" s="485"/>
      <c r="I236" s="485"/>
      <c r="J236" s="485"/>
      <c r="K236" s="485"/>
      <c r="L236" s="485"/>
      <c r="M236" s="485"/>
      <c r="N236" s="485"/>
      <c r="O236" s="485"/>
      <c r="P236" s="485"/>
      <c r="Q236" s="485"/>
      <c r="R236" s="485"/>
      <c r="S236" s="485"/>
      <c r="T236" s="485"/>
      <c r="U236" s="485"/>
      <c r="V236" s="485"/>
      <c r="W236" s="485"/>
      <c r="X236" s="485"/>
      <c r="Y236" s="485"/>
      <c r="Z236" s="485"/>
    </row>
    <row r="237">
      <c r="A237" s="485"/>
      <c r="B237" s="485"/>
      <c r="C237" s="485"/>
      <c r="D237" s="485"/>
      <c r="E237" s="485"/>
      <c r="F237" s="485"/>
      <c r="G237" s="485"/>
      <c r="H237" s="485"/>
      <c r="I237" s="485"/>
      <c r="J237" s="485"/>
      <c r="K237" s="485"/>
      <c r="L237" s="485"/>
      <c r="M237" s="485"/>
      <c r="N237" s="485"/>
      <c r="O237" s="485"/>
      <c r="P237" s="485"/>
      <c r="Q237" s="485"/>
      <c r="R237" s="485"/>
      <c r="S237" s="485"/>
      <c r="T237" s="485"/>
      <c r="U237" s="485"/>
      <c r="V237" s="485"/>
      <c r="W237" s="485"/>
      <c r="X237" s="485"/>
      <c r="Y237" s="485"/>
      <c r="Z237" s="485"/>
    </row>
    <row r="238">
      <c r="A238" s="485"/>
      <c r="B238" s="485"/>
      <c r="C238" s="485"/>
      <c r="D238" s="485"/>
      <c r="E238" s="485"/>
      <c r="F238" s="485"/>
      <c r="G238" s="485"/>
      <c r="H238" s="485"/>
      <c r="I238" s="485"/>
      <c r="J238" s="485"/>
      <c r="K238" s="485"/>
      <c r="L238" s="485"/>
      <c r="M238" s="485"/>
      <c r="N238" s="485"/>
      <c r="O238" s="485"/>
      <c r="P238" s="485"/>
      <c r="Q238" s="485"/>
      <c r="R238" s="485"/>
      <c r="S238" s="485"/>
      <c r="T238" s="485"/>
      <c r="U238" s="485"/>
      <c r="V238" s="485"/>
      <c r="W238" s="485"/>
      <c r="X238" s="485"/>
      <c r="Y238" s="485"/>
      <c r="Z238" s="485"/>
    </row>
    <row r="239">
      <c r="A239" s="485"/>
      <c r="B239" s="485"/>
      <c r="C239" s="485"/>
      <c r="D239" s="485"/>
      <c r="E239" s="485"/>
      <c r="F239" s="485"/>
      <c r="G239" s="485"/>
      <c r="H239" s="485"/>
      <c r="I239" s="485"/>
      <c r="J239" s="485"/>
      <c r="K239" s="485"/>
      <c r="L239" s="485"/>
      <c r="M239" s="485"/>
      <c r="N239" s="485"/>
      <c r="O239" s="485"/>
      <c r="P239" s="485"/>
      <c r="Q239" s="485"/>
      <c r="R239" s="485"/>
      <c r="S239" s="485"/>
      <c r="T239" s="485"/>
      <c r="U239" s="485"/>
      <c r="V239" s="485"/>
      <c r="W239" s="485"/>
      <c r="X239" s="485"/>
      <c r="Y239" s="485"/>
      <c r="Z239" s="485"/>
    </row>
    <row r="240">
      <c r="A240" s="485"/>
      <c r="B240" s="485"/>
      <c r="C240" s="485"/>
      <c r="D240" s="485"/>
      <c r="E240" s="485"/>
      <c r="F240" s="485"/>
      <c r="G240" s="485"/>
      <c r="H240" s="485"/>
      <c r="I240" s="485"/>
      <c r="J240" s="485"/>
      <c r="K240" s="485"/>
      <c r="L240" s="485"/>
      <c r="M240" s="485"/>
      <c r="N240" s="485"/>
      <c r="O240" s="485"/>
      <c r="P240" s="485"/>
      <c r="Q240" s="485"/>
      <c r="R240" s="485"/>
      <c r="S240" s="485"/>
      <c r="T240" s="485"/>
      <c r="U240" s="485"/>
      <c r="V240" s="485"/>
      <c r="W240" s="485"/>
      <c r="X240" s="485"/>
      <c r="Y240" s="485"/>
      <c r="Z240" s="485"/>
    </row>
    <row r="241">
      <c r="A241" s="485"/>
      <c r="B241" s="485"/>
      <c r="C241" s="485"/>
      <c r="D241" s="485"/>
      <c r="E241" s="485"/>
      <c r="F241" s="485"/>
      <c r="G241" s="485"/>
      <c r="H241" s="485"/>
      <c r="I241" s="485"/>
      <c r="J241" s="485"/>
      <c r="K241" s="485"/>
      <c r="L241" s="485"/>
      <c r="M241" s="485"/>
      <c r="N241" s="485"/>
      <c r="O241" s="485"/>
      <c r="P241" s="485"/>
      <c r="Q241" s="485"/>
      <c r="R241" s="485"/>
      <c r="S241" s="485"/>
      <c r="T241" s="485"/>
      <c r="U241" s="485"/>
      <c r="V241" s="485"/>
      <c r="W241" s="485"/>
      <c r="X241" s="485"/>
      <c r="Y241" s="485"/>
      <c r="Z241" s="485"/>
    </row>
    <row r="242">
      <c r="A242" s="485"/>
      <c r="B242" s="485"/>
      <c r="C242" s="485"/>
      <c r="D242" s="485"/>
      <c r="E242" s="485"/>
      <c r="F242" s="485"/>
      <c r="G242" s="485"/>
      <c r="H242" s="485"/>
      <c r="I242" s="485"/>
      <c r="J242" s="485"/>
      <c r="K242" s="485"/>
      <c r="L242" s="485"/>
      <c r="M242" s="485"/>
      <c r="N242" s="485"/>
      <c r="O242" s="485"/>
      <c r="P242" s="485"/>
      <c r="Q242" s="485"/>
      <c r="R242" s="485"/>
      <c r="S242" s="485"/>
      <c r="T242" s="485"/>
      <c r="U242" s="485"/>
      <c r="V242" s="485"/>
      <c r="W242" s="485"/>
      <c r="X242" s="485"/>
      <c r="Y242" s="485"/>
      <c r="Z242" s="485"/>
    </row>
    <row r="243">
      <c r="A243" s="485"/>
      <c r="B243" s="485"/>
      <c r="C243" s="485"/>
      <c r="D243" s="485"/>
      <c r="E243" s="485"/>
      <c r="F243" s="485"/>
      <c r="G243" s="485"/>
      <c r="H243" s="485"/>
      <c r="I243" s="485"/>
      <c r="J243" s="485"/>
      <c r="K243" s="485"/>
      <c r="L243" s="485"/>
      <c r="M243" s="485"/>
      <c r="N243" s="485"/>
      <c r="O243" s="485"/>
      <c r="P243" s="485"/>
      <c r="Q243" s="485"/>
      <c r="R243" s="485"/>
      <c r="S243" s="485"/>
      <c r="T243" s="485"/>
      <c r="U243" s="485"/>
      <c r="V243" s="485"/>
      <c r="W243" s="485"/>
      <c r="X243" s="485"/>
      <c r="Y243" s="485"/>
      <c r="Z243" s="485"/>
    </row>
    <row r="244">
      <c r="A244" s="485"/>
      <c r="B244" s="485"/>
      <c r="C244" s="485"/>
      <c r="D244" s="485"/>
      <c r="E244" s="485"/>
      <c r="F244" s="485"/>
      <c r="G244" s="485"/>
      <c r="H244" s="485"/>
      <c r="I244" s="485"/>
      <c r="J244" s="485"/>
      <c r="K244" s="485"/>
      <c r="L244" s="485"/>
      <c r="M244" s="485"/>
      <c r="N244" s="485"/>
      <c r="O244" s="485"/>
      <c r="P244" s="485"/>
      <c r="Q244" s="485"/>
      <c r="R244" s="485"/>
      <c r="S244" s="485"/>
      <c r="T244" s="485"/>
      <c r="U244" s="485"/>
      <c r="V244" s="485"/>
      <c r="W244" s="485"/>
      <c r="X244" s="485"/>
      <c r="Y244" s="485"/>
      <c r="Z244" s="485"/>
    </row>
    <row r="245">
      <c r="A245" s="485"/>
      <c r="B245" s="485"/>
      <c r="C245" s="485"/>
      <c r="D245" s="485"/>
      <c r="E245" s="485"/>
      <c r="F245" s="485"/>
      <c r="G245" s="485"/>
      <c r="H245" s="485"/>
      <c r="I245" s="485"/>
      <c r="J245" s="485"/>
      <c r="K245" s="485"/>
      <c r="L245" s="485"/>
      <c r="M245" s="485"/>
      <c r="N245" s="485"/>
      <c r="O245" s="485"/>
      <c r="P245" s="485"/>
      <c r="Q245" s="485"/>
      <c r="R245" s="485"/>
      <c r="S245" s="485"/>
      <c r="T245" s="485"/>
      <c r="U245" s="485"/>
      <c r="V245" s="485"/>
      <c r="W245" s="485"/>
      <c r="X245" s="485"/>
      <c r="Y245" s="485"/>
      <c r="Z245" s="485"/>
    </row>
    <row r="246">
      <c r="A246" s="485"/>
      <c r="B246" s="485"/>
      <c r="C246" s="485"/>
      <c r="D246" s="485"/>
      <c r="E246" s="485"/>
      <c r="F246" s="485"/>
      <c r="G246" s="485"/>
      <c r="H246" s="485"/>
      <c r="I246" s="485"/>
      <c r="J246" s="485"/>
      <c r="K246" s="485"/>
      <c r="L246" s="485"/>
      <c r="M246" s="485"/>
      <c r="N246" s="485"/>
      <c r="O246" s="485"/>
      <c r="P246" s="485"/>
      <c r="Q246" s="485"/>
      <c r="R246" s="485"/>
      <c r="S246" s="485"/>
      <c r="T246" s="485"/>
      <c r="U246" s="485"/>
      <c r="V246" s="485"/>
      <c r="W246" s="485"/>
      <c r="X246" s="485"/>
      <c r="Y246" s="485"/>
      <c r="Z246" s="485"/>
    </row>
    <row r="247">
      <c r="A247" s="485"/>
      <c r="B247" s="485"/>
      <c r="C247" s="485"/>
      <c r="D247" s="485"/>
      <c r="E247" s="485"/>
      <c r="F247" s="485"/>
      <c r="G247" s="485"/>
      <c r="H247" s="485"/>
      <c r="I247" s="485"/>
      <c r="J247" s="485"/>
      <c r="K247" s="485"/>
      <c r="L247" s="485"/>
      <c r="M247" s="485"/>
      <c r="N247" s="485"/>
      <c r="O247" s="485"/>
      <c r="P247" s="485"/>
      <c r="Q247" s="485"/>
      <c r="R247" s="485"/>
      <c r="S247" s="485"/>
      <c r="T247" s="485"/>
      <c r="U247" s="485"/>
      <c r="V247" s="485"/>
      <c r="W247" s="485"/>
      <c r="X247" s="485"/>
      <c r="Y247" s="485"/>
      <c r="Z247" s="485"/>
    </row>
    <row r="248">
      <c r="A248" s="485"/>
      <c r="B248" s="485"/>
      <c r="C248" s="485"/>
      <c r="D248" s="485"/>
      <c r="E248" s="485"/>
      <c r="F248" s="485"/>
      <c r="G248" s="485"/>
      <c r="H248" s="485"/>
      <c r="I248" s="485"/>
      <c r="J248" s="485"/>
      <c r="K248" s="485"/>
      <c r="L248" s="485"/>
      <c r="M248" s="485"/>
      <c r="N248" s="485"/>
      <c r="O248" s="485"/>
      <c r="P248" s="485"/>
      <c r="Q248" s="485"/>
      <c r="R248" s="485"/>
      <c r="S248" s="485"/>
      <c r="T248" s="485"/>
      <c r="U248" s="485"/>
      <c r="V248" s="485"/>
      <c r="W248" s="485"/>
      <c r="X248" s="485"/>
      <c r="Y248" s="485"/>
      <c r="Z248" s="485"/>
    </row>
    <row r="249">
      <c r="A249" s="485"/>
      <c r="B249" s="485"/>
      <c r="C249" s="485"/>
      <c r="D249" s="485"/>
      <c r="E249" s="485"/>
      <c r="F249" s="485"/>
      <c r="G249" s="485"/>
      <c r="H249" s="485"/>
      <c r="I249" s="485"/>
      <c r="J249" s="485"/>
      <c r="K249" s="485"/>
      <c r="L249" s="485"/>
      <c r="M249" s="485"/>
      <c r="N249" s="485"/>
      <c r="O249" s="485"/>
      <c r="P249" s="485"/>
      <c r="Q249" s="485"/>
      <c r="R249" s="485"/>
      <c r="S249" s="485"/>
      <c r="T249" s="485"/>
      <c r="U249" s="485"/>
      <c r="V249" s="485"/>
      <c r="W249" s="485"/>
      <c r="X249" s="485"/>
      <c r="Y249" s="485"/>
      <c r="Z249" s="485"/>
    </row>
    <row r="250">
      <c r="A250" s="485"/>
      <c r="B250" s="485"/>
      <c r="C250" s="485"/>
      <c r="D250" s="485"/>
      <c r="E250" s="485"/>
      <c r="F250" s="485"/>
      <c r="G250" s="485"/>
      <c r="H250" s="485"/>
      <c r="I250" s="485"/>
      <c r="J250" s="485"/>
      <c r="K250" s="485"/>
      <c r="L250" s="485"/>
      <c r="M250" s="485"/>
      <c r="N250" s="485"/>
      <c r="O250" s="485"/>
      <c r="P250" s="485"/>
      <c r="Q250" s="485"/>
      <c r="R250" s="485"/>
      <c r="S250" s="485"/>
      <c r="T250" s="485"/>
      <c r="U250" s="485"/>
      <c r="V250" s="485"/>
      <c r="W250" s="485"/>
      <c r="X250" s="485"/>
      <c r="Y250" s="485"/>
      <c r="Z250" s="485"/>
    </row>
    <row r="251">
      <c r="A251" s="485"/>
      <c r="B251" s="485"/>
      <c r="C251" s="485"/>
      <c r="D251" s="485"/>
      <c r="E251" s="485"/>
      <c r="F251" s="485"/>
      <c r="G251" s="485"/>
      <c r="H251" s="485"/>
      <c r="I251" s="485"/>
      <c r="J251" s="485"/>
      <c r="K251" s="485"/>
      <c r="L251" s="485"/>
      <c r="M251" s="485"/>
      <c r="N251" s="485"/>
      <c r="O251" s="485"/>
      <c r="P251" s="485"/>
      <c r="Q251" s="485"/>
      <c r="R251" s="485"/>
      <c r="S251" s="485"/>
      <c r="T251" s="485"/>
      <c r="U251" s="485"/>
      <c r="V251" s="485"/>
      <c r="W251" s="485"/>
      <c r="X251" s="485"/>
      <c r="Y251" s="485"/>
      <c r="Z251" s="485"/>
    </row>
    <row r="252">
      <c r="A252" s="485"/>
      <c r="B252" s="485"/>
      <c r="C252" s="485"/>
      <c r="D252" s="485"/>
      <c r="E252" s="485"/>
      <c r="F252" s="485"/>
      <c r="G252" s="485"/>
      <c r="H252" s="485"/>
      <c r="I252" s="485"/>
      <c r="J252" s="485"/>
      <c r="K252" s="485"/>
      <c r="L252" s="485"/>
      <c r="M252" s="485"/>
      <c r="N252" s="485"/>
      <c r="O252" s="485"/>
      <c r="P252" s="485"/>
      <c r="Q252" s="485"/>
      <c r="R252" s="485"/>
      <c r="S252" s="485"/>
      <c r="T252" s="485"/>
      <c r="U252" s="485"/>
      <c r="V252" s="485"/>
      <c r="W252" s="485"/>
      <c r="X252" s="485"/>
      <c r="Y252" s="485"/>
      <c r="Z252" s="485"/>
    </row>
    <row r="253">
      <c r="A253" s="485"/>
      <c r="B253" s="485"/>
      <c r="C253" s="485"/>
      <c r="D253" s="485"/>
      <c r="E253" s="485"/>
      <c r="F253" s="485"/>
      <c r="G253" s="485"/>
      <c r="H253" s="485"/>
      <c r="I253" s="485"/>
      <c r="J253" s="485"/>
      <c r="K253" s="485"/>
      <c r="L253" s="485"/>
      <c r="M253" s="485"/>
      <c r="N253" s="485"/>
      <c r="O253" s="485"/>
      <c r="P253" s="485"/>
      <c r="Q253" s="485"/>
      <c r="R253" s="485"/>
      <c r="S253" s="485"/>
      <c r="T253" s="485"/>
      <c r="U253" s="485"/>
      <c r="V253" s="485"/>
      <c r="W253" s="485"/>
      <c r="X253" s="485"/>
      <c r="Y253" s="485"/>
      <c r="Z253" s="485"/>
    </row>
    <row r="254">
      <c r="A254" s="485"/>
      <c r="B254" s="485"/>
      <c r="C254" s="485"/>
      <c r="D254" s="485"/>
      <c r="E254" s="485"/>
      <c r="F254" s="485"/>
      <c r="G254" s="485"/>
      <c r="H254" s="485"/>
      <c r="I254" s="485"/>
      <c r="J254" s="485"/>
      <c r="K254" s="485"/>
      <c r="L254" s="485"/>
      <c r="M254" s="485"/>
      <c r="N254" s="485"/>
      <c r="O254" s="485"/>
      <c r="P254" s="485"/>
      <c r="Q254" s="485"/>
      <c r="R254" s="485"/>
      <c r="S254" s="485"/>
      <c r="T254" s="485"/>
      <c r="U254" s="485"/>
      <c r="V254" s="485"/>
      <c r="W254" s="485"/>
      <c r="X254" s="485"/>
      <c r="Y254" s="485"/>
      <c r="Z254" s="485"/>
    </row>
    <row r="255">
      <c r="A255" s="485"/>
      <c r="B255" s="485"/>
      <c r="C255" s="485"/>
      <c r="D255" s="485"/>
      <c r="E255" s="485"/>
      <c r="F255" s="485"/>
      <c r="G255" s="485"/>
      <c r="H255" s="485"/>
      <c r="I255" s="485"/>
      <c r="J255" s="485"/>
      <c r="K255" s="485"/>
      <c r="L255" s="485"/>
      <c r="M255" s="485"/>
      <c r="N255" s="485"/>
      <c r="O255" s="485"/>
      <c r="P255" s="485"/>
      <c r="Q255" s="485"/>
      <c r="R255" s="485"/>
      <c r="S255" s="485"/>
      <c r="T255" s="485"/>
      <c r="U255" s="485"/>
      <c r="V255" s="485"/>
      <c r="W255" s="485"/>
      <c r="X255" s="485"/>
      <c r="Y255" s="485"/>
      <c r="Z255" s="485"/>
    </row>
    <row r="256">
      <c r="A256" s="485"/>
      <c r="B256" s="485"/>
      <c r="C256" s="485"/>
      <c r="D256" s="485"/>
      <c r="E256" s="485"/>
      <c r="F256" s="485"/>
      <c r="G256" s="485"/>
      <c r="H256" s="485"/>
      <c r="I256" s="485"/>
      <c r="J256" s="485"/>
      <c r="K256" s="485"/>
      <c r="L256" s="485"/>
      <c r="M256" s="485"/>
      <c r="N256" s="485"/>
      <c r="O256" s="485"/>
      <c r="P256" s="485"/>
      <c r="Q256" s="485"/>
      <c r="R256" s="485"/>
      <c r="S256" s="485"/>
      <c r="T256" s="485"/>
      <c r="U256" s="485"/>
      <c r="V256" s="485"/>
      <c r="W256" s="485"/>
      <c r="X256" s="485"/>
      <c r="Y256" s="485"/>
      <c r="Z256" s="485"/>
    </row>
    <row r="257">
      <c r="A257" s="485"/>
      <c r="B257" s="485"/>
      <c r="C257" s="485"/>
      <c r="D257" s="485"/>
      <c r="E257" s="485"/>
      <c r="F257" s="485"/>
      <c r="G257" s="485"/>
      <c r="H257" s="485"/>
      <c r="I257" s="485"/>
      <c r="J257" s="485"/>
      <c r="K257" s="485"/>
      <c r="L257" s="485"/>
      <c r="M257" s="485"/>
      <c r="N257" s="485"/>
      <c r="O257" s="485"/>
      <c r="P257" s="485"/>
      <c r="Q257" s="485"/>
      <c r="R257" s="485"/>
      <c r="S257" s="485"/>
      <c r="T257" s="485"/>
      <c r="U257" s="485"/>
      <c r="V257" s="485"/>
      <c r="W257" s="485"/>
      <c r="X257" s="485"/>
      <c r="Y257" s="485"/>
      <c r="Z257" s="485"/>
    </row>
    <row r="258">
      <c r="A258" s="485"/>
      <c r="B258" s="485"/>
      <c r="C258" s="485"/>
      <c r="D258" s="485"/>
      <c r="E258" s="485"/>
      <c r="F258" s="485"/>
      <c r="G258" s="485"/>
      <c r="H258" s="485"/>
      <c r="I258" s="485"/>
      <c r="J258" s="485"/>
      <c r="K258" s="485"/>
      <c r="L258" s="485"/>
      <c r="M258" s="485"/>
      <c r="N258" s="485"/>
      <c r="O258" s="485"/>
      <c r="P258" s="485"/>
      <c r="Q258" s="485"/>
      <c r="R258" s="485"/>
      <c r="S258" s="485"/>
      <c r="T258" s="485"/>
      <c r="U258" s="485"/>
      <c r="V258" s="485"/>
      <c r="W258" s="485"/>
      <c r="X258" s="485"/>
      <c r="Y258" s="485"/>
      <c r="Z258" s="485"/>
    </row>
    <row r="259">
      <c r="A259" s="485"/>
      <c r="B259" s="485"/>
      <c r="C259" s="485"/>
      <c r="D259" s="485"/>
      <c r="E259" s="485"/>
      <c r="F259" s="485"/>
      <c r="G259" s="485"/>
      <c r="H259" s="485"/>
      <c r="I259" s="485"/>
      <c r="J259" s="485"/>
      <c r="K259" s="485"/>
      <c r="L259" s="485"/>
      <c r="M259" s="485"/>
      <c r="N259" s="485"/>
      <c r="O259" s="485"/>
      <c r="P259" s="485"/>
      <c r="Q259" s="485"/>
      <c r="R259" s="485"/>
      <c r="S259" s="485"/>
      <c r="T259" s="485"/>
      <c r="U259" s="485"/>
      <c r="V259" s="485"/>
      <c r="W259" s="485"/>
      <c r="X259" s="485"/>
      <c r="Y259" s="485"/>
      <c r="Z259" s="485"/>
    </row>
    <row r="260">
      <c r="A260" s="485"/>
      <c r="B260" s="485"/>
      <c r="C260" s="485"/>
      <c r="D260" s="485"/>
      <c r="E260" s="485"/>
      <c r="F260" s="485"/>
      <c r="G260" s="485"/>
      <c r="H260" s="485"/>
      <c r="I260" s="485"/>
      <c r="J260" s="485"/>
      <c r="K260" s="485"/>
      <c r="L260" s="485"/>
      <c r="M260" s="485"/>
      <c r="N260" s="485"/>
      <c r="O260" s="485"/>
      <c r="P260" s="485"/>
      <c r="Q260" s="485"/>
      <c r="R260" s="485"/>
      <c r="S260" s="485"/>
      <c r="T260" s="485"/>
      <c r="U260" s="485"/>
      <c r="V260" s="485"/>
      <c r="W260" s="485"/>
      <c r="X260" s="485"/>
      <c r="Y260" s="485"/>
      <c r="Z260" s="485"/>
    </row>
    <row r="261">
      <c r="A261" s="485"/>
      <c r="B261" s="485"/>
      <c r="C261" s="485"/>
      <c r="D261" s="485"/>
      <c r="E261" s="485"/>
      <c r="F261" s="485"/>
      <c r="G261" s="485"/>
      <c r="H261" s="485"/>
      <c r="I261" s="485"/>
      <c r="J261" s="485"/>
      <c r="K261" s="485"/>
      <c r="L261" s="485"/>
      <c r="M261" s="485"/>
      <c r="N261" s="485"/>
      <c r="O261" s="485"/>
      <c r="P261" s="485"/>
      <c r="Q261" s="485"/>
      <c r="R261" s="485"/>
      <c r="S261" s="485"/>
      <c r="T261" s="485"/>
      <c r="U261" s="485"/>
      <c r="V261" s="485"/>
      <c r="W261" s="485"/>
      <c r="X261" s="485"/>
      <c r="Y261" s="485"/>
      <c r="Z261" s="485"/>
    </row>
    <row r="262">
      <c r="A262" s="485"/>
      <c r="B262" s="485"/>
      <c r="C262" s="485"/>
      <c r="D262" s="485"/>
      <c r="E262" s="485"/>
      <c r="F262" s="485"/>
      <c r="G262" s="485"/>
      <c r="H262" s="485"/>
      <c r="I262" s="485"/>
      <c r="J262" s="485"/>
      <c r="K262" s="485"/>
      <c r="L262" s="485"/>
      <c r="M262" s="485"/>
      <c r="N262" s="485"/>
      <c r="O262" s="485"/>
      <c r="P262" s="485"/>
      <c r="Q262" s="485"/>
      <c r="R262" s="485"/>
      <c r="S262" s="485"/>
      <c r="T262" s="485"/>
      <c r="U262" s="485"/>
      <c r="V262" s="485"/>
      <c r="W262" s="485"/>
      <c r="X262" s="485"/>
      <c r="Y262" s="485"/>
      <c r="Z262" s="485"/>
    </row>
    <row r="263">
      <c r="A263" s="485"/>
      <c r="B263" s="485"/>
      <c r="C263" s="485"/>
      <c r="D263" s="485"/>
      <c r="E263" s="485"/>
      <c r="F263" s="485"/>
      <c r="G263" s="485"/>
      <c r="H263" s="485"/>
      <c r="I263" s="485"/>
      <c r="J263" s="485"/>
      <c r="K263" s="485"/>
      <c r="L263" s="485"/>
      <c r="M263" s="485"/>
      <c r="N263" s="485"/>
      <c r="O263" s="485"/>
      <c r="P263" s="485"/>
      <c r="Q263" s="485"/>
      <c r="R263" s="485"/>
      <c r="S263" s="485"/>
      <c r="T263" s="485"/>
      <c r="U263" s="485"/>
      <c r="V263" s="485"/>
      <c r="W263" s="485"/>
      <c r="X263" s="485"/>
      <c r="Y263" s="485"/>
      <c r="Z263" s="485"/>
    </row>
    <row r="264">
      <c r="A264" s="485"/>
      <c r="B264" s="485"/>
      <c r="C264" s="485"/>
      <c r="D264" s="485"/>
      <c r="E264" s="485"/>
      <c r="F264" s="485"/>
      <c r="G264" s="485"/>
      <c r="H264" s="485"/>
      <c r="I264" s="485"/>
      <c r="J264" s="485"/>
      <c r="K264" s="485"/>
      <c r="L264" s="485"/>
      <c r="M264" s="485"/>
      <c r="N264" s="485"/>
      <c r="O264" s="485"/>
      <c r="P264" s="485"/>
      <c r="Q264" s="485"/>
      <c r="R264" s="485"/>
      <c r="S264" s="485"/>
      <c r="T264" s="485"/>
      <c r="U264" s="485"/>
      <c r="V264" s="485"/>
      <c r="W264" s="485"/>
      <c r="X264" s="485"/>
      <c r="Y264" s="485"/>
      <c r="Z264" s="485"/>
    </row>
    <row r="265">
      <c r="A265" s="485"/>
      <c r="B265" s="485"/>
      <c r="C265" s="485"/>
      <c r="D265" s="485"/>
      <c r="E265" s="485"/>
      <c r="F265" s="485"/>
      <c r="G265" s="485"/>
      <c r="H265" s="485"/>
      <c r="I265" s="485"/>
      <c r="J265" s="485"/>
      <c r="K265" s="485"/>
      <c r="L265" s="485"/>
      <c r="M265" s="485"/>
      <c r="N265" s="485"/>
      <c r="O265" s="485"/>
      <c r="P265" s="485"/>
      <c r="Q265" s="485"/>
      <c r="R265" s="485"/>
      <c r="S265" s="485"/>
      <c r="T265" s="485"/>
      <c r="U265" s="485"/>
      <c r="V265" s="485"/>
      <c r="W265" s="485"/>
      <c r="X265" s="485"/>
      <c r="Y265" s="485"/>
      <c r="Z265" s="485"/>
    </row>
    <row r="266">
      <c r="A266" s="485"/>
      <c r="B266" s="485"/>
      <c r="C266" s="485"/>
      <c r="D266" s="485"/>
      <c r="E266" s="485"/>
      <c r="F266" s="485"/>
      <c r="G266" s="485"/>
      <c r="H266" s="485"/>
      <c r="I266" s="485"/>
      <c r="J266" s="485"/>
      <c r="K266" s="485"/>
      <c r="L266" s="485"/>
      <c r="M266" s="485"/>
      <c r="N266" s="485"/>
      <c r="O266" s="485"/>
      <c r="P266" s="485"/>
      <c r="Q266" s="485"/>
      <c r="R266" s="485"/>
      <c r="S266" s="485"/>
      <c r="T266" s="485"/>
      <c r="U266" s="485"/>
      <c r="V266" s="485"/>
      <c r="W266" s="485"/>
      <c r="X266" s="485"/>
      <c r="Y266" s="485"/>
      <c r="Z266" s="485"/>
    </row>
    <row r="267">
      <c r="A267" s="485"/>
      <c r="B267" s="485"/>
      <c r="C267" s="485"/>
      <c r="D267" s="485"/>
      <c r="E267" s="485"/>
      <c r="F267" s="485"/>
      <c r="G267" s="485"/>
      <c r="H267" s="485"/>
      <c r="I267" s="485"/>
      <c r="J267" s="485"/>
      <c r="K267" s="485"/>
      <c r="L267" s="485"/>
      <c r="M267" s="485"/>
      <c r="N267" s="485"/>
      <c r="O267" s="485"/>
      <c r="P267" s="485"/>
      <c r="Q267" s="485"/>
      <c r="R267" s="485"/>
      <c r="S267" s="485"/>
      <c r="T267" s="485"/>
      <c r="U267" s="485"/>
      <c r="V267" s="485"/>
      <c r="W267" s="485"/>
      <c r="X267" s="485"/>
      <c r="Y267" s="485"/>
      <c r="Z267" s="485"/>
    </row>
    <row r="268">
      <c r="A268" s="485"/>
      <c r="B268" s="485"/>
      <c r="C268" s="485"/>
      <c r="D268" s="485"/>
      <c r="E268" s="485"/>
      <c r="F268" s="485"/>
      <c r="G268" s="485"/>
      <c r="H268" s="485"/>
      <c r="I268" s="485"/>
      <c r="J268" s="485"/>
      <c r="K268" s="485"/>
      <c r="L268" s="485"/>
      <c r="M268" s="485"/>
      <c r="N268" s="485"/>
      <c r="O268" s="485"/>
      <c r="P268" s="485"/>
      <c r="Q268" s="485"/>
      <c r="R268" s="485"/>
      <c r="S268" s="485"/>
      <c r="T268" s="485"/>
      <c r="U268" s="485"/>
      <c r="V268" s="485"/>
      <c r="W268" s="485"/>
      <c r="X268" s="485"/>
      <c r="Y268" s="485"/>
      <c r="Z268" s="485"/>
    </row>
    <row r="269">
      <c r="A269" s="485"/>
      <c r="B269" s="485"/>
      <c r="C269" s="485"/>
      <c r="D269" s="485"/>
      <c r="E269" s="485"/>
      <c r="F269" s="485"/>
      <c r="G269" s="485"/>
      <c r="H269" s="485"/>
      <c r="I269" s="485"/>
      <c r="J269" s="485"/>
      <c r="K269" s="485"/>
      <c r="L269" s="485"/>
      <c r="M269" s="485"/>
      <c r="N269" s="485"/>
      <c r="O269" s="485"/>
      <c r="P269" s="485"/>
      <c r="Q269" s="485"/>
      <c r="R269" s="485"/>
      <c r="S269" s="485"/>
      <c r="T269" s="485"/>
      <c r="U269" s="485"/>
      <c r="V269" s="485"/>
      <c r="W269" s="485"/>
      <c r="X269" s="485"/>
      <c r="Y269" s="485"/>
      <c r="Z269" s="485"/>
    </row>
    <row r="270">
      <c r="A270" s="485"/>
      <c r="B270" s="485"/>
      <c r="C270" s="485"/>
      <c r="D270" s="485"/>
      <c r="E270" s="485"/>
      <c r="F270" s="485"/>
      <c r="G270" s="485"/>
      <c r="H270" s="485"/>
      <c r="I270" s="485"/>
      <c r="J270" s="485"/>
      <c r="K270" s="485"/>
      <c r="L270" s="485"/>
      <c r="M270" s="485"/>
      <c r="N270" s="485"/>
      <c r="O270" s="485"/>
      <c r="P270" s="485"/>
      <c r="Q270" s="485"/>
      <c r="R270" s="485"/>
      <c r="S270" s="485"/>
      <c r="T270" s="485"/>
      <c r="U270" s="485"/>
      <c r="V270" s="485"/>
      <c r="W270" s="485"/>
      <c r="X270" s="485"/>
      <c r="Y270" s="485"/>
      <c r="Z270" s="485"/>
    </row>
    <row r="271">
      <c r="A271" s="485"/>
      <c r="B271" s="485"/>
      <c r="C271" s="485"/>
      <c r="D271" s="485"/>
      <c r="E271" s="485"/>
      <c r="F271" s="485"/>
      <c r="G271" s="485"/>
      <c r="H271" s="485"/>
      <c r="I271" s="485"/>
      <c r="J271" s="485"/>
      <c r="K271" s="485"/>
      <c r="L271" s="485"/>
      <c r="M271" s="485"/>
      <c r="N271" s="485"/>
      <c r="O271" s="485"/>
      <c r="P271" s="485"/>
      <c r="Q271" s="485"/>
      <c r="R271" s="485"/>
      <c r="S271" s="485"/>
      <c r="T271" s="485"/>
      <c r="U271" s="485"/>
      <c r="V271" s="485"/>
      <c r="W271" s="485"/>
      <c r="X271" s="485"/>
      <c r="Y271" s="485"/>
      <c r="Z271" s="485"/>
    </row>
    <row r="272">
      <c r="A272" s="485"/>
      <c r="B272" s="485"/>
      <c r="C272" s="485"/>
      <c r="D272" s="485"/>
      <c r="E272" s="485"/>
      <c r="F272" s="485"/>
      <c r="G272" s="485"/>
      <c r="H272" s="485"/>
      <c r="I272" s="485"/>
      <c r="J272" s="485"/>
      <c r="K272" s="485"/>
      <c r="L272" s="485"/>
      <c r="M272" s="485"/>
      <c r="N272" s="485"/>
      <c r="O272" s="485"/>
      <c r="P272" s="485"/>
      <c r="Q272" s="485"/>
      <c r="R272" s="485"/>
      <c r="S272" s="485"/>
      <c r="T272" s="485"/>
      <c r="U272" s="485"/>
      <c r="V272" s="485"/>
      <c r="W272" s="485"/>
      <c r="X272" s="485"/>
      <c r="Y272" s="485"/>
      <c r="Z272" s="485"/>
    </row>
    <row r="273">
      <c r="A273" s="485"/>
      <c r="B273" s="485"/>
      <c r="C273" s="485"/>
      <c r="D273" s="485"/>
      <c r="E273" s="485"/>
      <c r="F273" s="485"/>
      <c r="G273" s="485"/>
      <c r="H273" s="485"/>
      <c r="I273" s="485"/>
      <c r="J273" s="485"/>
      <c r="K273" s="485"/>
      <c r="L273" s="485"/>
      <c r="M273" s="485"/>
      <c r="N273" s="485"/>
      <c r="O273" s="485"/>
      <c r="P273" s="485"/>
      <c r="Q273" s="485"/>
      <c r="R273" s="485"/>
      <c r="S273" s="485"/>
      <c r="T273" s="485"/>
      <c r="U273" s="485"/>
      <c r="V273" s="485"/>
      <c r="W273" s="485"/>
      <c r="X273" s="485"/>
      <c r="Y273" s="485"/>
      <c r="Z273" s="485"/>
    </row>
    <row r="274">
      <c r="A274" s="485"/>
      <c r="B274" s="485"/>
      <c r="C274" s="485"/>
      <c r="D274" s="485"/>
      <c r="E274" s="485"/>
      <c r="F274" s="485"/>
      <c r="G274" s="485"/>
      <c r="H274" s="485"/>
      <c r="I274" s="485"/>
      <c r="J274" s="485"/>
      <c r="K274" s="485"/>
      <c r="L274" s="485"/>
      <c r="M274" s="485"/>
      <c r="N274" s="485"/>
      <c r="O274" s="485"/>
      <c r="P274" s="485"/>
      <c r="Q274" s="485"/>
      <c r="R274" s="485"/>
      <c r="S274" s="485"/>
      <c r="T274" s="485"/>
      <c r="U274" s="485"/>
      <c r="V274" s="485"/>
      <c r="W274" s="485"/>
      <c r="X274" s="485"/>
      <c r="Y274" s="485"/>
      <c r="Z274" s="485"/>
    </row>
    <row r="275">
      <c r="A275" s="485"/>
      <c r="B275" s="485"/>
      <c r="C275" s="485"/>
      <c r="D275" s="485"/>
      <c r="E275" s="485"/>
      <c r="F275" s="485"/>
      <c r="G275" s="485"/>
      <c r="H275" s="485"/>
      <c r="I275" s="485"/>
      <c r="J275" s="485"/>
      <c r="K275" s="485"/>
      <c r="L275" s="485"/>
      <c r="M275" s="485"/>
      <c r="N275" s="485"/>
      <c r="O275" s="485"/>
      <c r="P275" s="485"/>
      <c r="Q275" s="485"/>
      <c r="R275" s="485"/>
      <c r="S275" s="485"/>
      <c r="T275" s="485"/>
      <c r="U275" s="485"/>
      <c r="V275" s="485"/>
      <c r="W275" s="485"/>
      <c r="X275" s="485"/>
      <c r="Y275" s="485"/>
      <c r="Z275" s="485"/>
    </row>
    <row r="276">
      <c r="A276" s="485"/>
      <c r="B276" s="485"/>
      <c r="C276" s="485"/>
      <c r="D276" s="485"/>
      <c r="E276" s="485"/>
      <c r="F276" s="485"/>
      <c r="G276" s="485"/>
      <c r="H276" s="485"/>
      <c r="I276" s="485"/>
      <c r="J276" s="485"/>
      <c r="K276" s="485"/>
      <c r="L276" s="485"/>
      <c r="M276" s="485"/>
      <c r="N276" s="485"/>
      <c r="O276" s="485"/>
      <c r="P276" s="485"/>
      <c r="Q276" s="485"/>
      <c r="R276" s="485"/>
      <c r="S276" s="485"/>
      <c r="T276" s="485"/>
      <c r="U276" s="485"/>
      <c r="V276" s="485"/>
      <c r="W276" s="485"/>
      <c r="X276" s="485"/>
      <c r="Y276" s="485"/>
      <c r="Z276" s="485"/>
    </row>
    <row r="277">
      <c r="A277" s="485"/>
      <c r="B277" s="485"/>
      <c r="C277" s="485"/>
      <c r="D277" s="485"/>
      <c r="E277" s="485"/>
      <c r="F277" s="485"/>
      <c r="G277" s="485"/>
      <c r="H277" s="485"/>
      <c r="I277" s="485"/>
      <c r="J277" s="485"/>
      <c r="K277" s="485"/>
      <c r="L277" s="485"/>
      <c r="M277" s="485"/>
      <c r="N277" s="485"/>
      <c r="O277" s="485"/>
      <c r="P277" s="485"/>
      <c r="Q277" s="485"/>
      <c r="R277" s="485"/>
      <c r="S277" s="485"/>
      <c r="T277" s="485"/>
      <c r="U277" s="485"/>
      <c r="V277" s="485"/>
      <c r="W277" s="485"/>
      <c r="X277" s="485"/>
      <c r="Y277" s="485"/>
      <c r="Z277" s="485"/>
    </row>
    <row r="278">
      <c r="A278" s="485"/>
      <c r="B278" s="485"/>
      <c r="C278" s="485"/>
      <c r="D278" s="485"/>
      <c r="E278" s="485"/>
      <c r="F278" s="485"/>
      <c r="G278" s="485"/>
      <c r="H278" s="485"/>
      <c r="I278" s="485"/>
      <c r="J278" s="485"/>
      <c r="K278" s="485"/>
      <c r="L278" s="485"/>
      <c r="M278" s="485"/>
      <c r="N278" s="485"/>
      <c r="O278" s="485"/>
      <c r="P278" s="485"/>
      <c r="Q278" s="485"/>
      <c r="R278" s="485"/>
      <c r="S278" s="485"/>
      <c r="T278" s="485"/>
      <c r="U278" s="485"/>
      <c r="V278" s="485"/>
      <c r="W278" s="485"/>
      <c r="X278" s="485"/>
      <c r="Y278" s="485"/>
      <c r="Z278" s="485"/>
    </row>
    <row r="279">
      <c r="A279" s="485"/>
      <c r="B279" s="485"/>
      <c r="C279" s="485"/>
      <c r="D279" s="485"/>
      <c r="E279" s="485"/>
      <c r="F279" s="485"/>
      <c r="G279" s="485"/>
      <c r="H279" s="485"/>
      <c r="I279" s="485"/>
      <c r="J279" s="485"/>
      <c r="K279" s="485"/>
      <c r="L279" s="485"/>
      <c r="M279" s="485"/>
      <c r="N279" s="485"/>
      <c r="O279" s="485"/>
      <c r="P279" s="485"/>
      <c r="Q279" s="485"/>
      <c r="R279" s="485"/>
      <c r="S279" s="485"/>
      <c r="T279" s="485"/>
      <c r="U279" s="485"/>
      <c r="V279" s="485"/>
      <c r="W279" s="485"/>
      <c r="X279" s="485"/>
      <c r="Y279" s="485"/>
      <c r="Z279" s="485"/>
    </row>
    <row r="280">
      <c r="A280" s="485"/>
      <c r="B280" s="485"/>
      <c r="C280" s="485"/>
      <c r="D280" s="485"/>
      <c r="E280" s="485"/>
      <c r="F280" s="485"/>
      <c r="G280" s="485"/>
      <c r="H280" s="485"/>
      <c r="I280" s="485"/>
      <c r="J280" s="485"/>
      <c r="K280" s="485"/>
      <c r="L280" s="485"/>
      <c r="M280" s="485"/>
      <c r="N280" s="485"/>
      <c r="O280" s="485"/>
      <c r="P280" s="485"/>
      <c r="Q280" s="485"/>
      <c r="R280" s="485"/>
      <c r="S280" s="485"/>
      <c r="T280" s="485"/>
      <c r="U280" s="485"/>
      <c r="V280" s="485"/>
      <c r="W280" s="485"/>
      <c r="X280" s="485"/>
      <c r="Y280" s="485"/>
      <c r="Z280" s="485"/>
    </row>
    <row r="281">
      <c r="A281" s="485"/>
      <c r="B281" s="485"/>
      <c r="C281" s="485"/>
      <c r="D281" s="485"/>
      <c r="E281" s="485"/>
      <c r="F281" s="485"/>
      <c r="G281" s="485"/>
      <c r="H281" s="485"/>
      <c r="I281" s="485"/>
      <c r="J281" s="485"/>
      <c r="K281" s="485"/>
      <c r="L281" s="485"/>
      <c r="M281" s="485"/>
      <c r="N281" s="485"/>
      <c r="O281" s="485"/>
      <c r="P281" s="485"/>
      <c r="Q281" s="485"/>
      <c r="R281" s="485"/>
      <c r="S281" s="485"/>
      <c r="T281" s="485"/>
      <c r="U281" s="485"/>
      <c r="V281" s="485"/>
      <c r="W281" s="485"/>
      <c r="X281" s="485"/>
      <c r="Y281" s="485"/>
      <c r="Z281" s="485"/>
    </row>
    <row r="282">
      <c r="A282" s="485"/>
      <c r="B282" s="485"/>
      <c r="C282" s="485"/>
      <c r="D282" s="485"/>
      <c r="E282" s="485"/>
      <c r="F282" s="485"/>
      <c r="G282" s="485"/>
      <c r="H282" s="485"/>
      <c r="I282" s="485"/>
      <c r="J282" s="485"/>
      <c r="K282" s="485"/>
      <c r="L282" s="485"/>
      <c r="M282" s="485"/>
      <c r="N282" s="485"/>
      <c r="O282" s="485"/>
      <c r="P282" s="485"/>
      <c r="Q282" s="485"/>
      <c r="R282" s="485"/>
      <c r="S282" s="485"/>
      <c r="T282" s="485"/>
      <c r="U282" s="485"/>
      <c r="V282" s="485"/>
      <c r="W282" s="485"/>
      <c r="X282" s="485"/>
      <c r="Y282" s="485"/>
      <c r="Z282" s="485"/>
    </row>
    <row r="283">
      <c r="A283" s="485"/>
      <c r="B283" s="485"/>
      <c r="C283" s="485"/>
      <c r="D283" s="485"/>
      <c r="E283" s="485"/>
      <c r="F283" s="485"/>
      <c r="G283" s="485"/>
      <c r="H283" s="485"/>
      <c r="I283" s="485"/>
      <c r="J283" s="485"/>
      <c r="K283" s="485"/>
      <c r="L283" s="485"/>
      <c r="M283" s="485"/>
      <c r="N283" s="485"/>
      <c r="O283" s="485"/>
      <c r="P283" s="485"/>
      <c r="Q283" s="485"/>
      <c r="R283" s="485"/>
      <c r="S283" s="485"/>
      <c r="T283" s="485"/>
      <c r="U283" s="485"/>
      <c r="V283" s="485"/>
      <c r="W283" s="485"/>
      <c r="X283" s="485"/>
      <c r="Y283" s="485"/>
      <c r="Z283" s="485"/>
    </row>
    <row r="284">
      <c r="A284" s="485"/>
      <c r="B284" s="485"/>
      <c r="C284" s="485"/>
      <c r="D284" s="485"/>
      <c r="E284" s="485"/>
      <c r="F284" s="485"/>
      <c r="G284" s="485"/>
      <c r="H284" s="485"/>
      <c r="I284" s="485"/>
      <c r="J284" s="485"/>
      <c r="K284" s="485"/>
      <c r="L284" s="485"/>
      <c r="M284" s="485"/>
      <c r="N284" s="485"/>
      <c r="O284" s="485"/>
      <c r="P284" s="485"/>
      <c r="Q284" s="485"/>
      <c r="R284" s="485"/>
      <c r="S284" s="485"/>
      <c r="T284" s="485"/>
      <c r="U284" s="485"/>
      <c r="V284" s="485"/>
      <c r="W284" s="485"/>
      <c r="X284" s="485"/>
      <c r="Y284" s="485"/>
      <c r="Z284" s="485"/>
    </row>
    <row r="285">
      <c r="A285" s="485"/>
      <c r="B285" s="485"/>
      <c r="C285" s="485"/>
      <c r="D285" s="485"/>
      <c r="E285" s="485"/>
      <c r="F285" s="485"/>
      <c r="G285" s="485"/>
      <c r="H285" s="485"/>
      <c r="I285" s="485"/>
      <c r="J285" s="485"/>
      <c r="K285" s="485"/>
      <c r="L285" s="485"/>
      <c r="M285" s="485"/>
      <c r="N285" s="485"/>
      <c r="O285" s="485"/>
      <c r="P285" s="485"/>
      <c r="Q285" s="485"/>
      <c r="R285" s="485"/>
      <c r="S285" s="485"/>
      <c r="T285" s="485"/>
      <c r="U285" s="485"/>
      <c r="V285" s="485"/>
      <c r="W285" s="485"/>
      <c r="X285" s="485"/>
      <c r="Y285" s="485"/>
      <c r="Z285" s="485"/>
    </row>
    <row r="286">
      <c r="A286" s="485"/>
      <c r="B286" s="485"/>
      <c r="C286" s="485"/>
      <c r="D286" s="485"/>
      <c r="E286" s="485"/>
      <c r="F286" s="485"/>
      <c r="G286" s="485"/>
      <c r="H286" s="485"/>
      <c r="I286" s="485"/>
      <c r="J286" s="485"/>
      <c r="K286" s="485"/>
      <c r="L286" s="485"/>
      <c r="M286" s="485"/>
      <c r="N286" s="485"/>
      <c r="O286" s="485"/>
      <c r="P286" s="485"/>
      <c r="Q286" s="485"/>
      <c r="R286" s="485"/>
      <c r="S286" s="485"/>
      <c r="T286" s="485"/>
      <c r="U286" s="485"/>
      <c r="V286" s="485"/>
      <c r="W286" s="485"/>
      <c r="X286" s="485"/>
      <c r="Y286" s="485"/>
      <c r="Z286" s="485"/>
    </row>
    <row r="287">
      <c r="A287" s="485"/>
      <c r="B287" s="485"/>
      <c r="C287" s="485"/>
      <c r="D287" s="485"/>
      <c r="E287" s="485"/>
      <c r="F287" s="485"/>
      <c r="G287" s="485"/>
      <c r="H287" s="485"/>
      <c r="I287" s="485"/>
      <c r="J287" s="485"/>
      <c r="K287" s="485"/>
      <c r="L287" s="485"/>
      <c r="M287" s="485"/>
      <c r="N287" s="485"/>
      <c r="O287" s="485"/>
      <c r="P287" s="485"/>
      <c r="Q287" s="485"/>
      <c r="R287" s="485"/>
      <c r="S287" s="485"/>
      <c r="T287" s="485"/>
      <c r="U287" s="485"/>
      <c r="V287" s="485"/>
      <c r="W287" s="485"/>
      <c r="X287" s="485"/>
      <c r="Y287" s="485"/>
      <c r="Z287" s="485"/>
    </row>
    <row r="288">
      <c r="A288" s="485"/>
      <c r="B288" s="485"/>
      <c r="C288" s="485"/>
      <c r="D288" s="485"/>
      <c r="E288" s="485"/>
      <c r="F288" s="485"/>
      <c r="G288" s="485"/>
      <c r="H288" s="485"/>
      <c r="I288" s="485"/>
      <c r="J288" s="485"/>
      <c r="K288" s="485"/>
      <c r="L288" s="485"/>
      <c r="M288" s="485"/>
      <c r="N288" s="485"/>
      <c r="O288" s="485"/>
      <c r="P288" s="485"/>
      <c r="Q288" s="485"/>
      <c r="R288" s="485"/>
      <c r="S288" s="485"/>
      <c r="T288" s="485"/>
      <c r="U288" s="485"/>
      <c r="V288" s="485"/>
      <c r="W288" s="485"/>
      <c r="X288" s="485"/>
      <c r="Y288" s="485"/>
      <c r="Z288" s="485"/>
    </row>
    <row r="289">
      <c r="A289" s="485"/>
      <c r="B289" s="485"/>
      <c r="C289" s="485"/>
      <c r="D289" s="485"/>
      <c r="E289" s="485"/>
      <c r="F289" s="485"/>
      <c r="G289" s="485"/>
      <c r="H289" s="485"/>
      <c r="I289" s="485"/>
      <c r="J289" s="485"/>
      <c r="K289" s="485"/>
      <c r="L289" s="485"/>
      <c r="M289" s="485"/>
      <c r="N289" s="485"/>
      <c r="O289" s="485"/>
      <c r="P289" s="485"/>
      <c r="Q289" s="485"/>
      <c r="R289" s="485"/>
      <c r="S289" s="485"/>
      <c r="T289" s="485"/>
      <c r="U289" s="485"/>
      <c r="V289" s="485"/>
      <c r="W289" s="485"/>
      <c r="X289" s="485"/>
      <c r="Y289" s="485"/>
      <c r="Z289" s="485"/>
    </row>
    <row r="290">
      <c r="A290" s="485"/>
      <c r="B290" s="485"/>
      <c r="C290" s="485"/>
      <c r="D290" s="485"/>
      <c r="E290" s="485"/>
      <c r="F290" s="485"/>
      <c r="G290" s="485"/>
      <c r="H290" s="485"/>
      <c r="I290" s="485"/>
      <c r="J290" s="485"/>
      <c r="K290" s="485"/>
      <c r="L290" s="485"/>
      <c r="M290" s="485"/>
      <c r="N290" s="485"/>
      <c r="O290" s="485"/>
      <c r="P290" s="485"/>
      <c r="Q290" s="485"/>
      <c r="R290" s="485"/>
      <c r="S290" s="485"/>
      <c r="T290" s="485"/>
      <c r="U290" s="485"/>
      <c r="V290" s="485"/>
      <c r="W290" s="485"/>
      <c r="X290" s="485"/>
      <c r="Y290" s="485"/>
      <c r="Z290" s="485"/>
    </row>
    <row r="291">
      <c r="A291" s="485"/>
      <c r="B291" s="485"/>
      <c r="C291" s="485"/>
      <c r="D291" s="485"/>
      <c r="E291" s="485"/>
      <c r="F291" s="485"/>
      <c r="G291" s="485"/>
      <c r="H291" s="485"/>
      <c r="I291" s="485"/>
      <c r="J291" s="485"/>
      <c r="K291" s="485"/>
      <c r="L291" s="485"/>
      <c r="M291" s="485"/>
      <c r="N291" s="485"/>
      <c r="O291" s="485"/>
      <c r="P291" s="485"/>
      <c r="Q291" s="485"/>
      <c r="R291" s="485"/>
      <c r="S291" s="485"/>
      <c r="T291" s="485"/>
      <c r="U291" s="485"/>
      <c r="V291" s="485"/>
      <c r="W291" s="485"/>
      <c r="X291" s="485"/>
      <c r="Y291" s="485"/>
      <c r="Z291" s="485"/>
    </row>
    <row r="292">
      <c r="A292" s="485"/>
      <c r="B292" s="485"/>
      <c r="C292" s="485"/>
      <c r="D292" s="485"/>
      <c r="E292" s="485"/>
      <c r="F292" s="485"/>
      <c r="G292" s="485"/>
      <c r="H292" s="485"/>
      <c r="I292" s="485"/>
      <c r="J292" s="485"/>
      <c r="K292" s="485"/>
      <c r="L292" s="485"/>
      <c r="M292" s="485"/>
      <c r="N292" s="485"/>
      <c r="O292" s="485"/>
      <c r="P292" s="485"/>
      <c r="Q292" s="485"/>
      <c r="R292" s="485"/>
      <c r="S292" s="485"/>
      <c r="T292" s="485"/>
      <c r="U292" s="485"/>
      <c r="V292" s="485"/>
      <c r="W292" s="485"/>
      <c r="X292" s="485"/>
      <c r="Y292" s="485"/>
      <c r="Z292" s="485"/>
    </row>
    <row r="293">
      <c r="A293" s="485"/>
      <c r="B293" s="485"/>
      <c r="C293" s="485"/>
      <c r="D293" s="485"/>
      <c r="E293" s="485"/>
      <c r="F293" s="485"/>
      <c r="G293" s="485"/>
      <c r="H293" s="485"/>
      <c r="I293" s="485"/>
      <c r="J293" s="485"/>
      <c r="K293" s="485"/>
      <c r="L293" s="485"/>
      <c r="M293" s="485"/>
      <c r="N293" s="485"/>
      <c r="O293" s="485"/>
      <c r="P293" s="485"/>
      <c r="Q293" s="485"/>
      <c r="R293" s="485"/>
      <c r="S293" s="485"/>
      <c r="T293" s="485"/>
      <c r="U293" s="485"/>
      <c r="V293" s="485"/>
      <c r="W293" s="485"/>
      <c r="X293" s="485"/>
      <c r="Y293" s="485"/>
      <c r="Z293" s="485"/>
    </row>
    <row r="294">
      <c r="A294" s="485"/>
      <c r="B294" s="485"/>
      <c r="C294" s="485"/>
      <c r="D294" s="485"/>
      <c r="E294" s="485"/>
      <c r="F294" s="485"/>
      <c r="G294" s="485"/>
      <c r="H294" s="485"/>
      <c r="I294" s="485"/>
      <c r="J294" s="485"/>
      <c r="K294" s="485"/>
      <c r="L294" s="485"/>
      <c r="M294" s="485"/>
      <c r="N294" s="485"/>
      <c r="O294" s="485"/>
      <c r="P294" s="485"/>
      <c r="Q294" s="485"/>
      <c r="R294" s="485"/>
      <c r="S294" s="485"/>
      <c r="T294" s="485"/>
      <c r="U294" s="485"/>
      <c r="V294" s="485"/>
      <c r="W294" s="485"/>
      <c r="X294" s="485"/>
      <c r="Y294" s="485"/>
      <c r="Z294" s="485"/>
    </row>
    <row r="295">
      <c r="A295" s="485"/>
      <c r="B295" s="485"/>
      <c r="C295" s="485"/>
      <c r="D295" s="485"/>
      <c r="E295" s="485"/>
      <c r="F295" s="485"/>
      <c r="G295" s="485"/>
      <c r="H295" s="485"/>
      <c r="I295" s="485"/>
      <c r="J295" s="485"/>
      <c r="K295" s="485"/>
      <c r="L295" s="485"/>
      <c r="M295" s="485"/>
      <c r="N295" s="485"/>
      <c r="O295" s="485"/>
      <c r="P295" s="485"/>
      <c r="Q295" s="485"/>
      <c r="R295" s="485"/>
      <c r="S295" s="485"/>
      <c r="T295" s="485"/>
      <c r="U295" s="485"/>
      <c r="V295" s="485"/>
      <c r="W295" s="485"/>
      <c r="X295" s="485"/>
      <c r="Y295" s="485"/>
      <c r="Z295" s="485"/>
    </row>
    <row r="296">
      <c r="A296" s="485"/>
      <c r="B296" s="485"/>
      <c r="C296" s="485"/>
      <c r="D296" s="485"/>
      <c r="E296" s="485"/>
      <c r="F296" s="485"/>
      <c r="G296" s="485"/>
      <c r="H296" s="485"/>
      <c r="I296" s="485"/>
      <c r="J296" s="485"/>
      <c r="K296" s="485"/>
      <c r="L296" s="485"/>
      <c r="M296" s="485"/>
      <c r="N296" s="485"/>
      <c r="O296" s="485"/>
      <c r="P296" s="485"/>
      <c r="Q296" s="485"/>
      <c r="R296" s="485"/>
      <c r="S296" s="485"/>
      <c r="T296" s="485"/>
      <c r="U296" s="485"/>
      <c r="V296" s="485"/>
      <c r="W296" s="485"/>
      <c r="X296" s="485"/>
      <c r="Y296" s="485"/>
      <c r="Z296" s="485"/>
    </row>
    <row r="297">
      <c r="A297" s="485"/>
      <c r="B297" s="485"/>
      <c r="C297" s="485"/>
      <c r="D297" s="485"/>
      <c r="E297" s="485"/>
      <c r="F297" s="485"/>
      <c r="G297" s="485"/>
      <c r="H297" s="485"/>
      <c r="I297" s="485"/>
      <c r="J297" s="485"/>
      <c r="K297" s="485"/>
      <c r="L297" s="485"/>
      <c r="M297" s="485"/>
      <c r="N297" s="485"/>
      <c r="O297" s="485"/>
      <c r="P297" s="485"/>
      <c r="Q297" s="485"/>
      <c r="R297" s="485"/>
      <c r="S297" s="485"/>
      <c r="T297" s="485"/>
      <c r="U297" s="485"/>
      <c r="V297" s="485"/>
      <c r="W297" s="485"/>
      <c r="X297" s="485"/>
      <c r="Y297" s="485"/>
      <c r="Z297" s="485"/>
    </row>
    <row r="298">
      <c r="A298" s="485"/>
      <c r="B298" s="485"/>
      <c r="C298" s="485"/>
      <c r="D298" s="485"/>
      <c r="E298" s="485"/>
      <c r="F298" s="485"/>
      <c r="G298" s="485"/>
      <c r="H298" s="485"/>
      <c r="I298" s="485"/>
      <c r="J298" s="485"/>
      <c r="K298" s="485"/>
      <c r="L298" s="485"/>
      <c r="M298" s="485"/>
      <c r="N298" s="485"/>
      <c r="O298" s="485"/>
      <c r="P298" s="485"/>
      <c r="Q298" s="485"/>
      <c r="R298" s="485"/>
      <c r="S298" s="485"/>
      <c r="T298" s="485"/>
      <c r="U298" s="485"/>
      <c r="V298" s="485"/>
      <c r="W298" s="485"/>
      <c r="X298" s="485"/>
      <c r="Y298" s="485"/>
      <c r="Z298" s="485"/>
    </row>
    <row r="299">
      <c r="A299" s="485"/>
      <c r="B299" s="485"/>
      <c r="C299" s="485"/>
      <c r="D299" s="485"/>
      <c r="E299" s="485"/>
      <c r="F299" s="485"/>
      <c r="G299" s="485"/>
      <c r="H299" s="485"/>
      <c r="I299" s="485"/>
      <c r="J299" s="485"/>
      <c r="K299" s="485"/>
      <c r="L299" s="485"/>
      <c r="M299" s="485"/>
      <c r="N299" s="485"/>
      <c r="O299" s="485"/>
      <c r="P299" s="485"/>
      <c r="Q299" s="485"/>
      <c r="R299" s="485"/>
      <c r="S299" s="485"/>
      <c r="T299" s="485"/>
      <c r="U299" s="485"/>
      <c r="V299" s="485"/>
      <c r="W299" s="485"/>
      <c r="X299" s="485"/>
      <c r="Y299" s="485"/>
      <c r="Z299" s="485"/>
    </row>
    <row r="300">
      <c r="A300" s="485"/>
      <c r="B300" s="485"/>
      <c r="C300" s="485"/>
      <c r="D300" s="485"/>
      <c r="E300" s="485"/>
      <c r="F300" s="485"/>
      <c r="G300" s="485"/>
      <c r="H300" s="485"/>
      <c r="I300" s="485"/>
      <c r="J300" s="485"/>
      <c r="K300" s="485"/>
      <c r="L300" s="485"/>
      <c r="M300" s="485"/>
      <c r="N300" s="485"/>
      <c r="O300" s="485"/>
      <c r="P300" s="485"/>
      <c r="Q300" s="485"/>
      <c r="R300" s="485"/>
      <c r="S300" s="485"/>
      <c r="T300" s="485"/>
      <c r="U300" s="485"/>
      <c r="V300" s="485"/>
      <c r="W300" s="485"/>
      <c r="X300" s="485"/>
      <c r="Y300" s="485"/>
      <c r="Z300" s="485"/>
    </row>
    <row r="301">
      <c r="A301" s="485"/>
      <c r="B301" s="485"/>
      <c r="C301" s="485"/>
      <c r="D301" s="485"/>
      <c r="E301" s="485"/>
      <c r="F301" s="485"/>
      <c r="G301" s="485"/>
      <c r="H301" s="485"/>
      <c r="I301" s="485"/>
      <c r="J301" s="485"/>
      <c r="K301" s="485"/>
      <c r="L301" s="485"/>
      <c r="M301" s="485"/>
      <c r="N301" s="485"/>
      <c r="O301" s="485"/>
      <c r="P301" s="485"/>
      <c r="Q301" s="485"/>
      <c r="R301" s="485"/>
      <c r="S301" s="485"/>
      <c r="T301" s="485"/>
      <c r="U301" s="485"/>
      <c r="V301" s="485"/>
      <c r="W301" s="485"/>
      <c r="X301" s="485"/>
      <c r="Y301" s="485"/>
      <c r="Z301" s="485"/>
    </row>
    <row r="302">
      <c r="A302" s="485"/>
      <c r="B302" s="485"/>
      <c r="C302" s="485"/>
      <c r="D302" s="485"/>
      <c r="E302" s="485"/>
      <c r="F302" s="485"/>
      <c r="G302" s="485"/>
      <c r="H302" s="485"/>
      <c r="I302" s="485"/>
      <c r="J302" s="485"/>
      <c r="K302" s="485"/>
      <c r="L302" s="485"/>
      <c r="M302" s="485"/>
      <c r="N302" s="485"/>
      <c r="O302" s="485"/>
      <c r="P302" s="485"/>
      <c r="Q302" s="485"/>
      <c r="R302" s="485"/>
      <c r="S302" s="485"/>
      <c r="T302" s="485"/>
      <c r="U302" s="485"/>
      <c r="V302" s="485"/>
      <c r="W302" s="485"/>
      <c r="X302" s="485"/>
      <c r="Y302" s="485"/>
      <c r="Z302" s="485"/>
    </row>
    <row r="303">
      <c r="A303" s="485"/>
      <c r="B303" s="485"/>
      <c r="C303" s="485"/>
      <c r="D303" s="485"/>
      <c r="E303" s="485"/>
      <c r="F303" s="485"/>
      <c r="G303" s="485"/>
      <c r="H303" s="485"/>
      <c r="I303" s="485"/>
      <c r="J303" s="485"/>
      <c r="K303" s="485"/>
      <c r="L303" s="485"/>
      <c r="M303" s="485"/>
      <c r="N303" s="485"/>
      <c r="O303" s="485"/>
      <c r="P303" s="485"/>
      <c r="Q303" s="485"/>
      <c r="R303" s="485"/>
      <c r="S303" s="485"/>
      <c r="T303" s="485"/>
      <c r="U303" s="485"/>
      <c r="V303" s="485"/>
      <c r="W303" s="485"/>
      <c r="X303" s="485"/>
      <c r="Y303" s="485"/>
      <c r="Z303" s="485"/>
    </row>
    <row r="304">
      <c r="A304" s="485"/>
      <c r="B304" s="485"/>
      <c r="C304" s="485"/>
      <c r="D304" s="485"/>
      <c r="E304" s="485"/>
      <c r="F304" s="485"/>
      <c r="G304" s="485"/>
      <c r="H304" s="485"/>
      <c r="I304" s="485"/>
      <c r="J304" s="485"/>
      <c r="K304" s="485"/>
      <c r="L304" s="485"/>
      <c r="M304" s="485"/>
      <c r="N304" s="485"/>
      <c r="O304" s="485"/>
      <c r="P304" s="485"/>
      <c r="Q304" s="485"/>
      <c r="R304" s="485"/>
      <c r="S304" s="485"/>
      <c r="T304" s="485"/>
      <c r="U304" s="485"/>
      <c r="V304" s="485"/>
      <c r="W304" s="485"/>
      <c r="X304" s="485"/>
      <c r="Y304" s="485"/>
      <c r="Z304" s="485"/>
    </row>
    <row r="305">
      <c r="A305" s="485"/>
      <c r="B305" s="485"/>
      <c r="C305" s="485"/>
      <c r="D305" s="485"/>
      <c r="E305" s="485"/>
      <c r="F305" s="485"/>
      <c r="G305" s="485"/>
      <c r="H305" s="485"/>
      <c r="I305" s="485"/>
      <c r="J305" s="485"/>
      <c r="K305" s="485"/>
      <c r="L305" s="485"/>
      <c r="M305" s="485"/>
      <c r="N305" s="485"/>
      <c r="O305" s="485"/>
      <c r="P305" s="485"/>
      <c r="Q305" s="485"/>
      <c r="R305" s="485"/>
      <c r="S305" s="485"/>
      <c r="T305" s="485"/>
      <c r="U305" s="485"/>
      <c r="V305" s="485"/>
      <c r="W305" s="485"/>
      <c r="X305" s="485"/>
      <c r="Y305" s="485"/>
      <c r="Z305" s="485"/>
    </row>
    <row r="306">
      <c r="A306" s="485"/>
      <c r="B306" s="485"/>
      <c r="C306" s="485"/>
      <c r="D306" s="485"/>
      <c r="E306" s="485"/>
      <c r="F306" s="485"/>
      <c r="G306" s="485"/>
      <c r="H306" s="485"/>
      <c r="I306" s="485"/>
      <c r="J306" s="485"/>
      <c r="K306" s="485"/>
      <c r="L306" s="485"/>
      <c r="M306" s="485"/>
      <c r="N306" s="485"/>
      <c r="O306" s="485"/>
      <c r="P306" s="485"/>
      <c r="Q306" s="485"/>
      <c r="R306" s="485"/>
      <c r="S306" s="485"/>
      <c r="T306" s="485"/>
      <c r="U306" s="485"/>
      <c r="V306" s="485"/>
      <c r="W306" s="485"/>
      <c r="X306" s="485"/>
      <c r="Y306" s="485"/>
      <c r="Z306" s="485"/>
    </row>
    <row r="307">
      <c r="A307" s="485"/>
      <c r="B307" s="485"/>
      <c r="C307" s="485"/>
      <c r="D307" s="485"/>
      <c r="E307" s="485"/>
      <c r="F307" s="485"/>
      <c r="G307" s="485"/>
      <c r="H307" s="485"/>
      <c r="I307" s="485"/>
      <c r="J307" s="485"/>
      <c r="K307" s="485"/>
      <c r="L307" s="485"/>
      <c r="M307" s="485"/>
      <c r="N307" s="485"/>
      <c r="O307" s="485"/>
      <c r="P307" s="485"/>
      <c r="Q307" s="485"/>
      <c r="R307" s="485"/>
      <c r="S307" s="485"/>
      <c r="T307" s="485"/>
      <c r="U307" s="485"/>
      <c r="V307" s="485"/>
      <c r="W307" s="485"/>
      <c r="X307" s="485"/>
      <c r="Y307" s="485"/>
      <c r="Z307" s="485"/>
    </row>
    <row r="308">
      <c r="A308" s="485"/>
      <c r="B308" s="485"/>
      <c r="C308" s="485"/>
      <c r="D308" s="485"/>
      <c r="E308" s="485"/>
      <c r="F308" s="485"/>
      <c r="G308" s="485"/>
      <c r="H308" s="485"/>
      <c r="I308" s="485"/>
      <c r="J308" s="485"/>
      <c r="K308" s="485"/>
      <c r="L308" s="485"/>
      <c r="M308" s="485"/>
      <c r="N308" s="485"/>
      <c r="O308" s="485"/>
      <c r="P308" s="485"/>
      <c r="Q308" s="485"/>
      <c r="R308" s="485"/>
      <c r="S308" s="485"/>
      <c r="T308" s="485"/>
      <c r="U308" s="485"/>
      <c r="V308" s="485"/>
      <c r="W308" s="485"/>
      <c r="X308" s="485"/>
      <c r="Y308" s="485"/>
      <c r="Z308" s="485"/>
    </row>
    <row r="309">
      <c r="A309" s="485"/>
      <c r="B309" s="485"/>
      <c r="C309" s="485"/>
      <c r="D309" s="485"/>
      <c r="E309" s="485"/>
      <c r="F309" s="485"/>
      <c r="G309" s="485"/>
      <c r="H309" s="485"/>
      <c r="I309" s="485"/>
      <c r="J309" s="485"/>
      <c r="K309" s="485"/>
      <c r="L309" s="485"/>
      <c r="M309" s="485"/>
      <c r="N309" s="485"/>
      <c r="O309" s="485"/>
      <c r="P309" s="485"/>
      <c r="Q309" s="485"/>
      <c r="R309" s="485"/>
      <c r="S309" s="485"/>
      <c r="T309" s="485"/>
      <c r="U309" s="485"/>
      <c r="V309" s="485"/>
      <c r="W309" s="485"/>
      <c r="X309" s="485"/>
      <c r="Y309" s="485"/>
      <c r="Z309" s="485"/>
    </row>
    <row r="310">
      <c r="A310" s="485"/>
      <c r="B310" s="485"/>
      <c r="C310" s="485"/>
      <c r="D310" s="485"/>
      <c r="E310" s="485"/>
      <c r="F310" s="485"/>
      <c r="G310" s="485"/>
      <c r="H310" s="485"/>
      <c r="I310" s="485"/>
      <c r="J310" s="485"/>
      <c r="K310" s="485"/>
      <c r="L310" s="485"/>
      <c r="M310" s="485"/>
      <c r="N310" s="485"/>
      <c r="O310" s="485"/>
      <c r="P310" s="485"/>
      <c r="Q310" s="485"/>
      <c r="R310" s="485"/>
      <c r="S310" s="485"/>
      <c r="T310" s="485"/>
      <c r="U310" s="485"/>
      <c r="V310" s="485"/>
      <c r="W310" s="485"/>
      <c r="X310" s="485"/>
      <c r="Y310" s="485"/>
      <c r="Z310" s="485"/>
    </row>
    <row r="311">
      <c r="A311" s="485"/>
      <c r="B311" s="485"/>
      <c r="C311" s="485"/>
      <c r="D311" s="485"/>
      <c r="E311" s="485"/>
      <c r="F311" s="485"/>
      <c r="G311" s="485"/>
      <c r="H311" s="485"/>
      <c r="I311" s="485"/>
      <c r="J311" s="485"/>
      <c r="K311" s="485"/>
      <c r="L311" s="485"/>
      <c r="M311" s="485"/>
      <c r="N311" s="485"/>
      <c r="O311" s="485"/>
      <c r="P311" s="485"/>
      <c r="Q311" s="485"/>
      <c r="R311" s="485"/>
      <c r="S311" s="485"/>
      <c r="T311" s="485"/>
      <c r="U311" s="485"/>
      <c r="V311" s="485"/>
      <c r="W311" s="485"/>
      <c r="X311" s="485"/>
      <c r="Y311" s="485"/>
      <c r="Z311" s="485"/>
    </row>
    <row r="312">
      <c r="A312" s="485"/>
      <c r="B312" s="485"/>
      <c r="C312" s="485"/>
      <c r="D312" s="485"/>
      <c r="E312" s="485"/>
      <c r="F312" s="485"/>
      <c r="G312" s="485"/>
      <c r="H312" s="485"/>
      <c r="I312" s="485"/>
      <c r="J312" s="485"/>
      <c r="K312" s="485"/>
      <c r="L312" s="485"/>
      <c r="M312" s="485"/>
      <c r="N312" s="485"/>
      <c r="O312" s="485"/>
      <c r="P312" s="485"/>
      <c r="Q312" s="485"/>
      <c r="R312" s="485"/>
      <c r="S312" s="485"/>
      <c r="T312" s="485"/>
      <c r="U312" s="485"/>
      <c r="V312" s="485"/>
      <c r="W312" s="485"/>
      <c r="X312" s="485"/>
      <c r="Y312" s="485"/>
      <c r="Z312" s="485"/>
    </row>
    <row r="313">
      <c r="A313" s="485"/>
      <c r="B313" s="485"/>
      <c r="C313" s="485"/>
      <c r="D313" s="485"/>
      <c r="E313" s="485"/>
      <c r="F313" s="485"/>
      <c r="G313" s="485"/>
      <c r="H313" s="485"/>
      <c r="I313" s="485"/>
      <c r="J313" s="485"/>
      <c r="K313" s="485"/>
      <c r="L313" s="485"/>
      <c r="M313" s="485"/>
      <c r="N313" s="485"/>
      <c r="O313" s="485"/>
      <c r="P313" s="485"/>
      <c r="Q313" s="485"/>
      <c r="R313" s="485"/>
      <c r="S313" s="485"/>
      <c r="T313" s="485"/>
      <c r="U313" s="485"/>
      <c r="V313" s="485"/>
      <c r="W313" s="485"/>
      <c r="X313" s="485"/>
      <c r="Y313" s="485"/>
      <c r="Z313" s="485"/>
    </row>
    <row r="314">
      <c r="A314" s="485"/>
      <c r="B314" s="485"/>
      <c r="C314" s="485"/>
      <c r="D314" s="485"/>
      <c r="E314" s="485"/>
      <c r="F314" s="485"/>
      <c r="G314" s="485"/>
      <c r="H314" s="485"/>
      <c r="I314" s="485"/>
      <c r="J314" s="485"/>
      <c r="K314" s="485"/>
      <c r="L314" s="485"/>
      <c r="M314" s="485"/>
      <c r="N314" s="485"/>
      <c r="O314" s="485"/>
      <c r="P314" s="485"/>
      <c r="Q314" s="485"/>
      <c r="R314" s="485"/>
      <c r="S314" s="485"/>
      <c r="T314" s="485"/>
      <c r="U314" s="485"/>
      <c r="V314" s="485"/>
      <c r="W314" s="485"/>
      <c r="X314" s="485"/>
      <c r="Y314" s="485"/>
      <c r="Z314" s="485"/>
    </row>
    <row r="315">
      <c r="A315" s="485"/>
      <c r="B315" s="485"/>
      <c r="C315" s="485"/>
      <c r="D315" s="485"/>
      <c r="E315" s="485"/>
      <c r="F315" s="485"/>
      <c r="G315" s="485"/>
      <c r="H315" s="485"/>
      <c r="I315" s="485"/>
      <c r="J315" s="485"/>
      <c r="K315" s="485"/>
      <c r="L315" s="485"/>
      <c r="M315" s="485"/>
      <c r="N315" s="485"/>
      <c r="O315" s="485"/>
      <c r="P315" s="485"/>
      <c r="Q315" s="485"/>
      <c r="R315" s="485"/>
      <c r="S315" s="485"/>
      <c r="T315" s="485"/>
      <c r="U315" s="485"/>
      <c r="V315" s="485"/>
      <c r="W315" s="485"/>
      <c r="X315" s="485"/>
      <c r="Y315" s="485"/>
      <c r="Z315" s="485"/>
    </row>
    <row r="316">
      <c r="A316" s="485"/>
      <c r="B316" s="485"/>
      <c r="C316" s="485"/>
      <c r="D316" s="485"/>
      <c r="E316" s="485"/>
      <c r="F316" s="485"/>
      <c r="G316" s="485"/>
      <c r="H316" s="485"/>
      <c r="I316" s="485"/>
      <c r="J316" s="485"/>
      <c r="K316" s="485"/>
      <c r="L316" s="485"/>
      <c r="M316" s="485"/>
      <c r="N316" s="485"/>
      <c r="O316" s="485"/>
      <c r="P316" s="485"/>
      <c r="Q316" s="485"/>
      <c r="R316" s="485"/>
      <c r="S316" s="485"/>
      <c r="T316" s="485"/>
      <c r="U316" s="485"/>
      <c r="V316" s="485"/>
      <c r="W316" s="485"/>
      <c r="X316" s="485"/>
      <c r="Y316" s="485"/>
      <c r="Z316" s="485"/>
    </row>
    <row r="317">
      <c r="A317" s="485"/>
      <c r="B317" s="485"/>
      <c r="C317" s="485"/>
      <c r="D317" s="485"/>
      <c r="E317" s="485"/>
      <c r="F317" s="485"/>
      <c r="G317" s="485"/>
      <c r="H317" s="485"/>
      <c r="I317" s="485"/>
      <c r="J317" s="485"/>
      <c r="K317" s="485"/>
      <c r="L317" s="485"/>
      <c r="M317" s="485"/>
      <c r="N317" s="485"/>
      <c r="O317" s="485"/>
      <c r="P317" s="485"/>
      <c r="Q317" s="485"/>
      <c r="R317" s="485"/>
      <c r="S317" s="485"/>
      <c r="T317" s="485"/>
      <c r="U317" s="485"/>
      <c r="V317" s="485"/>
      <c r="W317" s="485"/>
      <c r="X317" s="485"/>
      <c r="Y317" s="485"/>
      <c r="Z317" s="485"/>
    </row>
    <row r="318">
      <c r="A318" s="485"/>
      <c r="B318" s="485"/>
      <c r="C318" s="485"/>
      <c r="D318" s="485"/>
      <c r="E318" s="485"/>
      <c r="F318" s="485"/>
      <c r="G318" s="485"/>
      <c r="H318" s="485"/>
      <c r="I318" s="485"/>
      <c r="J318" s="485"/>
      <c r="K318" s="485"/>
      <c r="L318" s="485"/>
      <c r="M318" s="485"/>
      <c r="N318" s="485"/>
      <c r="O318" s="485"/>
      <c r="P318" s="485"/>
      <c r="Q318" s="485"/>
      <c r="R318" s="485"/>
      <c r="S318" s="485"/>
      <c r="T318" s="485"/>
      <c r="U318" s="485"/>
      <c r="V318" s="485"/>
      <c r="W318" s="485"/>
      <c r="X318" s="485"/>
      <c r="Y318" s="485"/>
      <c r="Z318" s="485"/>
    </row>
    <row r="319">
      <c r="A319" s="485"/>
      <c r="B319" s="485"/>
      <c r="C319" s="485"/>
      <c r="D319" s="485"/>
      <c r="E319" s="485"/>
      <c r="F319" s="485"/>
      <c r="G319" s="485"/>
      <c r="H319" s="485"/>
      <c r="I319" s="485"/>
      <c r="J319" s="485"/>
      <c r="K319" s="485"/>
      <c r="L319" s="485"/>
      <c r="M319" s="485"/>
      <c r="N319" s="485"/>
      <c r="O319" s="485"/>
      <c r="P319" s="485"/>
      <c r="Q319" s="485"/>
      <c r="R319" s="485"/>
      <c r="S319" s="485"/>
      <c r="T319" s="485"/>
      <c r="U319" s="485"/>
      <c r="V319" s="485"/>
      <c r="W319" s="485"/>
      <c r="X319" s="485"/>
      <c r="Y319" s="485"/>
      <c r="Z319" s="485"/>
    </row>
    <row r="320">
      <c r="A320" s="485"/>
      <c r="B320" s="485"/>
      <c r="C320" s="485"/>
      <c r="D320" s="485"/>
      <c r="E320" s="485"/>
      <c r="F320" s="485"/>
      <c r="G320" s="485"/>
      <c r="H320" s="485"/>
      <c r="I320" s="485"/>
      <c r="J320" s="485"/>
      <c r="K320" s="485"/>
      <c r="L320" s="485"/>
      <c r="M320" s="485"/>
      <c r="N320" s="485"/>
      <c r="O320" s="485"/>
      <c r="P320" s="485"/>
      <c r="Q320" s="485"/>
      <c r="R320" s="485"/>
      <c r="S320" s="485"/>
      <c r="T320" s="485"/>
      <c r="U320" s="485"/>
      <c r="V320" s="485"/>
      <c r="W320" s="485"/>
      <c r="X320" s="485"/>
      <c r="Y320" s="485"/>
      <c r="Z320" s="485"/>
    </row>
    <row r="321">
      <c r="A321" s="485"/>
      <c r="B321" s="485"/>
      <c r="C321" s="485"/>
      <c r="D321" s="485"/>
      <c r="E321" s="485"/>
      <c r="F321" s="485"/>
      <c r="G321" s="485"/>
      <c r="H321" s="485"/>
      <c r="I321" s="485"/>
      <c r="J321" s="485"/>
      <c r="K321" s="485"/>
      <c r="L321" s="485"/>
      <c r="M321" s="485"/>
      <c r="N321" s="485"/>
      <c r="O321" s="485"/>
      <c r="P321" s="485"/>
      <c r="Q321" s="485"/>
      <c r="R321" s="485"/>
      <c r="S321" s="485"/>
      <c r="T321" s="485"/>
      <c r="U321" s="485"/>
      <c r="V321" s="485"/>
      <c r="W321" s="485"/>
      <c r="X321" s="485"/>
      <c r="Y321" s="485"/>
      <c r="Z321" s="485"/>
    </row>
    <row r="322">
      <c r="A322" s="485"/>
      <c r="B322" s="485"/>
      <c r="C322" s="485"/>
      <c r="D322" s="485"/>
      <c r="E322" s="485"/>
      <c r="F322" s="485"/>
      <c r="G322" s="485"/>
      <c r="H322" s="485"/>
      <c r="I322" s="485"/>
      <c r="J322" s="485"/>
      <c r="K322" s="485"/>
      <c r="L322" s="485"/>
      <c r="M322" s="485"/>
      <c r="N322" s="485"/>
      <c r="O322" s="485"/>
      <c r="P322" s="485"/>
      <c r="Q322" s="485"/>
      <c r="R322" s="485"/>
      <c r="S322" s="485"/>
      <c r="T322" s="485"/>
      <c r="U322" s="485"/>
      <c r="V322" s="485"/>
      <c r="W322" s="485"/>
      <c r="X322" s="485"/>
      <c r="Y322" s="485"/>
      <c r="Z322" s="485"/>
    </row>
    <row r="323">
      <c r="A323" s="485"/>
      <c r="B323" s="485"/>
      <c r="C323" s="485"/>
      <c r="D323" s="485"/>
      <c r="E323" s="485"/>
      <c r="F323" s="485"/>
      <c r="G323" s="485"/>
      <c r="H323" s="485"/>
      <c r="I323" s="485"/>
      <c r="J323" s="485"/>
      <c r="K323" s="485"/>
      <c r="L323" s="485"/>
      <c r="M323" s="485"/>
      <c r="N323" s="485"/>
      <c r="O323" s="485"/>
      <c r="P323" s="485"/>
      <c r="Q323" s="485"/>
      <c r="R323" s="485"/>
      <c r="S323" s="485"/>
      <c r="T323" s="485"/>
      <c r="U323" s="485"/>
      <c r="V323" s="485"/>
      <c r="W323" s="485"/>
      <c r="X323" s="485"/>
      <c r="Y323" s="485"/>
      <c r="Z323" s="485"/>
    </row>
    <row r="324">
      <c r="A324" s="485"/>
      <c r="B324" s="485"/>
      <c r="C324" s="485"/>
      <c r="D324" s="485"/>
      <c r="E324" s="485"/>
      <c r="F324" s="485"/>
      <c r="G324" s="485"/>
      <c r="H324" s="485"/>
      <c r="I324" s="485"/>
      <c r="J324" s="485"/>
      <c r="K324" s="485"/>
      <c r="L324" s="485"/>
      <c r="M324" s="485"/>
      <c r="N324" s="485"/>
      <c r="O324" s="485"/>
      <c r="P324" s="485"/>
      <c r="Q324" s="485"/>
      <c r="R324" s="485"/>
      <c r="S324" s="485"/>
      <c r="T324" s="485"/>
      <c r="U324" s="485"/>
      <c r="V324" s="485"/>
      <c r="W324" s="485"/>
      <c r="X324" s="485"/>
      <c r="Y324" s="485"/>
      <c r="Z324" s="485"/>
    </row>
    <row r="325">
      <c r="A325" s="485"/>
      <c r="B325" s="485"/>
      <c r="C325" s="485"/>
      <c r="D325" s="485"/>
      <c r="E325" s="485"/>
      <c r="F325" s="485"/>
      <c r="G325" s="485"/>
      <c r="H325" s="485"/>
      <c r="I325" s="485"/>
      <c r="J325" s="485"/>
      <c r="K325" s="485"/>
      <c r="L325" s="485"/>
      <c r="M325" s="485"/>
      <c r="N325" s="485"/>
      <c r="O325" s="485"/>
      <c r="P325" s="485"/>
      <c r="Q325" s="485"/>
      <c r="R325" s="485"/>
      <c r="S325" s="485"/>
      <c r="T325" s="485"/>
      <c r="U325" s="485"/>
      <c r="V325" s="485"/>
      <c r="W325" s="485"/>
      <c r="X325" s="485"/>
      <c r="Y325" s="485"/>
      <c r="Z325" s="485"/>
    </row>
    <row r="326">
      <c r="A326" s="485"/>
      <c r="B326" s="485"/>
      <c r="C326" s="485"/>
      <c r="D326" s="485"/>
      <c r="E326" s="485"/>
      <c r="F326" s="485"/>
      <c r="G326" s="485"/>
      <c r="H326" s="485"/>
      <c r="I326" s="485"/>
      <c r="J326" s="485"/>
      <c r="K326" s="485"/>
      <c r="L326" s="485"/>
      <c r="M326" s="485"/>
      <c r="N326" s="485"/>
      <c r="O326" s="485"/>
      <c r="P326" s="485"/>
      <c r="Q326" s="485"/>
      <c r="R326" s="485"/>
      <c r="S326" s="485"/>
      <c r="T326" s="485"/>
      <c r="U326" s="485"/>
      <c r="V326" s="485"/>
      <c r="W326" s="485"/>
      <c r="X326" s="485"/>
      <c r="Y326" s="485"/>
      <c r="Z326" s="485"/>
    </row>
    <row r="327">
      <c r="A327" s="485"/>
      <c r="B327" s="485"/>
      <c r="C327" s="485"/>
      <c r="D327" s="485"/>
      <c r="E327" s="485"/>
      <c r="F327" s="485"/>
      <c r="G327" s="485"/>
      <c r="H327" s="485"/>
      <c r="I327" s="485"/>
      <c r="J327" s="485"/>
      <c r="K327" s="485"/>
      <c r="L327" s="485"/>
      <c r="M327" s="485"/>
      <c r="N327" s="485"/>
      <c r="O327" s="485"/>
      <c r="P327" s="485"/>
      <c r="Q327" s="485"/>
      <c r="R327" s="485"/>
      <c r="S327" s="485"/>
      <c r="T327" s="485"/>
      <c r="U327" s="485"/>
      <c r="V327" s="485"/>
      <c r="W327" s="485"/>
      <c r="X327" s="485"/>
      <c r="Y327" s="485"/>
      <c r="Z327" s="485"/>
    </row>
    <row r="328">
      <c r="A328" s="485"/>
      <c r="B328" s="485"/>
      <c r="C328" s="485"/>
      <c r="D328" s="485"/>
      <c r="E328" s="485"/>
      <c r="F328" s="485"/>
      <c r="G328" s="485"/>
      <c r="H328" s="485"/>
      <c r="I328" s="485"/>
      <c r="J328" s="485"/>
      <c r="K328" s="485"/>
      <c r="L328" s="485"/>
      <c r="M328" s="485"/>
      <c r="N328" s="485"/>
      <c r="O328" s="485"/>
      <c r="P328" s="485"/>
      <c r="Q328" s="485"/>
      <c r="R328" s="485"/>
      <c r="S328" s="485"/>
      <c r="T328" s="485"/>
      <c r="U328" s="485"/>
      <c r="V328" s="485"/>
      <c r="W328" s="485"/>
      <c r="X328" s="485"/>
      <c r="Y328" s="485"/>
      <c r="Z328" s="485"/>
    </row>
    <row r="329">
      <c r="A329" s="485"/>
      <c r="B329" s="485"/>
      <c r="C329" s="485"/>
      <c r="D329" s="485"/>
      <c r="E329" s="485"/>
      <c r="F329" s="485"/>
      <c r="G329" s="485"/>
      <c r="H329" s="485"/>
      <c r="I329" s="485"/>
      <c r="J329" s="485"/>
      <c r="K329" s="485"/>
      <c r="L329" s="485"/>
      <c r="M329" s="485"/>
      <c r="N329" s="485"/>
      <c r="O329" s="485"/>
      <c r="P329" s="485"/>
      <c r="Q329" s="485"/>
      <c r="R329" s="485"/>
      <c r="S329" s="485"/>
      <c r="T329" s="485"/>
      <c r="U329" s="485"/>
      <c r="V329" s="485"/>
      <c r="W329" s="485"/>
      <c r="X329" s="485"/>
      <c r="Y329" s="485"/>
      <c r="Z329" s="485"/>
    </row>
    <row r="330">
      <c r="A330" s="485"/>
      <c r="B330" s="485"/>
      <c r="C330" s="485"/>
      <c r="D330" s="485"/>
      <c r="E330" s="485"/>
      <c r="F330" s="485"/>
      <c r="G330" s="485"/>
      <c r="H330" s="485"/>
      <c r="I330" s="485"/>
      <c r="J330" s="485"/>
      <c r="K330" s="485"/>
      <c r="L330" s="485"/>
      <c r="M330" s="485"/>
      <c r="N330" s="485"/>
      <c r="O330" s="485"/>
      <c r="P330" s="485"/>
      <c r="Q330" s="485"/>
      <c r="R330" s="485"/>
      <c r="S330" s="485"/>
      <c r="T330" s="485"/>
      <c r="U330" s="485"/>
      <c r="V330" s="485"/>
      <c r="W330" s="485"/>
      <c r="X330" s="485"/>
      <c r="Y330" s="485"/>
      <c r="Z330" s="485"/>
    </row>
    <row r="331">
      <c r="A331" s="485"/>
      <c r="B331" s="485"/>
      <c r="C331" s="485"/>
      <c r="D331" s="485"/>
      <c r="E331" s="485"/>
      <c r="F331" s="485"/>
      <c r="G331" s="485"/>
      <c r="H331" s="485"/>
      <c r="I331" s="485"/>
      <c r="J331" s="485"/>
      <c r="K331" s="485"/>
      <c r="L331" s="485"/>
      <c r="M331" s="485"/>
      <c r="N331" s="485"/>
      <c r="O331" s="485"/>
      <c r="P331" s="485"/>
      <c r="Q331" s="485"/>
      <c r="R331" s="485"/>
      <c r="S331" s="485"/>
      <c r="T331" s="485"/>
      <c r="U331" s="485"/>
      <c r="V331" s="485"/>
      <c r="W331" s="485"/>
      <c r="X331" s="485"/>
      <c r="Y331" s="485"/>
      <c r="Z331" s="485"/>
    </row>
    <row r="332">
      <c r="A332" s="485"/>
      <c r="B332" s="485"/>
      <c r="C332" s="485"/>
      <c r="D332" s="485"/>
      <c r="E332" s="485"/>
      <c r="F332" s="485"/>
      <c r="G332" s="485"/>
      <c r="H332" s="485"/>
      <c r="I332" s="485"/>
      <c r="J332" s="485"/>
      <c r="K332" s="485"/>
      <c r="L332" s="485"/>
      <c r="M332" s="485"/>
      <c r="N332" s="485"/>
      <c r="O332" s="485"/>
      <c r="P332" s="485"/>
      <c r="Q332" s="485"/>
      <c r="R332" s="485"/>
      <c r="S332" s="485"/>
      <c r="T332" s="485"/>
      <c r="U332" s="485"/>
      <c r="V332" s="485"/>
      <c r="W332" s="485"/>
      <c r="X332" s="485"/>
      <c r="Y332" s="485"/>
      <c r="Z332" s="485"/>
    </row>
    <row r="333">
      <c r="A333" s="485"/>
      <c r="B333" s="485"/>
      <c r="C333" s="485"/>
      <c r="D333" s="485"/>
      <c r="E333" s="485"/>
      <c r="F333" s="485"/>
      <c r="G333" s="485"/>
      <c r="H333" s="485"/>
      <c r="I333" s="485"/>
      <c r="J333" s="485"/>
      <c r="K333" s="485"/>
      <c r="L333" s="485"/>
      <c r="M333" s="485"/>
      <c r="N333" s="485"/>
      <c r="O333" s="485"/>
      <c r="P333" s="485"/>
      <c r="Q333" s="485"/>
      <c r="R333" s="485"/>
      <c r="S333" s="485"/>
      <c r="T333" s="485"/>
      <c r="U333" s="485"/>
      <c r="V333" s="485"/>
      <c r="W333" s="485"/>
      <c r="X333" s="485"/>
      <c r="Y333" s="485"/>
      <c r="Z333" s="485"/>
    </row>
    <row r="334">
      <c r="A334" s="485"/>
      <c r="B334" s="485"/>
      <c r="C334" s="485"/>
      <c r="D334" s="485"/>
      <c r="E334" s="485"/>
      <c r="F334" s="485"/>
      <c r="G334" s="485"/>
      <c r="H334" s="485"/>
      <c r="I334" s="485"/>
      <c r="J334" s="485"/>
      <c r="K334" s="485"/>
      <c r="L334" s="485"/>
      <c r="M334" s="485"/>
      <c r="N334" s="485"/>
      <c r="O334" s="485"/>
      <c r="P334" s="485"/>
      <c r="Q334" s="485"/>
      <c r="R334" s="485"/>
      <c r="S334" s="485"/>
      <c r="T334" s="485"/>
      <c r="U334" s="485"/>
      <c r="V334" s="485"/>
      <c r="W334" s="485"/>
      <c r="X334" s="485"/>
      <c r="Y334" s="485"/>
      <c r="Z334" s="485"/>
    </row>
    <row r="335">
      <c r="A335" s="485"/>
      <c r="B335" s="485"/>
      <c r="C335" s="485"/>
      <c r="D335" s="485"/>
      <c r="E335" s="485"/>
      <c r="F335" s="485"/>
      <c r="G335" s="485"/>
      <c r="H335" s="485"/>
      <c r="I335" s="485"/>
      <c r="J335" s="485"/>
      <c r="K335" s="485"/>
      <c r="L335" s="485"/>
      <c r="M335" s="485"/>
      <c r="N335" s="485"/>
      <c r="O335" s="485"/>
      <c r="P335" s="485"/>
      <c r="Q335" s="485"/>
      <c r="R335" s="485"/>
      <c r="S335" s="485"/>
      <c r="T335" s="485"/>
      <c r="U335" s="485"/>
      <c r="V335" s="485"/>
      <c r="W335" s="485"/>
      <c r="X335" s="485"/>
      <c r="Y335" s="485"/>
      <c r="Z335" s="485"/>
    </row>
    <row r="336">
      <c r="A336" s="485"/>
      <c r="B336" s="485"/>
      <c r="C336" s="485"/>
      <c r="D336" s="485"/>
      <c r="E336" s="485"/>
      <c r="F336" s="485"/>
      <c r="G336" s="485"/>
      <c r="H336" s="485"/>
      <c r="I336" s="485"/>
      <c r="J336" s="485"/>
      <c r="K336" s="485"/>
      <c r="L336" s="485"/>
      <c r="M336" s="485"/>
      <c r="N336" s="485"/>
      <c r="O336" s="485"/>
      <c r="P336" s="485"/>
      <c r="Q336" s="485"/>
      <c r="R336" s="485"/>
      <c r="S336" s="485"/>
      <c r="T336" s="485"/>
      <c r="U336" s="485"/>
      <c r="V336" s="485"/>
      <c r="W336" s="485"/>
      <c r="X336" s="485"/>
      <c r="Y336" s="485"/>
      <c r="Z336" s="485"/>
    </row>
    <row r="337">
      <c r="A337" s="485"/>
      <c r="B337" s="485"/>
      <c r="C337" s="485"/>
      <c r="D337" s="485"/>
      <c r="E337" s="485"/>
      <c r="F337" s="485"/>
      <c r="G337" s="485"/>
      <c r="H337" s="485"/>
      <c r="I337" s="485"/>
      <c r="J337" s="485"/>
      <c r="K337" s="485"/>
      <c r="L337" s="485"/>
      <c r="M337" s="485"/>
      <c r="N337" s="485"/>
      <c r="O337" s="485"/>
      <c r="P337" s="485"/>
      <c r="Q337" s="485"/>
      <c r="R337" s="485"/>
      <c r="S337" s="485"/>
      <c r="T337" s="485"/>
      <c r="U337" s="485"/>
      <c r="V337" s="485"/>
      <c r="W337" s="485"/>
      <c r="X337" s="485"/>
      <c r="Y337" s="485"/>
      <c r="Z337" s="485"/>
    </row>
    <row r="338">
      <c r="A338" s="485"/>
      <c r="B338" s="485"/>
      <c r="C338" s="485"/>
      <c r="D338" s="485"/>
      <c r="E338" s="485"/>
      <c r="F338" s="485"/>
      <c r="G338" s="485"/>
      <c r="H338" s="485"/>
      <c r="I338" s="485"/>
      <c r="J338" s="485"/>
      <c r="K338" s="485"/>
      <c r="L338" s="485"/>
      <c r="M338" s="485"/>
      <c r="N338" s="485"/>
      <c r="O338" s="485"/>
      <c r="P338" s="485"/>
      <c r="Q338" s="485"/>
      <c r="R338" s="485"/>
      <c r="S338" s="485"/>
      <c r="T338" s="485"/>
      <c r="U338" s="485"/>
      <c r="V338" s="485"/>
      <c r="W338" s="485"/>
      <c r="X338" s="485"/>
      <c r="Y338" s="485"/>
      <c r="Z338" s="485"/>
    </row>
    <row r="339">
      <c r="A339" s="485"/>
      <c r="B339" s="485"/>
      <c r="C339" s="485"/>
      <c r="D339" s="485"/>
      <c r="E339" s="485"/>
      <c r="F339" s="485"/>
      <c r="G339" s="485"/>
      <c r="H339" s="485"/>
      <c r="I339" s="485"/>
      <c r="J339" s="485"/>
      <c r="K339" s="485"/>
      <c r="L339" s="485"/>
      <c r="M339" s="485"/>
      <c r="N339" s="485"/>
      <c r="O339" s="485"/>
      <c r="P339" s="485"/>
      <c r="Q339" s="485"/>
      <c r="R339" s="485"/>
      <c r="S339" s="485"/>
      <c r="T339" s="485"/>
      <c r="U339" s="485"/>
      <c r="V339" s="485"/>
      <c r="W339" s="485"/>
      <c r="X339" s="485"/>
      <c r="Y339" s="485"/>
      <c r="Z339" s="485"/>
    </row>
    <row r="340">
      <c r="A340" s="485"/>
      <c r="B340" s="485"/>
      <c r="C340" s="485"/>
      <c r="D340" s="485"/>
      <c r="E340" s="485"/>
      <c r="F340" s="485"/>
      <c r="G340" s="485"/>
      <c r="H340" s="485"/>
      <c r="I340" s="485"/>
      <c r="J340" s="485"/>
      <c r="K340" s="485"/>
      <c r="L340" s="485"/>
      <c r="M340" s="485"/>
      <c r="N340" s="485"/>
      <c r="O340" s="485"/>
      <c r="P340" s="485"/>
      <c r="Q340" s="485"/>
      <c r="R340" s="485"/>
      <c r="S340" s="485"/>
      <c r="T340" s="485"/>
      <c r="U340" s="485"/>
      <c r="V340" s="485"/>
      <c r="W340" s="485"/>
      <c r="X340" s="485"/>
      <c r="Y340" s="485"/>
      <c r="Z340" s="485"/>
    </row>
    <row r="341">
      <c r="A341" s="485"/>
      <c r="B341" s="485"/>
      <c r="C341" s="485"/>
      <c r="D341" s="485"/>
      <c r="E341" s="485"/>
      <c r="F341" s="485"/>
      <c r="G341" s="485"/>
      <c r="H341" s="485"/>
      <c r="I341" s="485"/>
      <c r="J341" s="485"/>
      <c r="K341" s="485"/>
      <c r="L341" s="485"/>
      <c r="M341" s="485"/>
      <c r="N341" s="485"/>
      <c r="O341" s="485"/>
      <c r="P341" s="485"/>
      <c r="Q341" s="485"/>
      <c r="R341" s="485"/>
      <c r="S341" s="485"/>
      <c r="T341" s="485"/>
      <c r="U341" s="485"/>
      <c r="V341" s="485"/>
      <c r="W341" s="485"/>
      <c r="X341" s="485"/>
      <c r="Y341" s="485"/>
      <c r="Z341" s="485"/>
    </row>
    <row r="342">
      <c r="A342" s="485"/>
      <c r="B342" s="485"/>
      <c r="C342" s="485"/>
      <c r="D342" s="485"/>
      <c r="E342" s="485"/>
      <c r="F342" s="485"/>
      <c r="G342" s="485"/>
      <c r="H342" s="485"/>
      <c r="I342" s="485"/>
      <c r="J342" s="485"/>
      <c r="K342" s="485"/>
      <c r="L342" s="485"/>
      <c r="M342" s="485"/>
      <c r="N342" s="485"/>
      <c r="O342" s="485"/>
      <c r="P342" s="485"/>
      <c r="Q342" s="485"/>
      <c r="R342" s="485"/>
      <c r="S342" s="485"/>
      <c r="T342" s="485"/>
      <c r="U342" s="485"/>
      <c r="V342" s="485"/>
      <c r="W342" s="485"/>
      <c r="X342" s="485"/>
      <c r="Y342" s="485"/>
      <c r="Z342" s="485"/>
    </row>
    <row r="343">
      <c r="A343" s="485"/>
      <c r="B343" s="485"/>
      <c r="C343" s="485"/>
      <c r="D343" s="485"/>
      <c r="E343" s="485"/>
      <c r="F343" s="485"/>
      <c r="G343" s="485"/>
      <c r="H343" s="485"/>
      <c r="I343" s="485"/>
      <c r="J343" s="485"/>
      <c r="K343" s="485"/>
      <c r="L343" s="485"/>
      <c r="M343" s="485"/>
      <c r="N343" s="485"/>
      <c r="O343" s="485"/>
      <c r="P343" s="485"/>
      <c r="Q343" s="485"/>
      <c r="R343" s="485"/>
      <c r="S343" s="485"/>
      <c r="T343" s="485"/>
      <c r="U343" s="485"/>
      <c r="V343" s="485"/>
      <c r="W343" s="485"/>
      <c r="X343" s="485"/>
      <c r="Y343" s="485"/>
      <c r="Z343" s="485"/>
    </row>
    <row r="344">
      <c r="A344" s="485"/>
      <c r="B344" s="485"/>
      <c r="C344" s="485"/>
      <c r="D344" s="485"/>
      <c r="E344" s="485"/>
      <c r="F344" s="485"/>
      <c r="G344" s="485"/>
      <c r="H344" s="485"/>
      <c r="I344" s="485"/>
      <c r="J344" s="485"/>
      <c r="K344" s="485"/>
      <c r="L344" s="485"/>
      <c r="M344" s="485"/>
      <c r="N344" s="485"/>
      <c r="O344" s="485"/>
      <c r="P344" s="485"/>
      <c r="Q344" s="485"/>
      <c r="R344" s="485"/>
      <c r="S344" s="485"/>
      <c r="T344" s="485"/>
      <c r="U344" s="485"/>
      <c r="V344" s="485"/>
      <c r="W344" s="485"/>
      <c r="X344" s="485"/>
      <c r="Y344" s="485"/>
      <c r="Z344" s="485"/>
    </row>
    <row r="345">
      <c r="A345" s="485"/>
      <c r="B345" s="485"/>
      <c r="C345" s="485"/>
      <c r="D345" s="485"/>
      <c r="E345" s="485"/>
      <c r="F345" s="485"/>
      <c r="G345" s="485"/>
      <c r="H345" s="485"/>
      <c r="I345" s="485"/>
      <c r="J345" s="485"/>
      <c r="K345" s="485"/>
      <c r="L345" s="485"/>
      <c r="M345" s="485"/>
      <c r="N345" s="485"/>
      <c r="O345" s="485"/>
      <c r="P345" s="485"/>
      <c r="Q345" s="485"/>
      <c r="R345" s="485"/>
      <c r="S345" s="485"/>
      <c r="T345" s="485"/>
      <c r="U345" s="485"/>
      <c r="V345" s="485"/>
      <c r="W345" s="485"/>
      <c r="X345" s="485"/>
      <c r="Y345" s="485"/>
      <c r="Z345" s="485"/>
    </row>
    <row r="346">
      <c r="A346" s="485"/>
      <c r="B346" s="485"/>
      <c r="C346" s="485"/>
      <c r="D346" s="485"/>
      <c r="E346" s="485"/>
      <c r="F346" s="485"/>
      <c r="G346" s="485"/>
      <c r="H346" s="485"/>
      <c r="I346" s="485"/>
      <c r="J346" s="485"/>
      <c r="K346" s="485"/>
      <c r="L346" s="485"/>
      <c r="M346" s="485"/>
      <c r="N346" s="485"/>
      <c r="O346" s="485"/>
      <c r="P346" s="485"/>
      <c r="Q346" s="485"/>
      <c r="R346" s="485"/>
      <c r="S346" s="485"/>
      <c r="T346" s="485"/>
      <c r="U346" s="485"/>
      <c r="V346" s="485"/>
      <c r="W346" s="485"/>
      <c r="X346" s="485"/>
      <c r="Y346" s="485"/>
      <c r="Z346" s="485"/>
    </row>
    <row r="347">
      <c r="A347" s="485"/>
      <c r="B347" s="485"/>
      <c r="C347" s="485"/>
      <c r="D347" s="485"/>
      <c r="E347" s="485"/>
      <c r="F347" s="485"/>
      <c r="G347" s="485"/>
      <c r="H347" s="485"/>
      <c r="I347" s="485"/>
      <c r="J347" s="485"/>
      <c r="K347" s="485"/>
      <c r="L347" s="485"/>
      <c r="M347" s="485"/>
      <c r="N347" s="485"/>
      <c r="O347" s="485"/>
      <c r="P347" s="485"/>
      <c r="Q347" s="485"/>
      <c r="R347" s="485"/>
      <c r="S347" s="485"/>
      <c r="T347" s="485"/>
      <c r="U347" s="485"/>
      <c r="V347" s="485"/>
      <c r="W347" s="485"/>
      <c r="X347" s="485"/>
      <c r="Y347" s="485"/>
      <c r="Z347" s="485"/>
    </row>
    <row r="348">
      <c r="A348" s="485"/>
      <c r="B348" s="485"/>
      <c r="C348" s="485"/>
      <c r="D348" s="485"/>
      <c r="E348" s="485"/>
      <c r="F348" s="485"/>
      <c r="G348" s="485"/>
      <c r="H348" s="485"/>
      <c r="I348" s="485"/>
      <c r="J348" s="485"/>
      <c r="K348" s="485"/>
      <c r="L348" s="485"/>
      <c r="M348" s="485"/>
      <c r="N348" s="485"/>
      <c r="O348" s="485"/>
      <c r="P348" s="485"/>
      <c r="Q348" s="485"/>
      <c r="R348" s="485"/>
      <c r="S348" s="485"/>
      <c r="T348" s="485"/>
      <c r="U348" s="485"/>
      <c r="V348" s="485"/>
      <c r="W348" s="485"/>
      <c r="X348" s="485"/>
      <c r="Y348" s="485"/>
      <c r="Z348" s="485"/>
    </row>
    <row r="349">
      <c r="A349" s="485"/>
      <c r="B349" s="485"/>
      <c r="C349" s="485"/>
      <c r="D349" s="485"/>
      <c r="E349" s="485"/>
      <c r="F349" s="485"/>
      <c r="G349" s="485"/>
      <c r="H349" s="485"/>
      <c r="I349" s="485"/>
      <c r="J349" s="485"/>
      <c r="K349" s="485"/>
      <c r="L349" s="485"/>
      <c r="M349" s="485"/>
      <c r="N349" s="485"/>
      <c r="O349" s="485"/>
      <c r="P349" s="485"/>
      <c r="Q349" s="485"/>
      <c r="R349" s="485"/>
      <c r="S349" s="485"/>
      <c r="T349" s="485"/>
      <c r="U349" s="485"/>
      <c r="V349" s="485"/>
      <c r="W349" s="485"/>
      <c r="X349" s="485"/>
      <c r="Y349" s="485"/>
      <c r="Z349" s="485"/>
    </row>
    <row r="350">
      <c r="A350" s="485"/>
      <c r="B350" s="485"/>
      <c r="C350" s="485"/>
      <c r="D350" s="485"/>
      <c r="E350" s="485"/>
      <c r="F350" s="485"/>
      <c r="G350" s="485"/>
      <c r="H350" s="485"/>
      <c r="I350" s="485"/>
      <c r="J350" s="485"/>
      <c r="K350" s="485"/>
      <c r="L350" s="485"/>
      <c r="M350" s="485"/>
      <c r="N350" s="485"/>
      <c r="O350" s="485"/>
      <c r="P350" s="485"/>
      <c r="Q350" s="485"/>
      <c r="R350" s="485"/>
      <c r="S350" s="485"/>
      <c r="T350" s="485"/>
      <c r="U350" s="485"/>
      <c r="V350" s="485"/>
      <c r="W350" s="485"/>
      <c r="X350" s="485"/>
      <c r="Y350" s="485"/>
      <c r="Z350" s="485"/>
    </row>
    <row r="351">
      <c r="A351" s="485"/>
      <c r="B351" s="485"/>
      <c r="C351" s="485"/>
      <c r="D351" s="485"/>
      <c r="E351" s="485"/>
      <c r="F351" s="485"/>
      <c r="G351" s="485"/>
      <c r="H351" s="485"/>
      <c r="I351" s="485"/>
      <c r="J351" s="485"/>
      <c r="K351" s="485"/>
      <c r="L351" s="485"/>
      <c r="M351" s="485"/>
      <c r="N351" s="485"/>
      <c r="O351" s="485"/>
      <c r="P351" s="485"/>
      <c r="Q351" s="485"/>
      <c r="R351" s="485"/>
      <c r="S351" s="485"/>
      <c r="T351" s="485"/>
      <c r="U351" s="485"/>
      <c r="V351" s="485"/>
      <c r="W351" s="485"/>
      <c r="X351" s="485"/>
      <c r="Y351" s="485"/>
      <c r="Z351" s="485"/>
    </row>
    <row r="352">
      <c r="A352" s="485"/>
      <c r="B352" s="485"/>
      <c r="C352" s="485"/>
      <c r="D352" s="485"/>
      <c r="E352" s="485"/>
      <c r="F352" s="485"/>
      <c r="G352" s="485"/>
      <c r="H352" s="485"/>
      <c r="I352" s="485"/>
      <c r="J352" s="485"/>
      <c r="K352" s="485"/>
      <c r="L352" s="485"/>
      <c r="M352" s="485"/>
      <c r="N352" s="485"/>
      <c r="O352" s="485"/>
      <c r="P352" s="485"/>
      <c r="Q352" s="485"/>
      <c r="R352" s="485"/>
      <c r="S352" s="485"/>
      <c r="T352" s="485"/>
      <c r="U352" s="485"/>
      <c r="V352" s="485"/>
      <c r="W352" s="485"/>
      <c r="X352" s="485"/>
      <c r="Y352" s="485"/>
      <c r="Z352" s="485"/>
    </row>
    <row r="353">
      <c r="A353" s="485"/>
      <c r="B353" s="485"/>
      <c r="C353" s="485"/>
      <c r="D353" s="485"/>
      <c r="E353" s="485"/>
      <c r="F353" s="485"/>
      <c r="G353" s="485"/>
      <c r="H353" s="485"/>
      <c r="I353" s="485"/>
      <c r="J353" s="485"/>
      <c r="K353" s="485"/>
      <c r="L353" s="485"/>
      <c r="M353" s="485"/>
      <c r="N353" s="485"/>
      <c r="O353" s="485"/>
      <c r="P353" s="485"/>
      <c r="Q353" s="485"/>
      <c r="R353" s="485"/>
      <c r="S353" s="485"/>
      <c r="T353" s="485"/>
      <c r="U353" s="485"/>
      <c r="V353" s="485"/>
      <c r="W353" s="485"/>
      <c r="X353" s="485"/>
      <c r="Y353" s="485"/>
      <c r="Z353" s="485"/>
    </row>
    <row r="354">
      <c r="A354" s="485"/>
      <c r="B354" s="485"/>
      <c r="C354" s="485"/>
      <c r="D354" s="485"/>
      <c r="E354" s="485"/>
      <c r="F354" s="485"/>
      <c r="G354" s="485"/>
      <c r="H354" s="485"/>
      <c r="I354" s="485"/>
      <c r="J354" s="485"/>
      <c r="K354" s="485"/>
      <c r="L354" s="485"/>
      <c r="M354" s="485"/>
      <c r="N354" s="485"/>
      <c r="O354" s="485"/>
      <c r="P354" s="485"/>
      <c r="Q354" s="485"/>
      <c r="R354" s="485"/>
      <c r="S354" s="485"/>
      <c r="T354" s="485"/>
      <c r="U354" s="485"/>
      <c r="V354" s="485"/>
      <c r="W354" s="485"/>
      <c r="X354" s="485"/>
      <c r="Y354" s="485"/>
      <c r="Z354" s="485"/>
    </row>
    <row r="355">
      <c r="A355" s="485"/>
      <c r="B355" s="485"/>
      <c r="C355" s="485"/>
      <c r="D355" s="485"/>
      <c r="E355" s="485"/>
      <c r="F355" s="485"/>
      <c r="G355" s="485"/>
      <c r="H355" s="485"/>
      <c r="I355" s="485"/>
      <c r="J355" s="485"/>
      <c r="K355" s="485"/>
      <c r="L355" s="485"/>
      <c r="M355" s="485"/>
      <c r="N355" s="485"/>
      <c r="O355" s="485"/>
      <c r="P355" s="485"/>
      <c r="Q355" s="485"/>
      <c r="R355" s="485"/>
      <c r="S355" s="485"/>
      <c r="T355" s="485"/>
      <c r="U355" s="485"/>
      <c r="V355" s="485"/>
      <c r="W355" s="485"/>
      <c r="X355" s="485"/>
      <c r="Y355" s="485"/>
      <c r="Z355" s="485"/>
    </row>
    <row r="356">
      <c r="A356" s="485"/>
      <c r="B356" s="485"/>
      <c r="C356" s="485"/>
      <c r="D356" s="485"/>
      <c r="E356" s="485"/>
      <c r="F356" s="485"/>
      <c r="G356" s="485"/>
      <c r="H356" s="485"/>
      <c r="I356" s="485"/>
      <c r="J356" s="485"/>
      <c r="K356" s="485"/>
      <c r="L356" s="485"/>
      <c r="M356" s="485"/>
      <c r="N356" s="485"/>
      <c r="O356" s="485"/>
      <c r="P356" s="485"/>
      <c r="Q356" s="485"/>
      <c r="R356" s="485"/>
      <c r="S356" s="485"/>
      <c r="T356" s="485"/>
      <c r="U356" s="485"/>
      <c r="V356" s="485"/>
      <c r="W356" s="485"/>
      <c r="X356" s="485"/>
      <c r="Y356" s="485"/>
      <c r="Z356" s="485"/>
    </row>
    <row r="357">
      <c r="A357" s="485"/>
      <c r="B357" s="485"/>
      <c r="C357" s="485"/>
      <c r="D357" s="485"/>
      <c r="E357" s="485"/>
      <c r="F357" s="485"/>
      <c r="G357" s="485"/>
      <c r="H357" s="485"/>
      <c r="I357" s="485"/>
      <c r="J357" s="485"/>
      <c r="K357" s="485"/>
      <c r="L357" s="485"/>
      <c r="M357" s="485"/>
      <c r="N357" s="485"/>
      <c r="O357" s="485"/>
      <c r="P357" s="485"/>
      <c r="Q357" s="485"/>
      <c r="R357" s="485"/>
      <c r="S357" s="485"/>
      <c r="T357" s="485"/>
      <c r="U357" s="485"/>
      <c r="V357" s="485"/>
      <c r="W357" s="485"/>
      <c r="X357" s="485"/>
      <c r="Y357" s="485"/>
      <c r="Z357" s="485"/>
    </row>
    <row r="358">
      <c r="A358" s="485"/>
      <c r="B358" s="485"/>
      <c r="C358" s="485"/>
      <c r="D358" s="485"/>
      <c r="E358" s="485"/>
      <c r="F358" s="485"/>
      <c r="G358" s="485"/>
      <c r="H358" s="485"/>
      <c r="I358" s="485"/>
      <c r="J358" s="485"/>
      <c r="K358" s="485"/>
      <c r="L358" s="485"/>
      <c r="M358" s="485"/>
      <c r="N358" s="485"/>
      <c r="O358" s="485"/>
      <c r="P358" s="485"/>
      <c r="Q358" s="485"/>
      <c r="R358" s="485"/>
      <c r="S358" s="485"/>
      <c r="T358" s="485"/>
      <c r="U358" s="485"/>
      <c r="V358" s="485"/>
      <c r="W358" s="485"/>
      <c r="X358" s="485"/>
      <c r="Y358" s="485"/>
      <c r="Z358" s="485"/>
    </row>
    <row r="359">
      <c r="A359" s="485"/>
      <c r="B359" s="485"/>
      <c r="C359" s="485"/>
      <c r="D359" s="485"/>
      <c r="E359" s="485"/>
      <c r="F359" s="485"/>
      <c r="G359" s="485"/>
      <c r="H359" s="485"/>
      <c r="I359" s="485"/>
      <c r="J359" s="485"/>
      <c r="K359" s="485"/>
      <c r="L359" s="485"/>
      <c r="M359" s="485"/>
      <c r="N359" s="485"/>
      <c r="O359" s="485"/>
      <c r="P359" s="485"/>
      <c r="Q359" s="485"/>
      <c r="R359" s="485"/>
      <c r="S359" s="485"/>
      <c r="T359" s="485"/>
      <c r="U359" s="485"/>
      <c r="V359" s="485"/>
      <c r="W359" s="485"/>
      <c r="X359" s="485"/>
      <c r="Y359" s="485"/>
      <c r="Z359" s="485"/>
    </row>
    <row r="360">
      <c r="A360" s="485"/>
      <c r="B360" s="485"/>
      <c r="C360" s="485"/>
      <c r="D360" s="485"/>
      <c r="E360" s="485"/>
      <c r="F360" s="485"/>
      <c r="G360" s="485"/>
      <c r="H360" s="485"/>
      <c r="I360" s="485"/>
      <c r="J360" s="485"/>
      <c r="K360" s="485"/>
      <c r="L360" s="485"/>
      <c r="M360" s="485"/>
      <c r="N360" s="485"/>
      <c r="O360" s="485"/>
      <c r="P360" s="485"/>
      <c r="Q360" s="485"/>
      <c r="R360" s="485"/>
      <c r="S360" s="485"/>
      <c r="T360" s="485"/>
      <c r="U360" s="485"/>
      <c r="V360" s="485"/>
      <c r="W360" s="485"/>
      <c r="X360" s="485"/>
      <c r="Y360" s="485"/>
      <c r="Z360" s="485"/>
    </row>
    <row r="361">
      <c r="A361" s="485"/>
      <c r="B361" s="485"/>
      <c r="C361" s="485"/>
      <c r="D361" s="485"/>
      <c r="E361" s="485"/>
      <c r="F361" s="485"/>
      <c r="G361" s="485"/>
      <c r="H361" s="485"/>
      <c r="I361" s="485"/>
      <c r="J361" s="485"/>
      <c r="K361" s="485"/>
      <c r="L361" s="485"/>
      <c r="M361" s="485"/>
      <c r="N361" s="485"/>
      <c r="O361" s="485"/>
      <c r="P361" s="485"/>
      <c r="Q361" s="485"/>
      <c r="R361" s="485"/>
      <c r="S361" s="485"/>
      <c r="T361" s="485"/>
      <c r="U361" s="485"/>
      <c r="V361" s="485"/>
      <c r="W361" s="485"/>
      <c r="X361" s="485"/>
      <c r="Y361" s="485"/>
      <c r="Z361" s="485"/>
    </row>
    <row r="362">
      <c r="A362" s="485"/>
      <c r="B362" s="485"/>
      <c r="C362" s="485"/>
      <c r="D362" s="485"/>
      <c r="E362" s="485"/>
      <c r="F362" s="485"/>
      <c r="G362" s="485"/>
      <c r="H362" s="485"/>
      <c r="I362" s="485"/>
      <c r="J362" s="485"/>
      <c r="K362" s="485"/>
      <c r="L362" s="485"/>
      <c r="M362" s="485"/>
      <c r="N362" s="485"/>
      <c r="O362" s="485"/>
      <c r="P362" s="485"/>
      <c r="Q362" s="485"/>
      <c r="R362" s="485"/>
      <c r="S362" s="485"/>
      <c r="T362" s="485"/>
      <c r="U362" s="485"/>
      <c r="V362" s="485"/>
      <c r="W362" s="485"/>
      <c r="X362" s="485"/>
      <c r="Y362" s="485"/>
      <c r="Z362" s="485"/>
    </row>
    <row r="363">
      <c r="A363" s="485"/>
      <c r="B363" s="485"/>
      <c r="C363" s="485"/>
      <c r="D363" s="485"/>
      <c r="E363" s="485"/>
      <c r="F363" s="485"/>
      <c r="G363" s="485"/>
      <c r="H363" s="485"/>
      <c r="I363" s="485"/>
      <c r="J363" s="485"/>
      <c r="K363" s="485"/>
      <c r="L363" s="485"/>
      <c r="M363" s="485"/>
      <c r="N363" s="485"/>
      <c r="O363" s="485"/>
      <c r="P363" s="485"/>
      <c r="Q363" s="485"/>
      <c r="R363" s="485"/>
      <c r="S363" s="485"/>
      <c r="T363" s="485"/>
      <c r="U363" s="485"/>
      <c r="V363" s="485"/>
      <c r="W363" s="485"/>
      <c r="X363" s="485"/>
      <c r="Y363" s="485"/>
      <c r="Z363" s="485"/>
    </row>
    <row r="364">
      <c r="A364" s="485"/>
      <c r="B364" s="485"/>
      <c r="C364" s="485"/>
      <c r="D364" s="485"/>
      <c r="E364" s="485"/>
      <c r="F364" s="485"/>
      <c r="G364" s="485"/>
      <c r="H364" s="485"/>
      <c r="I364" s="485"/>
      <c r="J364" s="485"/>
      <c r="K364" s="485"/>
      <c r="L364" s="485"/>
      <c r="M364" s="485"/>
      <c r="N364" s="485"/>
      <c r="O364" s="485"/>
      <c r="P364" s="485"/>
      <c r="Q364" s="485"/>
      <c r="R364" s="485"/>
      <c r="S364" s="485"/>
      <c r="T364" s="485"/>
      <c r="U364" s="485"/>
      <c r="V364" s="485"/>
      <c r="W364" s="485"/>
      <c r="X364" s="485"/>
      <c r="Y364" s="485"/>
      <c r="Z364" s="485"/>
    </row>
    <row r="365">
      <c r="A365" s="485"/>
      <c r="B365" s="485"/>
      <c r="C365" s="485"/>
      <c r="D365" s="485"/>
      <c r="E365" s="485"/>
      <c r="F365" s="485"/>
      <c r="G365" s="485"/>
      <c r="H365" s="485"/>
      <c r="I365" s="485"/>
      <c r="J365" s="485"/>
      <c r="K365" s="485"/>
      <c r="L365" s="485"/>
      <c r="M365" s="485"/>
      <c r="N365" s="485"/>
      <c r="O365" s="485"/>
      <c r="P365" s="485"/>
      <c r="Q365" s="485"/>
      <c r="R365" s="485"/>
      <c r="S365" s="485"/>
      <c r="T365" s="485"/>
      <c r="U365" s="485"/>
      <c r="V365" s="485"/>
      <c r="W365" s="485"/>
      <c r="X365" s="485"/>
      <c r="Y365" s="485"/>
      <c r="Z365" s="485"/>
    </row>
    <row r="366">
      <c r="A366" s="485"/>
      <c r="B366" s="485"/>
      <c r="C366" s="485"/>
      <c r="D366" s="485"/>
      <c r="E366" s="485"/>
      <c r="F366" s="485"/>
      <c r="G366" s="485"/>
      <c r="H366" s="485"/>
      <c r="I366" s="485"/>
      <c r="J366" s="485"/>
      <c r="K366" s="485"/>
      <c r="L366" s="485"/>
      <c r="M366" s="485"/>
      <c r="N366" s="485"/>
      <c r="O366" s="485"/>
      <c r="P366" s="485"/>
      <c r="Q366" s="485"/>
      <c r="R366" s="485"/>
      <c r="S366" s="485"/>
      <c r="T366" s="485"/>
      <c r="U366" s="485"/>
      <c r="V366" s="485"/>
      <c r="W366" s="485"/>
      <c r="X366" s="485"/>
      <c r="Y366" s="485"/>
      <c r="Z366" s="485"/>
    </row>
    <row r="367">
      <c r="A367" s="485"/>
      <c r="B367" s="485"/>
      <c r="C367" s="485"/>
      <c r="D367" s="485"/>
      <c r="E367" s="485"/>
      <c r="F367" s="485"/>
      <c r="G367" s="485"/>
      <c r="H367" s="485"/>
      <c r="I367" s="485"/>
      <c r="J367" s="485"/>
      <c r="K367" s="485"/>
      <c r="L367" s="485"/>
      <c r="M367" s="485"/>
      <c r="N367" s="485"/>
      <c r="O367" s="485"/>
      <c r="P367" s="485"/>
      <c r="Q367" s="485"/>
      <c r="R367" s="485"/>
      <c r="S367" s="485"/>
      <c r="T367" s="485"/>
      <c r="U367" s="485"/>
      <c r="V367" s="485"/>
      <c r="W367" s="485"/>
      <c r="X367" s="485"/>
      <c r="Y367" s="485"/>
      <c r="Z367" s="485"/>
    </row>
    <row r="368">
      <c r="A368" s="485"/>
      <c r="B368" s="485"/>
      <c r="C368" s="485"/>
      <c r="D368" s="485"/>
      <c r="E368" s="485"/>
      <c r="F368" s="485"/>
      <c r="G368" s="485"/>
      <c r="H368" s="485"/>
      <c r="I368" s="485"/>
      <c r="J368" s="485"/>
      <c r="K368" s="485"/>
      <c r="L368" s="485"/>
      <c r="M368" s="485"/>
      <c r="N368" s="485"/>
      <c r="O368" s="485"/>
      <c r="P368" s="485"/>
      <c r="Q368" s="485"/>
      <c r="R368" s="485"/>
      <c r="S368" s="485"/>
      <c r="T368" s="485"/>
      <c r="U368" s="485"/>
      <c r="V368" s="485"/>
      <c r="W368" s="485"/>
      <c r="X368" s="485"/>
      <c r="Y368" s="485"/>
      <c r="Z368" s="485"/>
    </row>
    <row r="369">
      <c r="A369" s="485"/>
      <c r="B369" s="485"/>
      <c r="C369" s="485"/>
      <c r="D369" s="485"/>
      <c r="E369" s="485"/>
      <c r="F369" s="485"/>
      <c r="G369" s="485"/>
      <c r="H369" s="485"/>
      <c r="I369" s="485"/>
      <c r="J369" s="485"/>
      <c r="K369" s="485"/>
      <c r="L369" s="485"/>
      <c r="M369" s="485"/>
      <c r="N369" s="485"/>
      <c r="O369" s="485"/>
      <c r="P369" s="485"/>
      <c r="Q369" s="485"/>
      <c r="R369" s="485"/>
      <c r="S369" s="485"/>
      <c r="T369" s="485"/>
      <c r="U369" s="485"/>
      <c r="V369" s="485"/>
      <c r="W369" s="485"/>
      <c r="X369" s="485"/>
      <c r="Y369" s="485"/>
      <c r="Z369" s="485"/>
    </row>
    <row r="370">
      <c r="A370" s="485"/>
      <c r="B370" s="485"/>
      <c r="C370" s="485"/>
      <c r="D370" s="485"/>
      <c r="E370" s="485"/>
      <c r="F370" s="485"/>
      <c r="G370" s="485"/>
      <c r="H370" s="485"/>
      <c r="I370" s="485"/>
      <c r="J370" s="485"/>
      <c r="K370" s="485"/>
      <c r="L370" s="485"/>
      <c r="M370" s="485"/>
      <c r="N370" s="485"/>
      <c r="O370" s="485"/>
      <c r="P370" s="485"/>
      <c r="Q370" s="485"/>
      <c r="R370" s="485"/>
      <c r="S370" s="485"/>
      <c r="T370" s="485"/>
      <c r="U370" s="485"/>
      <c r="V370" s="485"/>
      <c r="W370" s="485"/>
      <c r="X370" s="485"/>
      <c r="Y370" s="485"/>
      <c r="Z370" s="485"/>
    </row>
    <row r="371">
      <c r="A371" s="485"/>
      <c r="B371" s="485"/>
      <c r="C371" s="485"/>
      <c r="D371" s="485"/>
      <c r="E371" s="485"/>
      <c r="F371" s="485"/>
      <c r="G371" s="485"/>
      <c r="H371" s="485"/>
      <c r="I371" s="485"/>
      <c r="J371" s="485"/>
      <c r="K371" s="485"/>
      <c r="L371" s="485"/>
      <c r="M371" s="485"/>
      <c r="N371" s="485"/>
      <c r="O371" s="485"/>
      <c r="P371" s="485"/>
      <c r="Q371" s="485"/>
      <c r="R371" s="485"/>
      <c r="S371" s="485"/>
      <c r="T371" s="485"/>
      <c r="U371" s="485"/>
      <c r="V371" s="485"/>
      <c r="W371" s="485"/>
      <c r="X371" s="485"/>
      <c r="Y371" s="485"/>
      <c r="Z371" s="485"/>
    </row>
    <row r="372">
      <c r="A372" s="485"/>
      <c r="B372" s="485"/>
      <c r="C372" s="485"/>
      <c r="D372" s="485"/>
      <c r="E372" s="485"/>
      <c r="F372" s="485"/>
      <c r="G372" s="485"/>
      <c r="H372" s="485"/>
      <c r="I372" s="485"/>
      <c r="J372" s="485"/>
      <c r="K372" s="485"/>
      <c r="L372" s="485"/>
      <c r="M372" s="485"/>
      <c r="N372" s="485"/>
      <c r="O372" s="485"/>
      <c r="P372" s="485"/>
      <c r="Q372" s="485"/>
      <c r="R372" s="485"/>
      <c r="S372" s="485"/>
      <c r="T372" s="485"/>
      <c r="U372" s="485"/>
      <c r="V372" s="485"/>
      <c r="W372" s="485"/>
      <c r="X372" s="485"/>
      <c r="Y372" s="485"/>
      <c r="Z372" s="485"/>
    </row>
    <row r="373">
      <c r="A373" s="485"/>
      <c r="B373" s="485"/>
      <c r="C373" s="485"/>
      <c r="D373" s="485"/>
      <c r="E373" s="485"/>
      <c r="F373" s="485"/>
      <c r="G373" s="485"/>
      <c r="H373" s="485"/>
      <c r="I373" s="485"/>
      <c r="J373" s="485"/>
      <c r="K373" s="485"/>
      <c r="L373" s="485"/>
      <c r="M373" s="485"/>
      <c r="N373" s="485"/>
      <c r="O373" s="485"/>
      <c r="P373" s="485"/>
      <c r="Q373" s="485"/>
      <c r="R373" s="485"/>
      <c r="S373" s="485"/>
      <c r="T373" s="485"/>
      <c r="U373" s="485"/>
      <c r="V373" s="485"/>
      <c r="W373" s="485"/>
      <c r="X373" s="485"/>
      <c r="Y373" s="485"/>
      <c r="Z373" s="485"/>
    </row>
    <row r="374">
      <c r="A374" s="485"/>
      <c r="B374" s="485"/>
      <c r="C374" s="485"/>
      <c r="D374" s="485"/>
      <c r="E374" s="485"/>
      <c r="F374" s="485"/>
      <c r="G374" s="485"/>
      <c r="H374" s="485"/>
      <c r="I374" s="485"/>
      <c r="J374" s="485"/>
      <c r="K374" s="485"/>
      <c r="L374" s="485"/>
      <c r="M374" s="485"/>
      <c r="N374" s="485"/>
      <c r="O374" s="485"/>
      <c r="P374" s="485"/>
      <c r="Q374" s="485"/>
      <c r="R374" s="485"/>
      <c r="S374" s="485"/>
      <c r="T374" s="485"/>
      <c r="U374" s="485"/>
      <c r="V374" s="485"/>
      <c r="W374" s="485"/>
      <c r="X374" s="485"/>
      <c r="Y374" s="485"/>
      <c r="Z374" s="485"/>
    </row>
    <row r="375">
      <c r="A375" s="485"/>
      <c r="B375" s="485"/>
      <c r="C375" s="485"/>
      <c r="D375" s="485"/>
      <c r="E375" s="485"/>
      <c r="F375" s="485"/>
      <c r="G375" s="485"/>
      <c r="H375" s="485"/>
      <c r="I375" s="485"/>
      <c r="J375" s="485"/>
      <c r="K375" s="485"/>
      <c r="L375" s="485"/>
      <c r="M375" s="485"/>
      <c r="N375" s="485"/>
      <c r="O375" s="485"/>
      <c r="P375" s="485"/>
      <c r="Q375" s="485"/>
      <c r="R375" s="485"/>
      <c r="S375" s="485"/>
      <c r="T375" s="485"/>
      <c r="U375" s="485"/>
      <c r="V375" s="485"/>
      <c r="W375" s="485"/>
      <c r="X375" s="485"/>
      <c r="Y375" s="485"/>
      <c r="Z375" s="485"/>
    </row>
    <row r="376">
      <c r="A376" s="485"/>
      <c r="B376" s="485"/>
      <c r="C376" s="485"/>
      <c r="D376" s="485"/>
      <c r="E376" s="485"/>
      <c r="F376" s="485"/>
      <c r="G376" s="485"/>
      <c r="H376" s="485"/>
      <c r="I376" s="485"/>
      <c r="J376" s="485"/>
      <c r="K376" s="485"/>
      <c r="L376" s="485"/>
      <c r="M376" s="485"/>
      <c r="N376" s="485"/>
      <c r="O376" s="485"/>
      <c r="P376" s="485"/>
      <c r="Q376" s="485"/>
      <c r="R376" s="485"/>
      <c r="S376" s="485"/>
      <c r="T376" s="485"/>
      <c r="U376" s="485"/>
      <c r="V376" s="485"/>
      <c r="W376" s="485"/>
      <c r="X376" s="485"/>
      <c r="Y376" s="485"/>
      <c r="Z376" s="485"/>
    </row>
    <row r="377">
      <c r="A377" s="485"/>
      <c r="B377" s="485"/>
      <c r="C377" s="485"/>
      <c r="D377" s="485"/>
      <c r="E377" s="485"/>
      <c r="F377" s="485"/>
      <c r="G377" s="485"/>
      <c r="H377" s="485"/>
      <c r="I377" s="485"/>
      <c r="J377" s="485"/>
      <c r="K377" s="485"/>
      <c r="L377" s="485"/>
      <c r="M377" s="485"/>
      <c r="N377" s="485"/>
      <c r="O377" s="485"/>
      <c r="P377" s="485"/>
      <c r="Q377" s="485"/>
      <c r="R377" s="485"/>
      <c r="S377" s="485"/>
      <c r="T377" s="485"/>
      <c r="U377" s="485"/>
      <c r="V377" s="485"/>
      <c r="W377" s="485"/>
      <c r="X377" s="485"/>
      <c r="Y377" s="485"/>
      <c r="Z377" s="485"/>
    </row>
    <row r="378">
      <c r="A378" s="485"/>
      <c r="B378" s="485"/>
      <c r="C378" s="485"/>
      <c r="D378" s="485"/>
      <c r="E378" s="485"/>
      <c r="F378" s="485"/>
      <c r="G378" s="485"/>
      <c r="H378" s="485"/>
      <c r="I378" s="485"/>
      <c r="J378" s="485"/>
      <c r="K378" s="485"/>
      <c r="L378" s="485"/>
      <c r="M378" s="485"/>
      <c r="N378" s="485"/>
      <c r="O378" s="485"/>
      <c r="P378" s="485"/>
      <c r="Q378" s="485"/>
      <c r="R378" s="485"/>
      <c r="S378" s="485"/>
      <c r="T378" s="485"/>
      <c r="U378" s="485"/>
      <c r="V378" s="485"/>
      <c r="W378" s="485"/>
      <c r="X378" s="485"/>
      <c r="Y378" s="485"/>
      <c r="Z378" s="485"/>
    </row>
    <row r="379">
      <c r="A379" s="485"/>
      <c r="B379" s="485"/>
      <c r="C379" s="485"/>
      <c r="D379" s="485"/>
      <c r="E379" s="485"/>
      <c r="F379" s="485"/>
      <c r="G379" s="485"/>
      <c r="H379" s="485"/>
      <c r="I379" s="485"/>
      <c r="J379" s="485"/>
      <c r="K379" s="485"/>
      <c r="L379" s="485"/>
      <c r="M379" s="485"/>
      <c r="N379" s="485"/>
      <c r="O379" s="485"/>
      <c r="P379" s="485"/>
      <c r="Q379" s="485"/>
      <c r="R379" s="485"/>
      <c r="S379" s="485"/>
      <c r="T379" s="485"/>
      <c r="U379" s="485"/>
      <c r="V379" s="485"/>
      <c r="W379" s="485"/>
      <c r="X379" s="485"/>
      <c r="Y379" s="485"/>
      <c r="Z379" s="485"/>
    </row>
    <row r="380">
      <c r="A380" s="485"/>
      <c r="B380" s="485"/>
      <c r="C380" s="485"/>
      <c r="D380" s="485"/>
      <c r="E380" s="485"/>
      <c r="F380" s="485"/>
      <c r="G380" s="485"/>
      <c r="H380" s="485"/>
      <c r="I380" s="485"/>
      <c r="J380" s="485"/>
      <c r="K380" s="485"/>
      <c r="L380" s="485"/>
      <c r="M380" s="485"/>
      <c r="N380" s="485"/>
      <c r="O380" s="485"/>
      <c r="P380" s="485"/>
      <c r="Q380" s="485"/>
      <c r="R380" s="485"/>
      <c r="S380" s="485"/>
      <c r="T380" s="485"/>
      <c r="U380" s="485"/>
      <c r="V380" s="485"/>
      <c r="W380" s="485"/>
      <c r="X380" s="485"/>
      <c r="Y380" s="485"/>
      <c r="Z380" s="485"/>
    </row>
    <row r="381">
      <c r="A381" s="485"/>
      <c r="B381" s="485"/>
      <c r="C381" s="485"/>
      <c r="D381" s="485"/>
      <c r="E381" s="485"/>
      <c r="F381" s="485"/>
      <c r="G381" s="485"/>
      <c r="H381" s="485"/>
      <c r="I381" s="485"/>
      <c r="J381" s="485"/>
      <c r="K381" s="485"/>
      <c r="L381" s="485"/>
      <c r="M381" s="485"/>
      <c r="N381" s="485"/>
      <c r="O381" s="485"/>
      <c r="P381" s="485"/>
      <c r="Q381" s="485"/>
      <c r="R381" s="485"/>
      <c r="S381" s="485"/>
      <c r="T381" s="485"/>
      <c r="U381" s="485"/>
      <c r="V381" s="485"/>
      <c r="W381" s="485"/>
      <c r="X381" s="485"/>
      <c r="Y381" s="485"/>
      <c r="Z381" s="485"/>
    </row>
    <row r="382">
      <c r="A382" s="485"/>
      <c r="B382" s="485"/>
      <c r="C382" s="485"/>
      <c r="D382" s="485"/>
      <c r="E382" s="485"/>
      <c r="F382" s="485"/>
      <c r="G382" s="485"/>
      <c r="H382" s="485"/>
      <c r="I382" s="485"/>
      <c r="J382" s="485"/>
      <c r="K382" s="485"/>
      <c r="L382" s="485"/>
      <c r="M382" s="485"/>
      <c r="N382" s="485"/>
      <c r="O382" s="485"/>
      <c r="P382" s="485"/>
      <c r="Q382" s="485"/>
      <c r="R382" s="485"/>
      <c r="S382" s="485"/>
      <c r="T382" s="485"/>
      <c r="U382" s="485"/>
      <c r="V382" s="485"/>
      <c r="W382" s="485"/>
      <c r="X382" s="485"/>
      <c r="Y382" s="485"/>
      <c r="Z382" s="485"/>
    </row>
    <row r="383">
      <c r="A383" s="485"/>
      <c r="B383" s="485"/>
      <c r="C383" s="485"/>
      <c r="D383" s="485"/>
      <c r="E383" s="485"/>
      <c r="F383" s="485"/>
      <c r="G383" s="485"/>
      <c r="H383" s="485"/>
      <c r="I383" s="485"/>
      <c r="J383" s="485"/>
      <c r="K383" s="485"/>
      <c r="L383" s="485"/>
      <c r="M383" s="485"/>
      <c r="N383" s="485"/>
      <c r="O383" s="485"/>
      <c r="P383" s="485"/>
      <c r="Q383" s="485"/>
      <c r="R383" s="485"/>
      <c r="S383" s="485"/>
      <c r="T383" s="485"/>
      <c r="U383" s="485"/>
      <c r="V383" s="485"/>
      <c r="W383" s="485"/>
      <c r="X383" s="485"/>
      <c r="Y383" s="485"/>
      <c r="Z383" s="485"/>
    </row>
    <row r="384">
      <c r="A384" s="485"/>
      <c r="B384" s="485"/>
      <c r="C384" s="485"/>
      <c r="D384" s="485"/>
      <c r="E384" s="485"/>
      <c r="F384" s="485"/>
      <c r="G384" s="485"/>
      <c r="H384" s="485"/>
      <c r="I384" s="485"/>
      <c r="J384" s="485"/>
      <c r="K384" s="485"/>
      <c r="L384" s="485"/>
      <c r="M384" s="485"/>
      <c r="N384" s="485"/>
      <c r="O384" s="485"/>
      <c r="P384" s="485"/>
      <c r="Q384" s="485"/>
      <c r="R384" s="485"/>
      <c r="S384" s="485"/>
      <c r="T384" s="485"/>
      <c r="U384" s="485"/>
      <c r="V384" s="485"/>
      <c r="W384" s="485"/>
      <c r="X384" s="485"/>
      <c r="Y384" s="485"/>
      <c r="Z384" s="485"/>
    </row>
    <row r="385">
      <c r="A385" s="485"/>
      <c r="B385" s="485"/>
      <c r="C385" s="485"/>
      <c r="D385" s="485"/>
      <c r="E385" s="485"/>
      <c r="F385" s="485"/>
      <c r="G385" s="485"/>
      <c r="H385" s="485"/>
      <c r="I385" s="485"/>
      <c r="J385" s="485"/>
      <c r="K385" s="485"/>
      <c r="L385" s="485"/>
      <c r="M385" s="485"/>
      <c r="N385" s="485"/>
      <c r="O385" s="485"/>
      <c r="P385" s="485"/>
      <c r="Q385" s="485"/>
      <c r="R385" s="485"/>
      <c r="S385" s="485"/>
      <c r="T385" s="485"/>
      <c r="U385" s="485"/>
      <c r="V385" s="485"/>
      <c r="W385" s="485"/>
      <c r="X385" s="485"/>
      <c r="Y385" s="485"/>
      <c r="Z385" s="485"/>
    </row>
    <row r="386">
      <c r="A386" s="485"/>
      <c r="B386" s="485"/>
      <c r="C386" s="485"/>
      <c r="D386" s="485"/>
      <c r="E386" s="485"/>
      <c r="F386" s="485"/>
      <c r="G386" s="485"/>
      <c r="H386" s="485"/>
      <c r="I386" s="485"/>
      <c r="J386" s="485"/>
      <c r="K386" s="485"/>
      <c r="L386" s="485"/>
      <c r="M386" s="485"/>
      <c r="N386" s="485"/>
      <c r="O386" s="485"/>
      <c r="P386" s="485"/>
      <c r="Q386" s="485"/>
      <c r="R386" s="485"/>
      <c r="S386" s="485"/>
      <c r="T386" s="485"/>
      <c r="U386" s="485"/>
      <c r="V386" s="485"/>
      <c r="W386" s="485"/>
      <c r="X386" s="485"/>
      <c r="Y386" s="485"/>
      <c r="Z386" s="485"/>
    </row>
    <row r="387">
      <c r="A387" s="485"/>
      <c r="B387" s="485"/>
      <c r="C387" s="485"/>
      <c r="D387" s="485"/>
      <c r="E387" s="485"/>
      <c r="F387" s="485"/>
      <c r="G387" s="485"/>
      <c r="H387" s="485"/>
      <c r="I387" s="485"/>
      <c r="J387" s="485"/>
      <c r="K387" s="485"/>
      <c r="L387" s="485"/>
      <c r="M387" s="485"/>
      <c r="N387" s="485"/>
      <c r="O387" s="485"/>
      <c r="P387" s="485"/>
      <c r="Q387" s="485"/>
      <c r="R387" s="485"/>
      <c r="S387" s="485"/>
      <c r="T387" s="485"/>
      <c r="U387" s="485"/>
      <c r="V387" s="485"/>
      <c r="W387" s="485"/>
      <c r="X387" s="485"/>
      <c r="Y387" s="485"/>
      <c r="Z387" s="485"/>
    </row>
    <row r="388">
      <c r="A388" s="485"/>
      <c r="B388" s="485"/>
      <c r="C388" s="485"/>
      <c r="D388" s="485"/>
      <c r="E388" s="485"/>
      <c r="F388" s="485"/>
      <c r="G388" s="485"/>
      <c r="H388" s="485"/>
      <c r="I388" s="485"/>
      <c r="J388" s="485"/>
      <c r="K388" s="485"/>
      <c r="L388" s="485"/>
      <c r="M388" s="485"/>
      <c r="N388" s="485"/>
      <c r="O388" s="485"/>
      <c r="P388" s="485"/>
      <c r="Q388" s="485"/>
      <c r="R388" s="485"/>
      <c r="S388" s="485"/>
      <c r="T388" s="485"/>
      <c r="U388" s="485"/>
      <c r="V388" s="485"/>
      <c r="W388" s="485"/>
      <c r="X388" s="485"/>
      <c r="Y388" s="485"/>
      <c r="Z388" s="485"/>
    </row>
    <row r="389">
      <c r="A389" s="485"/>
      <c r="B389" s="485"/>
      <c r="C389" s="485"/>
      <c r="D389" s="485"/>
      <c r="E389" s="485"/>
      <c r="F389" s="485"/>
      <c r="G389" s="485"/>
      <c r="H389" s="485"/>
      <c r="I389" s="485"/>
      <c r="J389" s="485"/>
      <c r="K389" s="485"/>
      <c r="L389" s="485"/>
      <c r="M389" s="485"/>
      <c r="N389" s="485"/>
      <c r="O389" s="485"/>
      <c r="P389" s="485"/>
      <c r="Q389" s="485"/>
      <c r="R389" s="485"/>
      <c r="S389" s="485"/>
      <c r="T389" s="485"/>
      <c r="U389" s="485"/>
      <c r="V389" s="485"/>
      <c r="W389" s="485"/>
      <c r="X389" s="485"/>
      <c r="Y389" s="485"/>
      <c r="Z389" s="485"/>
    </row>
    <row r="390">
      <c r="A390" s="485"/>
      <c r="B390" s="485"/>
      <c r="C390" s="485"/>
      <c r="D390" s="485"/>
      <c r="E390" s="485"/>
      <c r="F390" s="485"/>
      <c r="G390" s="485"/>
      <c r="H390" s="485"/>
      <c r="I390" s="485"/>
      <c r="J390" s="485"/>
      <c r="K390" s="485"/>
      <c r="L390" s="485"/>
      <c r="M390" s="485"/>
      <c r="N390" s="485"/>
      <c r="O390" s="485"/>
      <c r="P390" s="485"/>
      <c r="Q390" s="485"/>
      <c r="R390" s="485"/>
      <c r="S390" s="485"/>
      <c r="T390" s="485"/>
      <c r="U390" s="485"/>
      <c r="V390" s="485"/>
      <c r="W390" s="485"/>
      <c r="X390" s="485"/>
      <c r="Y390" s="485"/>
      <c r="Z390" s="485"/>
    </row>
    <row r="391">
      <c r="A391" s="485"/>
      <c r="B391" s="485"/>
      <c r="C391" s="485"/>
      <c r="D391" s="485"/>
      <c r="E391" s="485"/>
      <c r="F391" s="485"/>
      <c r="G391" s="485"/>
      <c r="H391" s="485"/>
      <c r="I391" s="485"/>
      <c r="J391" s="485"/>
      <c r="K391" s="485"/>
      <c r="L391" s="485"/>
      <c r="M391" s="485"/>
      <c r="N391" s="485"/>
      <c r="O391" s="485"/>
      <c r="P391" s="485"/>
      <c r="Q391" s="485"/>
      <c r="R391" s="485"/>
      <c r="S391" s="485"/>
      <c r="T391" s="485"/>
      <c r="U391" s="485"/>
      <c r="V391" s="485"/>
      <c r="W391" s="485"/>
      <c r="X391" s="485"/>
      <c r="Y391" s="485"/>
      <c r="Z391" s="485"/>
    </row>
    <row r="392">
      <c r="A392" s="485"/>
      <c r="B392" s="485"/>
      <c r="C392" s="485"/>
      <c r="D392" s="485"/>
      <c r="E392" s="485"/>
      <c r="F392" s="485"/>
      <c r="G392" s="485"/>
      <c r="H392" s="485"/>
      <c r="I392" s="485"/>
      <c r="J392" s="485"/>
      <c r="K392" s="485"/>
      <c r="L392" s="485"/>
      <c r="M392" s="485"/>
      <c r="N392" s="485"/>
      <c r="O392" s="485"/>
      <c r="P392" s="485"/>
      <c r="Q392" s="485"/>
      <c r="R392" s="485"/>
      <c r="S392" s="485"/>
      <c r="T392" s="485"/>
      <c r="U392" s="485"/>
      <c r="V392" s="485"/>
      <c r="W392" s="485"/>
      <c r="X392" s="485"/>
      <c r="Y392" s="485"/>
      <c r="Z392" s="485"/>
    </row>
    <row r="393">
      <c r="A393" s="485"/>
      <c r="B393" s="485"/>
      <c r="C393" s="485"/>
      <c r="D393" s="485"/>
      <c r="E393" s="485"/>
      <c r="F393" s="485"/>
      <c r="G393" s="485"/>
      <c r="H393" s="485"/>
      <c r="I393" s="485"/>
      <c r="J393" s="485"/>
      <c r="K393" s="485"/>
      <c r="L393" s="485"/>
      <c r="M393" s="485"/>
      <c r="N393" s="485"/>
      <c r="O393" s="485"/>
      <c r="P393" s="485"/>
      <c r="Q393" s="485"/>
      <c r="R393" s="485"/>
      <c r="S393" s="485"/>
      <c r="T393" s="485"/>
      <c r="U393" s="485"/>
      <c r="V393" s="485"/>
      <c r="W393" s="485"/>
      <c r="X393" s="485"/>
      <c r="Y393" s="485"/>
      <c r="Z393" s="485"/>
    </row>
    <row r="394">
      <c r="A394" s="485"/>
      <c r="B394" s="485"/>
      <c r="C394" s="485"/>
      <c r="D394" s="485"/>
      <c r="E394" s="485"/>
      <c r="F394" s="485"/>
      <c r="G394" s="485"/>
      <c r="H394" s="485"/>
      <c r="I394" s="485"/>
      <c r="J394" s="485"/>
      <c r="K394" s="485"/>
      <c r="L394" s="485"/>
      <c r="M394" s="485"/>
      <c r="N394" s="485"/>
      <c r="O394" s="485"/>
      <c r="P394" s="485"/>
      <c r="Q394" s="485"/>
      <c r="R394" s="485"/>
      <c r="S394" s="485"/>
      <c r="T394" s="485"/>
      <c r="U394" s="485"/>
      <c r="V394" s="485"/>
      <c r="W394" s="485"/>
      <c r="X394" s="485"/>
      <c r="Y394" s="485"/>
      <c r="Z394" s="485"/>
    </row>
    <row r="395">
      <c r="A395" s="485"/>
      <c r="B395" s="485"/>
      <c r="C395" s="485"/>
      <c r="D395" s="485"/>
      <c r="E395" s="485"/>
      <c r="F395" s="485"/>
      <c r="G395" s="485"/>
      <c r="H395" s="485"/>
      <c r="I395" s="485"/>
      <c r="J395" s="485"/>
      <c r="K395" s="485"/>
      <c r="L395" s="485"/>
      <c r="M395" s="485"/>
      <c r="N395" s="485"/>
      <c r="O395" s="485"/>
      <c r="P395" s="485"/>
      <c r="Q395" s="485"/>
      <c r="R395" s="485"/>
      <c r="S395" s="485"/>
      <c r="T395" s="485"/>
      <c r="U395" s="485"/>
      <c r="V395" s="485"/>
      <c r="W395" s="485"/>
      <c r="X395" s="485"/>
      <c r="Y395" s="485"/>
      <c r="Z395" s="485"/>
    </row>
    <row r="396">
      <c r="A396" s="485"/>
      <c r="B396" s="485"/>
      <c r="C396" s="485"/>
      <c r="D396" s="485"/>
      <c r="E396" s="485"/>
      <c r="F396" s="485"/>
      <c r="G396" s="485"/>
      <c r="H396" s="485"/>
      <c r="I396" s="485"/>
      <c r="J396" s="485"/>
      <c r="K396" s="485"/>
      <c r="L396" s="485"/>
      <c r="M396" s="485"/>
      <c r="N396" s="485"/>
      <c r="O396" s="485"/>
      <c r="P396" s="485"/>
      <c r="Q396" s="485"/>
      <c r="R396" s="485"/>
      <c r="S396" s="485"/>
      <c r="T396" s="485"/>
      <c r="U396" s="485"/>
      <c r="V396" s="485"/>
      <c r="W396" s="485"/>
      <c r="X396" s="485"/>
      <c r="Y396" s="485"/>
      <c r="Z396" s="485"/>
    </row>
    <row r="397">
      <c r="A397" s="485"/>
      <c r="B397" s="485"/>
      <c r="C397" s="485"/>
      <c r="D397" s="485"/>
      <c r="E397" s="485"/>
      <c r="F397" s="485"/>
      <c r="G397" s="485"/>
      <c r="H397" s="485"/>
      <c r="I397" s="485"/>
      <c r="J397" s="485"/>
      <c r="K397" s="485"/>
      <c r="L397" s="485"/>
      <c r="M397" s="485"/>
      <c r="N397" s="485"/>
      <c r="O397" s="485"/>
      <c r="P397" s="485"/>
      <c r="Q397" s="485"/>
      <c r="R397" s="485"/>
      <c r="S397" s="485"/>
      <c r="T397" s="485"/>
      <c r="U397" s="485"/>
      <c r="V397" s="485"/>
      <c r="W397" s="485"/>
      <c r="X397" s="485"/>
      <c r="Y397" s="485"/>
      <c r="Z397" s="485"/>
    </row>
    <row r="398">
      <c r="A398" s="485"/>
      <c r="B398" s="485"/>
      <c r="C398" s="485"/>
      <c r="D398" s="485"/>
      <c r="E398" s="485"/>
      <c r="F398" s="485"/>
      <c r="G398" s="485"/>
      <c r="H398" s="485"/>
      <c r="I398" s="485"/>
      <c r="J398" s="485"/>
      <c r="K398" s="485"/>
      <c r="L398" s="485"/>
      <c r="M398" s="485"/>
      <c r="N398" s="485"/>
      <c r="O398" s="485"/>
      <c r="P398" s="485"/>
      <c r="Q398" s="485"/>
      <c r="R398" s="485"/>
      <c r="S398" s="485"/>
      <c r="T398" s="485"/>
      <c r="U398" s="485"/>
      <c r="V398" s="485"/>
      <c r="W398" s="485"/>
      <c r="X398" s="485"/>
      <c r="Y398" s="485"/>
      <c r="Z398" s="485"/>
    </row>
    <row r="399">
      <c r="A399" s="485"/>
      <c r="B399" s="485"/>
      <c r="C399" s="485"/>
      <c r="D399" s="485"/>
      <c r="E399" s="485"/>
      <c r="F399" s="485"/>
      <c r="G399" s="485"/>
      <c r="H399" s="485"/>
      <c r="I399" s="485"/>
      <c r="J399" s="485"/>
      <c r="K399" s="485"/>
      <c r="L399" s="485"/>
      <c r="M399" s="485"/>
      <c r="N399" s="485"/>
      <c r="O399" s="485"/>
      <c r="P399" s="485"/>
      <c r="Q399" s="485"/>
      <c r="R399" s="485"/>
      <c r="S399" s="485"/>
      <c r="T399" s="485"/>
      <c r="U399" s="485"/>
      <c r="V399" s="485"/>
      <c r="W399" s="485"/>
      <c r="X399" s="485"/>
      <c r="Y399" s="485"/>
      <c r="Z399" s="485"/>
    </row>
    <row r="400">
      <c r="A400" s="485"/>
      <c r="B400" s="485"/>
      <c r="C400" s="485"/>
      <c r="D400" s="485"/>
      <c r="E400" s="485"/>
      <c r="F400" s="485"/>
      <c r="G400" s="485"/>
      <c r="H400" s="485"/>
      <c r="I400" s="485"/>
      <c r="J400" s="485"/>
      <c r="K400" s="485"/>
      <c r="L400" s="485"/>
      <c r="M400" s="485"/>
      <c r="N400" s="485"/>
      <c r="O400" s="485"/>
      <c r="P400" s="485"/>
      <c r="Q400" s="485"/>
      <c r="R400" s="485"/>
      <c r="S400" s="485"/>
      <c r="T400" s="485"/>
      <c r="U400" s="485"/>
      <c r="V400" s="485"/>
      <c r="W400" s="485"/>
      <c r="X400" s="485"/>
      <c r="Y400" s="485"/>
      <c r="Z400" s="485"/>
    </row>
    <row r="401">
      <c r="A401" s="485"/>
      <c r="B401" s="485"/>
      <c r="C401" s="485"/>
      <c r="D401" s="485"/>
      <c r="E401" s="485"/>
      <c r="F401" s="485"/>
      <c r="G401" s="485"/>
      <c r="H401" s="485"/>
      <c r="I401" s="485"/>
      <c r="J401" s="485"/>
      <c r="K401" s="485"/>
      <c r="L401" s="485"/>
      <c r="M401" s="485"/>
      <c r="N401" s="485"/>
      <c r="O401" s="485"/>
      <c r="P401" s="485"/>
      <c r="Q401" s="485"/>
      <c r="R401" s="485"/>
      <c r="S401" s="485"/>
      <c r="T401" s="485"/>
      <c r="U401" s="485"/>
      <c r="V401" s="485"/>
      <c r="W401" s="485"/>
      <c r="X401" s="485"/>
      <c r="Y401" s="485"/>
      <c r="Z401" s="485"/>
    </row>
    <row r="402">
      <c r="A402" s="485"/>
      <c r="B402" s="485"/>
      <c r="C402" s="485"/>
      <c r="D402" s="485"/>
      <c r="E402" s="485"/>
      <c r="F402" s="485"/>
      <c r="G402" s="485"/>
      <c r="H402" s="485"/>
      <c r="I402" s="485"/>
      <c r="J402" s="485"/>
      <c r="K402" s="485"/>
      <c r="L402" s="485"/>
      <c r="M402" s="485"/>
      <c r="N402" s="485"/>
      <c r="O402" s="485"/>
      <c r="P402" s="485"/>
      <c r="Q402" s="485"/>
      <c r="R402" s="485"/>
      <c r="S402" s="485"/>
      <c r="T402" s="485"/>
      <c r="U402" s="485"/>
      <c r="V402" s="485"/>
      <c r="W402" s="485"/>
      <c r="X402" s="485"/>
      <c r="Y402" s="485"/>
      <c r="Z402" s="485"/>
    </row>
    <row r="403">
      <c r="A403" s="485"/>
      <c r="B403" s="485"/>
      <c r="C403" s="485"/>
      <c r="D403" s="485"/>
      <c r="E403" s="485"/>
      <c r="F403" s="485"/>
      <c r="G403" s="485"/>
      <c r="H403" s="485"/>
      <c r="I403" s="485"/>
      <c r="J403" s="485"/>
      <c r="K403" s="485"/>
      <c r="L403" s="485"/>
      <c r="M403" s="485"/>
      <c r="N403" s="485"/>
      <c r="O403" s="485"/>
      <c r="P403" s="485"/>
      <c r="Q403" s="485"/>
      <c r="R403" s="485"/>
      <c r="S403" s="485"/>
      <c r="T403" s="485"/>
      <c r="U403" s="485"/>
      <c r="V403" s="485"/>
      <c r="W403" s="485"/>
      <c r="X403" s="485"/>
      <c r="Y403" s="485"/>
      <c r="Z403" s="485"/>
    </row>
    <row r="404">
      <c r="A404" s="485"/>
      <c r="B404" s="485"/>
      <c r="C404" s="485"/>
      <c r="D404" s="485"/>
      <c r="E404" s="485"/>
      <c r="F404" s="485"/>
      <c r="G404" s="485"/>
      <c r="H404" s="485"/>
      <c r="I404" s="485"/>
      <c r="J404" s="485"/>
      <c r="K404" s="485"/>
      <c r="L404" s="485"/>
      <c r="M404" s="485"/>
      <c r="N404" s="485"/>
      <c r="O404" s="485"/>
      <c r="P404" s="485"/>
      <c r="Q404" s="485"/>
      <c r="R404" s="485"/>
      <c r="S404" s="485"/>
      <c r="T404" s="485"/>
      <c r="U404" s="485"/>
      <c r="V404" s="485"/>
      <c r="W404" s="485"/>
      <c r="X404" s="485"/>
      <c r="Y404" s="485"/>
      <c r="Z404" s="485"/>
    </row>
    <row r="405">
      <c r="A405" s="485"/>
      <c r="B405" s="485"/>
      <c r="C405" s="485"/>
      <c r="D405" s="485"/>
      <c r="E405" s="485"/>
      <c r="F405" s="485"/>
      <c r="G405" s="485"/>
      <c r="H405" s="485"/>
      <c r="I405" s="485"/>
      <c r="J405" s="485"/>
      <c r="K405" s="485"/>
      <c r="L405" s="485"/>
      <c r="M405" s="485"/>
      <c r="N405" s="485"/>
      <c r="O405" s="485"/>
      <c r="P405" s="485"/>
      <c r="Q405" s="485"/>
      <c r="R405" s="485"/>
      <c r="S405" s="485"/>
      <c r="T405" s="485"/>
      <c r="U405" s="485"/>
      <c r="V405" s="485"/>
      <c r="W405" s="485"/>
      <c r="X405" s="485"/>
      <c r="Y405" s="485"/>
      <c r="Z405" s="485"/>
    </row>
    <row r="406">
      <c r="A406" s="485"/>
      <c r="B406" s="485"/>
      <c r="C406" s="485"/>
      <c r="D406" s="485"/>
      <c r="E406" s="485"/>
      <c r="F406" s="485"/>
      <c r="G406" s="485"/>
      <c r="H406" s="485"/>
      <c r="I406" s="485"/>
      <c r="J406" s="485"/>
      <c r="K406" s="485"/>
      <c r="L406" s="485"/>
      <c r="M406" s="485"/>
      <c r="N406" s="485"/>
      <c r="O406" s="485"/>
      <c r="P406" s="485"/>
      <c r="Q406" s="485"/>
      <c r="R406" s="485"/>
      <c r="S406" s="485"/>
      <c r="T406" s="485"/>
      <c r="U406" s="485"/>
      <c r="V406" s="485"/>
      <c r="W406" s="485"/>
      <c r="X406" s="485"/>
      <c r="Y406" s="485"/>
      <c r="Z406" s="485"/>
    </row>
    <row r="407">
      <c r="A407" s="485"/>
      <c r="B407" s="485"/>
      <c r="C407" s="485"/>
      <c r="D407" s="485"/>
      <c r="E407" s="485"/>
      <c r="F407" s="485"/>
      <c r="G407" s="485"/>
      <c r="H407" s="485"/>
      <c r="I407" s="485"/>
      <c r="J407" s="485"/>
      <c r="K407" s="485"/>
      <c r="L407" s="485"/>
      <c r="M407" s="485"/>
      <c r="N407" s="485"/>
      <c r="O407" s="485"/>
      <c r="P407" s="485"/>
      <c r="Q407" s="485"/>
      <c r="R407" s="485"/>
      <c r="S407" s="485"/>
      <c r="T407" s="485"/>
      <c r="U407" s="485"/>
      <c r="V407" s="485"/>
      <c r="W407" s="485"/>
      <c r="X407" s="485"/>
      <c r="Y407" s="485"/>
      <c r="Z407" s="485"/>
    </row>
    <row r="408">
      <c r="A408" s="485"/>
      <c r="B408" s="485"/>
      <c r="C408" s="485"/>
      <c r="D408" s="485"/>
      <c r="E408" s="485"/>
      <c r="F408" s="485"/>
      <c r="G408" s="485"/>
      <c r="H408" s="485"/>
      <c r="I408" s="485"/>
      <c r="J408" s="485"/>
      <c r="K408" s="485"/>
      <c r="L408" s="485"/>
      <c r="M408" s="485"/>
      <c r="N408" s="485"/>
      <c r="O408" s="485"/>
      <c r="P408" s="485"/>
      <c r="Q408" s="485"/>
      <c r="R408" s="485"/>
      <c r="S408" s="485"/>
      <c r="T408" s="485"/>
      <c r="U408" s="485"/>
      <c r="V408" s="485"/>
      <c r="W408" s="485"/>
      <c r="X408" s="485"/>
      <c r="Y408" s="485"/>
      <c r="Z408" s="485"/>
    </row>
    <row r="409">
      <c r="A409" s="485"/>
      <c r="B409" s="485"/>
      <c r="C409" s="485"/>
      <c r="D409" s="485"/>
      <c r="E409" s="485"/>
      <c r="F409" s="485"/>
      <c r="G409" s="485"/>
      <c r="H409" s="485"/>
      <c r="I409" s="485"/>
      <c r="J409" s="485"/>
      <c r="K409" s="485"/>
      <c r="L409" s="485"/>
      <c r="M409" s="485"/>
      <c r="N409" s="485"/>
      <c r="O409" s="485"/>
      <c r="P409" s="485"/>
      <c r="Q409" s="485"/>
      <c r="R409" s="485"/>
      <c r="S409" s="485"/>
      <c r="T409" s="485"/>
      <c r="U409" s="485"/>
      <c r="V409" s="485"/>
      <c r="W409" s="485"/>
      <c r="X409" s="485"/>
      <c r="Y409" s="485"/>
      <c r="Z409" s="485"/>
    </row>
    <row r="410">
      <c r="A410" s="485"/>
      <c r="B410" s="485"/>
      <c r="C410" s="485"/>
      <c r="D410" s="485"/>
      <c r="E410" s="485"/>
      <c r="F410" s="485"/>
      <c r="G410" s="485"/>
      <c r="H410" s="485"/>
      <c r="I410" s="485"/>
      <c r="J410" s="485"/>
      <c r="K410" s="485"/>
      <c r="L410" s="485"/>
      <c r="M410" s="485"/>
      <c r="N410" s="485"/>
      <c r="O410" s="485"/>
      <c r="P410" s="485"/>
      <c r="Q410" s="485"/>
      <c r="R410" s="485"/>
      <c r="S410" s="485"/>
      <c r="T410" s="485"/>
      <c r="U410" s="485"/>
      <c r="V410" s="485"/>
      <c r="W410" s="485"/>
      <c r="X410" s="485"/>
      <c r="Y410" s="485"/>
      <c r="Z410" s="485"/>
    </row>
    <row r="411">
      <c r="A411" s="485"/>
      <c r="B411" s="485"/>
      <c r="C411" s="485"/>
      <c r="D411" s="485"/>
      <c r="E411" s="485"/>
      <c r="F411" s="485"/>
      <c r="G411" s="485"/>
      <c r="H411" s="485"/>
      <c r="I411" s="485"/>
      <c r="J411" s="485"/>
      <c r="K411" s="485"/>
      <c r="L411" s="485"/>
      <c r="M411" s="485"/>
      <c r="N411" s="485"/>
      <c r="O411" s="485"/>
      <c r="P411" s="485"/>
      <c r="Q411" s="485"/>
      <c r="R411" s="485"/>
      <c r="S411" s="485"/>
      <c r="T411" s="485"/>
      <c r="U411" s="485"/>
      <c r="V411" s="485"/>
      <c r="W411" s="485"/>
      <c r="X411" s="485"/>
      <c r="Y411" s="485"/>
      <c r="Z411" s="485"/>
    </row>
    <row r="412">
      <c r="A412" s="485"/>
      <c r="B412" s="485"/>
      <c r="C412" s="485"/>
      <c r="D412" s="485"/>
      <c r="E412" s="485"/>
      <c r="F412" s="485"/>
      <c r="G412" s="485"/>
      <c r="H412" s="485"/>
      <c r="I412" s="485"/>
      <c r="J412" s="485"/>
      <c r="K412" s="485"/>
      <c r="L412" s="485"/>
      <c r="M412" s="485"/>
      <c r="N412" s="485"/>
      <c r="O412" s="485"/>
      <c r="P412" s="485"/>
      <c r="Q412" s="485"/>
      <c r="R412" s="485"/>
      <c r="S412" s="485"/>
      <c r="T412" s="485"/>
      <c r="U412" s="485"/>
      <c r="V412" s="485"/>
      <c r="W412" s="485"/>
      <c r="X412" s="485"/>
      <c r="Y412" s="485"/>
      <c r="Z412" s="485"/>
    </row>
    <row r="413">
      <c r="A413" s="485"/>
      <c r="B413" s="485"/>
      <c r="C413" s="485"/>
      <c r="D413" s="485"/>
      <c r="E413" s="485"/>
      <c r="F413" s="485"/>
      <c r="G413" s="485"/>
      <c r="H413" s="485"/>
      <c r="I413" s="485"/>
      <c r="J413" s="485"/>
      <c r="K413" s="485"/>
      <c r="L413" s="485"/>
      <c r="M413" s="485"/>
      <c r="N413" s="485"/>
      <c r="O413" s="485"/>
      <c r="P413" s="485"/>
      <c r="Q413" s="485"/>
      <c r="R413" s="485"/>
      <c r="S413" s="485"/>
      <c r="T413" s="485"/>
      <c r="U413" s="485"/>
      <c r="V413" s="485"/>
      <c r="W413" s="485"/>
      <c r="X413" s="485"/>
      <c r="Y413" s="485"/>
      <c r="Z413" s="485"/>
    </row>
    <row r="414">
      <c r="A414" s="485"/>
      <c r="B414" s="485"/>
      <c r="C414" s="485"/>
      <c r="D414" s="485"/>
      <c r="E414" s="485"/>
      <c r="F414" s="485"/>
      <c r="G414" s="485"/>
      <c r="H414" s="485"/>
      <c r="I414" s="485"/>
      <c r="J414" s="485"/>
      <c r="K414" s="485"/>
      <c r="L414" s="485"/>
      <c r="M414" s="485"/>
      <c r="N414" s="485"/>
      <c r="O414" s="485"/>
      <c r="P414" s="485"/>
      <c r="Q414" s="485"/>
      <c r="R414" s="485"/>
      <c r="S414" s="485"/>
      <c r="T414" s="485"/>
      <c r="U414" s="485"/>
      <c r="V414" s="485"/>
      <c r="W414" s="485"/>
      <c r="X414" s="485"/>
      <c r="Y414" s="485"/>
      <c r="Z414" s="485"/>
    </row>
    <row r="415">
      <c r="A415" s="485"/>
      <c r="B415" s="485"/>
      <c r="C415" s="485"/>
      <c r="D415" s="485"/>
      <c r="E415" s="485"/>
      <c r="F415" s="485"/>
      <c r="G415" s="485"/>
      <c r="H415" s="485"/>
      <c r="I415" s="485"/>
      <c r="J415" s="485"/>
      <c r="K415" s="485"/>
      <c r="L415" s="485"/>
      <c r="M415" s="485"/>
      <c r="N415" s="485"/>
      <c r="O415" s="485"/>
      <c r="P415" s="485"/>
      <c r="Q415" s="485"/>
      <c r="R415" s="485"/>
      <c r="S415" s="485"/>
      <c r="T415" s="485"/>
      <c r="U415" s="485"/>
      <c r="V415" s="485"/>
      <c r="W415" s="485"/>
      <c r="X415" s="485"/>
      <c r="Y415" s="485"/>
      <c r="Z415" s="485"/>
    </row>
    <row r="416">
      <c r="A416" s="485"/>
      <c r="B416" s="485"/>
      <c r="C416" s="485"/>
      <c r="D416" s="485"/>
      <c r="E416" s="485"/>
      <c r="F416" s="485"/>
      <c r="G416" s="485"/>
      <c r="H416" s="485"/>
      <c r="I416" s="485"/>
      <c r="J416" s="485"/>
      <c r="K416" s="485"/>
      <c r="L416" s="485"/>
      <c r="M416" s="485"/>
      <c r="N416" s="485"/>
      <c r="O416" s="485"/>
      <c r="P416" s="485"/>
      <c r="Q416" s="485"/>
      <c r="R416" s="485"/>
      <c r="S416" s="485"/>
      <c r="T416" s="485"/>
      <c r="U416" s="485"/>
      <c r="V416" s="485"/>
      <c r="W416" s="485"/>
      <c r="X416" s="485"/>
      <c r="Y416" s="485"/>
      <c r="Z416" s="485"/>
    </row>
    <row r="417">
      <c r="A417" s="485"/>
      <c r="B417" s="485"/>
      <c r="C417" s="485"/>
      <c r="D417" s="485"/>
      <c r="E417" s="485"/>
      <c r="F417" s="485"/>
      <c r="G417" s="485"/>
      <c r="H417" s="485"/>
      <c r="I417" s="485"/>
      <c r="J417" s="485"/>
      <c r="K417" s="485"/>
      <c r="L417" s="485"/>
      <c r="M417" s="485"/>
      <c r="N417" s="485"/>
      <c r="O417" s="485"/>
      <c r="P417" s="485"/>
      <c r="Q417" s="485"/>
      <c r="R417" s="485"/>
      <c r="S417" s="485"/>
      <c r="T417" s="485"/>
      <c r="U417" s="485"/>
      <c r="V417" s="485"/>
      <c r="W417" s="485"/>
      <c r="X417" s="485"/>
      <c r="Y417" s="485"/>
      <c r="Z417" s="485"/>
    </row>
    <row r="418">
      <c r="A418" s="485"/>
      <c r="B418" s="485"/>
      <c r="C418" s="485"/>
      <c r="D418" s="485"/>
      <c r="E418" s="485"/>
      <c r="F418" s="485"/>
      <c r="G418" s="485"/>
      <c r="H418" s="485"/>
      <c r="I418" s="485"/>
      <c r="J418" s="485"/>
      <c r="K418" s="485"/>
      <c r="L418" s="485"/>
      <c r="M418" s="485"/>
      <c r="N418" s="485"/>
      <c r="O418" s="485"/>
      <c r="P418" s="485"/>
      <c r="Q418" s="485"/>
      <c r="R418" s="485"/>
      <c r="S418" s="485"/>
      <c r="T418" s="485"/>
      <c r="U418" s="485"/>
      <c r="V418" s="485"/>
      <c r="W418" s="485"/>
      <c r="X418" s="485"/>
      <c r="Y418" s="485"/>
      <c r="Z418" s="485"/>
    </row>
    <row r="419">
      <c r="A419" s="485"/>
      <c r="B419" s="485"/>
      <c r="C419" s="485"/>
      <c r="D419" s="485"/>
      <c r="E419" s="485"/>
      <c r="F419" s="485"/>
      <c r="G419" s="485"/>
      <c r="H419" s="485"/>
      <c r="I419" s="485"/>
      <c r="J419" s="485"/>
      <c r="K419" s="485"/>
      <c r="L419" s="485"/>
      <c r="M419" s="485"/>
      <c r="N419" s="485"/>
      <c r="O419" s="485"/>
      <c r="P419" s="485"/>
      <c r="Q419" s="485"/>
      <c r="R419" s="485"/>
      <c r="S419" s="485"/>
      <c r="T419" s="485"/>
      <c r="U419" s="485"/>
      <c r="V419" s="485"/>
      <c r="W419" s="485"/>
      <c r="X419" s="485"/>
      <c r="Y419" s="485"/>
      <c r="Z419" s="485"/>
    </row>
    <row r="420">
      <c r="A420" s="485"/>
      <c r="B420" s="485"/>
      <c r="C420" s="485"/>
      <c r="D420" s="485"/>
      <c r="E420" s="485"/>
      <c r="F420" s="485"/>
      <c r="G420" s="485"/>
      <c r="H420" s="485"/>
      <c r="I420" s="485"/>
      <c r="J420" s="485"/>
      <c r="K420" s="485"/>
      <c r="L420" s="485"/>
      <c r="M420" s="485"/>
      <c r="N420" s="485"/>
      <c r="O420" s="485"/>
      <c r="P420" s="485"/>
      <c r="Q420" s="485"/>
      <c r="R420" s="485"/>
      <c r="S420" s="485"/>
      <c r="T420" s="485"/>
      <c r="U420" s="485"/>
      <c r="V420" s="485"/>
      <c r="W420" s="485"/>
      <c r="X420" s="485"/>
      <c r="Y420" s="485"/>
      <c r="Z420" s="485"/>
    </row>
    <row r="421">
      <c r="A421" s="485"/>
      <c r="B421" s="485"/>
      <c r="C421" s="485"/>
      <c r="D421" s="485"/>
      <c r="E421" s="485"/>
      <c r="F421" s="485"/>
      <c r="G421" s="485"/>
      <c r="H421" s="485"/>
      <c r="I421" s="485"/>
      <c r="J421" s="485"/>
      <c r="K421" s="485"/>
      <c r="L421" s="485"/>
      <c r="M421" s="485"/>
      <c r="N421" s="485"/>
      <c r="O421" s="485"/>
      <c r="P421" s="485"/>
      <c r="Q421" s="485"/>
      <c r="R421" s="485"/>
      <c r="S421" s="485"/>
      <c r="T421" s="485"/>
      <c r="U421" s="485"/>
      <c r="V421" s="485"/>
      <c r="W421" s="485"/>
      <c r="X421" s="485"/>
      <c r="Y421" s="485"/>
      <c r="Z421" s="485"/>
    </row>
    <row r="422">
      <c r="A422" s="485"/>
      <c r="B422" s="485"/>
      <c r="C422" s="485"/>
      <c r="D422" s="485"/>
      <c r="E422" s="485"/>
      <c r="F422" s="485"/>
      <c r="G422" s="485"/>
      <c r="H422" s="485"/>
      <c r="I422" s="485"/>
      <c r="J422" s="485"/>
      <c r="K422" s="485"/>
      <c r="L422" s="485"/>
      <c r="M422" s="485"/>
      <c r="N422" s="485"/>
      <c r="O422" s="485"/>
      <c r="P422" s="485"/>
      <c r="Q422" s="485"/>
      <c r="R422" s="485"/>
      <c r="S422" s="485"/>
      <c r="T422" s="485"/>
      <c r="U422" s="485"/>
      <c r="V422" s="485"/>
      <c r="W422" s="485"/>
      <c r="X422" s="485"/>
      <c r="Y422" s="485"/>
      <c r="Z422" s="485"/>
    </row>
    <row r="423">
      <c r="A423" s="485"/>
      <c r="B423" s="485"/>
      <c r="C423" s="485"/>
      <c r="D423" s="485"/>
      <c r="E423" s="485"/>
      <c r="F423" s="485"/>
      <c r="G423" s="485"/>
      <c r="H423" s="485"/>
      <c r="I423" s="485"/>
      <c r="J423" s="485"/>
      <c r="K423" s="485"/>
      <c r="L423" s="485"/>
      <c r="M423" s="485"/>
      <c r="N423" s="485"/>
      <c r="O423" s="485"/>
      <c r="P423" s="485"/>
      <c r="Q423" s="485"/>
      <c r="R423" s="485"/>
      <c r="S423" s="485"/>
      <c r="T423" s="485"/>
      <c r="U423" s="485"/>
      <c r="V423" s="485"/>
      <c r="W423" s="485"/>
      <c r="X423" s="485"/>
      <c r="Y423" s="485"/>
      <c r="Z423" s="485"/>
    </row>
    <row r="424">
      <c r="A424" s="485"/>
      <c r="B424" s="485"/>
      <c r="C424" s="485"/>
      <c r="D424" s="485"/>
      <c r="E424" s="485"/>
      <c r="F424" s="485"/>
      <c r="G424" s="485"/>
      <c r="H424" s="485"/>
      <c r="I424" s="485"/>
      <c r="J424" s="485"/>
      <c r="K424" s="485"/>
      <c r="L424" s="485"/>
      <c r="M424" s="485"/>
      <c r="N424" s="485"/>
      <c r="O424" s="485"/>
      <c r="P424" s="485"/>
      <c r="Q424" s="485"/>
      <c r="R424" s="485"/>
      <c r="S424" s="485"/>
      <c r="T424" s="485"/>
      <c r="U424" s="485"/>
      <c r="V424" s="485"/>
      <c r="W424" s="485"/>
      <c r="X424" s="485"/>
      <c r="Y424" s="485"/>
      <c r="Z424" s="485"/>
    </row>
    <row r="425">
      <c r="A425" s="485"/>
      <c r="B425" s="485"/>
      <c r="C425" s="485"/>
      <c r="D425" s="485"/>
      <c r="E425" s="485"/>
      <c r="F425" s="485"/>
      <c r="G425" s="485"/>
      <c r="H425" s="485"/>
      <c r="I425" s="485"/>
      <c r="J425" s="485"/>
      <c r="K425" s="485"/>
      <c r="L425" s="485"/>
      <c r="M425" s="485"/>
      <c r="N425" s="485"/>
      <c r="O425" s="485"/>
      <c r="P425" s="485"/>
      <c r="Q425" s="485"/>
      <c r="R425" s="485"/>
      <c r="S425" s="485"/>
      <c r="T425" s="485"/>
      <c r="U425" s="485"/>
      <c r="V425" s="485"/>
      <c r="W425" s="485"/>
      <c r="X425" s="485"/>
      <c r="Y425" s="485"/>
      <c r="Z425" s="485"/>
    </row>
    <row r="426">
      <c r="A426" s="485"/>
      <c r="B426" s="485"/>
      <c r="C426" s="485"/>
      <c r="D426" s="485"/>
      <c r="E426" s="485"/>
      <c r="F426" s="485"/>
      <c r="G426" s="485"/>
      <c r="H426" s="485"/>
      <c r="I426" s="485"/>
      <c r="J426" s="485"/>
      <c r="K426" s="485"/>
      <c r="L426" s="485"/>
      <c r="M426" s="485"/>
      <c r="N426" s="485"/>
      <c r="O426" s="485"/>
      <c r="P426" s="485"/>
      <c r="Q426" s="485"/>
      <c r="R426" s="485"/>
      <c r="S426" s="485"/>
      <c r="T426" s="485"/>
      <c r="U426" s="485"/>
      <c r="V426" s="485"/>
      <c r="W426" s="485"/>
      <c r="X426" s="485"/>
      <c r="Y426" s="485"/>
      <c r="Z426" s="485"/>
    </row>
    <row r="427">
      <c r="A427" s="485"/>
      <c r="B427" s="485"/>
      <c r="C427" s="485"/>
      <c r="D427" s="485"/>
      <c r="E427" s="485"/>
      <c r="F427" s="485"/>
      <c r="G427" s="485"/>
      <c r="H427" s="485"/>
      <c r="I427" s="485"/>
      <c r="J427" s="485"/>
      <c r="K427" s="485"/>
      <c r="L427" s="485"/>
      <c r="M427" s="485"/>
      <c r="N427" s="485"/>
      <c r="O427" s="485"/>
      <c r="P427" s="485"/>
      <c r="Q427" s="485"/>
      <c r="R427" s="485"/>
      <c r="S427" s="485"/>
      <c r="T427" s="485"/>
      <c r="U427" s="485"/>
      <c r="V427" s="485"/>
      <c r="W427" s="485"/>
      <c r="X427" s="485"/>
      <c r="Y427" s="485"/>
      <c r="Z427" s="485"/>
    </row>
    <row r="428">
      <c r="A428" s="485"/>
      <c r="B428" s="485"/>
      <c r="C428" s="485"/>
      <c r="D428" s="485"/>
      <c r="E428" s="485"/>
      <c r="F428" s="485"/>
      <c r="G428" s="485"/>
      <c r="H428" s="485"/>
      <c r="I428" s="485"/>
      <c r="J428" s="485"/>
      <c r="K428" s="485"/>
      <c r="L428" s="485"/>
      <c r="M428" s="485"/>
      <c r="N428" s="485"/>
      <c r="O428" s="485"/>
      <c r="P428" s="485"/>
      <c r="Q428" s="485"/>
      <c r="R428" s="485"/>
      <c r="S428" s="485"/>
      <c r="T428" s="485"/>
      <c r="U428" s="485"/>
      <c r="V428" s="485"/>
      <c r="W428" s="485"/>
      <c r="X428" s="485"/>
      <c r="Y428" s="485"/>
      <c r="Z428" s="485"/>
    </row>
    <row r="429">
      <c r="A429" s="485"/>
      <c r="B429" s="485"/>
      <c r="C429" s="485"/>
      <c r="D429" s="485"/>
      <c r="E429" s="485"/>
      <c r="F429" s="485"/>
      <c r="G429" s="485"/>
      <c r="H429" s="485"/>
      <c r="I429" s="485"/>
      <c r="J429" s="485"/>
      <c r="K429" s="485"/>
      <c r="L429" s="485"/>
      <c r="M429" s="485"/>
      <c r="N429" s="485"/>
      <c r="O429" s="485"/>
      <c r="P429" s="485"/>
      <c r="Q429" s="485"/>
      <c r="R429" s="485"/>
      <c r="S429" s="485"/>
      <c r="T429" s="485"/>
      <c r="U429" s="485"/>
      <c r="V429" s="485"/>
      <c r="W429" s="485"/>
      <c r="X429" s="485"/>
      <c r="Y429" s="485"/>
      <c r="Z429" s="485"/>
    </row>
    <row r="430">
      <c r="A430" s="485"/>
      <c r="B430" s="485"/>
      <c r="C430" s="485"/>
      <c r="D430" s="485"/>
      <c r="E430" s="485"/>
      <c r="F430" s="485"/>
      <c r="G430" s="485"/>
      <c r="H430" s="485"/>
      <c r="I430" s="485"/>
      <c r="J430" s="485"/>
      <c r="K430" s="485"/>
      <c r="L430" s="485"/>
      <c r="M430" s="485"/>
      <c r="N430" s="485"/>
      <c r="O430" s="485"/>
      <c r="P430" s="485"/>
      <c r="Q430" s="485"/>
      <c r="R430" s="485"/>
      <c r="S430" s="485"/>
      <c r="T430" s="485"/>
      <c r="U430" s="485"/>
      <c r="V430" s="485"/>
      <c r="W430" s="485"/>
      <c r="X430" s="485"/>
      <c r="Y430" s="485"/>
      <c r="Z430" s="485"/>
    </row>
    <row r="431">
      <c r="A431" s="485"/>
      <c r="B431" s="485"/>
      <c r="C431" s="485"/>
      <c r="D431" s="485"/>
      <c r="E431" s="485"/>
      <c r="F431" s="485"/>
      <c r="G431" s="485"/>
      <c r="H431" s="485"/>
      <c r="I431" s="485"/>
      <c r="J431" s="485"/>
      <c r="K431" s="485"/>
      <c r="L431" s="485"/>
      <c r="M431" s="485"/>
      <c r="N431" s="485"/>
      <c r="O431" s="485"/>
      <c r="P431" s="485"/>
      <c r="Q431" s="485"/>
      <c r="R431" s="485"/>
      <c r="S431" s="485"/>
      <c r="T431" s="485"/>
      <c r="U431" s="485"/>
      <c r="V431" s="485"/>
      <c r="W431" s="485"/>
      <c r="X431" s="485"/>
      <c r="Y431" s="485"/>
      <c r="Z431" s="485"/>
    </row>
    <row r="432">
      <c r="A432" s="485"/>
      <c r="B432" s="485"/>
      <c r="C432" s="485"/>
      <c r="D432" s="485"/>
      <c r="E432" s="485"/>
      <c r="F432" s="485"/>
      <c r="G432" s="485"/>
      <c r="H432" s="485"/>
      <c r="I432" s="485"/>
      <c r="J432" s="485"/>
      <c r="K432" s="485"/>
      <c r="L432" s="485"/>
      <c r="M432" s="485"/>
      <c r="N432" s="485"/>
      <c r="O432" s="485"/>
      <c r="P432" s="485"/>
      <c r="Q432" s="485"/>
      <c r="R432" s="485"/>
      <c r="S432" s="485"/>
      <c r="T432" s="485"/>
      <c r="U432" s="485"/>
      <c r="V432" s="485"/>
      <c r="W432" s="485"/>
      <c r="X432" s="485"/>
      <c r="Y432" s="485"/>
      <c r="Z432" s="485"/>
    </row>
    <row r="433">
      <c r="A433" s="485"/>
      <c r="B433" s="485"/>
      <c r="C433" s="485"/>
      <c r="D433" s="485"/>
      <c r="E433" s="485"/>
      <c r="F433" s="485"/>
      <c r="G433" s="485"/>
      <c r="H433" s="485"/>
      <c r="I433" s="485"/>
      <c r="J433" s="485"/>
      <c r="K433" s="485"/>
      <c r="L433" s="485"/>
      <c r="M433" s="485"/>
      <c r="N433" s="485"/>
      <c r="O433" s="485"/>
      <c r="P433" s="485"/>
      <c r="Q433" s="485"/>
      <c r="R433" s="485"/>
      <c r="S433" s="485"/>
      <c r="T433" s="485"/>
      <c r="U433" s="485"/>
      <c r="V433" s="485"/>
      <c r="W433" s="485"/>
      <c r="X433" s="485"/>
      <c r="Y433" s="485"/>
      <c r="Z433" s="485"/>
    </row>
    <row r="434">
      <c r="A434" s="485"/>
      <c r="B434" s="485"/>
      <c r="C434" s="485"/>
      <c r="D434" s="485"/>
      <c r="E434" s="485"/>
      <c r="F434" s="485"/>
      <c r="G434" s="485"/>
      <c r="H434" s="485"/>
      <c r="I434" s="485"/>
      <c r="J434" s="485"/>
      <c r="K434" s="485"/>
      <c r="L434" s="485"/>
      <c r="M434" s="485"/>
      <c r="N434" s="485"/>
      <c r="O434" s="485"/>
      <c r="P434" s="485"/>
      <c r="Q434" s="485"/>
      <c r="R434" s="485"/>
      <c r="S434" s="485"/>
      <c r="T434" s="485"/>
      <c r="U434" s="485"/>
      <c r="V434" s="485"/>
      <c r="W434" s="485"/>
      <c r="X434" s="485"/>
      <c r="Y434" s="485"/>
      <c r="Z434" s="485"/>
    </row>
    <row r="435">
      <c r="A435" s="485"/>
      <c r="B435" s="485"/>
      <c r="C435" s="485"/>
      <c r="D435" s="485"/>
      <c r="E435" s="485"/>
      <c r="F435" s="485"/>
      <c r="G435" s="485"/>
      <c r="H435" s="485"/>
      <c r="I435" s="485"/>
      <c r="J435" s="485"/>
      <c r="K435" s="485"/>
      <c r="L435" s="485"/>
      <c r="M435" s="485"/>
      <c r="N435" s="485"/>
      <c r="O435" s="485"/>
      <c r="P435" s="485"/>
      <c r="Q435" s="485"/>
      <c r="R435" s="485"/>
      <c r="S435" s="485"/>
      <c r="T435" s="485"/>
      <c r="U435" s="485"/>
      <c r="V435" s="485"/>
      <c r="W435" s="485"/>
      <c r="X435" s="485"/>
      <c r="Y435" s="485"/>
      <c r="Z435" s="485"/>
    </row>
    <row r="436">
      <c r="A436" s="485"/>
      <c r="B436" s="485"/>
      <c r="C436" s="485"/>
      <c r="D436" s="485"/>
      <c r="E436" s="485"/>
      <c r="F436" s="485"/>
      <c r="G436" s="485"/>
      <c r="H436" s="485"/>
      <c r="I436" s="485"/>
      <c r="J436" s="485"/>
      <c r="K436" s="485"/>
      <c r="L436" s="485"/>
      <c r="M436" s="485"/>
      <c r="N436" s="485"/>
      <c r="O436" s="485"/>
      <c r="P436" s="485"/>
      <c r="Q436" s="485"/>
      <c r="R436" s="485"/>
      <c r="S436" s="485"/>
      <c r="T436" s="485"/>
      <c r="U436" s="485"/>
      <c r="V436" s="485"/>
      <c r="W436" s="485"/>
      <c r="X436" s="485"/>
      <c r="Y436" s="485"/>
      <c r="Z436" s="485"/>
    </row>
    <row r="437">
      <c r="A437" s="485"/>
      <c r="B437" s="485"/>
      <c r="C437" s="485"/>
      <c r="D437" s="485"/>
      <c r="E437" s="485"/>
      <c r="F437" s="485"/>
      <c r="G437" s="485"/>
      <c r="H437" s="485"/>
      <c r="I437" s="485"/>
      <c r="J437" s="485"/>
      <c r="K437" s="485"/>
      <c r="L437" s="485"/>
      <c r="M437" s="485"/>
      <c r="N437" s="485"/>
      <c r="O437" s="485"/>
      <c r="P437" s="485"/>
      <c r="Q437" s="485"/>
      <c r="R437" s="485"/>
      <c r="S437" s="485"/>
      <c r="T437" s="485"/>
      <c r="U437" s="485"/>
      <c r="V437" s="485"/>
      <c r="W437" s="485"/>
      <c r="X437" s="485"/>
      <c r="Y437" s="485"/>
      <c r="Z437" s="485"/>
    </row>
    <row r="438">
      <c r="A438" s="485"/>
      <c r="B438" s="485"/>
      <c r="C438" s="485"/>
      <c r="D438" s="485"/>
      <c r="E438" s="485"/>
      <c r="F438" s="485"/>
      <c r="G438" s="485"/>
      <c r="H438" s="485"/>
      <c r="I438" s="485"/>
      <c r="J438" s="485"/>
      <c r="K438" s="485"/>
      <c r="L438" s="485"/>
      <c r="M438" s="485"/>
      <c r="N438" s="485"/>
      <c r="O438" s="485"/>
      <c r="P438" s="485"/>
      <c r="Q438" s="485"/>
      <c r="R438" s="485"/>
      <c r="S438" s="485"/>
      <c r="T438" s="485"/>
      <c r="U438" s="485"/>
      <c r="V438" s="485"/>
      <c r="W438" s="485"/>
      <c r="X438" s="485"/>
      <c r="Y438" s="485"/>
      <c r="Z438" s="485"/>
    </row>
    <row r="439">
      <c r="A439" s="485"/>
      <c r="B439" s="485"/>
      <c r="C439" s="485"/>
      <c r="D439" s="485"/>
      <c r="E439" s="485"/>
      <c r="F439" s="485"/>
      <c r="G439" s="485"/>
      <c r="H439" s="485"/>
      <c r="I439" s="485"/>
      <c r="J439" s="485"/>
      <c r="K439" s="485"/>
      <c r="L439" s="485"/>
      <c r="M439" s="485"/>
      <c r="N439" s="485"/>
      <c r="O439" s="485"/>
      <c r="P439" s="485"/>
      <c r="Q439" s="485"/>
      <c r="R439" s="485"/>
      <c r="S439" s="485"/>
      <c r="T439" s="485"/>
      <c r="U439" s="485"/>
      <c r="V439" s="485"/>
      <c r="W439" s="485"/>
      <c r="X439" s="485"/>
      <c r="Y439" s="485"/>
      <c r="Z439" s="485"/>
    </row>
    <row r="440">
      <c r="A440" s="485"/>
      <c r="B440" s="485"/>
      <c r="C440" s="485"/>
      <c r="D440" s="485"/>
      <c r="E440" s="485"/>
      <c r="F440" s="485"/>
      <c r="G440" s="485"/>
      <c r="H440" s="485"/>
      <c r="I440" s="485"/>
      <c r="J440" s="485"/>
      <c r="K440" s="485"/>
      <c r="L440" s="485"/>
      <c r="M440" s="485"/>
      <c r="N440" s="485"/>
      <c r="O440" s="485"/>
      <c r="P440" s="485"/>
      <c r="Q440" s="485"/>
      <c r="R440" s="485"/>
      <c r="S440" s="485"/>
      <c r="T440" s="485"/>
      <c r="U440" s="485"/>
      <c r="V440" s="485"/>
      <c r="W440" s="485"/>
      <c r="X440" s="485"/>
      <c r="Y440" s="485"/>
      <c r="Z440" s="485"/>
    </row>
    <row r="441">
      <c r="A441" s="485"/>
      <c r="B441" s="485"/>
      <c r="C441" s="485"/>
      <c r="D441" s="485"/>
      <c r="E441" s="485"/>
      <c r="F441" s="485"/>
      <c r="G441" s="485"/>
      <c r="H441" s="485"/>
      <c r="I441" s="485"/>
      <c r="J441" s="485"/>
      <c r="K441" s="485"/>
      <c r="L441" s="485"/>
      <c r="M441" s="485"/>
      <c r="N441" s="485"/>
      <c r="O441" s="485"/>
      <c r="P441" s="485"/>
      <c r="Q441" s="485"/>
      <c r="R441" s="485"/>
      <c r="S441" s="485"/>
      <c r="T441" s="485"/>
      <c r="U441" s="485"/>
      <c r="V441" s="485"/>
      <c r="W441" s="485"/>
      <c r="X441" s="485"/>
      <c r="Y441" s="485"/>
      <c r="Z441" s="485"/>
    </row>
    <row r="442">
      <c r="A442" s="485"/>
      <c r="B442" s="485"/>
      <c r="C442" s="485"/>
      <c r="D442" s="485"/>
      <c r="E442" s="485"/>
      <c r="F442" s="485"/>
      <c r="G442" s="485"/>
      <c r="H442" s="485"/>
      <c r="I442" s="485"/>
      <c r="J442" s="485"/>
      <c r="K442" s="485"/>
      <c r="L442" s="485"/>
      <c r="M442" s="485"/>
      <c r="N442" s="485"/>
      <c r="O442" s="485"/>
      <c r="P442" s="485"/>
      <c r="Q442" s="485"/>
      <c r="R442" s="485"/>
      <c r="S442" s="485"/>
      <c r="T442" s="485"/>
      <c r="U442" s="485"/>
      <c r="V442" s="485"/>
      <c r="W442" s="485"/>
      <c r="X442" s="485"/>
      <c r="Y442" s="485"/>
      <c r="Z442" s="485"/>
    </row>
    <row r="443">
      <c r="A443" s="485"/>
      <c r="B443" s="485"/>
      <c r="C443" s="485"/>
      <c r="D443" s="485"/>
      <c r="E443" s="485"/>
      <c r="F443" s="485"/>
      <c r="G443" s="485"/>
      <c r="H443" s="485"/>
      <c r="I443" s="485"/>
      <c r="J443" s="485"/>
      <c r="K443" s="485"/>
      <c r="L443" s="485"/>
      <c r="M443" s="485"/>
      <c r="N443" s="485"/>
      <c r="O443" s="485"/>
      <c r="P443" s="485"/>
      <c r="Q443" s="485"/>
      <c r="R443" s="485"/>
      <c r="S443" s="485"/>
      <c r="T443" s="485"/>
      <c r="U443" s="485"/>
      <c r="V443" s="485"/>
      <c r="W443" s="485"/>
      <c r="X443" s="485"/>
      <c r="Y443" s="485"/>
      <c r="Z443" s="485"/>
    </row>
    <row r="444">
      <c r="A444" s="485"/>
      <c r="B444" s="485"/>
      <c r="C444" s="485"/>
      <c r="D444" s="485"/>
      <c r="E444" s="485"/>
      <c r="F444" s="485"/>
      <c r="G444" s="485"/>
      <c r="H444" s="485"/>
      <c r="I444" s="485"/>
      <c r="J444" s="485"/>
      <c r="K444" s="485"/>
      <c r="L444" s="485"/>
      <c r="M444" s="485"/>
      <c r="N444" s="485"/>
      <c r="O444" s="485"/>
      <c r="P444" s="485"/>
      <c r="Q444" s="485"/>
      <c r="R444" s="485"/>
      <c r="S444" s="485"/>
      <c r="T444" s="485"/>
      <c r="U444" s="485"/>
      <c r="V444" s="485"/>
      <c r="W444" s="485"/>
      <c r="X444" s="485"/>
      <c r="Y444" s="485"/>
      <c r="Z444" s="485"/>
    </row>
    <row r="445">
      <c r="A445" s="485"/>
      <c r="B445" s="485"/>
      <c r="C445" s="485"/>
      <c r="D445" s="485"/>
      <c r="E445" s="485"/>
      <c r="F445" s="485"/>
      <c r="G445" s="485"/>
      <c r="H445" s="485"/>
      <c r="I445" s="485"/>
      <c r="J445" s="485"/>
      <c r="K445" s="485"/>
      <c r="L445" s="485"/>
      <c r="M445" s="485"/>
      <c r="N445" s="485"/>
      <c r="O445" s="485"/>
      <c r="P445" s="485"/>
      <c r="Q445" s="485"/>
      <c r="R445" s="485"/>
      <c r="S445" s="485"/>
      <c r="T445" s="485"/>
      <c r="U445" s="485"/>
      <c r="V445" s="485"/>
      <c r="W445" s="485"/>
      <c r="X445" s="485"/>
      <c r="Y445" s="485"/>
      <c r="Z445" s="485"/>
    </row>
    <row r="446">
      <c r="A446" s="485"/>
      <c r="B446" s="485"/>
      <c r="C446" s="485"/>
      <c r="D446" s="485"/>
      <c r="E446" s="485"/>
      <c r="F446" s="485"/>
      <c r="G446" s="485"/>
      <c r="H446" s="485"/>
      <c r="I446" s="485"/>
      <c r="J446" s="485"/>
      <c r="K446" s="485"/>
      <c r="L446" s="485"/>
      <c r="M446" s="485"/>
      <c r="N446" s="485"/>
      <c r="O446" s="485"/>
      <c r="P446" s="485"/>
      <c r="Q446" s="485"/>
      <c r="R446" s="485"/>
      <c r="S446" s="485"/>
      <c r="T446" s="485"/>
      <c r="U446" s="485"/>
      <c r="V446" s="485"/>
      <c r="W446" s="485"/>
      <c r="X446" s="485"/>
      <c r="Y446" s="485"/>
      <c r="Z446" s="485"/>
    </row>
    <row r="447">
      <c r="A447" s="485"/>
      <c r="B447" s="485"/>
      <c r="C447" s="485"/>
      <c r="D447" s="485"/>
      <c r="E447" s="485"/>
      <c r="F447" s="485"/>
      <c r="G447" s="485"/>
      <c r="H447" s="485"/>
      <c r="I447" s="485"/>
      <c r="J447" s="485"/>
      <c r="K447" s="485"/>
      <c r="L447" s="485"/>
      <c r="M447" s="485"/>
      <c r="N447" s="485"/>
      <c r="O447" s="485"/>
      <c r="P447" s="485"/>
      <c r="Q447" s="485"/>
      <c r="R447" s="485"/>
      <c r="S447" s="485"/>
      <c r="T447" s="485"/>
      <c r="U447" s="485"/>
      <c r="V447" s="485"/>
      <c r="W447" s="485"/>
      <c r="X447" s="485"/>
      <c r="Y447" s="485"/>
      <c r="Z447" s="485"/>
    </row>
    <row r="448">
      <c r="A448" s="485"/>
      <c r="B448" s="485"/>
      <c r="C448" s="485"/>
      <c r="D448" s="485"/>
      <c r="E448" s="485"/>
      <c r="F448" s="485"/>
      <c r="G448" s="485"/>
      <c r="H448" s="485"/>
      <c r="I448" s="485"/>
      <c r="J448" s="485"/>
      <c r="K448" s="485"/>
      <c r="L448" s="485"/>
      <c r="M448" s="485"/>
      <c r="N448" s="485"/>
      <c r="O448" s="485"/>
      <c r="P448" s="485"/>
      <c r="Q448" s="485"/>
      <c r="R448" s="485"/>
      <c r="S448" s="485"/>
      <c r="T448" s="485"/>
      <c r="U448" s="485"/>
      <c r="V448" s="485"/>
      <c r="W448" s="485"/>
      <c r="X448" s="485"/>
      <c r="Y448" s="485"/>
      <c r="Z448" s="485"/>
    </row>
    <row r="449">
      <c r="A449" s="485"/>
      <c r="B449" s="485"/>
      <c r="C449" s="485"/>
      <c r="D449" s="485"/>
      <c r="E449" s="485"/>
      <c r="F449" s="485"/>
      <c r="G449" s="485"/>
      <c r="H449" s="485"/>
      <c r="I449" s="485"/>
      <c r="J449" s="485"/>
      <c r="K449" s="485"/>
      <c r="L449" s="485"/>
      <c r="M449" s="485"/>
      <c r="N449" s="485"/>
      <c r="O449" s="485"/>
      <c r="P449" s="485"/>
      <c r="Q449" s="485"/>
      <c r="R449" s="485"/>
      <c r="S449" s="485"/>
      <c r="T449" s="485"/>
      <c r="U449" s="485"/>
      <c r="V449" s="485"/>
      <c r="W449" s="485"/>
      <c r="X449" s="485"/>
      <c r="Y449" s="485"/>
      <c r="Z449" s="485"/>
    </row>
    <row r="450">
      <c r="A450" s="485"/>
      <c r="B450" s="485"/>
      <c r="C450" s="485"/>
      <c r="D450" s="485"/>
      <c r="E450" s="485"/>
      <c r="F450" s="485"/>
      <c r="G450" s="485"/>
      <c r="H450" s="485"/>
      <c r="I450" s="485"/>
      <c r="J450" s="485"/>
      <c r="K450" s="485"/>
      <c r="L450" s="485"/>
      <c r="M450" s="485"/>
      <c r="N450" s="485"/>
      <c r="O450" s="485"/>
      <c r="P450" s="485"/>
      <c r="Q450" s="485"/>
      <c r="R450" s="485"/>
      <c r="S450" s="485"/>
      <c r="T450" s="485"/>
      <c r="U450" s="485"/>
      <c r="V450" s="485"/>
      <c r="W450" s="485"/>
      <c r="X450" s="485"/>
      <c r="Y450" s="485"/>
      <c r="Z450" s="485"/>
    </row>
    <row r="451">
      <c r="A451" s="485"/>
      <c r="B451" s="485"/>
      <c r="C451" s="485"/>
      <c r="D451" s="485"/>
      <c r="E451" s="485"/>
      <c r="F451" s="485"/>
      <c r="G451" s="485"/>
      <c r="H451" s="485"/>
      <c r="I451" s="485"/>
      <c r="J451" s="485"/>
      <c r="K451" s="485"/>
      <c r="L451" s="485"/>
      <c r="M451" s="485"/>
      <c r="N451" s="485"/>
      <c r="O451" s="485"/>
      <c r="P451" s="485"/>
      <c r="Q451" s="485"/>
      <c r="R451" s="485"/>
      <c r="S451" s="485"/>
      <c r="T451" s="485"/>
      <c r="U451" s="485"/>
      <c r="V451" s="485"/>
      <c r="W451" s="485"/>
      <c r="X451" s="485"/>
      <c r="Y451" s="485"/>
      <c r="Z451" s="485"/>
    </row>
    <row r="452">
      <c r="A452" s="485"/>
      <c r="B452" s="485"/>
      <c r="C452" s="485"/>
      <c r="D452" s="485"/>
      <c r="E452" s="485"/>
      <c r="F452" s="485"/>
      <c r="G452" s="485"/>
      <c r="H452" s="485"/>
      <c r="I452" s="485"/>
      <c r="J452" s="485"/>
      <c r="K452" s="485"/>
      <c r="L452" s="485"/>
      <c r="M452" s="485"/>
      <c r="N452" s="485"/>
      <c r="O452" s="485"/>
      <c r="P452" s="485"/>
      <c r="Q452" s="485"/>
      <c r="R452" s="485"/>
      <c r="S452" s="485"/>
      <c r="T452" s="485"/>
      <c r="U452" s="485"/>
      <c r="V452" s="485"/>
      <c r="W452" s="485"/>
      <c r="X452" s="485"/>
      <c r="Y452" s="485"/>
      <c r="Z452" s="485"/>
    </row>
    <row r="453">
      <c r="A453" s="485"/>
      <c r="B453" s="485"/>
      <c r="C453" s="485"/>
      <c r="D453" s="485"/>
      <c r="E453" s="485"/>
      <c r="F453" s="485"/>
      <c r="G453" s="485"/>
      <c r="H453" s="485"/>
      <c r="I453" s="485"/>
      <c r="J453" s="485"/>
      <c r="K453" s="485"/>
      <c r="L453" s="485"/>
      <c r="M453" s="485"/>
      <c r="N453" s="485"/>
      <c r="O453" s="485"/>
      <c r="P453" s="485"/>
      <c r="Q453" s="485"/>
      <c r="R453" s="485"/>
      <c r="S453" s="485"/>
      <c r="T453" s="485"/>
      <c r="U453" s="485"/>
      <c r="V453" s="485"/>
      <c r="W453" s="485"/>
      <c r="X453" s="485"/>
      <c r="Y453" s="485"/>
      <c r="Z453" s="485"/>
    </row>
    <row r="454">
      <c r="A454" s="485"/>
      <c r="B454" s="485"/>
      <c r="C454" s="485"/>
      <c r="D454" s="485"/>
      <c r="E454" s="485"/>
      <c r="F454" s="485"/>
      <c r="G454" s="485"/>
      <c r="H454" s="485"/>
      <c r="I454" s="485"/>
      <c r="J454" s="485"/>
      <c r="K454" s="485"/>
      <c r="L454" s="485"/>
      <c r="M454" s="485"/>
      <c r="N454" s="485"/>
      <c r="O454" s="485"/>
      <c r="P454" s="485"/>
      <c r="Q454" s="485"/>
      <c r="R454" s="485"/>
      <c r="S454" s="485"/>
      <c r="T454" s="485"/>
      <c r="U454" s="485"/>
      <c r="V454" s="485"/>
      <c r="W454" s="485"/>
      <c r="X454" s="485"/>
      <c r="Y454" s="485"/>
      <c r="Z454" s="485"/>
    </row>
    <row r="455">
      <c r="A455" s="485"/>
      <c r="B455" s="485"/>
      <c r="C455" s="485"/>
      <c r="D455" s="485"/>
      <c r="E455" s="485"/>
      <c r="F455" s="485"/>
      <c r="G455" s="485"/>
      <c r="H455" s="485"/>
      <c r="I455" s="485"/>
      <c r="J455" s="485"/>
      <c r="K455" s="485"/>
      <c r="L455" s="485"/>
      <c r="M455" s="485"/>
      <c r="N455" s="485"/>
      <c r="O455" s="485"/>
      <c r="P455" s="485"/>
      <c r="Q455" s="485"/>
      <c r="R455" s="485"/>
      <c r="S455" s="485"/>
      <c r="T455" s="485"/>
      <c r="U455" s="485"/>
      <c r="V455" s="485"/>
      <c r="W455" s="485"/>
      <c r="X455" s="485"/>
      <c r="Y455" s="485"/>
      <c r="Z455" s="485"/>
    </row>
    <row r="456">
      <c r="A456" s="485"/>
      <c r="B456" s="485"/>
      <c r="C456" s="485"/>
      <c r="D456" s="485"/>
      <c r="E456" s="485"/>
      <c r="F456" s="485"/>
      <c r="G456" s="485"/>
      <c r="H456" s="485"/>
      <c r="I456" s="485"/>
      <c r="J456" s="485"/>
      <c r="K456" s="485"/>
      <c r="L456" s="485"/>
      <c r="M456" s="485"/>
      <c r="N456" s="485"/>
      <c r="O456" s="485"/>
      <c r="P456" s="485"/>
      <c r="Q456" s="485"/>
      <c r="R456" s="485"/>
      <c r="S456" s="485"/>
      <c r="T456" s="485"/>
      <c r="U456" s="485"/>
      <c r="V456" s="485"/>
      <c r="W456" s="485"/>
      <c r="X456" s="485"/>
      <c r="Y456" s="485"/>
      <c r="Z456" s="485"/>
    </row>
    <row r="457">
      <c r="A457" s="485"/>
      <c r="B457" s="485"/>
      <c r="C457" s="485"/>
      <c r="D457" s="485"/>
      <c r="E457" s="485"/>
      <c r="F457" s="485"/>
      <c r="G457" s="485"/>
      <c r="H457" s="485"/>
      <c r="I457" s="485"/>
      <c r="J457" s="485"/>
      <c r="K457" s="485"/>
      <c r="L457" s="485"/>
      <c r="M457" s="485"/>
      <c r="N457" s="485"/>
      <c r="O457" s="485"/>
      <c r="P457" s="485"/>
      <c r="Q457" s="485"/>
      <c r="R457" s="485"/>
      <c r="S457" s="485"/>
      <c r="T457" s="485"/>
      <c r="U457" s="485"/>
      <c r="V457" s="485"/>
      <c r="W457" s="485"/>
      <c r="X457" s="485"/>
      <c r="Y457" s="485"/>
      <c r="Z457" s="485"/>
    </row>
    <row r="458">
      <c r="A458" s="485"/>
      <c r="B458" s="485"/>
      <c r="C458" s="485"/>
      <c r="D458" s="485"/>
      <c r="E458" s="485"/>
      <c r="F458" s="485"/>
      <c r="G458" s="485"/>
      <c r="H458" s="485"/>
      <c r="I458" s="485"/>
      <c r="J458" s="485"/>
      <c r="K458" s="485"/>
      <c r="L458" s="485"/>
      <c r="M458" s="485"/>
      <c r="N458" s="485"/>
      <c r="O458" s="485"/>
      <c r="P458" s="485"/>
      <c r="Q458" s="485"/>
      <c r="R458" s="485"/>
      <c r="S458" s="485"/>
      <c r="T458" s="485"/>
      <c r="U458" s="485"/>
      <c r="V458" s="485"/>
      <c r="W458" s="485"/>
      <c r="X458" s="485"/>
      <c r="Y458" s="485"/>
      <c r="Z458" s="485"/>
    </row>
    <row r="459">
      <c r="A459" s="485"/>
      <c r="B459" s="485"/>
      <c r="C459" s="485"/>
      <c r="D459" s="485"/>
      <c r="E459" s="485"/>
      <c r="F459" s="485"/>
      <c r="G459" s="485"/>
      <c r="H459" s="485"/>
      <c r="I459" s="485"/>
      <c r="J459" s="485"/>
      <c r="K459" s="485"/>
      <c r="L459" s="485"/>
      <c r="M459" s="485"/>
      <c r="N459" s="485"/>
      <c r="O459" s="485"/>
      <c r="P459" s="485"/>
      <c r="Q459" s="485"/>
      <c r="R459" s="485"/>
      <c r="S459" s="485"/>
      <c r="T459" s="485"/>
      <c r="U459" s="485"/>
      <c r="V459" s="485"/>
      <c r="W459" s="485"/>
      <c r="X459" s="485"/>
      <c r="Y459" s="485"/>
      <c r="Z459" s="485"/>
    </row>
    <row r="460">
      <c r="A460" s="485"/>
      <c r="B460" s="485"/>
      <c r="C460" s="485"/>
      <c r="D460" s="485"/>
      <c r="E460" s="485"/>
      <c r="F460" s="485"/>
      <c r="G460" s="485"/>
      <c r="H460" s="485"/>
      <c r="I460" s="485"/>
      <c r="J460" s="485"/>
      <c r="K460" s="485"/>
      <c r="L460" s="485"/>
      <c r="M460" s="485"/>
      <c r="N460" s="485"/>
      <c r="O460" s="485"/>
      <c r="P460" s="485"/>
      <c r="Q460" s="485"/>
      <c r="R460" s="485"/>
      <c r="S460" s="485"/>
      <c r="T460" s="485"/>
      <c r="U460" s="485"/>
      <c r="V460" s="485"/>
      <c r="W460" s="485"/>
      <c r="X460" s="485"/>
      <c r="Y460" s="485"/>
      <c r="Z460" s="485"/>
    </row>
    <row r="461">
      <c r="A461" s="485"/>
      <c r="B461" s="485"/>
      <c r="C461" s="485"/>
      <c r="D461" s="485"/>
      <c r="E461" s="485"/>
      <c r="F461" s="485"/>
      <c r="G461" s="485"/>
      <c r="H461" s="485"/>
      <c r="I461" s="485"/>
      <c r="J461" s="485"/>
      <c r="K461" s="485"/>
      <c r="L461" s="485"/>
      <c r="M461" s="485"/>
      <c r="N461" s="485"/>
      <c r="O461" s="485"/>
      <c r="P461" s="485"/>
      <c r="Q461" s="485"/>
      <c r="R461" s="485"/>
      <c r="S461" s="485"/>
      <c r="T461" s="485"/>
      <c r="U461" s="485"/>
      <c r="V461" s="485"/>
      <c r="W461" s="485"/>
      <c r="X461" s="485"/>
      <c r="Y461" s="485"/>
      <c r="Z461" s="485"/>
    </row>
    <row r="462">
      <c r="A462" s="485"/>
      <c r="B462" s="485"/>
      <c r="C462" s="485"/>
      <c r="D462" s="485"/>
      <c r="E462" s="485"/>
      <c r="F462" s="485"/>
      <c r="G462" s="485"/>
      <c r="H462" s="485"/>
      <c r="I462" s="485"/>
      <c r="J462" s="485"/>
      <c r="K462" s="485"/>
      <c r="L462" s="485"/>
      <c r="M462" s="485"/>
      <c r="N462" s="485"/>
      <c r="O462" s="485"/>
      <c r="P462" s="485"/>
      <c r="Q462" s="485"/>
      <c r="R462" s="485"/>
      <c r="S462" s="485"/>
      <c r="T462" s="485"/>
      <c r="U462" s="485"/>
      <c r="V462" s="485"/>
      <c r="W462" s="485"/>
      <c r="X462" s="485"/>
      <c r="Y462" s="485"/>
      <c r="Z462" s="485"/>
    </row>
    <row r="463">
      <c r="A463" s="485"/>
      <c r="B463" s="485"/>
      <c r="C463" s="485"/>
      <c r="D463" s="485"/>
      <c r="E463" s="485"/>
      <c r="F463" s="485"/>
      <c r="G463" s="485"/>
      <c r="H463" s="485"/>
      <c r="I463" s="485"/>
      <c r="J463" s="485"/>
      <c r="K463" s="485"/>
      <c r="L463" s="485"/>
      <c r="M463" s="485"/>
      <c r="N463" s="485"/>
      <c r="O463" s="485"/>
      <c r="P463" s="485"/>
      <c r="Q463" s="485"/>
      <c r="R463" s="485"/>
      <c r="S463" s="485"/>
      <c r="T463" s="485"/>
      <c r="U463" s="485"/>
      <c r="V463" s="485"/>
      <c r="W463" s="485"/>
      <c r="X463" s="485"/>
      <c r="Y463" s="485"/>
      <c r="Z463" s="485"/>
    </row>
    <row r="464">
      <c r="A464" s="485"/>
      <c r="B464" s="485"/>
      <c r="C464" s="485"/>
      <c r="D464" s="485"/>
      <c r="E464" s="485"/>
      <c r="F464" s="485"/>
      <c r="G464" s="485"/>
      <c r="H464" s="485"/>
      <c r="I464" s="485"/>
      <c r="J464" s="485"/>
      <c r="K464" s="485"/>
      <c r="L464" s="485"/>
      <c r="M464" s="485"/>
      <c r="N464" s="485"/>
      <c r="O464" s="485"/>
      <c r="P464" s="485"/>
      <c r="Q464" s="485"/>
      <c r="R464" s="485"/>
      <c r="S464" s="485"/>
      <c r="T464" s="485"/>
      <c r="U464" s="485"/>
      <c r="V464" s="485"/>
      <c r="W464" s="485"/>
      <c r="X464" s="485"/>
      <c r="Y464" s="485"/>
      <c r="Z464" s="485"/>
    </row>
    <row r="465">
      <c r="A465" s="485"/>
      <c r="B465" s="485"/>
      <c r="C465" s="485"/>
      <c r="D465" s="485"/>
      <c r="E465" s="485"/>
      <c r="F465" s="485"/>
      <c r="G465" s="485"/>
      <c r="H465" s="485"/>
      <c r="I465" s="485"/>
      <c r="J465" s="485"/>
      <c r="K465" s="485"/>
      <c r="L465" s="485"/>
      <c r="M465" s="485"/>
      <c r="N465" s="485"/>
      <c r="O465" s="485"/>
      <c r="P465" s="485"/>
      <c r="Q465" s="485"/>
      <c r="R465" s="485"/>
      <c r="S465" s="485"/>
      <c r="T465" s="485"/>
      <c r="U465" s="485"/>
      <c r="V465" s="485"/>
      <c r="W465" s="485"/>
      <c r="X465" s="485"/>
      <c r="Y465" s="485"/>
      <c r="Z465" s="485"/>
    </row>
    <row r="466">
      <c r="A466" s="485"/>
      <c r="B466" s="485"/>
      <c r="C466" s="485"/>
      <c r="D466" s="485"/>
      <c r="E466" s="485"/>
      <c r="F466" s="485"/>
      <c r="G466" s="485"/>
      <c r="H466" s="485"/>
      <c r="I466" s="485"/>
      <c r="J466" s="485"/>
      <c r="K466" s="485"/>
      <c r="L466" s="485"/>
      <c r="M466" s="485"/>
      <c r="N466" s="485"/>
      <c r="O466" s="485"/>
      <c r="P466" s="485"/>
      <c r="Q466" s="485"/>
      <c r="R466" s="485"/>
      <c r="S466" s="485"/>
      <c r="T466" s="485"/>
      <c r="U466" s="485"/>
      <c r="V466" s="485"/>
      <c r="W466" s="485"/>
      <c r="X466" s="485"/>
      <c r="Y466" s="485"/>
      <c r="Z466" s="485"/>
    </row>
    <row r="467">
      <c r="A467" s="485"/>
      <c r="B467" s="485"/>
      <c r="C467" s="485"/>
      <c r="D467" s="485"/>
      <c r="E467" s="485"/>
      <c r="F467" s="485"/>
      <c r="G467" s="485"/>
      <c r="H467" s="485"/>
      <c r="I467" s="485"/>
      <c r="J467" s="485"/>
      <c r="K467" s="485"/>
      <c r="L467" s="485"/>
      <c r="M467" s="485"/>
      <c r="N467" s="485"/>
      <c r="O467" s="485"/>
      <c r="P467" s="485"/>
      <c r="Q467" s="485"/>
      <c r="R467" s="485"/>
      <c r="S467" s="485"/>
      <c r="T467" s="485"/>
      <c r="U467" s="485"/>
      <c r="V467" s="485"/>
      <c r="W467" s="485"/>
      <c r="X467" s="485"/>
      <c r="Y467" s="485"/>
      <c r="Z467" s="485"/>
    </row>
    <row r="468">
      <c r="A468" s="485"/>
      <c r="B468" s="485"/>
      <c r="C468" s="485"/>
      <c r="D468" s="485"/>
      <c r="E468" s="485"/>
      <c r="F468" s="485"/>
      <c r="G468" s="485"/>
      <c r="H468" s="485"/>
      <c r="I468" s="485"/>
      <c r="J468" s="485"/>
      <c r="K468" s="485"/>
      <c r="L468" s="485"/>
      <c r="M468" s="485"/>
      <c r="N468" s="485"/>
      <c r="O468" s="485"/>
      <c r="P468" s="485"/>
      <c r="Q468" s="485"/>
      <c r="R468" s="485"/>
      <c r="S468" s="485"/>
      <c r="T468" s="485"/>
      <c r="U468" s="485"/>
      <c r="V468" s="485"/>
      <c r="W468" s="485"/>
      <c r="X468" s="485"/>
      <c r="Y468" s="485"/>
      <c r="Z468" s="485"/>
    </row>
    <row r="469">
      <c r="A469" s="485"/>
      <c r="B469" s="485"/>
      <c r="C469" s="485"/>
      <c r="D469" s="485"/>
      <c r="E469" s="485"/>
      <c r="F469" s="485"/>
      <c r="G469" s="485"/>
      <c r="H469" s="485"/>
      <c r="I469" s="485"/>
      <c r="J469" s="485"/>
      <c r="K469" s="485"/>
      <c r="L469" s="485"/>
      <c r="M469" s="485"/>
      <c r="N469" s="485"/>
      <c r="O469" s="485"/>
      <c r="P469" s="485"/>
      <c r="Q469" s="485"/>
      <c r="R469" s="485"/>
      <c r="S469" s="485"/>
      <c r="T469" s="485"/>
      <c r="U469" s="485"/>
      <c r="V469" s="485"/>
      <c r="W469" s="485"/>
      <c r="X469" s="485"/>
      <c r="Y469" s="485"/>
      <c r="Z469" s="485"/>
    </row>
    <row r="470">
      <c r="A470" s="485"/>
      <c r="B470" s="485"/>
      <c r="C470" s="485"/>
      <c r="D470" s="485"/>
      <c r="E470" s="485"/>
      <c r="F470" s="485"/>
      <c r="G470" s="485"/>
      <c r="H470" s="485"/>
      <c r="I470" s="485"/>
      <c r="J470" s="485"/>
      <c r="K470" s="485"/>
      <c r="L470" s="485"/>
      <c r="M470" s="485"/>
      <c r="N470" s="485"/>
      <c r="O470" s="485"/>
      <c r="P470" s="485"/>
      <c r="Q470" s="485"/>
      <c r="R470" s="485"/>
      <c r="S470" s="485"/>
      <c r="T470" s="485"/>
      <c r="U470" s="485"/>
      <c r="V470" s="485"/>
      <c r="W470" s="485"/>
      <c r="X470" s="485"/>
      <c r="Y470" s="485"/>
      <c r="Z470" s="485"/>
    </row>
    <row r="471">
      <c r="A471" s="485"/>
      <c r="B471" s="485"/>
      <c r="C471" s="485"/>
      <c r="D471" s="485"/>
      <c r="E471" s="485"/>
      <c r="F471" s="485"/>
      <c r="G471" s="485"/>
      <c r="H471" s="485"/>
      <c r="I471" s="485"/>
      <c r="J471" s="485"/>
      <c r="K471" s="485"/>
      <c r="L471" s="485"/>
      <c r="M471" s="485"/>
      <c r="N471" s="485"/>
      <c r="O471" s="485"/>
      <c r="P471" s="485"/>
      <c r="Q471" s="485"/>
      <c r="R471" s="485"/>
      <c r="S471" s="485"/>
      <c r="T471" s="485"/>
      <c r="U471" s="485"/>
      <c r="V471" s="485"/>
      <c r="W471" s="485"/>
      <c r="X471" s="485"/>
      <c r="Y471" s="485"/>
      <c r="Z471" s="485"/>
    </row>
    <row r="472">
      <c r="A472" s="485"/>
      <c r="B472" s="485"/>
      <c r="C472" s="485"/>
      <c r="D472" s="485"/>
      <c r="E472" s="485"/>
      <c r="F472" s="485"/>
      <c r="G472" s="485"/>
      <c r="H472" s="485"/>
      <c r="I472" s="485"/>
      <c r="J472" s="485"/>
      <c r="K472" s="485"/>
      <c r="L472" s="485"/>
      <c r="M472" s="485"/>
      <c r="N472" s="485"/>
      <c r="O472" s="485"/>
      <c r="P472" s="485"/>
      <c r="Q472" s="485"/>
      <c r="R472" s="485"/>
      <c r="S472" s="485"/>
      <c r="T472" s="485"/>
      <c r="U472" s="485"/>
      <c r="V472" s="485"/>
      <c r="W472" s="485"/>
      <c r="X472" s="485"/>
      <c r="Y472" s="485"/>
      <c r="Z472" s="485"/>
    </row>
    <row r="473">
      <c r="A473" s="485"/>
      <c r="B473" s="485"/>
      <c r="C473" s="485"/>
      <c r="D473" s="485"/>
      <c r="E473" s="485"/>
      <c r="F473" s="485"/>
      <c r="G473" s="485"/>
      <c r="H473" s="485"/>
      <c r="I473" s="485"/>
      <c r="J473" s="485"/>
      <c r="K473" s="485"/>
      <c r="L473" s="485"/>
      <c r="M473" s="485"/>
      <c r="N473" s="485"/>
      <c r="O473" s="485"/>
      <c r="P473" s="485"/>
      <c r="Q473" s="485"/>
      <c r="R473" s="485"/>
      <c r="S473" s="485"/>
      <c r="T473" s="485"/>
      <c r="U473" s="485"/>
      <c r="V473" s="485"/>
      <c r="W473" s="485"/>
      <c r="X473" s="485"/>
      <c r="Y473" s="485"/>
      <c r="Z473" s="485"/>
    </row>
    <row r="474">
      <c r="A474" s="485"/>
      <c r="B474" s="485"/>
      <c r="C474" s="485"/>
      <c r="D474" s="485"/>
      <c r="E474" s="485"/>
      <c r="F474" s="485"/>
      <c r="G474" s="485"/>
      <c r="H474" s="485"/>
      <c r="I474" s="485"/>
      <c r="J474" s="485"/>
      <c r="K474" s="485"/>
      <c r="L474" s="485"/>
      <c r="M474" s="485"/>
      <c r="N474" s="485"/>
      <c r="O474" s="485"/>
      <c r="P474" s="485"/>
      <c r="Q474" s="485"/>
      <c r="R474" s="485"/>
      <c r="S474" s="485"/>
      <c r="T474" s="485"/>
      <c r="U474" s="485"/>
      <c r="V474" s="485"/>
      <c r="W474" s="485"/>
      <c r="X474" s="485"/>
      <c r="Y474" s="485"/>
      <c r="Z474" s="485"/>
    </row>
    <row r="475">
      <c r="A475" s="485"/>
      <c r="B475" s="485"/>
      <c r="C475" s="485"/>
      <c r="D475" s="485"/>
      <c r="E475" s="485"/>
      <c r="F475" s="485"/>
      <c r="G475" s="485"/>
      <c r="H475" s="485"/>
      <c r="I475" s="485"/>
      <c r="J475" s="485"/>
      <c r="K475" s="485"/>
      <c r="L475" s="485"/>
      <c r="M475" s="485"/>
      <c r="N475" s="485"/>
      <c r="O475" s="485"/>
      <c r="P475" s="485"/>
      <c r="Q475" s="485"/>
      <c r="R475" s="485"/>
      <c r="S475" s="485"/>
      <c r="T475" s="485"/>
      <c r="U475" s="485"/>
      <c r="V475" s="485"/>
      <c r="W475" s="485"/>
      <c r="X475" s="485"/>
      <c r="Y475" s="485"/>
      <c r="Z475" s="485"/>
    </row>
    <row r="476">
      <c r="A476" s="485"/>
      <c r="B476" s="485"/>
      <c r="C476" s="485"/>
      <c r="D476" s="485"/>
      <c r="E476" s="485"/>
      <c r="F476" s="485"/>
      <c r="G476" s="485"/>
      <c r="H476" s="485"/>
      <c r="I476" s="485"/>
      <c r="J476" s="485"/>
      <c r="K476" s="485"/>
      <c r="L476" s="485"/>
      <c r="M476" s="485"/>
      <c r="N476" s="485"/>
      <c r="O476" s="485"/>
      <c r="P476" s="485"/>
      <c r="Q476" s="485"/>
      <c r="R476" s="485"/>
      <c r="S476" s="485"/>
      <c r="T476" s="485"/>
      <c r="U476" s="485"/>
      <c r="V476" s="485"/>
      <c r="W476" s="485"/>
      <c r="X476" s="485"/>
      <c r="Y476" s="485"/>
      <c r="Z476" s="485"/>
    </row>
    <row r="477">
      <c r="A477" s="485"/>
      <c r="B477" s="485"/>
      <c r="C477" s="485"/>
      <c r="D477" s="485"/>
      <c r="E477" s="485"/>
      <c r="F477" s="485"/>
      <c r="G477" s="485"/>
      <c r="H477" s="485"/>
      <c r="I477" s="485"/>
      <c r="J477" s="485"/>
      <c r="K477" s="485"/>
      <c r="L477" s="485"/>
      <c r="M477" s="485"/>
      <c r="N477" s="485"/>
      <c r="O477" s="485"/>
      <c r="P477" s="485"/>
      <c r="Q477" s="485"/>
      <c r="R477" s="485"/>
      <c r="S477" s="485"/>
      <c r="T477" s="485"/>
      <c r="U477" s="485"/>
      <c r="V477" s="485"/>
      <c r="W477" s="485"/>
      <c r="X477" s="485"/>
      <c r="Y477" s="485"/>
      <c r="Z477" s="485"/>
    </row>
    <row r="478">
      <c r="A478" s="485"/>
      <c r="B478" s="485"/>
      <c r="C478" s="485"/>
      <c r="D478" s="485"/>
      <c r="E478" s="485"/>
      <c r="F478" s="485"/>
      <c r="G478" s="485"/>
      <c r="H478" s="485"/>
      <c r="I478" s="485"/>
      <c r="J478" s="485"/>
      <c r="K478" s="485"/>
      <c r="L478" s="485"/>
      <c r="M478" s="485"/>
      <c r="N478" s="485"/>
      <c r="O478" s="485"/>
      <c r="P478" s="485"/>
      <c r="Q478" s="485"/>
      <c r="R478" s="485"/>
      <c r="S478" s="485"/>
      <c r="T478" s="485"/>
      <c r="U478" s="485"/>
      <c r="V478" s="485"/>
      <c r="W478" s="485"/>
      <c r="X478" s="485"/>
      <c r="Y478" s="485"/>
      <c r="Z478" s="485"/>
    </row>
    <row r="479">
      <c r="A479" s="485"/>
      <c r="B479" s="485"/>
      <c r="C479" s="485"/>
      <c r="D479" s="485"/>
      <c r="E479" s="485"/>
      <c r="F479" s="485"/>
      <c r="G479" s="485"/>
      <c r="H479" s="485"/>
      <c r="I479" s="485"/>
      <c r="J479" s="485"/>
      <c r="K479" s="485"/>
      <c r="L479" s="485"/>
      <c r="M479" s="485"/>
      <c r="N479" s="485"/>
      <c r="O479" s="485"/>
      <c r="P479" s="485"/>
      <c r="Q479" s="485"/>
      <c r="R479" s="485"/>
      <c r="S479" s="485"/>
      <c r="T479" s="485"/>
      <c r="U479" s="485"/>
      <c r="V479" s="485"/>
      <c r="W479" s="485"/>
      <c r="X479" s="485"/>
      <c r="Y479" s="485"/>
      <c r="Z479" s="485"/>
    </row>
    <row r="480">
      <c r="A480" s="485"/>
      <c r="B480" s="485"/>
      <c r="C480" s="485"/>
      <c r="D480" s="485"/>
      <c r="E480" s="485"/>
      <c r="F480" s="485"/>
      <c r="G480" s="485"/>
      <c r="H480" s="485"/>
      <c r="I480" s="485"/>
      <c r="J480" s="485"/>
      <c r="K480" s="485"/>
      <c r="L480" s="485"/>
      <c r="M480" s="485"/>
      <c r="N480" s="485"/>
      <c r="O480" s="485"/>
      <c r="P480" s="485"/>
      <c r="Q480" s="485"/>
      <c r="R480" s="485"/>
      <c r="S480" s="485"/>
      <c r="T480" s="485"/>
      <c r="U480" s="485"/>
      <c r="V480" s="485"/>
      <c r="W480" s="485"/>
      <c r="X480" s="485"/>
      <c r="Y480" s="485"/>
      <c r="Z480" s="485"/>
    </row>
    <row r="481">
      <c r="A481" s="485"/>
      <c r="B481" s="485"/>
      <c r="C481" s="485"/>
      <c r="D481" s="485"/>
      <c r="E481" s="485"/>
      <c r="F481" s="485"/>
      <c r="G481" s="485"/>
      <c r="H481" s="485"/>
      <c r="I481" s="485"/>
      <c r="J481" s="485"/>
      <c r="K481" s="485"/>
      <c r="L481" s="485"/>
      <c r="M481" s="485"/>
      <c r="N481" s="485"/>
      <c r="O481" s="485"/>
      <c r="P481" s="485"/>
      <c r="Q481" s="485"/>
      <c r="R481" s="485"/>
      <c r="S481" s="485"/>
      <c r="T481" s="485"/>
      <c r="U481" s="485"/>
      <c r="V481" s="485"/>
      <c r="W481" s="485"/>
      <c r="X481" s="485"/>
      <c r="Y481" s="485"/>
      <c r="Z481" s="485"/>
    </row>
    <row r="482">
      <c r="A482" s="485"/>
      <c r="B482" s="485"/>
      <c r="C482" s="485"/>
      <c r="D482" s="485"/>
      <c r="E482" s="485"/>
      <c r="F482" s="485"/>
      <c r="G482" s="485"/>
      <c r="H482" s="485"/>
      <c r="I482" s="485"/>
      <c r="J482" s="485"/>
      <c r="K482" s="485"/>
      <c r="L482" s="485"/>
      <c r="M482" s="485"/>
      <c r="N482" s="485"/>
      <c r="O482" s="485"/>
      <c r="P482" s="485"/>
      <c r="Q482" s="485"/>
      <c r="R482" s="485"/>
      <c r="S482" s="485"/>
      <c r="T482" s="485"/>
      <c r="U482" s="485"/>
      <c r="V482" s="485"/>
      <c r="W482" s="485"/>
      <c r="X482" s="485"/>
      <c r="Y482" s="485"/>
      <c r="Z482" s="485"/>
    </row>
    <row r="483">
      <c r="A483" s="485"/>
      <c r="B483" s="485"/>
      <c r="C483" s="485"/>
      <c r="D483" s="485"/>
      <c r="E483" s="485"/>
      <c r="F483" s="485"/>
      <c r="G483" s="485"/>
      <c r="H483" s="485"/>
      <c r="I483" s="485"/>
      <c r="J483" s="485"/>
      <c r="K483" s="485"/>
      <c r="L483" s="485"/>
      <c r="M483" s="485"/>
      <c r="N483" s="485"/>
      <c r="O483" s="485"/>
      <c r="P483" s="485"/>
      <c r="Q483" s="485"/>
      <c r="R483" s="485"/>
      <c r="S483" s="485"/>
      <c r="T483" s="485"/>
      <c r="U483" s="485"/>
      <c r="V483" s="485"/>
      <c r="W483" s="485"/>
      <c r="X483" s="485"/>
      <c r="Y483" s="485"/>
      <c r="Z483" s="485"/>
    </row>
    <row r="484">
      <c r="A484" s="485"/>
      <c r="B484" s="485"/>
      <c r="C484" s="485"/>
      <c r="D484" s="485"/>
      <c r="E484" s="485"/>
      <c r="F484" s="485"/>
      <c r="G484" s="485"/>
      <c r="H484" s="485"/>
      <c r="I484" s="485"/>
      <c r="J484" s="485"/>
      <c r="K484" s="485"/>
      <c r="L484" s="485"/>
      <c r="M484" s="485"/>
      <c r="N484" s="485"/>
      <c r="O484" s="485"/>
      <c r="P484" s="485"/>
      <c r="Q484" s="485"/>
      <c r="R484" s="485"/>
      <c r="S484" s="485"/>
      <c r="T484" s="485"/>
      <c r="U484" s="485"/>
      <c r="V484" s="485"/>
      <c r="W484" s="485"/>
      <c r="X484" s="485"/>
      <c r="Y484" s="485"/>
      <c r="Z484" s="485"/>
    </row>
    <row r="485">
      <c r="A485" s="485"/>
      <c r="B485" s="485"/>
      <c r="C485" s="485"/>
      <c r="D485" s="485"/>
      <c r="E485" s="485"/>
      <c r="F485" s="485"/>
      <c r="G485" s="485"/>
      <c r="H485" s="485"/>
      <c r="I485" s="485"/>
      <c r="J485" s="485"/>
      <c r="K485" s="485"/>
      <c r="L485" s="485"/>
      <c r="M485" s="485"/>
      <c r="N485" s="485"/>
      <c r="O485" s="485"/>
      <c r="P485" s="485"/>
      <c r="Q485" s="485"/>
      <c r="R485" s="485"/>
      <c r="S485" s="485"/>
      <c r="T485" s="485"/>
      <c r="U485" s="485"/>
      <c r="V485" s="485"/>
      <c r="W485" s="485"/>
      <c r="X485" s="485"/>
      <c r="Y485" s="485"/>
      <c r="Z485" s="485"/>
    </row>
    <row r="486">
      <c r="A486" s="485"/>
      <c r="B486" s="485"/>
      <c r="C486" s="485"/>
      <c r="D486" s="485"/>
      <c r="E486" s="485"/>
      <c r="F486" s="485"/>
      <c r="G486" s="485"/>
      <c r="H486" s="485"/>
      <c r="I486" s="485"/>
      <c r="J486" s="485"/>
      <c r="K486" s="485"/>
      <c r="L486" s="485"/>
      <c r="M486" s="485"/>
      <c r="N486" s="485"/>
      <c r="O486" s="485"/>
      <c r="P486" s="485"/>
      <c r="Q486" s="485"/>
      <c r="R486" s="485"/>
      <c r="S486" s="485"/>
      <c r="T486" s="485"/>
      <c r="U486" s="485"/>
      <c r="V486" s="485"/>
      <c r="W486" s="485"/>
      <c r="X486" s="485"/>
      <c r="Y486" s="485"/>
      <c r="Z486" s="485"/>
    </row>
    <row r="487">
      <c r="A487" s="485"/>
      <c r="B487" s="485"/>
      <c r="C487" s="485"/>
      <c r="D487" s="485"/>
      <c r="E487" s="485"/>
      <c r="F487" s="485"/>
      <c r="G487" s="485"/>
      <c r="H487" s="485"/>
      <c r="I487" s="485"/>
      <c r="J487" s="485"/>
      <c r="K487" s="485"/>
      <c r="L487" s="485"/>
      <c r="M487" s="485"/>
      <c r="N487" s="485"/>
      <c r="O487" s="485"/>
      <c r="P487" s="485"/>
      <c r="Q487" s="485"/>
      <c r="R487" s="485"/>
      <c r="S487" s="485"/>
      <c r="T487" s="485"/>
      <c r="U487" s="485"/>
      <c r="V487" s="485"/>
      <c r="W487" s="485"/>
      <c r="X487" s="485"/>
      <c r="Y487" s="485"/>
      <c r="Z487" s="485"/>
    </row>
    <row r="488">
      <c r="A488" s="485"/>
      <c r="B488" s="485"/>
      <c r="C488" s="485"/>
      <c r="D488" s="485"/>
      <c r="E488" s="485"/>
      <c r="F488" s="485"/>
      <c r="G488" s="485"/>
      <c r="H488" s="485"/>
      <c r="I488" s="485"/>
      <c r="J488" s="485"/>
      <c r="K488" s="485"/>
      <c r="L488" s="485"/>
      <c r="M488" s="485"/>
      <c r="N488" s="485"/>
      <c r="O488" s="485"/>
      <c r="P488" s="485"/>
      <c r="Q488" s="485"/>
      <c r="R488" s="485"/>
      <c r="S488" s="485"/>
      <c r="T488" s="485"/>
      <c r="U488" s="485"/>
      <c r="V488" s="485"/>
      <c r="W488" s="485"/>
      <c r="X488" s="485"/>
      <c r="Y488" s="485"/>
      <c r="Z488" s="485"/>
    </row>
    <row r="489">
      <c r="A489" s="485"/>
      <c r="B489" s="485"/>
      <c r="C489" s="485"/>
      <c r="D489" s="485"/>
      <c r="E489" s="485"/>
      <c r="F489" s="485"/>
      <c r="G489" s="485"/>
      <c r="H489" s="485"/>
      <c r="I489" s="485"/>
      <c r="J489" s="485"/>
      <c r="K489" s="485"/>
      <c r="L489" s="485"/>
      <c r="M489" s="485"/>
      <c r="N489" s="485"/>
      <c r="O489" s="485"/>
      <c r="P489" s="485"/>
      <c r="Q489" s="485"/>
      <c r="R489" s="485"/>
      <c r="S489" s="485"/>
      <c r="T489" s="485"/>
      <c r="U489" s="485"/>
      <c r="V489" s="485"/>
      <c r="W489" s="485"/>
      <c r="X489" s="485"/>
      <c r="Y489" s="485"/>
      <c r="Z489" s="485"/>
    </row>
    <row r="490">
      <c r="A490" s="485"/>
      <c r="B490" s="485"/>
      <c r="C490" s="485"/>
      <c r="D490" s="485"/>
      <c r="E490" s="485"/>
      <c r="F490" s="485"/>
      <c r="G490" s="485"/>
      <c r="H490" s="485"/>
      <c r="I490" s="485"/>
      <c r="J490" s="485"/>
      <c r="K490" s="485"/>
      <c r="L490" s="485"/>
      <c r="M490" s="485"/>
      <c r="N490" s="485"/>
      <c r="O490" s="485"/>
      <c r="P490" s="485"/>
      <c r="Q490" s="485"/>
      <c r="R490" s="485"/>
      <c r="S490" s="485"/>
      <c r="T490" s="485"/>
      <c r="U490" s="485"/>
      <c r="V490" s="485"/>
      <c r="W490" s="485"/>
      <c r="X490" s="485"/>
      <c r="Y490" s="485"/>
      <c r="Z490" s="485"/>
    </row>
    <row r="491">
      <c r="A491" s="485"/>
      <c r="B491" s="485"/>
      <c r="C491" s="485"/>
      <c r="D491" s="485"/>
      <c r="E491" s="485"/>
      <c r="F491" s="485"/>
      <c r="G491" s="485"/>
      <c r="H491" s="485"/>
      <c r="I491" s="485"/>
      <c r="J491" s="485"/>
      <c r="K491" s="485"/>
      <c r="L491" s="485"/>
      <c r="M491" s="485"/>
      <c r="N491" s="485"/>
      <c r="O491" s="485"/>
      <c r="P491" s="485"/>
      <c r="Q491" s="485"/>
      <c r="R491" s="485"/>
      <c r="S491" s="485"/>
      <c r="T491" s="485"/>
      <c r="U491" s="485"/>
      <c r="V491" s="485"/>
      <c r="W491" s="485"/>
      <c r="X491" s="485"/>
      <c r="Y491" s="485"/>
      <c r="Z491" s="485"/>
    </row>
    <row r="492">
      <c r="A492" s="485"/>
      <c r="B492" s="485"/>
      <c r="C492" s="485"/>
      <c r="D492" s="485"/>
      <c r="E492" s="485"/>
      <c r="F492" s="485"/>
      <c r="G492" s="485"/>
      <c r="H492" s="485"/>
      <c r="I492" s="485"/>
      <c r="J492" s="485"/>
      <c r="K492" s="485"/>
      <c r="L492" s="485"/>
      <c r="M492" s="485"/>
      <c r="N492" s="485"/>
      <c r="O492" s="485"/>
      <c r="P492" s="485"/>
      <c r="Q492" s="485"/>
      <c r="R492" s="485"/>
      <c r="S492" s="485"/>
      <c r="T492" s="485"/>
      <c r="U492" s="485"/>
      <c r="V492" s="485"/>
      <c r="W492" s="485"/>
      <c r="X492" s="485"/>
      <c r="Y492" s="485"/>
      <c r="Z492" s="485"/>
    </row>
    <row r="493">
      <c r="A493" s="485"/>
      <c r="B493" s="485"/>
      <c r="C493" s="485"/>
      <c r="D493" s="485"/>
      <c r="E493" s="485"/>
      <c r="F493" s="485"/>
      <c r="G493" s="485"/>
      <c r="H493" s="485"/>
      <c r="I493" s="485"/>
      <c r="J493" s="485"/>
      <c r="K493" s="485"/>
      <c r="L493" s="485"/>
      <c r="M493" s="485"/>
      <c r="N493" s="485"/>
      <c r="O493" s="485"/>
      <c r="P493" s="485"/>
      <c r="Q493" s="485"/>
      <c r="R493" s="485"/>
      <c r="S493" s="485"/>
      <c r="T493" s="485"/>
      <c r="U493" s="485"/>
      <c r="V493" s="485"/>
      <c r="W493" s="485"/>
      <c r="X493" s="485"/>
      <c r="Y493" s="485"/>
      <c r="Z493" s="485"/>
    </row>
    <row r="494">
      <c r="A494" s="485"/>
      <c r="B494" s="485"/>
      <c r="C494" s="485"/>
      <c r="D494" s="485"/>
      <c r="E494" s="485"/>
      <c r="F494" s="485"/>
      <c r="G494" s="485"/>
      <c r="H494" s="485"/>
      <c r="I494" s="485"/>
      <c r="J494" s="485"/>
      <c r="K494" s="485"/>
      <c r="L494" s="485"/>
      <c r="M494" s="485"/>
      <c r="N494" s="485"/>
      <c r="O494" s="485"/>
      <c r="P494" s="485"/>
      <c r="Q494" s="485"/>
      <c r="R494" s="485"/>
      <c r="S494" s="485"/>
      <c r="T494" s="485"/>
      <c r="U494" s="485"/>
      <c r="V494" s="485"/>
      <c r="W494" s="485"/>
      <c r="X494" s="485"/>
      <c r="Y494" s="485"/>
      <c r="Z494" s="485"/>
    </row>
    <row r="495">
      <c r="A495" s="485"/>
      <c r="B495" s="485"/>
      <c r="C495" s="485"/>
      <c r="D495" s="485"/>
      <c r="E495" s="485"/>
      <c r="F495" s="485"/>
      <c r="G495" s="485"/>
      <c r="H495" s="485"/>
      <c r="I495" s="485"/>
      <c r="J495" s="485"/>
      <c r="K495" s="485"/>
      <c r="L495" s="485"/>
      <c r="M495" s="485"/>
      <c r="N495" s="485"/>
      <c r="O495" s="485"/>
      <c r="P495" s="485"/>
      <c r="Q495" s="485"/>
      <c r="R495" s="485"/>
      <c r="S495" s="485"/>
      <c r="T495" s="485"/>
      <c r="U495" s="485"/>
      <c r="V495" s="485"/>
      <c r="W495" s="485"/>
      <c r="X495" s="485"/>
      <c r="Y495" s="485"/>
      <c r="Z495" s="485"/>
    </row>
    <row r="496">
      <c r="A496" s="485"/>
      <c r="B496" s="485"/>
      <c r="C496" s="485"/>
      <c r="D496" s="485"/>
      <c r="E496" s="485"/>
      <c r="F496" s="485"/>
      <c r="G496" s="485"/>
      <c r="H496" s="485"/>
      <c r="I496" s="485"/>
      <c r="J496" s="485"/>
      <c r="K496" s="485"/>
      <c r="L496" s="485"/>
      <c r="M496" s="485"/>
      <c r="N496" s="485"/>
      <c r="O496" s="485"/>
      <c r="P496" s="485"/>
      <c r="Q496" s="485"/>
      <c r="R496" s="485"/>
      <c r="S496" s="485"/>
      <c r="T496" s="485"/>
      <c r="U496" s="485"/>
      <c r="V496" s="485"/>
      <c r="W496" s="485"/>
      <c r="X496" s="485"/>
      <c r="Y496" s="485"/>
      <c r="Z496" s="485"/>
    </row>
    <row r="497">
      <c r="A497" s="485"/>
      <c r="B497" s="485"/>
      <c r="C497" s="485"/>
      <c r="D497" s="485"/>
      <c r="E497" s="485"/>
      <c r="F497" s="485"/>
      <c r="G497" s="485"/>
      <c r="H497" s="485"/>
      <c r="I497" s="485"/>
      <c r="J497" s="485"/>
      <c r="K497" s="485"/>
      <c r="L497" s="485"/>
      <c r="M497" s="485"/>
      <c r="N497" s="485"/>
      <c r="O497" s="485"/>
      <c r="P497" s="485"/>
      <c r="Q497" s="485"/>
      <c r="R497" s="485"/>
      <c r="S497" s="485"/>
      <c r="T497" s="485"/>
      <c r="U497" s="485"/>
      <c r="V497" s="485"/>
      <c r="W497" s="485"/>
      <c r="X497" s="485"/>
      <c r="Y497" s="485"/>
      <c r="Z497" s="485"/>
    </row>
    <row r="498">
      <c r="A498" s="485"/>
      <c r="B498" s="485"/>
      <c r="C498" s="485"/>
      <c r="D498" s="485"/>
      <c r="E498" s="485"/>
      <c r="F498" s="485"/>
      <c r="G498" s="485"/>
      <c r="H498" s="485"/>
      <c r="I498" s="485"/>
      <c r="J498" s="485"/>
      <c r="K498" s="485"/>
      <c r="L498" s="485"/>
      <c r="M498" s="485"/>
      <c r="N498" s="485"/>
      <c r="O498" s="485"/>
      <c r="P498" s="485"/>
      <c r="Q498" s="485"/>
      <c r="R498" s="485"/>
      <c r="S498" s="485"/>
      <c r="T498" s="485"/>
      <c r="U498" s="485"/>
      <c r="V498" s="485"/>
      <c r="W498" s="485"/>
      <c r="X498" s="485"/>
      <c r="Y498" s="485"/>
      <c r="Z498" s="485"/>
    </row>
    <row r="499">
      <c r="A499" s="485"/>
      <c r="B499" s="485"/>
      <c r="C499" s="485"/>
      <c r="D499" s="485"/>
      <c r="E499" s="485"/>
      <c r="F499" s="485"/>
      <c r="G499" s="485"/>
      <c r="H499" s="485"/>
      <c r="I499" s="485"/>
      <c r="J499" s="485"/>
      <c r="K499" s="485"/>
      <c r="L499" s="485"/>
      <c r="M499" s="485"/>
      <c r="N499" s="485"/>
      <c r="O499" s="485"/>
      <c r="P499" s="485"/>
      <c r="Q499" s="485"/>
      <c r="R499" s="485"/>
      <c r="S499" s="485"/>
      <c r="T499" s="485"/>
      <c r="U499" s="485"/>
      <c r="V499" s="485"/>
      <c r="W499" s="485"/>
      <c r="X499" s="485"/>
      <c r="Y499" s="485"/>
      <c r="Z499" s="485"/>
    </row>
    <row r="500">
      <c r="A500" s="485"/>
      <c r="B500" s="485"/>
      <c r="C500" s="485"/>
      <c r="D500" s="485"/>
      <c r="E500" s="485"/>
      <c r="F500" s="485"/>
      <c r="G500" s="485"/>
      <c r="H500" s="485"/>
      <c r="I500" s="485"/>
      <c r="J500" s="485"/>
      <c r="K500" s="485"/>
      <c r="L500" s="485"/>
      <c r="M500" s="485"/>
      <c r="N500" s="485"/>
      <c r="O500" s="485"/>
      <c r="P500" s="485"/>
      <c r="Q500" s="485"/>
      <c r="R500" s="485"/>
      <c r="S500" s="485"/>
      <c r="T500" s="485"/>
      <c r="U500" s="485"/>
      <c r="V500" s="485"/>
      <c r="W500" s="485"/>
      <c r="X500" s="485"/>
      <c r="Y500" s="485"/>
      <c r="Z500" s="485"/>
    </row>
    <row r="501">
      <c r="A501" s="485"/>
      <c r="B501" s="485"/>
      <c r="C501" s="485"/>
      <c r="D501" s="485"/>
      <c r="E501" s="485"/>
      <c r="F501" s="485"/>
      <c r="G501" s="485"/>
      <c r="H501" s="485"/>
      <c r="I501" s="485"/>
      <c r="J501" s="485"/>
      <c r="K501" s="485"/>
      <c r="L501" s="485"/>
      <c r="M501" s="485"/>
      <c r="N501" s="485"/>
      <c r="O501" s="485"/>
      <c r="P501" s="485"/>
      <c r="Q501" s="485"/>
      <c r="R501" s="485"/>
      <c r="S501" s="485"/>
      <c r="T501" s="485"/>
      <c r="U501" s="485"/>
      <c r="V501" s="485"/>
      <c r="W501" s="485"/>
      <c r="X501" s="485"/>
      <c r="Y501" s="485"/>
      <c r="Z501" s="485"/>
    </row>
    <row r="502">
      <c r="A502" s="485"/>
      <c r="B502" s="485"/>
      <c r="C502" s="485"/>
      <c r="D502" s="485"/>
      <c r="E502" s="485"/>
      <c r="F502" s="485"/>
      <c r="G502" s="485"/>
      <c r="H502" s="485"/>
      <c r="I502" s="485"/>
      <c r="J502" s="485"/>
      <c r="K502" s="485"/>
      <c r="L502" s="485"/>
      <c r="M502" s="485"/>
      <c r="N502" s="485"/>
      <c r="O502" s="485"/>
      <c r="P502" s="485"/>
      <c r="Q502" s="485"/>
      <c r="R502" s="485"/>
      <c r="S502" s="485"/>
      <c r="T502" s="485"/>
      <c r="U502" s="485"/>
      <c r="V502" s="485"/>
      <c r="W502" s="485"/>
      <c r="X502" s="485"/>
      <c r="Y502" s="485"/>
      <c r="Z502" s="485"/>
    </row>
    <row r="503">
      <c r="A503" s="485"/>
      <c r="B503" s="485"/>
      <c r="C503" s="485"/>
      <c r="D503" s="485"/>
      <c r="E503" s="485"/>
      <c r="F503" s="485"/>
      <c r="G503" s="485"/>
      <c r="H503" s="485"/>
      <c r="I503" s="485"/>
      <c r="J503" s="485"/>
      <c r="K503" s="485"/>
      <c r="L503" s="485"/>
      <c r="M503" s="485"/>
      <c r="N503" s="485"/>
      <c r="O503" s="485"/>
      <c r="P503" s="485"/>
      <c r="Q503" s="485"/>
      <c r="R503" s="485"/>
      <c r="S503" s="485"/>
      <c r="T503" s="485"/>
      <c r="U503" s="485"/>
      <c r="V503" s="485"/>
      <c r="W503" s="485"/>
      <c r="X503" s="485"/>
      <c r="Y503" s="485"/>
      <c r="Z503" s="485"/>
    </row>
    <row r="504">
      <c r="A504" s="485"/>
      <c r="B504" s="485"/>
      <c r="C504" s="485"/>
      <c r="D504" s="485"/>
      <c r="E504" s="485"/>
      <c r="F504" s="485"/>
      <c r="G504" s="485"/>
      <c r="H504" s="485"/>
      <c r="I504" s="485"/>
      <c r="J504" s="485"/>
      <c r="K504" s="485"/>
      <c r="L504" s="485"/>
      <c r="M504" s="485"/>
      <c r="N504" s="485"/>
      <c r="O504" s="485"/>
      <c r="P504" s="485"/>
      <c r="Q504" s="485"/>
      <c r="R504" s="485"/>
      <c r="S504" s="485"/>
      <c r="T504" s="485"/>
      <c r="U504" s="485"/>
      <c r="V504" s="485"/>
      <c r="W504" s="485"/>
      <c r="X504" s="485"/>
      <c r="Y504" s="485"/>
      <c r="Z504" s="485"/>
    </row>
    <row r="505">
      <c r="A505" s="485"/>
      <c r="B505" s="485"/>
      <c r="C505" s="485"/>
      <c r="D505" s="485"/>
      <c r="E505" s="485"/>
      <c r="F505" s="485"/>
      <c r="G505" s="485"/>
      <c r="H505" s="485"/>
      <c r="I505" s="485"/>
      <c r="J505" s="485"/>
      <c r="K505" s="485"/>
      <c r="L505" s="485"/>
      <c r="M505" s="485"/>
      <c r="N505" s="485"/>
      <c r="O505" s="485"/>
      <c r="P505" s="485"/>
      <c r="Q505" s="485"/>
      <c r="R505" s="485"/>
      <c r="S505" s="485"/>
      <c r="T505" s="485"/>
      <c r="U505" s="485"/>
      <c r="V505" s="485"/>
      <c r="W505" s="485"/>
      <c r="X505" s="485"/>
      <c r="Y505" s="485"/>
      <c r="Z505" s="485"/>
    </row>
    <row r="506">
      <c r="A506" s="485"/>
      <c r="B506" s="485"/>
      <c r="C506" s="485"/>
      <c r="D506" s="485"/>
      <c r="E506" s="485"/>
      <c r="F506" s="485"/>
      <c r="G506" s="485"/>
      <c r="H506" s="485"/>
      <c r="I506" s="485"/>
      <c r="J506" s="485"/>
      <c r="K506" s="485"/>
      <c r="L506" s="485"/>
      <c r="M506" s="485"/>
      <c r="N506" s="485"/>
      <c r="O506" s="485"/>
      <c r="P506" s="485"/>
      <c r="Q506" s="485"/>
      <c r="R506" s="485"/>
      <c r="S506" s="485"/>
      <c r="T506" s="485"/>
      <c r="U506" s="485"/>
      <c r="V506" s="485"/>
      <c r="W506" s="485"/>
      <c r="X506" s="485"/>
      <c r="Y506" s="485"/>
      <c r="Z506" s="485"/>
    </row>
    <row r="507">
      <c r="A507" s="485"/>
      <c r="B507" s="485"/>
      <c r="C507" s="485"/>
      <c r="D507" s="485"/>
      <c r="E507" s="485"/>
      <c r="F507" s="485"/>
      <c r="G507" s="485"/>
      <c r="H507" s="485"/>
      <c r="I507" s="485"/>
      <c r="J507" s="485"/>
      <c r="K507" s="485"/>
      <c r="L507" s="485"/>
      <c r="M507" s="485"/>
      <c r="N507" s="485"/>
      <c r="O507" s="485"/>
      <c r="P507" s="485"/>
      <c r="Q507" s="485"/>
      <c r="R507" s="485"/>
      <c r="S507" s="485"/>
      <c r="T507" s="485"/>
      <c r="U507" s="485"/>
      <c r="V507" s="485"/>
      <c r="W507" s="485"/>
      <c r="X507" s="485"/>
      <c r="Y507" s="485"/>
      <c r="Z507" s="485"/>
    </row>
    <row r="508">
      <c r="A508" s="485"/>
      <c r="B508" s="485"/>
      <c r="C508" s="485"/>
      <c r="D508" s="485"/>
      <c r="E508" s="485"/>
      <c r="F508" s="485"/>
      <c r="G508" s="485"/>
      <c r="H508" s="485"/>
      <c r="I508" s="485"/>
      <c r="J508" s="485"/>
      <c r="K508" s="485"/>
      <c r="L508" s="485"/>
      <c r="M508" s="485"/>
      <c r="N508" s="485"/>
      <c r="O508" s="485"/>
      <c r="P508" s="485"/>
      <c r="Q508" s="485"/>
      <c r="R508" s="485"/>
      <c r="S508" s="485"/>
      <c r="T508" s="485"/>
      <c r="U508" s="485"/>
      <c r="V508" s="485"/>
      <c r="W508" s="485"/>
      <c r="X508" s="485"/>
      <c r="Y508" s="485"/>
      <c r="Z508" s="485"/>
    </row>
    <row r="509">
      <c r="A509" s="485"/>
      <c r="B509" s="485"/>
      <c r="C509" s="485"/>
      <c r="D509" s="485"/>
      <c r="E509" s="485"/>
      <c r="F509" s="485"/>
      <c r="G509" s="485"/>
      <c r="H509" s="485"/>
      <c r="I509" s="485"/>
      <c r="J509" s="485"/>
      <c r="K509" s="485"/>
      <c r="L509" s="485"/>
      <c r="M509" s="485"/>
      <c r="N509" s="485"/>
      <c r="O509" s="485"/>
      <c r="P509" s="485"/>
      <c r="Q509" s="485"/>
      <c r="R509" s="485"/>
      <c r="S509" s="485"/>
      <c r="T509" s="485"/>
      <c r="U509" s="485"/>
      <c r="V509" s="485"/>
      <c r="W509" s="485"/>
      <c r="X509" s="485"/>
      <c r="Y509" s="485"/>
      <c r="Z509" s="485"/>
    </row>
    <row r="510">
      <c r="A510" s="485"/>
      <c r="B510" s="485"/>
      <c r="C510" s="485"/>
      <c r="D510" s="485"/>
      <c r="E510" s="485"/>
      <c r="F510" s="485"/>
      <c r="G510" s="485"/>
      <c r="H510" s="485"/>
      <c r="I510" s="485"/>
      <c r="J510" s="485"/>
      <c r="K510" s="485"/>
      <c r="L510" s="485"/>
      <c r="M510" s="485"/>
      <c r="N510" s="485"/>
      <c r="O510" s="485"/>
      <c r="P510" s="485"/>
      <c r="Q510" s="485"/>
      <c r="R510" s="485"/>
      <c r="S510" s="485"/>
      <c r="T510" s="485"/>
      <c r="U510" s="485"/>
      <c r="V510" s="485"/>
      <c r="W510" s="485"/>
      <c r="X510" s="485"/>
      <c r="Y510" s="485"/>
      <c r="Z510" s="485"/>
    </row>
    <row r="511">
      <c r="A511" s="485"/>
      <c r="B511" s="485"/>
      <c r="C511" s="485"/>
      <c r="D511" s="485"/>
      <c r="E511" s="485"/>
      <c r="F511" s="485"/>
      <c r="G511" s="485"/>
      <c r="H511" s="485"/>
      <c r="I511" s="485"/>
      <c r="J511" s="485"/>
      <c r="K511" s="485"/>
      <c r="L511" s="485"/>
      <c r="M511" s="485"/>
      <c r="N511" s="485"/>
      <c r="O511" s="485"/>
      <c r="P511" s="485"/>
      <c r="Q511" s="485"/>
      <c r="R511" s="485"/>
      <c r="S511" s="485"/>
      <c r="T511" s="485"/>
      <c r="U511" s="485"/>
      <c r="V511" s="485"/>
      <c r="W511" s="485"/>
      <c r="X511" s="485"/>
      <c r="Y511" s="485"/>
      <c r="Z511" s="485"/>
    </row>
    <row r="512">
      <c r="A512" s="485"/>
      <c r="B512" s="485"/>
      <c r="C512" s="485"/>
      <c r="D512" s="485"/>
      <c r="E512" s="485"/>
      <c r="F512" s="485"/>
      <c r="G512" s="485"/>
      <c r="H512" s="485"/>
      <c r="I512" s="485"/>
      <c r="J512" s="485"/>
      <c r="K512" s="485"/>
      <c r="L512" s="485"/>
      <c r="M512" s="485"/>
      <c r="N512" s="485"/>
      <c r="O512" s="485"/>
      <c r="P512" s="485"/>
      <c r="Q512" s="485"/>
      <c r="R512" s="485"/>
      <c r="S512" s="485"/>
      <c r="T512" s="485"/>
      <c r="U512" s="485"/>
      <c r="V512" s="485"/>
      <c r="W512" s="485"/>
      <c r="X512" s="485"/>
      <c r="Y512" s="485"/>
      <c r="Z512" s="485"/>
    </row>
    <row r="513">
      <c r="A513" s="485"/>
      <c r="B513" s="485"/>
      <c r="C513" s="485"/>
      <c r="D513" s="485"/>
      <c r="E513" s="485"/>
      <c r="F513" s="485"/>
      <c r="G513" s="485"/>
      <c r="H513" s="485"/>
      <c r="I513" s="485"/>
      <c r="J513" s="485"/>
      <c r="K513" s="485"/>
      <c r="L513" s="485"/>
      <c r="M513" s="485"/>
      <c r="N513" s="485"/>
      <c r="O513" s="485"/>
      <c r="P513" s="485"/>
      <c r="Q513" s="485"/>
      <c r="R513" s="485"/>
      <c r="S513" s="485"/>
      <c r="T513" s="485"/>
      <c r="U513" s="485"/>
      <c r="V513" s="485"/>
      <c r="W513" s="485"/>
      <c r="X513" s="485"/>
      <c r="Y513" s="485"/>
      <c r="Z513" s="485"/>
    </row>
    <row r="514">
      <c r="A514" s="485"/>
      <c r="B514" s="485"/>
      <c r="C514" s="485"/>
      <c r="D514" s="485"/>
      <c r="E514" s="485"/>
      <c r="F514" s="485"/>
      <c r="G514" s="485"/>
      <c r="H514" s="485"/>
      <c r="I514" s="485"/>
      <c r="J514" s="485"/>
      <c r="K514" s="485"/>
      <c r="L514" s="485"/>
      <c r="M514" s="485"/>
      <c r="N514" s="485"/>
      <c r="O514" s="485"/>
      <c r="P514" s="485"/>
      <c r="Q514" s="485"/>
      <c r="R514" s="485"/>
      <c r="S514" s="485"/>
      <c r="T514" s="485"/>
      <c r="U514" s="485"/>
      <c r="V514" s="485"/>
      <c r="W514" s="485"/>
      <c r="X514" s="485"/>
      <c r="Y514" s="485"/>
      <c r="Z514" s="485"/>
    </row>
    <row r="515">
      <c r="A515" s="485"/>
      <c r="B515" s="485"/>
      <c r="C515" s="485"/>
      <c r="D515" s="485"/>
      <c r="E515" s="485"/>
      <c r="F515" s="485"/>
      <c r="G515" s="485"/>
      <c r="H515" s="485"/>
      <c r="I515" s="485"/>
      <c r="J515" s="485"/>
      <c r="K515" s="485"/>
      <c r="L515" s="485"/>
      <c r="M515" s="485"/>
      <c r="N515" s="485"/>
      <c r="O515" s="485"/>
      <c r="P515" s="485"/>
      <c r="Q515" s="485"/>
      <c r="R515" s="485"/>
      <c r="S515" s="485"/>
      <c r="T515" s="485"/>
      <c r="U515" s="485"/>
      <c r="V515" s="485"/>
      <c r="W515" s="485"/>
      <c r="X515" s="485"/>
      <c r="Y515" s="485"/>
      <c r="Z515" s="485"/>
    </row>
    <row r="516">
      <c r="A516" s="485"/>
      <c r="B516" s="485"/>
      <c r="C516" s="485"/>
      <c r="D516" s="485"/>
      <c r="E516" s="485"/>
      <c r="F516" s="485"/>
      <c r="G516" s="485"/>
      <c r="H516" s="485"/>
      <c r="I516" s="485"/>
      <c r="J516" s="485"/>
      <c r="K516" s="485"/>
      <c r="L516" s="485"/>
      <c r="M516" s="485"/>
      <c r="N516" s="485"/>
      <c r="O516" s="485"/>
      <c r="P516" s="485"/>
      <c r="Q516" s="485"/>
      <c r="R516" s="485"/>
      <c r="S516" s="485"/>
      <c r="T516" s="485"/>
      <c r="U516" s="485"/>
      <c r="V516" s="485"/>
      <c r="W516" s="485"/>
      <c r="X516" s="485"/>
      <c r="Y516" s="485"/>
      <c r="Z516" s="485"/>
    </row>
    <row r="517">
      <c r="A517" s="485"/>
      <c r="B517" s="485"/>
      <c r="C517" s="485"/>
      <c r="D517" s="485"/>
      <c r="E517" s="485"/>
      <c r="F517" s="485"/>
      <c r="G517" s="485"/>
      <c r="H517" s="485"/>
      <c r="I517" s="485"/>
      <c r="J517" s="485"/>
      <c r="K517" s="485"/>
      <c r="L517" s="485"/>
      <c r="M517" s="485"/>
      <c r="N517" s="485"/>
      <c r="O517" s="485"/>
      <c r="P517" s="485"/>
      <c r="Q517" s="485"/>
      <c r="R517" s="485"/>
      <c r="S517" s="485"/>
      <c r="T517" s="485"/>
      <c r="U517" s="485"/>
      <c r="V517" s="485"/>
      <c r="W517" s="485"/>
      <c r="X517" s="485"/>
      <c r="Y517" s="485"/>
      <c r="Z517" s="485"/>
    </row>
    <row r="518">
      <c r="A518" s="485"/>
      <c r="B518" s="485"/>
      <c r="C518" s="485"/>
      <c r="D518" s="485"/>
      <c r="E518" s="485"/>
      <c r="F518" s="485"/>
      <c r="G518" s="485"/>
      <c r="H518" s="485"/>
      <c r="I518" s="485"/>
      <c r="J518" s="485"/>
      <c r="K518" s="485"/>
      <c r="L518" s="485"/>
      <c r="M518" s="485"/>
      <c r="N518" s="485"/>
      <c r="O518" s="485"/>
      <c r="P518" s="485"/>
      <c r="Q518" s="485"/>
      <c r="R518" s="485"/>
      <c r="S518" s="485"/>
      <c r="T518" s="485"/>
      <c r="U518" s="485"/>
      <c r="V518" s="485"/>
      <c r="W518" s="485"/>
      <c r="X518" s="485"/>
      <c r="Y518" s="485"/>
      <c r="Z518" s="485"/>
    </row>
    <row r="519">
      <c r="A519" s="485"/>
      <c r="B519" s="485"/>
      <c r="C519" s="485"/>
      <c r="D519" s="485"/>
      <c r="E519" s="485"/>
      <c r="F519" s="485"/>
      <c r="G519" s="485"/>
      <c r="H519" s="485"/>
      <c r="I519" s="485"/>
      <c r="J519" s="485"/>
      <c r="K519" s="485"/>
      <c r="L519" s="485"/>
      <c r="M519" s="485"/>
      <c r="N519" s="485"/>
      <c r="O519" s="485"/>
      <c r="P519" s="485"/>
      <c r="Q519" s="485"/>
      <c r="R519" s="485"/>
      <c r="S519" s="485"/>
      <c r="T519" s="485"/>
      <c r="U519" s="485"/>
      <c r="V519" s="485"/>
      <c r="W519" s="485"/>
      <c r="X519" s="485"/>
      <c r="Y519" s="485"/>
      <c r="Z519" s="485"/>
    </row>
    <row r="520">
      <c r="A520" s="485"/>
      <c r="B520" s="485"/>
      <c r="C520" s="485"/>
      <c r="D520" s="485"/>
      <c r="E520" s="485"/>
      <c r="F520" s="485"/>
      <c r="G520" s="485"/>
      <c r="H520" s="485"/>
      <c r="I520" s="485"/>
      <c r="J520" s="485"/>
      <c r="K520" s="485"/>
      <c r="L520" s="485"/>
      <c r="M520" s="485"/>
      <c r="N520" s="485"/>
      <c r="O520" s="485"/>
      <c r="P520" s="485"/>
      <c r="Q520" s="485"/>
      <c r="R520" s="485"/>
      <c r="S520" s="485"/>
      <c r="T520" s="485"/>
      <c r="U520" s="485"/>
      <c r="V520" s="485"/>
      <c r="W520" s="485"/>
      <c r="X520" s="485"/>
      <c r="Y520" s="485"/>
      <c r="Z520" s="485"/>
    </row>
    <row r="521">
      <c r="A521" s="485"/>
      <c r="B521" s="485"/>
      <c r="C521" s="485"/>
      <c r="D521" s="485"/>
      <c r="E521" s="485"/>
      <c r="F521" s="485"/>
      <c r="G521" s="485"/>
      <c r="H521" s="485"/>
      <c r="I521" s="485"/>
      <c r="J521" s="485"/>
      <c r="K521" s="485"/>
      <c r="L521" s="485"/>
      <c r="M521" s="485"/>
      <c r="N521" s="485"/>
      <c r="O521" s="485"/>
      <c r="P521" s="485"/>
      <c r="Q521" s="485"/>
      <c r="R521" s="485"/>
      <c r="S521" s="485"/>
      <c r="T521" s="485"/>
      <c r="U521" s="485"/>
      <c r="V521" s="485"/>
      <c r="W521" s="485"/>
      <c r="X521" s="485"/>
      <c r="Y521" s="485"/>
      <c r="Z521" s="485"/>
    </row>
    <row r="522">
      <c r="A522" s="485"/>
      <c r="B522" s="485"/>
      <c r="C522" s="485"/>
      <c r="D522" s="485"/>
      <c r="E522" s="485"/>
      <c r="F522" s="485"/>
      <c r="G522" s="485"/>
      <c r="H522" s="485"/>
      <c r="I522" s="485"/>
      <c r="J522" s="485"/>
      <c r="K522" s="485"/>
      <c r="L522" s="485"/>
      <c r="M522" s="485"/>
      <c r="N522" s="485"/>
      <c r="O522" s="485"/>
      <c r="P522" s="485"/>
      <c r="Q522" s="485"/>
      <c r="R522" s="485"/>
      <c r="S522" s="485"/>
      <c r="T522" s="485"/>
      <c r="U522" s="485"/>
      <c r="V522" s="485"/>
      <c r="W522" s="485"/>
      <c r="X522" s="485"/>
      <c r="Y522" s="485"/>
      <c r="Z522" s="485"/>
    </row>
    <row r="523">
      <c r="A523" s="485"/>
      <c r="B523" s="485"/>
      <c r="C523" s="485"/>
      <c r="D523" s="485"/>
      <c r="E523" s="485"/>
      <c r="F523" s="485"/>
      <c r="G523" s="485"/>
      <c r="H523" s="485"/>
      <c r="I523" s="485"/>
      <c r="J523" s="485"/>
      <c r="K523" s="485"/>
      <c r="L523" s="485"/>
      <c r="M523" s="485"/>
      <c r="N523" s="485"/>
      <c r="O523" s="485"/>
      <c r="P523" s="485"/>
      <c r="Q523" s="485"/>
      <c r="R523" s="485"/>
      <c r="S523" s="485"/>
      <c r="T523" s="485"/>
      <c r="U523" s="485"/>
      <c r="V523" s="485"/>
      <c r="W523" s="485"/>
      <c r="X523" s="485"/>
      <c r="Y523" s="485"/>
      <c r="Z523" s="485"/>
    </row>
    <row r="524">
      <c r="A524" s="485"/>
      <c r="B524" s="485"/>
      <c r="C524" s="485"/>
      <c r="D524" s="485"/>
      <c r="E524" s="485"/>
      <c r="F524" s="485"/>
      <c r="G524" s="485"/>
      <c r="H524" s="485"/>
      <c r="I524" s="485"/>
      <c r="J524" s="485"/>
      <c r="K524" s="485"/>
      <c r="L524" s="485"/>
      <c r="M524" s="485"/>
      <c r="N524" s="485"/>
      <c r="O524" s="485"/>
      <c r="P524" s="485"/>
      <c r="Q524" s="485"/>
      <c r="R524" s="485"/>
      <c r="S524" s="485"/>
      <c r="T524" s="485"/>
      <c r="U524" s="485"/>
      <c r="V524" s="485"/>
      <c r="W524" s="485"/>
      <c r="X524" s="485"/>
      <c r="Y524" s="485"/>
      <c r="Z524" s="485"/>
    </row>
    <row r="525">
      <c r="A525" s="485"/>
      <c r="B525" s="485"/>
      <c r="C525" s="485"/>
      <c r="D525" s="485"/>
      <c r="E525" s="485"/>
      <c r="F525" s="485"/>
      <c r="G525" s="485"/>
      <c r="H525" s="485"/>
      <c r="I525" s="485"/>
      <c r="J525" s="485"/>
      <c r="K525" s="485"/>
      <c r="L525" s="485"/>
      <c r="M525" s="485"/>
      <c r="N525" s="485"/>
      <c r="O525" s="485"/>
      <c r="P525" s="485"/>
      <c r="Q525" s="485"/>
      <c r="R525" s="485"/>
      <c r="S525" s="485"/>
      <c r="T525" s="485"/>
      <c r="U525" s="485"/>
      <c r="V525" s="485"/>
      <c r="W525" s="485"/>
      <c r="X525" s="485"/>
      <c r="Y525" s="485"/>
      <c r="Z525" s="485"/>
    </row>
    <row r="526">
      <c r="A526" s="485"/>
      <c r="B526" s="485"/>
      <c r="C526" s="485"/>
      <c r="D526" s="485"/>
      <c r="E526" s="485"/>
      <c r="F526" s="485"/>
      <c r="G526" s="485"/>
      <c r="H526" s="485"/>
      <c r="I526" s="485"/>
      <c r="J526" s="485"/>
      <c r="K526" s="485"/>
      <c r="L526" s="485"/>
      <c r="M526" s="485"/>
      <c r="N526" s="485"/>
      <c r="O526" s="485"/>
      <c r="P526" s="485"/>
      <c r="Q526" s="485"/>
      <c r="R526" s="485"/>
      <c r="S526" s="485"/>
      <c r="T526" s="485"/>
      <c r="U526" s="485"/>
      <c r="V526" s="485"/>
      <c r="W526" s="485"/>
      <c r="X526" s="485"/>
      <c r="Y526" s="485"/>
      <c r="Z526" s="485"/>
    </row>
    <row r="527">
      <c r="A527" s="485"/>
      <c r="B527" s="485"/>
      <c r="C527" s="485"/>
      <c r="D527" s="485"/>
      <c r="E527" s="485"/>
      <c r="F527" s="485"/>
      <c r="G527" s="485"/>
      <c r="H527" s="485"/>
      <c r="I527" s="485"/>
      <c r="J527" s="485"/>
      <c r="K527" s="485"/>
      <c r="L527" s="485"/>
      <c r="M527" s="485"/>
      <c r="N527" s="485"/>
      <c r="O527" s="485"/>
      <c r="P527" s="485"/>
      <c r="Q527" s="485"/>
      <c r="R527" s="485"/>
      <c r="S527" s="485"/>
      <c r="T527" s="485"/>
      <c r="U527" s="485"/>
      <c r="V527" s="485"/>
      <c r="W527" s="485"/>
      <c r="X527" s="485"/>
      <c r="Y527" s="485"/>
      <c r="Z527" s="485"/>
    </row>
    <row r="528">
      <c r="A528" s="485"/>
      <c r="B528" s="485"/>
      <c r="C528" s="485"/>
      <c r="D528" s="485"/>
      <c r="E528" s="485"/>
      <c r="F528" s="485"/>
      <c r="G528" s="485"/>
      <c r="H528" s="485"/>
      <c r="I528" s="485"/>
      <c r="J528" s="485"/>
      <c r="K528" s="485"/>
      <c r="L528" s="485"/>
      <c r="M528" s="485"/>
      <c r="N528" s="485"/>
      <c r="O528" s="485"/>
      <c r="P528" s="485"/>
      <c r="Q528" s="485"/>
      <c r="R528" s="485"/>
      <c r="S528" s="485"/>
      <c r="T528" s="485"/>
      <c r="U528" s="485"/>
      <c r="V528" s="485"/>
      <c r="W528" s="485"/>
      <c r="X528" s="485"/>
      <c r="Y528" s="485"/>
      <c r="Z528" s="485"/>
    </row>
    <row r="529">
      <c r="A529" s="485"/>
      <c r="B529" s="485"/>
      <c r="C529" s="485"/>
      <c r="D529" s="485"/>
      <c r="E529" s="485"/>
      <c r="F529" s="485"/>
      <c r="G529" s="485"/>
      <c r="H529" s="485"/>
      <c r="I529" s="485"/>
      <c r="J529" s="485"/>
      <c r="K529" s="485"/>
      <c r="L529" s="485"/>
      <c r="M529" s="485"/>
      <c r="N529" s="485"/>
      <c r="O529" s="485"/>
      <c r="P529" s="485"/>
      <c r="Q529" s="485"/>
      <c r="R529" s="485"/>
      <c r="S529" s="485"/>
      <c r="T529" s="485"/>
      <c r="U529" s="485"/>
      <c r="V529" s="485"/>
      <c r="W529" s="485"/>
      <c r="X529" s="485"/>
      <c r="Y529" s="485"/>
      <c r="Z529" s="485"/>
    </row>
    <row r="530">
      <c r="A530" s="485"/>
      <c r="B530" s="485"/>
      <c r="C530" s="485"/>
      <c r="D530" s="485"/>
      <c r="E530" s="485"/>
      <c r="F530" s="485"/>
      <c r="G530" s="485"/>
      <c r="H530" s="485"/>
      <c r="I530" s="485"/>
      <c r="J530" s="485"/>
      <c r="K530" s="485"/>
      <c r="L530" s="485"/>
      <c r="M530" s="485"/>
      <c r="N530" s="485"/>
      <c r="O530" s="485"/>
      <c r="P530" s="485"/>
      <c r="Q530" s="485"/>
      <c r="R530" s="485"/>
      <c r="S530" s="485"/>
      <c r="T530" s="485"/>
      <c r="U530" s="485"/>
      <c r="V530" s="485"/>
      <c r="W530" s="485"/>
      <c r="X530" s="485"/>
      <c r="Y530" s="485"/>
      <c r="Z530" s="485"/>
    </row>
    <row r="531">
      <c r="A531" s="485"/>
      <c r="B531" s="485"/>
      <c r="C531" s="485"/>
      <c r="D531" s="485"/>
      <c r="E531" s="485"/>
      <c r="F531" s="485"/>
      <c r="G531" s="485"/>
      <c r="H531" s="485"/>
      <c r="I531" s="485"/>
      <c r="J531" s="485"/>
      <c r="K531" s="485"/>
      <c r="L531" s="485"/>
      <c r="M531" s="485"/>
      <c r="N531" s="485"/>
      <c r="O531" s="485"/>
      <c r="P531" s="485"/>
      <c r="Q531" s="485"/>
      <c r="R531" s="485"/>
      <c r="S531" s="485"/>
      <c r="T531" s="485"/>
      <c r="U531" s="485"/>
      <c r="V531" s="485"/>
      <c r="W531" s="485"/>
      <c r="X531" s="485"/>
      <c r="Y531" s="485"/>
      <c r="Z531" s="485"/>
    </row>
    <row r="532">
      <c r="A532" s="485"/>
      <c r="B532" s="485"/>
      <c r="C532" s="485"/>
      <c r="D532" s="485"/>
      <c r="E532" s="485"/>
      <c r="F532" s="485"/>
      <c r="G532" s="485"/>
      <c r="H532" s="485"/>
      <c r="I532" s="485"/>
      <c r="J532" s="485"/>
      <c r="K532" s="485"/>
      <c r="L532" s="485"/>
      <c r="M532" s="485"/>
      <c r="N532" s="485"/>
      <c r="O532" s="485"/>
      <c r="P532" s="485"/>
      <c r="Q532" s="485"/>
      <c r="R532" s="485"/>
      <c r="S532" s="485"/>
      <c r="T532" s="485"/>
      <c r="U532" s="485"/>
      <c r="V532" s="485"/>
      <c r="W532" s="485"/>
      <c r="X532" s="485"/>
      <c r="Y532" s="485"/>
      <c r="Z532" s="485"/>
    </row>
    <row r="533">
      <c r="A533" s="485"/>
      <c r="B533" s="485"/>
      <c r="C533" s="485"/>
      <c r="D533" s="485"/>
      <c r="E533" s="485"/>
      <c r="F533" s="485"/>
      <c r="G533" s="485"/>
      <c r="H533" s="485"/>
      <c r="I533" s="485"/>
      <c r="J533" s="485"/>
      <c r="K533" s="485"/>
      <c r="L533" s="485"/>
      <c r="M533" s="485"/>
      <c r="N533" s="485"/>
      <c r="O533" s="485"/>
      <c r="P533" s="485"/>
      <c r="Q533" s="485"/>
      <c r="R533" s="485"/>
      <c r="S533" s="485"/>
      <c r="T533" s="485"/>
      <c r="U533" s="485"/>
      <c r="V533" s="485"/>
      <c r="W533" s="485"/>
      <c r="X533" s="485"/>
      <c r="Y533" s="485"/>
      <c r="Z533" s="485"/>
    </row>
    <row r="534">
      <c r="A534" s="485"/>
      <c r="B534" s="485"/>
      <c r="C534" s="485"/>
      <c r="D534" s="485"/>
      <c r="E534" s="485"/>
      <c r="F534" s="485"/>
      <c r="G534" s="485"/>
      <c r="H534" s="485"/>
      <c r="I534" s="485"/>
      <c r="J534" s="485"/>
      <c r="K534" s="485"/>
      <c r="L534" s="485"/>
      <c r="M534" s="485"/>
      <c r="N534" s="485"/>
      <c r="O534" s="485"/>
      <c r="P534" s="485"/>
      <c r="Q534" s="485"/>
      <c r="R534" s="485"/>
      <c r="S534" s="485"/>
      <c r="T534" s="485"/>
      <c r="U534" s="485"/>
      <c r="V534" s="485"/>
      <c r="W534" s="485"/>
      <c r="X534" s="485"/>
      <c r="Y534" s="485"/>
      <c r="Z534" s="485"/>
    </row>
    <row r="535">
      <c r="A535" s="485"/>
      <c r="B535" s="485"/>
      <c r="C535" s="485"/>
      <c r="D535" s="485"/>
      <c r="E535" s="485"/>
      <c r="F535" s="485"/>
      <c r="G535" s="485"/>
      <c r="H535" s="485"/>
      <c r="I535" s="485"/>
      <c r="J535" s="485"/>
      <c r="K535" s="485"/>
      <c r="L535" s="485"/>
      <c r="M535" s="485"/>
      <c r="N535" s="485"/>
      <c r="O535" s="485"/>
      <c r="P535" s="485"/>
      <c r="Q535" s="485"/>
      <c r="R535" s="485"/>
      <c r="S535" s="485"/>
      <c r="T535" s="485"/>
      <c r="U535" s="485"/>
      <c r="V535" s="485"/>
      <c r="W535" s="485"/>
      <c r="X535" s="485"/>
      <c r="Y535" s="485"/>
      <c r="Z535" s="485"/>
    </row>
    <row r="536">
      <c r="A536" s="485"/>
      <c r="B536" s="485"/>
      <c r="C536" s="485"/>
      <c r="D536" s="485"/>
      <c r="E536" s="485"/>
      <c r="F536" s="485"/>
      <c r="G536" s="485"/>
      <c r="H536" s="485"/>
      <c r="I536" s="485"/>
      <c r="J536" s="485"/>
      <c r="K536" s="485"/>
      <c r="L536" s="485"/>
      <c r="M536" s="485"/>
      <c r="N536" s="485"/>
      <c r="O536" s="485"/>
      <c r="P536" s="485"/>
      <c r="Q536" s="485"/>
      <c r="R536" s="485"/>
      <c r="S536" s="485"/>
      <c r="T536" s="485"/>
      <c r="U536" s="485"/>
      <c r="V536" s="485"/>
      <c r="W536" s="485"/>
      <c r="X536" s="485"/>
      <c r="Y536" s="485"/>
      <c r="Z536" s="485"/>
    </row>
    <row r="537">
      <c r="A537" s="485"/>
      <c r="B537" s="485"/>
      <c r="C537" s="485"/>
      <c r="D537" s="485"/>
      <c r="E537" s="485"/>
      <c r="F537" s="485"/>
      <c r="G537" s="485"/>
      <c r="H537" s="485"/>
      <c r="I537" s="485"/>
      <c r="J537" s="485"/>
      <c r="K537" s="485"/>
      <c r="L537" s="485"/>
      <c r="M537" s="485"/>
      <c r="N537" s="485"/>
      <c r="O537" s="485"/>
      <c r="P537" s="485"/>
      <c r="Q537" s="485"/>
      <c r="R537" s="485"/>
      <c r="S537" s="485"/>
      <c r="T537" s="485"/>
      <c r="U537" s="485"/>
      <c r="V537" s="485"/>
      <c r="W537" s="485"/>
      <c r="X537" s="485"/>
      <c r="Y537" s="485"/>
      <c r="Z537" s="485"/>
    </row>
    <row r="538">
      <c r="A538" s="485"/>
      <c r="B538" s="485"/>
      <c r="C538" s="485"/>
      <c r="D538" s="485"/>
      <c r="E538" s="485"/>
      <c r="F538" s="485"/>
      <c r="G538" s="485"/>
      <c r="H538" s="485"/>
      <c r="I538" s="485"/>
      <c r="J538" s="485"/>
      <c r="K538" s="485"/>
      <c r="L538" s="485"/>
      <c r="M538" s="485"/>
      <c r="N538" s="485"/>
      <c r="O538" s="485"/>
      <c r="P538" s="485"/>
      <c r="Q538" s="485"/>
      <c r="R538" s="485"/>
      <c r="S538" s="485"/>
      <c r="T538" s="485"/>
      <c r="U538" s="485"/>
      <c r="V538" s="485"/>
      <c r="W538" s="485"/>
      <c r="X538" s="485"/>
      <c r="Y538" s="485"/>
      <c r="Z538" s="485"/>
    </row>
    <row r="539">
      <c r="A539" s="485"/>
      <c r="B539" s="485"/>
      <c r="C539" s="485"/>
      <c r="D539" s="485"/>
      <c r="E539" s="485"/>
      <c r="F539" s="485"/>
      <c r="G539" s="485"/>
      <c r="H539" s="485"/>
      <c r="I539" s="485"/>
      <c r="J539" s="485"/>
      <c r="K539" s="485"/>
      <c r="L539" s="485"/>
      <c r="M539" s="485"/>
      <c r="N539" s="485"/>
      <c r="O539" s="485"/>
      <c r="P539" s="485"/>
      <c r="Q539" s="485"/>
      <c r="R539" s="485"/>
      <c r="S539" s="485"/>
      <c r="T539" s="485"/>
      <c r="U539" s="485"/>
      <c r="V539" s="485"/>
      <c r="W539" s="485"/>
      <c r="X539" s="485"/>
      <c r="Y539" s="485"/>
      <c r="Z539" s="485"/>
    </row>
    <row r="540">
      <c r="A540" s="485"/>
      <c r="B540" s="485"/>
      <c r="C540" s="485"/>
      <c r="D540" s="485"/>
      <c r="E540" s="485"/>
      <c r="F540" s="485"/>
      <c r="G540" s="485"/>
      <c r="H540" s="485"/>
      <c r="I540" s="485"/>
      <c r="J540" s="485"/>
      <c r="K540" s="485"/>
      <c r="L540" s="485"/>
      <c r="M540" s="485"/>
      <c r="N540" s="485"/>
      <c r="O540" s="485"/>
      <c r="P540" s="485"/>
      <c r="Q540" s="485"/>
      <c r="R540" s="485"/>
      <c r="S540" s="485"/>
      <c r="T540" s="485"/>
      <c r="U540" s="485"/>
      <c r="V540" s="485"/>
      <c r="W540" s="485"/>
      <c r="X540" s="485"/>
      <c r="Y540" s="485"/>
      <c r="Z540" s="485"/>
    </row>
    <row r="541">
      <c r="A541" s="485"/>
      <c r="B541" s="485"/>
      <c r="C541" s="485"/>
      <c r="D541" s="485"/>
      <c r="E541" s="485"/>
      <c r="F541" s="485"/>
      <c r="G541" s="485"/>
      <c r="H541" s="485"/>
      <c r="I541" s="485"/>
      <c r="J541" s="485"/>
      <c r="K541" s="485"/>
      <c r="L541" s="485"/>
      <c r="M541" s="485"/>
      <c r="N541" s="485"/>
      <c r="O541" s="485"/>
      <c r="P541" s="485"/>
      <c r="Q541" s="485"/>
      <c r="R541" s="485"/>
      <c r="S541" s="485"/>
      <c r="T541" s="485"/>
      <c r="U541" s="485"/>
      <c r="V541" s="485"/>
      <c r="W541" s="485"/>
      <c r="X541" s="485"/>
      <c r="Y541" s="485"/>
      <c r="Z541" s="485"/>
    </row>
    <row r="542">
      <c r="A542" s="485"/>
      <c r="B542" s="485"/>
      <c r="C542" s="485"/>
      <c r="D542" s="485"/>
      <c r="E542" s="485"/>
      <c r="F542" s="485"/>
      <c r="G542" s="485"/>
      <c r="H542" s="485"/>
      <c r="I542" s="485"/>
      <c r="J542" s="485"/>
      <c r="K542" s="485"/>
      <c r="L542" s="485"/>
      <c r="M542" s="485"/>
      <c r="N542" s="485"/>
      <c r="O542" s="485"/>
      <c r="P542" s="485"/>
      <c r="Q542" s="485"/>
      <c r="R542" s="485"/>
      <c r="S542" s="485"/>
      <c r="T542" s="485"/>
      <c r="U542" s="485"/>
      <c r="V542" s="485"/>
      <c r="W542" s="485"/>
      <c r="X542" s="485"/>
      <c r="Y542" s="485"/>
      <c r="Z542" s="485"/>
    </row>
    <row r="543">
      <c r="A543" s="485"/>
      <c r="B543" s="485"/>
      <c r="C543" s="485"/>
      <c r="D543" s="485"/>
      <c r="E543" s="485"/>
      <c r="F543" s="485"/>
      <c r="G543" s="485"/>
      <c r="H543" s="485"/>
      <c r="I543" s="485"/>
      <c r="J543" s="485"/>
      <c r="K543" s="485"/>
      <c r="L543" s="485"/>
      <c r="M543" s="485"/>
      <c r="N543" s="485"/>
      <c r="O543" s="485"/>
      <c r="P543" s="485"/>
      <c r="Q543" s="485"/>
      <c r="R543" s="485"/>
      <c r="S543" s="485"/>
      <c r="T543" s="485"/>
      <c r="U543" s="485"/>
      <c r="V543" s="485"/>
      <c r="W543" s="485"/>
      <c r="X543" s="485"/>
      <c r="Y543" s="485"/>
      <c r="Z543" s="485"/>
    </row>
    <row r="544">
      <c r="A544" s="485"/>
      <c r="B544" s="485"/>
      <c r="C544" s="485"/>
      <c r="D544" s="485"/>
      <c r="E544" s="485"/>
      <c r="F544" s="485"/>
      <c r="G544" s="485"/>
      <c r="H544" s="485"/>
      <c r="I544" s="485"/>
      <c r="J544" s="485"/>
      <c r="K544" s="485"/>
      <c r="L544" s="485"/>
      <c r="M544" s="485"/>
      <c r="N544" s="485"/>
      <c r="O544" s="485"/>
      <c r="P544" s="485"/>
      <c r="Q544" s="485"/>
      <c r="R544" s="485"/>
      <c r="S544" s="485"/>
      <c r="T544" s="485"/>
      <c r="U544" s="485"/>
      <c r="V544" s="485"/>
      <c r="W544" s="485"/>
      <c r="X544" s="485"/>
      <c r="Y544" s="485"/>
      <c r="Z544" s="485"/>
    </row>
    <row r="545">
      <c r="A545" s="485"/>
      <c r="B545" s="485"/>
      <c r="C545" s="485"/>
      <c r="D545" s="485"/>
      <c r="E545" s="485"/>
      <c r="F545" s="485"/>
      <c r="G545" s="485"/>
      <c r="H545" s="485"/>
      <c r="I545" s="485"/>
      <c r="J545" s="485"/>
      <c r="K545" s="485"/>
      <c r="L545" s="485"/>
      <c r="M545" s="485"/>
      <c r="N545" s="485"/>
      <c r="O545" s="485"/>
      <c r="P545" s="485"/>
      <c r="Q545" s="485"/>
      <c r="R545" s="485"/>
      <c r="S545" s="485"/>
      <c r="T545" s="485"/>
      <c r="U545" s="485"/>
      <c r="V545" s="485"/>
      <c r="W545" s="485"/>
      <c r="X545" s="485"/>
      <c r="Y545" s="485"/>
      <c r="Z545" s="485"/>
    </row>
    <row r="546">
      <c r="A546" s="485"/>
      <c r="B546" s="485"/>
      <c r="C546" s="485"/>
      <c r="D546" s="485"/>
      <c r="E546" s="485"/>
      <c r="F546" s="485"/>
      <c r="G546" s="485"/>
      <c r="H546" s="485"/>
      <c r="I546" s="485"/>
      <c r="J546" s="485"/>
      <c r="K546" s="485"/>
      <c r="L546" s="485"/>
      <c r="M546" s="485"/>
      <c r="N546" s="485"/>
      <c r="O546" s="485"/>
      <c r="P546" s="485"/>
      <c r="Q546" s="485"/>
      <c r="R546" s="485"/>
      <c r="S546" s="485"/>
      <c r="T546" s="485"/>
      <c r="U546" s="485"/>
      <c r="V546" s="485"/>
      <c r="W546" s="485"/>
      <c r="X546" s="485"/>
      <c r="Y546" s="485"/>
      <c r="Z546" s="485"/>
    </row>
    <row r="547">
      <c r="A547" s="485"/>
      <c r="B547" s="485"/>
      <c r="C547" s="485"/>
      <c r="D547" s="485"/>
      <c r="E547" s="485"/>
      <c r="F547" s="485"/>
      <c r="G547" s="485"/>
      <c r="H547" s="485"/>
      <c r="I547" s="485"/>
      <c r="J547" s="485"/>
      <c r="K547" s="485"/>
      <c r="L547" s="485"/>
      <c r="M547" s="485"/>
      <c r="N547" s="485"/>
      <c r="O547" s="485"/>
      <c r="P547" s="485"/>
      <c r="Q547" s="485"/>
      <c r="R547" s="485"/>
      <c r="S547" s="485"/>
      <c r="T547" s="485"/>
      <c r="U547" s="485"/>
      <c r="V547" s="485"/>
      <c r="W547" s="485"/>
      <c r="X547" s="485"/>
      <c r="Y547" s="485"/>
      <c r="Z547" s="485"/>
    </row>
    <row r="548">
      <c r="A548" s="485"/>
      <c r="B548" s="485"/>
      <c r="C548" s="485"/>
      <c r="D548" s="485"/>
      <c r="E548" s="485"/>
      <c r="F548" s="485"/>
      <c r="G548" s="485"/>
      <c r="H548" s="485"/>
      <c r="I548" s="485"/>
      <c r="J548" s="485"/>
      <c r="K548" s="485"/>
      <c r="L548" s="485"/>
      <c r="M548" s="485"/>
      <c r="N548" s="485"/>
      <c r="O548" s="485"/>
      <c r="P548" s="485"/>
      <c r="Q548" s="485"/>
      <c r="R548" s="485"/>
      <c r="S548" s="485"/>
      <c r="T548" s="485"/>
      <c r="U548" s="485"/>
      <c r="V548" s="485"/>
      <c r="W548" s="485"/>
      <c r="X548" s="485"/>
      <c r="Y548" s="485"/>
      <c r="Z548" s="485"/>
    </row>
    <row r="549">
      <c r="A549" s="485"/>
      <c r="B549" s="485"/>
      <c r="C549" s="485"/>
      <c r="D549" s="485"/>
      <c r="E549" s="485"/>
      <c r="F549" s="485"/>
      <c r="G549" s="485"/>
      <c r="H549" s="485"/>
      <c r="I549" s="485"/>
      <c r="J549" s="485"/>
      <c r="K549" s="485"/>
      <c r="L549" s="485"/>
      <c r="M549" s="485"/>
      <c r="N549" s="485"/>
      <c r="O549" s="485"/>
      <c r="P549" s="485"/>
      <c r="Q549" s="485"/>
      <c r="R549" s="485"/>
      <c r="S549" s="485"/>
      <c r="T549" s="485"/>
      <c r="U549" s="485"/>
      <c r="V549" s="485"/>
      <c r="W549" s="485"/>
      <c r="X549" s="485"/>
      <c r="Y549" s="485"/>
      <c r="Z549" s="485"/>
    </row>
    <row r="550">
      <c r="A550" s="485"/>
      <c r="B550" s="485"/>
      <c r="C550" s="485"/>
      <c r="D550" s="485"/>
      <c r="E550" s="485"/>
      <c r="F550" s="485"/>
      <c r="G550" s="485"/>
      <c r="H550" s="485"/>
      <c r="I550" s="485"/>
      <c r="J550" s="485"/>
      <c r="K550" s="485"/>
      <c r="L550" s="485"/>
      <c r="M550" s="485"/>
      <c r="N550" s="485"/>
      <c r="O550" s="485"/>
      <c r="P550" s="485"/>
      <c r="Q550" s="485"/>
      <c r="R550" s="485"/>
      <c r="S550" s="485"/>
      <c r="T550" s="485"/>
      <c r="U550" s="485"/>
      <c r="V550" s="485"/>
      <c r="W550" s="485"/>
      <c r="X550" s="485"/>
      <c r="Y550" s="485"/>
      <c r="Z550" s="485"/>
    </row>
    <row r="551">
      <c r="A551" s="485"/>
      <c r="B551" s="485"/>
      <c r="C551" s="485"/>
      <c r="D551" s="485"/>
      <c r="E551" s="485"/>
      <c r="F551" s="485"/>
      <c r="G551" s="485"/>
      <c r="H551" s="485"/>
      <c r="I551" s="485"/>
      <c r="J551" s="485"/>
      <c r="K551" s="485"/>
      <c r="L551" s="485"/>
      <c r="M551" s="485"/>
      <c r="N551" s="485"/>
      <c r="O551" s="485"/>
      <c r="P551" s="485"/>
      <c r="Q551" s="485"/>
      <c r="R551" s="485"/>
      <c r="S551" s="485"/>
      <c r="T551" s="485"/>
      <c r="U551" s="485"/>
      <c r="V551" s="485"/>
      <c r="W551" s="485"/>
      <c r="X551" s="485"/>
      <c r="Y551" s="485"/>
      <c r="Z551" s="485"/>
    </row>
    <row r="552">
      <c r="A552" s="485"/>
      <c r="B552" s="485"/>
      <c r="C552" s="485"/>
      <c r="D552" s="485"/>
      <c r="E552" s="485"/>
      <c r="F552" s="485"/>
      <c r="G552" s="485"/>
      <c r="H552" s="485"/>
      <c r="I552" s="485"/>
      <c r="J552" s="485"/>
      <c r="K552" s="485"/>
      <c r="L552" s="485"/>
      <c r="M552" s="485"/>
      <c r="N552" s="485"/>
      <c r="O552" s="485"/>
      <c r="P552" s="485"/>
      <c r="Q552" s="485"/>
      <c r="R552" s="485"/>
      <c r="S552" s="485"/>
      <c r="T552" s="485"/>
      <c r="U552" s="485"/>
      <c r="V552" s="485"/>
      <c r="W552" s="485"/>
      <c r="X552" s="485"/>
      <c r="Y552" s="485"/>
      <c r="Z552" s="485"/>
    </row>
    <row r="553">
      <c r="A553" s="485"/>
      <c r="B553" s="485"/>
      <c r="C553" s="485"/>
      <c r="D553" s="485"/>
      <c r="E553" s="485"/>
      <c r="F553" s="485"/>
      <c r="G553" s="485"/>
      <c r="H553" s="485"/>
      <c r="I553" s="485"/>
      <c r="J553" s="485"/>
      <c r="K553" s="485"/>
      <c r="L553" s="485"/>
      <c r="M553" s="485"/>
      <c r="N553" s="485"/>
      <c r="O553" s="485"/>
      <c r="P553" s="485"/>
      <c r="Q553" s="485"/>
      <c r="R553" s="485"/>
      <c r="S553" s="485"/>
      <c r="T553" s="485"/>
      <c r="U553" s="485"/>
      <c r="V553" s="485"/>
      <c r="W553" s="485"/>
      <c r="X553" s="485"/>
      <c r="Y553" s="485"/>
      <c r="Z553" s="485"/>
    </row>
    <row r="554">
      <c r="A554" s="485"/>
      <c r="B554" s="485"/>
      <c r="C554" s="485"/>
      <c r="D554" s="485"/>
      <c r="E554" s="485"/>
      <c r="F554" s="485"/>
      <c r="G554" s="485"/>
      <c r="H554" s="485"/>
      <c r="I554" s="485"/>
      <c r="J554" s="485"/>
      <c r="K554" s="485"/>
      <c r="L554" s="485"/>
      <c r="M554" s="485"/>
      <c r="N554" s="485"/>
      <c r="O554" s="485"/>
      <c r="P554" s="485"/>
      <c r="Q554" s="485"/>
      <c r="R554" s="485"/>
      <c r="S554" s="485"/>
      <c r="T554" s="485"/>
      <c r="U554" s="485"/>
      <c r="V554" s="485"/>
      <c r="W554" s="485"/>
      <c r="X554" s="485"/>
      <c r="Y554" s="485"/>
      <c r="Z554" s="485"/>
    </row>
    <row r="555">
      <c r="A555" s="485"/>
      <c r="B555" s="485"/>
      <c r="C555" s="485"/>
      <c r="D555" s="485"/>
      <c r="E555" s="485"/>
      <c r="F555" s="485"/>
      <c r="G555" s="485"/>
      <c r="H555" s="485"/>
      <c r="I555" s="485"/>
      <c r="J555" s="485"/>
      <c r="K555" s="485"/>
      <c r="L555" s="485"/>
      <c r="M555" s="485"/>
      <c r="N555" s="485"/>
      <c r="O555" s="485"/>
      <c r="P555" s="485"/>
      <c r="Q555" s="485"/>
      <c r="R555" s="485"/>
      <c r="S555" s="485"/>
      <c r="T555" s="485"/>
      <c r="U555" s="485"/>
      <c r="V555" s="485"/>
      <c r="W555" s="485"/>
      <c r="X555" s="485"/>
      <c r="Y555" s="485"/>
      <c r="Z555" s="485"/>
    </row>
    <row r="556">
      <c r="A556" s="485"/>
      <c r="B556" s="485"/>
      <c r="C556" s="485"/>
      <c r="D556" s="485"/>
      <c r="E556" s="485"/>
      <c r="F556" s="485"/>
      <c r="G556" s="485"/>
      <c r="H556" s="485"/>
      <c r="I556" s="485"/>
      <c r="J556" s="485"/>
      <c r="K556" s="485"/>
      <c r="L556" s="485"/>
      <c r="M556" s="485"/>
      <c r="N556" s="485"/>
      <c r="O556" s="485"/>
      <c r="P556" s="485"/>
      <c r="Q556" s="485"/>
      <c r="R556" s="485"/>
      <c r="S556" s="485"/>
      <c r="T556" s="485"/>
      <c r="U556" s="485"/>
      <c r="V556" s="485"/>
      <c r="W556" s="485"/>
      <c r="X556" s="485"/>
      <c r="Y556" s="485"/>
      <c r="Z556" s="485"/>
    </row>
    <row r="557">
      <c r="A557" s="485"/>
      <c r="B557" s="485"/>
      <c r="C557" s="485"/>
      <c r="D557" s="485"/>
      <c r="E557" s="485"/>
      <c r="F557" s="485"/>
      <c r="G557" s="485"/>
      <c r="H557" s="485"/>
      <c r="I557" s="485"/>
      <c r="J557" s="485"/>
      <c r="K557" s="485"/>
      <c r="L557" s="485"/>
      <c r="M557" s="485"/>
      <c r="N557" s="485"/>
      <c r="O557" s="485"/>
      <c r="P557" s="485"/>
      <c r="Q557" s="485"/>
      <c r="R557" s="485"/>
      <c r="S557" s="485"/>
      <c r="T557" s="485"/>
      <c r="U557" s="485"/>
      <c r="V557" s="485"/>
      <c r="W557" s="485"/>
      <c r="X557" s="485"/>
      <c r="Y557" s="485"/>
      <c r="Z557" s="485"/>
    </row>
    <row r="558">
      <c r="A558" s="485"/>
      <c r="B558" s="485"/>
      <c r="C558" s="485"/>
      <c r="D558" s="485"/>
      <c r="E558" s="485"/>
      <c r="F558" s="485"/>
      <c r="G558" s="485"/>
      <c r="H558" s="485"/>
      <c r="I558" s="485"/>
      <c r="J558" s="485"/>
      <c r="K558" s="485"/>
      <c r="L558" s="485"/>
      <c r="M558" s="485"/>
      <c r="N558" s="485"/>
      <c r="O558" s="485"/>
      <c r="P558" s="485"/>
      <c r="Q558" s="485"/>
      <c r="R558" s="485"/>
      <c r="S558" s="485"/>
      <c r="T558" s="485"/>
      <c r="U558" s="485"/>
      <c r="V558" s="485"/>
      <c r="W558" s="485"/>
      <c r="X558" s="485"/>
      <c r="Y558" s="485"/>
      <c r="Z558" s="485"/>
    </row>
    <row r="559">
      <c r="A559" s="485"/>
      <c r="B559" s="485"/>
      <c r="C559" s="485"/>
      <c r="D559" s="485"/>
      <c r="E559" s="485"/>
      <c r="F559" s="485"/>
      <c r="G559" s="485"/>
      <c r="H559" s="485"/>
      <c r="I559" s="485"/>
      <c r="J559" s="485"/>
      <c r="K559" s="485"/>
      <c r="L559" s="485"/>
      <c r="M559" s="485"/>
      <c r="N559" s="485"/>
      <c r="O559" s="485"/>
      <c r="P559" s="485"/>
      <c r="Q559" s="485"/>
      <c r="R559" s="485"/>
      <c r="S559" s="485"/>
      <c r="T559" s="485"/>
      <c r="U559" s="485"/>
      <c r="V559" s="485"/>
      <c r="W559" s="485"/>
      <c r="X559" s="485"/>
      <c r="Y559" s="485"/>
      <c r="Z559" s="485"/>
    </row>
    <row r="560">
      <c r="A560" s="485"/>
      <c r="B560" s="485"/>
      <c r="C560" s="485"/>
      <c r="D560" s="485"/>
      <c r="E560" s="485"/>
      <c r="F560" s="485"/>
      <c r="G560" s="485"/>
      <c r="H560" s="485"/>
      <c r="I560" s="485"/>
      <c r="J560" s="485"/>
      <c r="K560" s="485"/>
      <c r="L560" s="485"/>
      <c r="M560" s="485"/>
      <c r="N560" s="485"/>
      <c r="O560" s="485"/>
      <c r="P560" s="485"/>
      <c r="Q560" s="485"/>
      <c r="R560" s="485"/>
      <c r="S560" s="485"/>
      <c r="T560" s="485"/>
      <c r="U560" s="485"/>
      <c r="V560" s="485"/>
      <c r="W560" s="485"/>
      <c r="X560" s="485"/>
      <c r="Y560" s="485"/>
      <c r="Z560" s="485"/>
    </row>
    <row r="561">
      <c r="A561" s="485"/>
      <c r="B561" s="485"/>
      <c r="C561" s="485"/>
      <c r="D561" s="485"/>
      <c r="E561" s="485"/>
      <c r="F561" s="485"/>
      <c r="G561" s="485"/>
      <c r="H561" s="485"/>
      <c r="I561" s="485"/>
      <c r="J561" s="485"/>
      <c r="K561" s="485"/>
      <c r="L561" s="485"/>
      <c r="M561" s="485"/>
      <c r="N561" s="485"/>
      <c r="O561" s="485"/>
      <c r="P561" s="485"/>
      <c r="Q561" s="485"/>
      <c r="R561" s="485"/>
      <c r="S561" s="485"/>
      <c r="T561" s="485"/>
      <c r="U561" s="485"/>
      <c r="V561" s="485"/>
      <c r="W561" s="485"/>
      <c r="X561" s="485"/>
      <c r="Y561" s="485"/>
      <c r="Z561" s="485"/>
    </row>
    <row r="562">
      <c r="A562" s="485"/>
      <c r="B562" s="485"/>
      <c r="C562" s="485"/>
      <c r="D562" s="485"/>
      <c r="E562" s="485"/>
      <c r="F562" s="485"/>
      <c r="G562" s="485"/>
      <c r="H562" s="485"/>
      <c r="I562" s="485"/>
      <c r="J562" s="485"/>
      <c r="K562" s="485"/>
      <c r="L562" s="485"/>
      <c r="M562" s="485"/>
      <c r="N562" s="485"/>
      <c r="O562" s="485"/>
      <c r="P562" s="485"/>
      <c r="Q562" s="485"/>
      <c r="R562" s="485"/>
      <c r="S562" s="485"/>
      <c r="T562" s="485"/>
      <c r="U562" s="485"/>
      <c r="V562" s="485"/>
      <c r="W562" s="485"/>
      <c r="X562" s="485"/>
      <c r="Y562" s="485"/>
      <c r="Z562" s="485"/>
    </row>
    <row r="563">
      <c r="A563" s="485"/>
      <c r="B563" s="485"/>
      <c r="C563" s="485"/>
      <c r="D563" s="485"/>
      <c r="E563" s="485"/>
      <c r="F563" s="485"/>
      <c r="G563" s="485"/>
      <c r="H563" s="485"/>
      <c r="I563" s="485"/>
      <c r="J563" s="485"/>
      <c r="K563" s="485"/>
      <c r="L563" s="485"/>
      <c r="M563" s="485"/>
      <c r="N563" s="485"/>
      <c r="O563" s="485"/>
      <c r="P563" s="485"/>
      <c r="Q563" s="485"/>
      <c r="R563" s="485"/>
      <c r="S563" s="485"/>
      <c r="T563" s="485"/>
      <c r="U563" s="485"/>
      <c r="V563" s="485"/>
      <c r="W563" s="485"/>
      <c r="X563" s="485"/>
      <c r="Y563" s="485"/>
      <c r="Z563" s="485"/>
    </row>
    <row r="564">
      <c r="A564" s="485"/>
      <c r="B564" s="485"/>
      <c r="C564" s="485"/>
      <c r="D564" s="485"/>
      <c r="E564" s="485"/>
      <c r="F564" s="485"/>
      <c r="G564" s="485"/>
      <c r="H564" s="485"/>
      <c r="I564" s="485"/>
      <c r="J564" s="485"/>
      <c r="K564" s="485"/>
      <c r="L564" s="485"/>
      <c r="M564" s="485"/>
      <c r="N564" s="485"/>
      <c r="O564" s="485"/>
      <c r="P564" s="485"/>
      <c r="Q564" s="485"/>
      <c r="R564" s="485"/>
      <c r="S564" s="485"/>
      <c r="T564" s="485"/>
      <c r="U564" s="485"/>
      <c r="V564" s="485"/>
      <c r="W564" s="485"/>
      <c r="X564" s="485"/>
      <c r="Y564" s="485"/>
      <c r="Z564" s="485"/>
    </row>
    <row r="565">
      <c r="A565" s="485"/>
      <c r="B565" s="485"/>
      <c r="C565" s="485"/>
      <c r="D565" s="485"/>
      <c r="E565" s="485"/>
      <c r="F565" s="485"/>
      <c r="G565" s="485"/>
      <c r="H565" s="485"/>
      <c r="I565" s="485"/>
      <c r="J565" s="485"/>
      <c r="K565" s="485"/>
      <c r="L565" s="485"/>
      <c r="M565" s="485"/>
      <c r="N565" s="485"/>
      <c r="O565" s="485"/>
      <c r="P565" s="485"/>
      <c r="Q565" s="485"/>
      <c r="R565" s="485"/>
      <c r="S565" s="485"/>
      <c r="T565" s="485"/>
      <c r="U565" s="485"/>
      <c r="V565" s="485"/>
      <c r="W565" s="485"/>
      <c r="X565" s="485"/>
      <c r="Y565" s="485"/>
      <c r="Z565" s="485"/>
    </row>
    <row r="566">
      <c r="A566" s="485"/>
      <c r="B566" s="485"/>
      <c r="C566" s="485"/>
      <c r="D566" s="485"/>
      <c r="E566" s="485"/>
      <c r="F566" s="485"/>
      <c r="G566" s="485"/>
      <c r="H566" s="485"/>
      <c r="I566" s="485"/>
      <c r="J566" s="485"/>
      <c r="K566" s="485"/>
      <c r="L566" s="485"/>
      <c r="M566" s="485"/>
      <c r="N566" s="485"/>
      <c r="O566" s="485"/>
      <c r="P566" s="485"/>
      <c r="Q566" s="485"/>
      <c r="R566" s="485"/>
      <c r="S566" s="485"/>
      <c r="T566" s="485"/>
      <c r="U566" s="485"/>
      <c r="V566" s="485"/>
      <c r="W566" s="485"/>
      <c r="X566" s="485"/>
      <c r="Y566" s="485"/>
      <c r="Z566" s="485"/>
    </row>
    <row r="567">
      <c r="A567" s="485"/>
      <c r="B567" s="485"/>
      <c r="C567" s="485"/>
      <c r="D567" s="485"/>
      <c r="E567" s="485"/>
      <c r="F567" s="485"/>
      <c r="G567" s="485"/>
      <c r="H567" s="485"/>
      <c r="I567" s="485"/>
      <c r="J567" s="485"/>
      <c r="K567" s="485"/>
      <c r="L567" s="485"/>
      <c r="M567" s="485"/>
      <c r="N567" s="485"/>
      <c r="O567" s="485"/>
      <c r="P567" s="485"/>
      <c r="Q567" s="485"/>
      <c r="R567" s="485"/>
      <c r="S567" s="485"/>
      <c r="T567" s="485"/>
      <c r="U567" s="485"/>
      <c r="V567" s="485"/>
      <c r="W567" s="485"/>
      <c r="X567" s="485"/>
      <c r="Y567" s="485"/>
      <c r="Z567" s="485"/>
    </row>
    <row r="568">
      <c r="A568" s="485"/>
      <c r="B568" s="485"/>
      <c r="C568" s="485"/>
      <c r="D568" s="485"/>
      <c r="E568" s="485"/>
      <c r="F568" s="485"/>
      <c r="G568" s="485"/>
      <c r="H568" s="485"/>
      <c r="I568" s="485"/>
      <c r="J568" s="485"/>
      <c r="K568" s="485"/>
      <c r="L568" s="485"/>
      <c r="M568" s="485"/>
      <c r="N568" s="485"/>
      <c r="O568" s="485"/>
      <c r="P568" s="485"/>
      <c r="Q568" s="485"/>
      <c r="R568" s="485"/>
      <c r="S568" s="485"/>
      <c r="T568" s="485"/>
      <c r="U568" s="485"/>
      <c r="V568" s="485"/>
      <c r="W568" s="485"/>
      <c r="X568" s="485"/>
      <c r="Y568" s="485"/>
      <c r="Z568" s="485"/>
    </row>
    <row r="569">
      <c r="A569" s="485"/>
      <c r="B569" s="485"/>
      <c r="C569" s="485"/>
      <c r="D569" s="485"/>
      <c r="E569" s="485"/>
      <c r="F569" s="485"/>
      <c r="G569" s="485"/>
      <c r="H569" s="485"/>
      <c r="I569" s="485"/>
      <c r="J569" s="485"/>
      <c r="K569" s="485"/>
      <c r="L569" s="485"/>
      <c r="M569" s="485"/>
      <c r="N569" s="485"/>
      <c r="O569" s="485"/>
      <c r="P569" s="485"/>
      <c r="Q569" s="485"/>
      <c r="R569" s="485"/>
      <c r="S569" s="485"/>
      <c r="T569" s="485"/>
      <c r="U569" s="485"/>
      <c r="V569" s="485"/>
      <c r="W569" s="485"/>
      <c r="X569" s="485"/>
      <c r="Y569" s="485"/>
      <c r="Z569" s="485"/>
    </row>
    <row r="570">
      <c r="A570" s="485"/>
      <c r="B570" s="485"/>
      <c r="C570" s="485"/>
      <c r="D570" s="485"/>
      <c r="E570" s="485"/>
      <c r="F570" s="485"/>
      <c r="G570" s="485"/>
      <c r="H570" s="485"/>
      <c r="I570" s="485"/>
      <c r="J570" s="485"/>
      <c r="K570" s="485"/>
      <c r="L570" s="485"/>
      <c r="M570" s="485"/>
      <c r="N570" s="485"/>
      <c r="O570" s="485"/>
      <c r="P570" s="485"/>
      <c r="Q570" s="485"/>
      <c r="R570" s="485"/>
      <c r="S570" s="485"/>
      <c r="T570" s="485"/>
      <c r="U570" s="485"/>
      <c r="V570" s="485"/>
      <c r="W570" s="485"/>
      <c r="X570" s="485"/>
      <c r="Y570" s="485"/>
      <c r="Z570" s="485"/>
    </row>
    <row r="571">
      <c r="A571" s="485"/>
      <c r="B571" s="485"/>
      <c r="C571" s="485"/>
      <c r="D571" s="485"/>
      <c r="E571" s="485"/>
      <c r="F571" s="485"/>
      <c r="G571" s="485"/>
      <c r="H571" s="485"/>
      <c r="I571" s="485"/>
      <c r="J571" s="485"/>
      <c r="K571" s="485"/>
      <c r="L571" s="485"/>
      <c r="M571" s="485"/>
      <c r="N571" s="485"/>
      <c r="O571" s="485"/>
      <c r="P571" s="485"/>
      <c r="Q571" s="485"/>
      <c r="R571" s="485"/>
      <c r="S571" s="485"/>
      <c r="T571" s="485"/>
      <c r="U571" s="485"/>
      <c r="V571" s="485"/>
      <c r="W571" s="485"/>
      <c r="X571" s="485"/>
      <c r="Y571" s="485"/>
      <c r="Z571" s="485"/>
    </row>
    <row r="572">
      <c r="A572" s="485"/>
      <c r="B572" s="485"/>
      <c r="C572" s="485"/>
      <c r="D572" s="485"/>
      <c r="E572" s="485"/>
      <c r="F572" s="485"/>
      <c r="G572" s="485"/>
      <c r="H572" s="485"/>
      <c r="I572" s="485"/>
      <c r="J572" s="485"/>
      <c r="K572" s="485"/>
      <c r="L572" s="485"/>
      <c r="M572" s="485"/>
      <c r="N572" s="485"/>
      <c r="O572" s="485"/>
      <c r="P572" s="485"/>
      <c r="Q572" s="485"/>
      <c r="R572" s="485"/>
      <c r="S572" s="485"/>
      <c r="T572" s="485"/>
      <c r="U572" s="485"/>
      <c r="V572" s="485"/>
      <c r="W572" s="485"/>
      <c r="X572" s="485"/>
      <c r="Y572" s="485"/>
      <c r="Z572" s="485"/>
    </row>
    <row r="573">
      <c r="A573" s="485"/>
      <c r="B573" s="485"/>
      <c r="C573" s="485"/>
      <c r="D573" s="485"/>
      <c r="E573" s="485"/>
      <c r="F573" s="485"/>
      <c r="G573" s="485"/>
      <c r="H573" s="485"/>
      <c r="I573" s="485"/>
      <c r="J573" s="485"/>
      <c r="K573" s="485"/>
      <c r="L573" s="485"/>
      <c r="M573" s="485"/>
      <c r="N573" s="485"/>
      <c r="O573" s="485"/>
      <c r="P573" s="485"/>
      <c r="Q573" s="485"/>
      <c r="R573" s="485"/>
      <c r="S573" s="485"/>
      <c r="T573" s="485"/>
      <c r="U573" s="485"/>
      <c r="V573" s="485"/>
      <c r="W573" s="485"/>
      <c r="X573" s="485"/>
      <c r="Y573" s="485"/>
      <c r="Z573" s="485"/>
    </row>
    <row r="574">
      <c r="A574" s="485"/>
      <c r="B574" s="485"/>
      <c r="C574" s="485"/>
      <c r="D574" s="485"/>
      <c r="E574" s="485"/>
      <c r="F574" s="485"/>
      <c r="G574" s="485"/>
      <c r="H574" s="485"/>
      <c r="I574" s="485"/>
      <c r="J574" s="485"/>
      <c r="K574" s="485"/>
      <c r="L574" s="485"/>
      <c r="M574" s="485"/>
      <c r="N574" s="485"/>
      <c r="O574" s="485"/>
      <c r="P574" s="485"/>
      <c r="Q574" s="485"/>
      <c r="R574" s="485"/>
      <c r="S574" s="485"/>
      <c r="T574" s="485"/>
      <c r="U574" s="485"/>
      <c r="V574" s="485"/>
      <c r="W574" s="485"/>
      <c r="X574" s="485"/>
      <c r="Y574" s="485"/>
      <c r="Z574" s="485"/>
    </row>
    <row r="575">
      <c r="A575" s="485"/>
      <c r="B575" s="485"/>
      <c r="C575" s="485"/>
      <c r="D575" s="485"/>
      <c r="E575" s="485"/>
      <c r="F575" s="485"/>
      <c r="G575" s="485"/>
      <c r="H575" s="485"/>
      <c r="I575" s="485"/>
      <c r="J575" s="485"/>
      <c r="K575" s="485"/>
      <c r="L575" s="485"/>
      <c r="M575" s="485"/>
      <c r="N575" s="485"/>
      <c r="O575" s="485"/>
      <c r="P575" s="485"/>
      <c r="Q575" s="485"/>
      <c r="R575" s="485"/>
      <c r="S575" s="485"/>
      <c r="T575" s="485"/>
      <c r="U575" s="485"/>
      <c r="V575" s="485"/>
      <c r="W575" s="485"/>
      <c r="X575" s="485"/>
      <c r="Y575" s="485"/>
      <c r="Z575" s="485"/>
    </row>
    <row r="576">
      <c r="A576" s="485"/>
      <c r="B576" s="485"/>
      <c r="C576" s="485"/>
      <c r="D576" s="485"/>
      <c r="E576" s="485"/>
      <c r="F576" s="485"/>
      <c r="G576" s="485"/>
      <c r="H576" s="485"/>
      <c r="I576" s="485"/>
      <c r="J576" s="485"/>
      <c r="K576" s="485"/>
      <c r="L576" s="485"/>
      <c r="M576" s="485"/>
      <c r="N576" s="485"/>
      <c r="O576" s="485"/>
      <c r="P576" s="485"/>
      <c r="Q576" s="485"/>
      <c r="R576" s="485"/>
      <c r="S576" s="485"/>
      <c r="T576" s="485"/>
      <c r="U576" s="485"/>
      <c r="V576" s="485"/>
      <c r="W576" s="485"/>
      <c r="X576" s="485"/>
      <c r="Y576" s="485"/>
      <c r="Z576" s="485"/>
    </row>
    <row r="577">
      <c r="A577" s="485"/>
      <c r="B577" s="485"/>
      <c r="C577" s="485"/>
      <c r="D577" s="485"/>
      <c r="E577" s="485"/>
      <c r="F577" s="485"/>
      <c r="G577" s="485"/>
      <c r="H577" s="485"/>
      <c r="I577" s="485"/>
      <c r="J577" s="485"/>
      <c r="K577" s="485"/>
      <c r="L577" s="485"/>
      <c r="M577" s="485"/>
      <c r="N577" s="485"/>
      <c r="O577" s="485"/>
      <c r="P577" s="485"/>
      <c r="Q577" s="485"/>
      <c r="R577" s="485"/>
      <c r="S577" s="485"/>
      <c r="T577" s="485"/>
      <c r="U577" s="485"/>
      <c r="V577" s="485"/>
      <c r="W577" s="485"/>
      <c r="X577" s="485"/>
      <c r="Y577" s="485"/>
      <c r="Z577" s="485"/>
    </row>
    <row r="578">
      <c r="A578" s="485"/>
      <c r="B578" s="485"/>
      <c r="C578" s="485"/>
      <c r="D578" s="485"/>
      <c r="E578" s="485"/>
      <c r="F578" s="485"/>
      <c r="G578" s="485"/>
      <c r="H578" s="485"/>
      <c r="I578" s="485"/>
      <c r="J578" s="485"/>
      <c r="K578" s="485"/>
      <c r="L578" s="485"/>
      <c r="M578" s="485"/>
      <c r="N578" s="485"/>
      <c r="O578" s="485"/>
      <c r="P578" s="485"/>
      <c r="Q578" s="485"/>
      <c r="R578" s="485"/>
      <c r="S578" s="485"/>
      <c r="T578" s="485"/>
      <c r="U578" s="485"/>
      <c r="V578" s="485"/>
      <c r="W578" s="485"/>
      <c r="X578" s="485"/>
      <c r="Y578" s="485"/>
      <c r="Z578" s="485"/>
    </row>
    <row r="579">
      <c r="A579" s="485"/>
      <c r="B579" s="485"/>
      <c r="C579" s="485"/>
      <c r="D579" s="485"/>
      <c r="E579" s="485"/>
      <c r="F579" s="485"/>
      <c r="G579" s="485"/>
      <c r="H579" s="485"/>
      <c r="I579" s="485"/>
      <c r="J579" s="485"/>
      <c r="K579" s="485"/>
      <c r="L579" s="485"/>
      <c r="M579" s="485"/>
      <c r="N579" s="485"/>
      <c r="O579" s="485"/>
      <c r="P579" s="485"/>
      <c r="Q579" s="485"/>
      <c r="R579" s="485"/>
      <c r="S579" s="485"/>
      <c r="T579" s="485"/>
      <c r="U579" s="485"/>
      <c r="V579" s="485"/>
      <c r="W579" s="485"/>
      <c r="X579" s="485"/>
      <c r="Y579" s="485"/>
      <c r="Z579" s="485"/>
    </row>
    <row r="580">
      <c r="A580" s="485"/>
      <c r="B580" s="485"/>
      <c r="C580" s="485"/>
      <c r="D580" s="485"/>
      <c r="E580" s="485"/>
      <c r="F580" s="485"/>
      <c r="G580" s="485"/>
      <c r="H580" s="485"/>
      <c r="I580" s="485"/>
      <c r="J580" s="485"/>
      <c r="K580" s="485"/>
      <c r="L580" s="485"/>
      <c r="M580" s="485"/>
      <c r="N580" s="485"/>
      <c r="O580" s="485"/>
      <c r="P580" s="485"/>
      <c r="Q580" s="485"/>
      <c r="R580" s="485"/>
      <c r="S580" s="485"/>
      <c r="T580" s="485"/>
      <c r="U580" s="485"/>
      <c r="V580" s="485"/>
      <c r="W580" s="485"/>
      <c r="X580" s="485"/>
      <c r="Y580" s="485"/>
      <c r="Z580" s="485"/>
    </row>
    <row r="581">
      <c r="A581" s="485"/>
      <c r="B581" s="485"/>
      <c r="C581" s="485"/>
      <c r="D581" s="485"/>
      <c r="E581" s="485"/>
      <c r="F581" s="485"/>
      <c r="G581" s="485"/>
      <c r="H581" s="485"/>
      <c r="I581" s="485"/>
      <c r="J581" s="485"/>
      <c r="K581" s="485"/>
      <c r="L581" s="485"/>
      <c r="M581" s="485"/>
      <c r="N581" s="485"/>
      <c r="O581" s="485"/>
      <c r="P581" s="485"/>
      <c r="Q581" s="485"/>
      <c r="R581" s="485"/>
      <c r="S581" s="485"/>
      <c r="T581" s="485"/>
      <c r="U581" s="485"/>
      <c r="V581" s="485"/>
      <c r="W581" s="485"/>
      <c r="X581" s="485"/>
      <c r="Y581" s="485"/>
      <c r="Z581" s="485"/>
    </row>
    <row r="582">
      <c r="A582" s="485"/>
      <c r="B582" s="485"/>
      <c r="C582" s="485"/>
      <c r="D582" s="485"/>
      <c r="E582" s="485"/>
      <c r="F582" s="485"/>
      <c r="G582" s="485"/>
      <c r="H582" s="485"/>
      <c r="I582" s="485"/>
      <c r="J582" s="485"/>
      <c r="K582" s="485"/>
      <c r="L582" s="485"/>
      <c r="M582" s="485"/>
      <c r="N582" s="485"/>
      <c r="O582" s="485"/>
      <c r="P582" s="485"/>
      <c r="Q582" s="485"/>
      <c r="R582" s="485"/>
      <c r="S582" s="485"/>
      <c r="T582" s="485"/>
      <c r="U582" s="485"/>
      <c r="V582" s="485"/>
      <c r="W582" s="485"/>
      <c r="X582" s="485"/>
      <c r="Y582" s="485"/>
      <c r="Z582" s="485"/>
    </row>
    <row r="583">
      <c r="A583" s="485"/>
      <c r="B583" s="485"/>
      <c r="C583" s="485"/>
      <c r="D583" s="485"/>
      <c r="E583" s="485"/>
      <c r="F583" s="485"/>
      <c r="G583" s="485"/>
      <c r="H583" s="485"/>
      <c r="I583" s="485"/>
      <c r="J583" s="485"/>
      <c r="K583" s="485"/>
      <c r="L583" s="485"/>
      <c r="M583" s="485"/>
      <c r="N583" s="485"/>
      <c r="O583" s="485"/>
      <c r="P583" s="485"/>
      <c r="Q583" s="485"/>
      <c r="R583" s="485"/>
      <c r="S583" s="485"/>
      <c r="T583" s="485"/>
      <c r="U583" s="485"/>
      <c r="V583" s="485"/>
      <c r="W583" s="485"/>
      <c r="X583" s="485"/>
      <c r="Y583" s="485"/>
      <c r="Z583" s="485"/>
    </row>
    <row r="584">
      <c r="A584" s="485"/>
      <c r="B584" s="485"/>
      <c r="C584" s="485"/>
      <c r="D584" s="485"/>
      <c r="E584" s="485"/>
      <c r="F584" s="485"/>
      <c r="G584" s="485"/>
      <c r="H584" s="485"/>
      <c r="I584" s="485"/>
      <c r="J584" s="485"/>
      <c r="K584" s="485"/>
      <c r="L584" s="485"/>
      <c r="M584" s="485"/>
      <c r="N584" s="485"/>
      <c r="O584" s="485"/>
      <c r="P584" s="485"/>
      <c r="Q584" s="485"/>
      <c r="R584" s="485"/>
      <c r="S584" s="485"/>
      <c r="T584" s="485"/>
      <c r="U584" s="485"/>
      <c r="V584" s="485"/>
      <c r="W584" s="485"/>
      <c r="X584" s="485"/>
      <c r="Y584" s="485"/>
      <c r="Z584" s="485"/>
    </row>
    <row r="585">
      <c r="A585" s="485"/>
      <c r="B585" s="485"/>
      <c r="C585" s="485"/>
      <c r="D585" s="485"/>
      <c r="E585" s="485"/>
      <c r="F585" s="485"/>
      <c r="G585" s="485"/>
      <c r="H585" s="485"/>
      <c r="I585" s="485"/>
      <c r="J585" s="485"/>
      <c r="K585" s="485"/>
      <c r="L585" s="485"/>
      <c r="M585" s="485"/>
      <c r="N585" s="485"/>
      <c r="O585" s="485"/>
      <c r="P585" s="485"/>
      <c r="Q585" s="485"/>
      <c r="R585" s="485"/>
      <c r="S585" s="485"/>
      <c r="T585" s="485"/>
      <c r="U585" s="485"/>
      <c r="V585" s="485"/>
      <c r="W585" s="485"/>
      <c r="X585" s="485"/>
      <c r="Y585" s="485"/>
      <c r="Z585" s="485"/>
    </row>
    <row r="586">
      <c r="A586" s="485"/>
      <c r="B586" s="485"/>
      <c r="C586" s="485"/>
      <c r="D586" s="485"/>
      <c r="E586" s="485"/>
      <c r="F586" s="485"/>
      <c r="G586" s="485"/>
      <c r="H586" s="485"/>
      <c r="I586" s="485"/>
      <c r="J586" s="485"/>
      <c r="K586" s="485"/>
      <c r="L586" s="485"/>
      <c r="M586" s="485"/>
      <c r="N586" s="485"/>
      <c r="O586" s="485"/>
      <c r="P586" s="485"/>
      <c r="Q586" s="485"/>
      <c r="R586" s="485"/>
      <c r="S586" s="485"/>
      <c r="T586" s="485"/>
      <c r="U586" s="485"/>
      <c r="V586" s="485"/>
      <c r="W586" s="485"/>
      <c r="X586" s="485"/>
      <c r="Y586" s="485"/>
      <c r="Z586" s="485"/>
    </row>
    <row r="587">
      <c r="A587" s="485"/>
      <c r="B587" s="485"/>
      <c r="C587" s="485"/>
      <c r="D587" s="485"/>
      <c r="E587" s="485"/>
      <c r="F587" s="485"/>
      <c r="G587" s="485"/>
      <c r="H587" s="485"/>
      <c r="I587" s="485"/>
      <c r="J587" s="485"/>
      <c r="K587" s="485"/>
      <c r="L587" s="485"/>
      <c r="M587" s="485"/>
      <c r="N587" s="485"/>
      <c r="O587" s="485"/>
      <c r="P587" s="485"/>
      <c r="Q587" s="485"/>
      <c r="R587" s="485"/>
      <c r="S587" s="485"/>
      <c r="T587" s="485"/>
      <c r="U587" s="485"/>
      <c r="V587" s="485"/>
      <c r="W587" s="485"/>
      <c r="X587" s="485"/>
      <c r="Y587" s="485"/>
      <c r="Z587" s="485"/>
    </row>
    <row r="588">
      <c r="A588" s="485"/>
      <c r="B588" s="485"/>
      <c r="C588" s="485"/>
      <c r="D588" s="485"/>
      <c r="E588" s="485"/>
      <c r="F588" s="485"/>
      <c r="G588" s="485"/>
      <c r="H588" s="485"/>
      <c r="I588" s="485"/>
      <c r="J588" s="485"/>
      <c r="K588" s="485"/>
      <c r="L588" s="485"/>
      <c r="M588" s="485"/>
      <c r="N588" s="485"/>
      <c r="O588" s="485"/>
      <c r="P588" s="485"/>
      <c r="Q588" s="485"/>
      <c r="R588" s="485"/>
      <c r="S588" s="485"/>
      <c r="T588" s="485"/>
      <c r="U588" s="485"/>
      <c r="V588" s="485"/>
      <c r="W588" s="485"/>
      <c r="X588" s="485"/>
      <c r="Y588" s="485"/>
      <c r="Z588" s="485"/>
    </row>
    <row r="589">
      <c r="A589" s="485"/>
      <c r="B589" s="485"/>
      <c r="C589" s="485"/>
      <c r="D589" s="485"/>
      <c r="E589" s="485"/>
      <c r="F589" s="485"/>
      <c r="G589" s="485"/>
      <c r="H589" s="485"/>
      <c r="I589" s="485"/>
      <c r="J589" s="485"/>
      <c r="K589" s="485"/>
      <c r="L589" s="485"/>
      <c r="M589" s="485"/>
      <c r="N589" s="485"/>
      <c r="O589" s="485"/>
      <c r="P589" s="485"/>
      <c r="Q589" s="485"/>
      <c r="R589" s="485"/>
      <c r="S589" s="485"/>
      <c r="T589" s="485"/>
      <c r="U589" s="485"/>
      <c r="V589" s="485"/>
      <c r="W589" s="485"/>
      <c r="X589" s="485"/>
      <c r="Y589" s="485"/>
      <c r="Z589" s="485"/>
    </row>
    <row r="590">
      <c r="A590" s="485"/>
      <c r="B590" s="485"/>
      <c r="C590" s="485"/>
      <c r="D590" s="485"/>
      <c r="E590" s="485"/>
      <c r="F590" s="485"/>
      <c r="G590" s="485"/>
      <c r="H590" s="485"/>
      <c r="I590" s="485"/>
      <c r="J590" s="485"/>
      <c r="K590" s="485"/>
      <c r="L590" s="485"/>
      <c r="M590" s="485"/>
      <c r="N590" s="485"/>
      <c r="O590" s="485"/>
      <c r="P590" s="485"/>
      <c r="Q590" s="485"/>
      <c r="R590" s="485"/>
      <c r="S590" s="485"/>
      <c r="T590" s="485"/>
      <c r="U590" s="485"/>
      <c r="V590" s="485"/>
      <c r="W590" s="485"/>
      <c r="X590" s="485"/>
      <c r="Y590" s="485"/>
      <c r="Z590" s="485"/>
    </row>
    <row r="591">
      <c r="A591" s="485"/>
      <c r="B591" s="485"/>
      <c r="C591" s="485"/>
      <c r="D591" s="485"/>
      <c r="E591" s="485"/>
      <c r="F591" s="485"/>
      <c r="G591" s="485"/>
      <c r="H591" s="485"/>
      <c r="I591" s="485"/>
      <c r="J591" s="485"/>
      <c r="K591" s="485"/>
      <c r="L591" s="485"/>
      <c r="M591" s="485"/>
      <c r="N591" s="485"/>
      <c r="O591" s="485"/>
      <c r="P591" s="485"/>
      <c r="Q591" s="485"/>
      <c r="R591" s="485"/>
      <c r="S591" s="485"/>
      <c r="T591" s="485"/>
      <c r="U591" s="485"/>
      <c r="V591" s="485"/>
      <c r="W591" s="485"/>
      <c r="X591" s="485"/>
      <c r="Y591" s="485"/>
      <c r="Z591" s="485"/>
    </row>
    <row r="592">
      <c r="A592" s="485"/>
      <c r="B592" s="485"/>
      <c r="C592" s="485"/>
      <c r="D592" s="485"/>
      <c r="E592" s="485"/>
      <c r="F592" s="485"/>
      <c r="G592" s="485"/>
      <c r="H592" s="485"/>
      <c r="I592" s="485"/>
      <c r="J592" s="485"/>
      <c r="K592" s="485"/>
      <c r="L592" s="485"/>
      <c r="M592" s="485"/>
      <c r="N592" s="485"/>
      <c r="O592" s="485"/>
      <c r="P592" s="485"/>
      <c r="Q592" s="485"/>
      <c r="R592" s="485"/>
      <c r="S592" s="485"/>
      <c r="T592" s="485"/>
      <c r="U592" s="485"/>
      <c r="V592" s="485"/>
      <c r="W592" s="485"/>
      <c r="X592" s="485"/>
      <c r="Y592" s="485"/>
      <c r="Z592" s="485"/>
    </row>
    <row r="593">
      <c r="A593" s="485"/>
      <c r="B593" s="485"/>
      <c r="C593" s="485"/>
      <c r="D593" s="485"/>
      <c r="E593" s="485"/>
      <c r="F593" s="485"/>
      <c r="G593" s="485"/>
      <c r="H593" s="485"/>
      <c r="I593" s="485"/>
      <c r="J593" s="485"/>
      <c r="K593" s="485"/>
      <c r="L593" s="485"/>
      <c r="M593" s="485"/>
      <c r="N593" s="485"/>
      <c r="O593" s="485"/>
      <c r="P593" s="485"/>
      <c r="Q593" s="485"/>
      <c r="R593" s="485"/>
      <c r="S593" s="485"/>
      <c r="T593" s="485"/>
      <c r="U593" s="485"/>
      <c r="V593" s="485"/>
      <c r="W593" s="485"/>
      <c r="X593" s="485"/>
      <c r="Y593" s="485"/>
      <c r="Z593" s="485"/>
    </row>
    <row r="594">
      <c r="A594" s="485"/>
      <c r="B594" s="485"/>
      <c r="C594" s="485"/>
      <c r="D594" s="485"/>
      <c r="E594" s="485"/>
      <c r="F594" s="485"/>
      <c r="G594" s="485"/>
      <c r="H594" s="485"/>
      <c r="I594" s="485"/>
      <c r="J594" s="485"/>
      <c r="K594" s="485"/>
      <c r="L594" s="485"/>
      <c r="M594" s="485"/>
      <c r="N594" s="485"/>
      <c r="O594" s="485"/>
      <c r="P594" s="485"/>
      <c r="Q594" s="485"/>
      <c r="R594" s="485"/>
      <c r="S594" s="485"/>
      <c r="T594" s="485"/>
      <c r="U594" s="485"/>
      <c r="V594" s="485"/>
      <c r="W594" s="485"/>
      <c r="X594" s="485"/>
      <c r="Y594" s="485"/>
      <c r="Z594" s="485"/>
    </row>
    <row r="595">
      <c r="A595" s="485"/>
      <c r="B595" s="485"/>
      <c r="C595" s="485"/>
      <c r="D595" s="485"/>
      <c r="E595" s="485"/>
      <c r="F595" s="485"/>
      <c r="G595" s="485"/>
      <c r="H595" s="485"/>
      <c r="I595" s="485"/>
      <c r="J595" s="485"/>
      <c r="K595" s="485"/>
      <c r="L595" s="485"/>
      <c r="M595" s="485"/>
      <c r="N595" s="485"/>
      <c r="O595" s="485"/>
      <c r="P595" s="485"/>
      <c r="Q595" s="485"/>
      <c r="R595" s="485"/>
      <c r="S595" s="485"/>
      <c r="T595" s="485"/>
      <c r="U595" s="485"/>
      <c r="V595" s="485"/>
      <c r="W595" s="485"/>
      <c r="X595" s="485"/>
      <c r="Y595" s="485"/>
      <c r="Z595" s="485"/>
    </row>
    <row r="596">
      <c r="A596" s="485"/>
      <c r="B596" s="485"/>
      <c r="C596" s="485"/>
      <c r="D596" s="485"/>
      <c r="E596" s="485"/>
      <c r="F596" s="485"/>
      <c r="G596" s="485"/>
      <c r="H596" s="485"/>
      <c r="I596" s="485"/>
      <c r="J596" s="485"/>
      <c r="K596" s="485"/>
      <c r="L596" s="485"/>
      <c r="M596" s="485"/>
      <c r="N596" s="485"/>
      <c r="O596" s="485"/>
      <c r="P596" s="485"/>
      <c r="Q596" s="485"/>
      <c r="R596" s="485"/>
      <c r="S596" s="485"/>
      <c r="T596" s="485"/>
      <c r="U596" s="485"/>
      <c r="V596" s="485"/>
      <c r="W596" s="485"/>
      <c r="X596" s="485"/>
      <c r="Y596" s="485"/>
      <c r="Z596" s="485"/>
    </row>
    <row r="597">
      <c r="A597" s="485"/>
      <c r="B597" s="485"/>
      <c r="C597" s="485"/>
      <c r="D597" s="485"/>
      <c r="E597" s="485"/>
      <c r="F597" s="485"/>
      <c r="G597" s="485"/>
      <c r="H597" s="485"/>
      <c r="I597" s="485"/>
      <c r="J597" s="485"/>
      <c r="K597" s="485"/>
      <c r="L597" s="485"/>
      <c r="M597" s="485"/>
      <c r="N597" s="485"/>
      <c r="O597" s="485"/>
      <c r="P597" s="485"/>
      <c r="Q597" s="485"/>
      <c r="R597" s="485"/>
      <c r="S597" s="485"/>
      <c r="T597" s="485"/>
      <c r="U597" s="485"/>
      <c r="V597" s="485"/>
      <c r="W597" s="485"/>
      <c r="X597" s="485"/>
      <c r="Y597" s="485"/>
      <c r="Z597" s="485"/>
    </row>
    <row r="598">
      <c r="A598" s="485"/>
      <c r="B598" s="485"/>
      <c r="C598" s="485"/>
      <c r="D598" s="485"/>
      <c r="E598" s="485"/>
      <c r="F598" s="485"/>
      <c r="G598" s="485"/>
      <c r="H598" s="485"/>
      <c r="I598" s="485"/>
      <c r="J598" s="485"/>
      <c r="K598" s="485"/>
      <c r="L598" s="485"/>
      <c r="M598" s="485"/>
      <c r="N598" s="485"/>
      <c r="O598" s="485"/>
      <c r="P598" s="485"/>
      <c r="Q598" s="485"/>
      <c r="R598" s="485"/>
      <c r="S598" s="485"/>
      <c r="T598" s="485"/>
      <c r="U598" s="485"/>
      <c r="V598" s="485"/>
      <c r="W598" s="485"/>
      <c r="X598" s="485"/>
      <c r="Y598" s="485"/>
      <c r="Z598" s="485"/>
    </row>
    <row r="599">
      <c r="A599" s="485"/>
      <c r="B599" s="485"/>
      <c r="C599" s="485"/>
      <c r="D599" s="485"/>
      <c r="E599" s="485"/>
      <c r="F599" s="485"/>
      <c r="G599" s="485"/>
      <c r="H599" s="485"/>
      <c r="I599" s="485"/>
      <c r="J599" s="485"/>
      <c r="K599" s="485"/>
      <c r="L599" s="485"/>
      <c r="M599" s="485"/>
      <c r="N599" s="485"/>
      <c r="O599" s="485"/>
      <c r="P599" s="485"/>
      <c r="Q599" s="485"/>
      <c r="R599" s="485"/>
      <c r="S599" s="485"/>
      <c r="T599" s="485"/>
      <c r="U599" s="485"/>
      <c r="V599" s="485"/>
      <c r="W599" s="485"/>
      <c r="X599" s="485"/>
      <c r="Y599" s="485"/>
      <c r="Z599" s="485"/>
    </row>
    <row r="600">
      <c r="A600" s="485"/>
      <c r="B600" s="485"/>
      <c r="C600" s="485"/>
      <c r="D600" s="485"/>
      <c r="E600" s="485"/>
      <c r="F600" s="485"/>
      <c r="G600" s="485"/>
      <c r="H600" s="485"/>
      <c r="I600" s="485"/>
      <c r="J600" s="485"/>
      <c r="K600" s="485"/>
      <c r="L600" s="485"/>
      <c r="M600" s="485"/>
      <c r="N600" s="485"/>
      <c r="O600" s="485"/>
      <c r="P600" s="485"/>
      <c r="Q600" s="485"/>
      <c r="R600" s="485"/>
      <c r="S600" s="485"/>
      <c r="T600" s="485"/>
      <c r="U600" s="485"/>
      <c r="V600" s="485"/>
      <c r="W600" s="485"/>
      <c r="X600" s="485"/>
      <c r="Y600" s="485"/>
      <c r="Z600" s="485"/>
    </row>
    <row r="601">
      <c r="A601" s="485"/>
      <c r="B601" s="485"/>
      <c r="C601" s="485"/>
      <c r="D601" s="485"/>
      <c r="E601" s="485"/>
      <c r="F601" s="485"/>
      <c r="G601" s="485"/>
      <c r="H601" s="485"/>
      <c r="I601" s="485"/>
      <c r="J601" s="485"/>
      <c r="K601" s="485"/>
      <c r="L601" s="485"/>
      <c r="M601" s="485"/>
      <c r="N601" s="485"/>
      <c r="O601" s="485"/>
      <c r="P601" s="485"/>
      <c r="Q601" s="485"/>
      <c r="R601" s="485"/>
      <c r="S601" s="485"/>
      <c r="T601" s="485"/>
      <c r="U601" s="485"/>
      <c r="V601" s="485"/>
      <c r="W601" s="485"/>
      <c r="X601" s="485"/>
      <c r="Y601" s="485"/>
      <c r="Z601" s="485"/>
    </row>
    <row r="602">
      <c r="A602" s="485"/>
      <c r="B602" s="485"/>
      <c r="C602" s="485"/>
      <c r="D602" s="485"/>
      <c r="E602" s="485"/>
      <c r="F602" s="485"/>
      <c r="G602" s="485"/>
      <c r="H602" s="485"/>
      <c r="I602" s="485"/>
      <c r="J602" s="485"/>
      <c r="K602" s="485"/>
      <c r="L602" s="485"/>
      <c r="M602" s="485"/>
      <c r="N602" s="485"/>
      <c r="O602" s="485"/>
      <c r="P602" s="485"/>
      <c r="Q602" s="485"/>
      <c r="R602" s="485"/>
      <c r="S602" s="485"/>
      <c r="T602" s="485"/>
      <c r="U602" s="485"/>
      <c r="V602" s="485"/>
      <c r="W602" s="485"/>
      <c r="X602" s="485"/>
      <c r="Y602" s="485"/>
      <c r="Z602" s="485"/>
    </row>
    <row r="603">
      <c r="A603" s="485"/>
      <c r="B603" s="485"/>
      <c r="C603" s="485"/>
      <c r="D603" s="485"/>
      <c r="E603" s="485"/>
      <c r="F603" s="485"/>
      <c r="G603" s="485"/>
      <c r="H603" s="485"/>
      <c r="I603" s="485"/>
      <c r="J603" s="485"/>
      <c r="K603" s="485"/>
      <c r="L603" s="485"/>
      <c r="M603" s="485"/>
      <c r="N603" s="485"/>
      <c r="O603" s="485"/>
      <c r="P603" s="485"/>
      <c r="Q603" s="485"/>
      <c r="R603" s="485"/>
      <c r="S603" s="485"/>
      <c r="T603" s="485"/>
      <c r="U603" s="485"/>
      <c r="V603" s="485"/>
      <c r="W603" s="485"/>
      <c r="X603" s="485"/>
      <c r="Y603" s="485"/>
      <c r="Z603" s="485"/>
    </row>
    <row r="604">
      <c r="A604" s="485"/>
      <c r="B604" s="485"/>
      <c r="C604" s="485"/>
      <c r="D604" s="485"/>
      <c r="E604" s="485"/>
      <c r="F604" s="485"/>
      <c r="G604" s="485"/>
      <c r="H604" s="485"/>
      <c r="I604" s="485"/>
      <c r="J604" s="485"/>
      <c r="K604" s="485"/>
      <c r="L604" s="485"/>
      <c r="M604" s="485"/>
      <c r="N604" s="485"/>
      <c r="O604" s="485"/>
      <c r="P604" s="485"/>
      <c r="Q604" s="485"/>
      <c r="R604" s="485"/>
      <c r="S604" s="485"/>
      <c r="T604" s="485"/>
      <c r="U604" s="485"/>
      <c r="V604" s="485"/>
      <c r="W604" s="485"/>
      <c r="X604" s="485"/>
      <c r="Y604" s="485"/>
      <c r="Z604" s="485"/>
    </row>
    <row r="605">
      <c r="A605" s="485"/>
      <c r="B605" s="485"/>
      <c r="C605" s="485"/>
      <c r="D605" s="485"/>
      <c r="E605" s="485"/>
      <c r="F605" s="485"/>
      <c r="G605" s="485"/>
      <c r="H605" s="485"/>
      <c r="I605" s="485"/>
      <c r="J605" s="485"/>
      <c r="K605" s="485"/>
      <c r="L605" s="485"/>
      <c r="M605" s="485"/>
      <c r="N605" s="485"/>
      <c r="O605" s="485"/>
      <c r="P605" s="485"/>
      <c r="Q605" s="485"/>
      <c r="R605" s="485"/>
      <c r="S605" s="485"/>
      <c r="T605" s="485"/>
      <c r="U605" s="485"/>
      <c r="V605" s="485"/>
      <c r="W605" s="485"/>
      <c r="X605" s="485"/>
      <c r="Y605" s="485"/>
      <c r="Z605" s="485"/>
    </row>
    <row r="606">
      <c r="A606" s="485"/>
      <c r="B606" s="485"/>
      <c r="C606" s="485"/>
      <c r="D606" s="485"/>
      <c r="E606" s="485"/>
      <c r="F606" s="485"/>
      <c r="G606" s="485"/>
      <c r="H606" s="485"/>
      <c r="I606" s="485"/>
      <c r="J606" s="485"/>
      <c r="K606" s="485"/>
      <c r="L606" s="485"/>
      <c r="M606" s="485"/>
      <c r="N606" s="485"/>
      <c r="O606" s="485"/>
      <c r="P606" s="485"/>
      <c r="Q606" s="485"/>
      <c r="R606" s="485"/>
      <c r="S606" s="485"/>
      <c r="T606" s="485"/>
      <c r="U606" s="485"/>
      <c r="V606" s="485"/>
      <c r="W606" s="485"/>
      <c r="X606" s="485"/>
      <c r="Y606" s="485"/>
      <c r="Z606" s="485"/>
    </row>
    <row r="607">
      <c r="A607" s="485"/>
      <c r="B607" s="485"/>
      <c r="C607" s="485"/>
      <c r="D607" s="485"/>
      <c r="E607" s="485"/>
      <c r="F607" s="485"/>
      <c r="G607" s="485"/>
      <c r="H607" s="485"/>
      <c r="I607" s="485"/>
      <c r="J607" s="485"/>
      <c r="K607" s="485"/>
      <c r="L607" s="485"/>
      <c r="M607" s="485"/>
      <c r="N607" s="485"/>
      <c r="O607" s="485"/>
      <c r="P607" s="485"/>
      <c r="Q607" s="485"/>
      <c r="R607" s="485"/>
      <c r="S607" s="485"/>
      <c r="T607" s="485"/>
      <c r="U607" s="485"/>
      <c r="V607" s="485"/>
      <c r="W607" s="485"/>
      <c r="X607" s="485"/>
      <c r="Y607" s="485"/>
      <c r="Z607" s="485"/>
    </row>
    <row r="608">
      <c r="A608" s="485"/>
      <c r="B608" s="485"/>
      <c r="C608" s="485"/>
      <c r="D608" s="485"/>
      <c r="E608" s="485"/>
      <c r="F608" s="485"/>
      <c r="G608" s="485"/>
      <c r="H608" s="485"/>
      <c r="I608" s="485"/>
      <c r="J608" s="485"/>
      <c r="K608" s="485"/>
      <c r="L608" s="485"/>
      <c r="M608" s="485"/>
      <c r="N608" s="485"/>
      <c r="O608" s="485"/>
      <c r="P608" s="485"/>
      <c r="Q608" s="485"/>
      <c r="R608" s="485"/>
      <c r="S608" s="485"/>
      <c r="T608" s="485"/>
      <c r="U608" s="485"/>
      <c r="V608" s="485"/>
      <c r="W608" s="485"/>
      <c r="X608" s="485"/>
      <c r="Y608" s="485"/>
      <c r="Z608" s="485"/>
    </row>
    <row r="609">
      <c r="A609" s="485"/>
      <c r="B609" s="485"/>
      <c r="C609" s="485"/>
      <c r="D609" s="485"/>
      <c r="E609" s="485"/>
      <c r="F609" s="485"/>
      <c r="G609" s="485"/>
      <c r="H609" s="485"/>
      <c r="I609" s="485"/>
      <c r="J609" s="485"/>
      <c r="K609" s="485"/>
      <c r="L609" s="485"/>
      <c r="M609" s="485"/>
      <c r="N609" s="485"/>
      <c r="O609" s="485"/>
      <c r="P609" s="485"/>
      <c r="Q609" s="485"/>
      <c r="R609" s="485"/>
      <c r="S609" s="485"/>
      <c r="T609" s="485"/>
      <c r="U609" s="485"/>
      <c r="V609" s="485"/>
      <c r="W609" s="485"/>
      <c r="X609" s="485"/>
      <c r="Y609" s="485"/>
      <c r="Z609" s="485"/>
    </row>
    <row r="610">
      <c r="A610" s="485"/>
      <c r="B610" s="485"/>
      <c r="C610" s="485"/>
      <c r="D610" s="485"/>
      <c r="E610" s="485"/>
      <c r="F610" s="485"/>
      <c r="G610" s="485"/>
      <c r="H610" s="485"/>
      <c r="I610" s="485"/>
      <c r="J610" s="485"/>
      <c r="K610" s="485"/>
      <c r="L610" s="485"/>
      <c r="M610" s="485"/>
      <c r="N610" s="485"/>
      <c r="O610" s="485"/>
      <c r="P610" s="485"/>
      <c r="Q610" s="485"/>
      <c r="R610" s="485"/>
      <c r="S610" s="485"/>
      <c r="T610" s="485"/>
      <c r="U610" s="485"/>
      <c r="V610" s="485"/>
      <c r="W610" s="485"/>
      <c r="X610" s="485"/>
      <c r="Y610" s="485"/>
      <c r="Z610" s="485"/>
    </row>
    <row r="611">
      <c r="A611" s="485"/>
      <c r="B611" s="485"/>
      <c r="C611" s="485"/>
      <c r="D611" s="485"/>
      <c r="E611" s="485"/>
      <c r="F611" s="485"/>
      <c r="G611" s="485"/>
      <c r="H611" s="485"/>
      <c r="I611" s="485"/>
      <c r="J611" s="485"/>
      <c r="K611" s="485"/>
      <c r="L611" s="485"/>
      <c r="M611" s="485"/>
      <c r="N611" s="485"/>
      <c r="O611" s="485"/>
      <c r="P611" s="485"/>
      <c r="Q611" s="485"/>
      <c r="R611" s="485"/>
      <c r="S611" s="485"/>
      <c r="T611" s="485"/>
      <c r="U611" s="485"/>
      <c r="V611" s="485"/>
      <c r="W611" s="485"/>
      <c r="X611" s="485"/>
      <c r="Y611" s="485"/>
      <c r="Z611" s="485"/>
    </row>
    <row r="612">
      <c r="A612" s="485"/>
      <c r="B612" s="485"/>
      <c r="C612" s="485"/>
      <c r="D612" s="485"/>
      <c r="E612" s="485"/>
      <c r="F612" s="485"/>
      <c r="G612" s="485"/>
      <c r="H612" s="485"/>
      <c r="I612" s="485"/>
      <c r="J612" s="485"/>
      <c r="K612" s="485"/>
      <c r="L612" s="485"/>
      <c r="M612" s="485"/>
      <c r="N612" s="485"/>
      <c r="O612" s="485"/>
      <c r="P612" s="485"/>
      <c r="Q612" s="485"/>
      <c r="R612" s="485"/>
      <c r="S612" s="485"/>
      <c r="T612" s="485"/>
      <c r="U612" s="485"/>
      <c r="V612" s="485"/>
      <c r="W612" s="485"/>
      <c r="X612" s="485"/>
      <c r="Y612" s="485"/>
      <c r="Z612" s="485"/>
    </row>
    <row r="613">
      <c r="A613" s="485"/>
      <c r="B613" s="485"/>
      <c r="C613" s="485"/>
      <c r="D613" s="485"/>
      <c r="E613" s="485"/>
      <c r="F613" s="485"/>
      <c r="G613" s="485"/>
      <c r="H613" s="485"/>
      <c r="I613" s="485"/>
      <c r="J613" s="485"/>
      <c r="K613" s="485"/>
      <c r="L613" s="485"/>
      <c r="M613" s="485"/>
      <c r="N613" s="485"/>
      <c r="O613" s="485"/>
      <c r="P613" s="485"/>
      <c r="Q613" s="485"/>
      <c r="R613" s="485"/>
      <c r="S613" s="485"/>
      <c r="T613" s="485"/>
      <c r="U613" s="485"/>
      <c r="V613" s="485"/>
      <c r="W613" s="485"/>
      <c r="X613" s="485"/>
      <c r="Y613" s="485"/>
      <c r="Z613" s="485"/>
    </row>
    <row r="614">
      <c r="A614" s="485"/>
      <c r="B614" s="485"/>
      <c r="C614" s="485"/>
      <c r="D614" s="485"/>
      <c r="E614" s="485"/>
      <c r="F614" s="485"/>
      <c r="G614" s="485"/>
      <c r="H614" s="485"/>
      <c r="I614" s="485"/>
      <c r="J614" s="485"/>
      <c r="K614" s="485"/>
      <c r="L614" s="485"/>
      <c r="M614" s="485"/>
      <c r="N614" s="485"/>
      <c r="O614" s="485"/>
      <c r="P614" s="485"/>
      <c r="Q614" s="485"/>
      <c r="R614" s="485"/>
      <c r="S614" s="485"/>
      <c r="T614" s="485"/>
      <c r="U614" s="485"/>
      <c r="V614" s="485"/>
      <c r="W614" s="485"/>
      <c r="X614" s="485"/>
      <c r="Y614" s="485"/>
      <c r="Z614" s="485"/>
    </row>
    <row r="615">
      <c r="A615" s="485"/>
      <c r="B615" s="485"/>
      <c r="C615" s="485"/>
      <c r="D615" s="485"/>
      <c r="E615" s="485"/>
      <c r="F615" s="485"/>
      <c r="G615" s="485"/>
      <c r="H615" s="485"/>
      <c r="I615" s="485"/>
      <c r="J615" s="485"/>
      <c r="K615" s="485"/>
      <c r="L615" s="485"/>
      <c r="M615" s="485"/>
      <c r="N615" s="485"/>
      <c r="O615" s="485"/>
      <c r="P615" s="485"/>
      <c r="Q615" s="485"/>
      <c r="R615" s="485"/>
      <c r="S615" s="485"/>
      <c r="T615" s="485"/>
      <c r="U615" s="485"/>
      <c r="V615" s="485"/>
      <c r="W615" s="485"/>
      <c r="X615" s="485"/>
      <c r="Y615" s="485"/>
      <c r="Z615" s="485"/>
    </row>
    <row r="616">
      <c r="A616" s="485"/>
      <c r="B616" s="485"/>
      <c r="C616" s="485"/>
      <c r="D616" s="485"/>
      <c r="E616" s="485"/>
      <c r="F616" s="485"/>
      <c r="G616" s="485"/>
      <c r="H616" s="485"/>
      <c r="I616" s="485"/>
      <c r="J616" s="485"/>
      <c r="K616" s="485"/>
      <c r="L616" s="485"/>
      <c r="M616" s="485"/>
      <c r="N616" s="485"/>
      <c r="O616" s="485"/>
      <c r="P616" s="485"/>
      <c r="Q616" s="485"/>
      <c r="R616" s="485"/>
      <c r="S616" s="485"/>
      <c r="T616" s="485"/>
      <c r="U616" s="485"/>
      <c r="V616" s="485"/>
      <c r="W616" s="485"/>
      <c r="X616" s="485"/>
      <c r="Y616" s="485"/>
      <c r="Z616" s="485"/>
    </row>
    <row r="617">
      <c r="A617" s="485"/>
      <c r="B617" s="485"/>
      <c r="C617" s="485"/>
      <c r="D617" s="485"/>
      <c r="E617" s="485"/>
      <c r="F617" s="485"/>
      <c r="G617" s="485"/>
      <c r="H617" s="485"/>
      <c r="I617" s="485"/>
      <c r="J617" s="485"/>
      <c r="K617" s="485"/>
      <c r="L617" s="485"/>
      <c r="M617" s="485"/>
      <c r="N617" s="485"/>
      <c r="O617" s="485"/>
      <c r="P617" s="485"/>
      <c r="Q617" s="485"/>
      <c r="R617" s="485"/>
      <c r="S617" s="485"/>
      <c r="T617" s="485"/>
      <c r="U617" s="485"/>
      <c r="V617" s="485"/>
      <c r="W617" s="485"/>
      <c r="X617" s="485"/>
      <c r="Y617" s="485"/>
      <c r="Z617" s="485"/>
    </row>
    <row r="618">
      <c r="A618" s="485"/>
      <c r="B618" s="485"/>
      <c r="C618" s="485"/>
      <c r="D618" s="485"/>
      <c r="E618" s="485"/>
      <c r="F618" s="485"/>
      <c r="G618" s="485"/>
      <c r="H618" s="485"/>
      <c r="I618" s="485"/>
      <c r="J618" s="485"/>
      <c r="K618" s="485"/>
      <c r="L618" s="485"/>
      <c r="M618" s="485"/>
      <c r="N618" s="485"/>
      <c r="O618" s="485"/>
      <c r="P618" s="485"/>
      <c r="Q618" s="485"/>
      <c r="R618" s="485"/>
      <c r="S618" s="485"/>
      <c r="T618" s="485"/>
      <c r="U618" s="485"/>
      <c r="V618" s="485"/>
      <c r="W618" s="485"/>
      <c r="X618" s="485"/>
      <c r="Y618" s="485"/>
      <c r="Z618" s="485"/>
    </row>
    <row r="619">
      <c r="A619" s="485"/>
      <c r="B619" s="485"/>
      <c r="C619" s="485"/>
      <c r="D619" s="485"/>
      <c r="E619" s="485"/>
      <c r="F619" s="485"/>
      <c r="G619" s="485"/>
      <c r="H619" s="485"/>
      <c r="I619" s="485"/>
      <c r="J619" s="485"/>
      <c r="K619" s="485"/>
      <c r="L619" s="485"/>
      <c r="M619" s="485"/>
      <c r="N619" s="485"/>
      <c r="O619" s="485"/>
      <c r="P619" s="485"/>
      <c r="Q619" s="485"/>
      <c r="R619" s="485"/>
      <c r="S619" s="485"/>
      <c r="T619" s="485"/>
      <c r="U619" s="485"/>
      <c r="V619" s="485"/>
      <c r="W619" s="485"/>
      <c r="X619" s="485"/>
      <c r="Y619" s="485"/>
      <c r="Z619" s="485"/>
    </row>
    <row r="620">
      <c r="A620" s="485"/>
      <c r="B620" s="485"/>
      <c r="C620" s="485"/>
      <c r="D620" s="485"/>
      <c r="E620" s="485"/>
      <c r="F620" s="485"/>
      <c r="G620" s="485"/>
      <c r="H620" s="485"/>
      <c r="I620" s="485"/>
      <c r="J620" s="485"/>
      <c r="K620" s="485"/>
      <c r="L620" s="485"/>
      <c r="M620" s="485"/>
      <c r="N620" s="485"/>
      <c r="O620" s="485"/>
      <c r="P620" s="485"/>
      <c r="Q620" s="485"/>
      <c r="R620" s="485"/>
      <c r="S620" s="485"/>
      <c r="T620" s="485"/>
      <c r="U620" s="485"/>
      <c r="V620" s="485"/>
      <c r="W620" s="485"/>
      <c r="X620" s="485"/>
      <c r="Y620" s="485"/>
      <c r="Z620" s="485"/>
    </row>
    <row r="621">
      <c r="A621" s="485"/>
      <c r="B621" s="485"/>
      <c r="C621" s="485"/>
      <c r="D621" s="485"/>
      <c r="E621" s="485"/>
      <c r="F621" s="485"/>
      <c r="G621" s="485"/>
      <c r="H621" s="485"/>
      <c r="I621" s="485"/>
      <c r="J621" s="485"/>
      <c r="K621" s="485"/>
      <c r="L621" s="485"/>
      <c r="M621" s="485"/>
      <c r="N621" s="485"/>
      <c r="O621" s="485"/>
      <c r="P621" s="485"/>
      <c r="Q621" s="485"/>
      <c r="R621" s="485"/>
      <c r="S621" s="485"/>
      <c r="T621" s="485"/>
      <c r="U621" s="485"/>
      <c r="V621" s="485"/>
      <c r="W621" s="485"/>
      <c r="X621" s="485"/>
      <c r="Y621" s="485"/>
      <c r="Z621" s="485"/>
    </row>
    <row r="622">
      <c r="A622" s="485"/>
      <c r="B622" s="485"/>
      <c r="C622" s="485"/>
      <c r="D622" s="485"/>
      <c r="E622" s="485"/>
      <c r="F622" s="485"/>
      <c r="G622" s="485"/>
      <c r="H622" s="485"/>
      <c r="I622" s="485"/>
      <c r="J622" s="485"/>
      <c r="K622" s="485"/>
      <c r="L622" s="485"/>
      <c r="M622" s="485"/>
      <c r="N622" s="485"/>
      <c r="O622" s="485"/>
      <c r="P622" s="485"/>
      <c r="Q622" s="485"/>
      <c r="R622" s="485"/>
      <c r="S622" s="485"/>
      <c r="T622" s="485"/>
      <c r="U622" s="485"/>
      <c r="V622" s="485"/>
      <c r="W622" s="485"/>
      <c r="X622" s="485"/>
      <c r="Y622" s="485"/>
      <c r="Z622" s="485"/>
    </row>
    <row r="623">
      <c r="A623" s="485"/>
      <c r="B623" s="485"/>
      <c r="C623" s="485"/>
      <c r="D623" s="485"/>
      <c r="E623" s="485"/>
      <c r="F623" s="485"/>
      <c r="G623" s="485"/>
      <c r="H623" s="485"/>
      <c r="I623" s="485"/>
      <c r="J623" s="485"/>
      <c r="K623" s="485"/>
      <c r="L623" s="485"/>
      <c r="M623" s="485"/>
      <c r="N623" s="485"/>
      <c r="O623" s="485"/>
      <c r="P623" s="485"/>
      <c r="Q623" s="485"/>
      <c r="R623" s="485"/>
      <c r="S623" s="485"/>
      <c r="T623" s="485"/>
      <c r="U623" s="485"/>
      <c r="V623" s="485"/>
      <c r="W623" s="485"/>
      <c r="X623" s="485"/>
      <c r="Y623" s="485"/>
      <c r="Z623" s="485"/>
    </row>
    <row r="624">
      <c r="A624" s="485"/>
      <c r="B624" s="485"/>
      <c r="C624" s="485"/>
      <c r="D624" s="485"/>
      <c r="E624" s="485"/>
      <c r="F624" s="485"/>
      <c r="G624" s="485"/>
      <c r="H624" s="485"/>
      <c r="I624" s="485"/>
      <c r="J624" s="485"/>
      <c r="K624" s="485"/>
      <c r="L624" s="485"/>
      <c r="M624" s="485"/>
      <c r="N624" s="485"/>
      <c r="O624" s="485"/>
      <c r="P624" s="485"/>
      <c r="Q624" s="485"/>
      <c r="R624" s="485"/>
      <c r="S624" s="485"/>
      <c r="T624" s="485"/>
      <c r="U624" s="485"/>
      <c r="V624" s="485"/>
      <c r="W624" s="485"/>
      <c r="X624" s="485"/>
      <c r="Y624" s="485"/>
      <c r="Z624" s="485"/>
    </row>
    <row r="625">
      <c r="A625" s="485"/>
      <c r="B625" s="485"/>
      <c r="C625" s="485"/>
      <c r="D625" s="485"/>
      <c r="E625" s="485"/>
      <c r="F625" s="485"/>
      <c r="G625" s="485"/>
      <c r="H625" s="485"/>
      <c r="I625" s="485"/>
      <c r="J625" s="485"/>
      <c r="K625" s="485"/>
      <c r="L625" s="485"/>
      <c r="M625" s="485"/>
      <c r="N625" s="485"/>
      <c r="O625" s="485"/>
      <c r="P625" s="485"/>
      <c r="Q625" s="485"/>
      <c r="R625" s="485"/>
      <c r="S625" s="485"/>
      <c r="T625" s="485"/>
      <c r="U625" s="485"/>
      <c r="V625" s="485"/>
      <c r="W625" s="485"/>
      <c r="X625" s="485"/>
      <c r="Y625" s="485"/>
      <c r="Z625" s="485"/>
    </row>
    <row r="626">
      <c r="A626" s="485"/>
      <c r="B626" s="485"/>
      <c r="C626" s="485"/>
      <c r="D626" s="485"/>
      <c r="E626" s="485"/>
      <c r="F626" s="485"/>
      <c r="G626" s="485"/>
      <c r="H626" s="485"/>
      <c r="I626" s="485"/>
      <c r="J626" s="485"/>
      <c r="K626" s="485"/>
      <c r="L626" s="485"/>
      <c r="M626" s="485"/>
      <c r="N626" s="485"/>
      <c r="O626" s="485"/>
      <c r="P626" s="485"/>
      <c r="Q626" s="485"/>
      <c r="R626" s="485"/>
      <c r="S626" s="485"/>
      <c r="T626" s="485"/>
      <c r="U626" s="485"/>
      <c r="V626" s="485"/>
      <c r="W626" s="485"/>
      <c r="X626" s="485"/>
      <c r="Y626" s="485"/>
      <c r="Z626" s="485"/>
    </row>
    <row r="627">
      <c r="A627" s="485"/>
      <c r="B627" s="485"/>
      <c r="C627" s="485"/>
      <c r="D627" s="485"/>
      <c r="E627" s="485"/>
      <c r="F627" s="485"/>
      <c r="G627" s="485"/>
      <c r="H627" s="485"/>
      <c r="I627" s="485"/>
      <c r="J627" s="485"/>
      <c r="K627" s="485"/>
      <c r="L627" s="485"/>
      <c r="M627" s="485"/>
      <c r="N627" s="485"/>
      <c r="O627" s="485"/>
      <c r="P627" s="485"/>
      <c r="Q627" s="485"/>
      <c r="R627" s="485"/>
      <c r="S627" s="485"/>
      <c r="T627" s="485"/>
      <c r="U627" s="485"/>
      <c r="V627" s="485"/>
      <c r="W627" s="485"/>
      <c r="X627" s="485"/>
      <c r="Y627" s="485"/>
      <c r="Z627" s="485"/>
    </row>
    <row r="628">
      <c r="A628" s="485"/>
      <c r="B628" s="485"/>
      <c r="C628" s="485"/>
      <c r="D628" s="485"/>
      <c r="E628" s="485"/>
      <c r="F628" s="485"/>
      <c r="G628" s="485"/>
      <c r="H628" s="485"/>
      <c r="I628" s="485"/>
      <c r="J628" s="485"/>
      <c r="K628" s="485"/>
      <c r="L628" s="485"/>
      <c r="M628" s="485"/>
      <c r="N628" s="485"/>
      <c r="O628" s="485"/>
      <c r="P628" s="485"/>
      <c r="Q628" s="485"/>
      <c r="R628" s="485"/>
      <c r="S628" s="485"/>
      <c r="T628" s="485"/>
      <c r="U628" s="485"/>
      <c r="V628" s="485"/>
      <c r="W628" s="485"/>
      <c r="X628" s="485"/>
      <c r="Y628" s="485"/>
      <c r="Z628" s="485"/>
    </row>
    <row r="629">
      <c r="A629" s="485"/>
      <c r="B629" s="485"/>
      <c r="C629" s="485"/>
      <c r="D629" s="485"/>
      <c r="E629" s="485"/>
      <c r="F629" s="485"/>
      <c r="G629" s="485"/>
      <c r="H629" s="485"/>
      <c r="I629" s="485"/>
      <c r="J629" s="485"/>
      <c r="K629" s="485"/>
      <c r="L629" s="485"/>
      <c r="M629" s="485"/>
      <c r="N629" s="485"/>
      <c r="O629" s="485"/>
      <c r="P629" s="485"/>
      <c r="Q629" s="485"/>
      <c r="R629" s="485"/>
      <c r="S629" s="485"/>
      <c r="T629" s="485"/>
      <c r="U629" s="485"/>
      <c r="V629" s="485"/>
      <c r="W629" s="485"/>
      <c r="X629" s="485"/>
      <c r="Y629" s="485"/>
      <c r="Z629" s="485"/>
    </row>
    <row r="630">
      <c r="A630" s="485"/>
      <c r="B630" s="485"/>
      <c r="C630" s="485"/>
      <c r="D630" s="485"/>
      <c r="E630" s="485"/>
      <c r="F630" s="485"/>
      <c r="G630" s="485"/>
      <c r="H630" s="485"/>
      <c r="I630" s="485"/>
      <c r="J630" s="485"/>
      <c r="K630" s="485"/>
      <c r="L630" s="485"/>
      <c r="M630" s="485"/>
      <c r="N630" s="485"/>
      <c r="O630" s="485"/>
      <c r="P630" s="485"/>
      <c r="Q630" s="485"/>
      <c r="R630" s="485"/>
      <c r="S630" s="485"/>
      <c r="T630" s="485"/>
      <c r="U630" s="485"/>
      <c r="V630" s="485"/>
      <c r="W630" s="485"/>
      <c r="X630" s="485"/>
      <c r="Y630" s="485"/>
      <c r="Z630" s="485"/>
    </row>
    <row r="631">
      <c r="A631" s="485"/>
      <c r="B631" s="485"/>
      <c r="C631" s="485"/>
      <c r="D631" s="485"/>
      <c r="E631" s="485"/>
      <c r="F631" s="485"/>
      <c r="G631" s="485"/>
      <c r="H631" s="485"/>
      <c r="I631" s="485"/>
      <c r="J631" s="485"/>
      <c r="K631" s="485"/>
      <c r="L631" s="485"/>
      <c r="M631" s="485"/>
      <c r="N631" s="485"/>
      <c r="O631" s="485"/>
      <c r="P631" s="485"/>
      <c r="Q631" s="485"/>
      <c r="R631" s="485"/>
      <c r="S631" s="485"/>
      <c r="T631" s="485"/>
      <c r="U631" s="485"/>
      <c r="V631" s="485"/>
      <c r="W631" s="485"/>
      <c r="X631" s="485"/>
      <c r="Y631" s="485"/>
      <c r="Z631" s="485"/>
    </row>
    <row r="632">
      <c r="A632" s="485"/>
      <c r="B632" s="485"/>
      <c r="C632" s="485"/>
      <c r="D632" s="485"/>
      <c r="E632" s="485"/>
      <c r="F632" s="485"/>
      <c r="G632" s="485"/>
      <c r="H632" s="485"/>
      <c r="I632" s="485"/>
      <c r="J632" s="485"/>
      <c r="K632" s="485"/>
      <c r="L632" s="485"/>
      <c r="M632" s="485"/>
      <c r="N632" s="485"/>
      <c r="O632" s="485"/>
      <c r="P632" s="485"/>
      <c r="Q632" s="485"/>
      <c r="R632" s="485"/>
      <c r="S632" s="485"/>
      <c r="T632" s="485"/>
      <c r="U632" s="485"/>
      <c r="V632" s="485"/>
      <c r="W632" s="485"/>
      <c r="X632" s="485"/>
      <c r="Y632" s="485"/>
      <c r="Z632" s="485"/>
    </row>
    <row r="633">
      <c r="A633" s="485"/>
      <c r="B633" s="485"/>
      <c r="C633" s="485"/>
      <c r="D633" s="485"/>
      <c r="E633" s="485"/>
      <c r="F633" s="485"/>
      <c r="G633" s="485"/>
      <c r="H633" s="485"/>
      <c r="I633" s="485"/>
      <c r="J633" s="485"/>
      <c r="K633" s="485"/>
      <c r="L633" s="485"/>
      <c r="M633" s="485"/>
      <c r="N633" s="485"/>
      <c r="O633" s="485"/>
      <c r="P633" s="485"/>
      <c r="Q633" s="485"/>
      <c r="R633" s="485"/>
      <c r="S633" s="485"/>
      <c r="T633" s="485"/>
      <c r="U633" s="485"/>
      <c r="V633" s="485"/>
      <c r="W633" s="485"/>
      <c r="X633" s="485"/>
      <c r="Y633" s="485"/>
      <c r="Z633" s="485"/>
    </row>
    <row r="634">
      <c r="A634" s="485"/>
      <c r="B634" s="485"/>
      <c r="C634" s="485"/>
      <c r="D634" s="485"/>
      <c r="E634" s="485"/>
      <c r="F634" s="485"/>
      <c r="G634" s="485"/>
      <c r="H634" s="485"/>
      <c r="I634" s="485"/>
      <c r="J634" s="485"/>
      <c r="K634" s="485"/>
      <c r="L634" s="485"/>
      <c r="M634" s="485"/>
      <c r="N634" s="485"/>
      <c r="O634" s="485"/>
      <c r="P634" s="485"/>
      <c r="Q634" s="485"/>
      <c r="R634" s="485"/>
      <c r="S634" s="485"/>
      <c r="T634" s="485"/>
      <c r="U634" s="485"/>
      <c r="V634" s="485"/>
      <c r="W634" s="485"/>
      <c r="X634" s="485"/>
      <c r="Y634" s="485"/>
      <c r="Z634" s="485"/>
    </row>
    <row r="635">
      <c r="A635" s="485"/>
      <c r="B635" s="485"/>
      <c r="C635" s="485"/>
      <c r="D635" s="485"/>
      <c r="E635" s="485"/>
      <c r="F635" s="485"/>
      <c r="G635" s="485"/>
      <c r="H635" s="485"/>
      <c r="I635" s="485"/>
      <c r="J635" s="485"/>
      <c r="K635" s="485"/>
      <c r="L635" s="485"/>
      <c r="M635" s="485"/>
      <c r="N635" s="485"/>
      <c r="O635" s="485"/>
      <c r="P635" s="485"/>
      <c r="Q635" s="485"/>
      <c r="R635" s="485"/>
      <c r="S635" s="485"/>
      <c r="T635" s="485"/>
      <c r="U635" s="485"/>
      <c r="V635" s="485"/>
      <c r="W635" s="485"/>
      <c r="X635" s="485"/>
      <c r="Y635" s="485"/>
      <c r="Z635" s="485"/>
    </row>
    <row r="636">
      <c r="A636" s="485"/>
      <c r="B636" s="485"/>
      <c r="C636" s="485"/>
      <c r="D636" s="485"/>
      <c r="E636" s="485"/>
      <c r="F636" s="485"/>
      <c r="G636" s="485"/>
      <c r="H636" s="485"/>
      <c r="I636" s="485"/>
      <c r="J636" s="485"/>
      <c r="K636" s="485"/>
      <c r="L636" s="485"/>
      <c r="M636" s="485"/>
      <c r="N636" s="485"/>
      <c r="O636" s="485"/>
      <c r="P636" s="485"/>
      <c r="Q636" s="485"/>
      <c r="R636" s="485"/>
      <c r="S636" s="485"/>
      <c r="T636" s="485"/>
      <c r="U636" s="485"/>
      <c r="V636" s="485"/>
      <c r="W636" s="485"/>
      <c r="X636" s="485"/>
      <c r="Y636" s="485"/>
      <c r="Z636" s="485"/>
    </row>
    <row r="637">
      <c r="A637" s="485"/>
      <c r="B637" s="485"/>
      <c r="C637" s="485"/>
      <c r="D637" s="485"/>
      <c r="E637" s="485"/>
      <c r="F637" s="485"/>
      <c r="G637" s="485"/>
      <c r="H637" s="485"/>
      <c r="I637" s="485"/>
      <c r="J637" s="485"/>
      <c r="K637" s="485"/>
      <c r="L637" s="485"/>
      <c r="M637" s="485"/>
      <c r="N637" s="485"/>
      <c r="O637" s="485"/>
      <c r="P637" s="485"/>
      <c r="Q637" s="485"/>
      <c r="R637" s="485"/>
      <c r="S637" s="485"/>
      <c r="T637" s="485"/>
      <c r="U637" s="485"/>
      <c r="V637" s="485"/>
      <c r="W637" s="485"/>
      <c r="X637" s="485"/>
      <c r="Y637" s="485"/>
      <c r="Z637" s="485"/>
    </row>
    <row r="638">
      <c r="A638" s="485"/>
      <c r="B638" s="485"/>
      <c r="C638" s="485"/>
      <c r="D638" s="485"/>
      <c r="E638" s="485"/>
      <c r="F638" s="485"/>
      <c r="G638" s="485"/>
      <c r="H638" s="485"/>
      <c r="I638" s="485"/>
      <c r="J638" s="485"/>
      <c r="K638" s="485"/>
      <c r="L638" s="485"/>
      <c r="M638" s="485"/>
      <c r="N638" s="485"/>
      <c r="O638" s="485"/>
      <c r="P638" s="485"/>
      <c r="Q638" s="485"/>
      <c r="R638" s="485"/>
      <c r="S638" s="485"/>
      <c r="T638" s="485"/>
      <c r="U638" s="485"/>
      <c r="V638" s="485"/>
      <c r="W638" s="485"/>
      <c r="X638" s="485"/>
      <c r="Y638" s="485"/>
      <c r="Z638" s="485"/>
    </row>
    <row r="639">
      <c r="A639" s="485"/>
      <c r="B639" s="485"/>
      <c r="C639" s="485"/>
      <c r="D639" s="485"/>
      <c r="E639" s="485"/>
      <c r="F639" s="485"/>
      <c r="G639" s="485"/>
      <c r="H639" s="485"/>
      <c r="I639" s="485"/>
      <c r="J639" s="485"/>
      <c r="K639" s="485"/>
      <c r="L639" s="485"/>
      <c r="M639" s="485"/>
      <c r="N639" s="485"/>
      <c r="O639" s="485"/>
      <c r="P639" s="485"/>
      <c r="Q639" s="485"/>
      <c r="R639" s="485"/>
      <c r="S639" s="485"/>
      <c r="T639" s="485"/>
      <c r="U639" s="485"/>
      <c r="V639" s="485"/>
      <c r="W639" s="485"/>
      <c r="X639" s="485"/>
      <c r="Y639" s="485"/>
      <c r="Z639" s="485"/>
    </row>
    <row r="640">
      <c r="A640" s="485"/>
      <c r="B640" s="485"/>
      <c r="C640" s="485"/>
      <c r="D640" s="485"/>
      <c r="E640" s="485"/>
      <c r="F640" s="485"/>
      <c r="G640" s="485"/>
      <c r="H640" s="485"/>
      <c r="I640" s="485"/>
      <c r="J640" s="485"/>
      <c r="K640" s="485"/>
      <c r="L640" s="485"/>
      <c r="M640" s="485"/>
      <c r="N640" s="485"/>
      <c r="O640" s="485"/>
      <c r="P640" s="485"/>
      <c r="Q640" s="485"/>
      <c r="R640" s="485"/>
      <c r="S640" s="485"/>
      <c r="T640" s="485"/>
      <c r="U640" s="485"/>
      <c r="V640" s="485"/>
      <c r="W640" s="485"/>
      <c r="X640" s="485"/>
      <c r="Y640" s="485"/>
      <c r="Z640" s="485"/>
    </row>
    <row r="641">
      <c r="A641" s="485"/>
      <c r="B641" s="485"/>
      <c r="C641" s="485"/>
      <c r="D641" s="485"/>
      <c r="E641" s="485"/>
      <c r="F641" s="485"/>
      <c r="G641" s="485"/>
      <c r="H641" s="485"/>
      <c r="I641" s="485"/>
      <c r="J641" s="485"/>
      <c r="K641" s="485"/>
      <c r="L641" s="485"/>
      <c r="M641" s="485"/>
      <c r="N641" s="485"/>
      <c r="O641" s="485"/>
      <c r="P641" s="485"/>
      <c r="Q641" s="485"/>
      <c r="R641" s="485"/>
      <c r="S641" s="485"/>
      <c r="T641" s="485"/>
      <c r="U641" s="485"/>
      <c r="V641" s="485"/>
      <c r="W641" s="485"/>
      <c r="X641" s="485"/>
      <c r="Y641" s="485"/>
      <c r="Z641" s="485"/>
    </row>
    <row r="642">
      <c r="A642" s="485"/>
      <c r="B642" s="485"/>
      <c r="C642" s="485"/>
      <c r="D642" s="485"/>
      <c r="E642" s="485"/>
      <c r="F642" s="485"/>
      <c r="G642" s="485"/>
      <c r="H642" s="485"/>
      <c r="I642" s="485"/>
      <c r="J642" s="485"/>
      <c r="K642" s="485"/>
      <c r="L642" s="485"/>
      <c r="M642" s="485"/>
      <c r="N642" s="485"/>
      <c r="O642" s="485"/>
      <c r="P642" s="485"/>
      <c r="Q642" s="485"/>
      <c r="R642" s="485"/>
      <c r="S642" s="485"/>
      <c r="T642" s="485"/>
      <c r="U642" s="485"/>
      <c r="V642" s="485"/>
      <c r="W642" s="485"/>
      <c r="X642" s="485"/>
      <c r="Y642" s="485"/>
      <c r="Z642" s="485"/>
    </row>
    <row r="643">
      <c r="A643" s="485"/>
      <c r="B643" s="485"/>
      <c r="C643" s="485"/>
      <c r="D643" s="485"/>
      <c r="E643" s="485"/>
      <c r="F643" s="485"/>
      <c r="G643" s="485"/>
      <c r="H643" s="485"/>
      <c r="I643" s="485"/>
      <c r="J643" s="485"/>
      <c r="K643" s="485"/>
      <c r="L643" s="485"/>
      <c r="M643" s="485"/>
      <c r="N643" s="485"/>
      <c r="O643" s="485"/>
      <c r="P643" s="485"/>
      <c r="Q643" s="485"/>
      <c r="R643" s="485"/>
      <c r="S643" s="485"/>
      <c r="T643" s="485"/>
      <c r="U643" s="485"/>
      <c r="V643" s="485"/>
      <c r="W643" s="485"/>
      <c r="X643" s="485"/>
      <c r="Y643" s="485"/>
      <c r="Z643" s="485"/>
    </row>
    <row r="644">
      <c r="A644" s="485"/>
      <c r="B644" s="485"/>
      <c r="C644" s="485"/>
      <c r="D644" s="485"/>
      <c r="E644" s="485"/>
      <c r="F644" s="485"/>
      <c r="G644" s="485"/>
      <c r="H644" s="485"/>
      <c r="I644" s="485"/>
      <c r="J644" s="485"/>
      <c r="K644" s="485"/>
      <c r="L644" s="485"/>
      <c r="M644" s="485"/>
      <c r="N644" s="485"/>
      <c r="O644" s="485"/>
      <c r="P644" s="485"/>
      <c r="Q644" s="485"/>
      <c r="R644" s="485"/>
      <c r="S644" s="485"/>
      <c r="T644" s="485"/>
      <c r="U644" s="485"/>
      <c r="V644" s="485"/>
      <c r="W644" s="485"/>
      <c r="X644" s="485"/>
      <c r="Y644" s="485"/>
      <c r="Z644" s="485"/>
    </row>
    <row r="645">
      <c r="A645" s="485"/>
      <c r="B645" s="485"/>
      <c r="C645" s="485"/>
      <c r="D645" s="485"/>
      <c r="E645" s="485"/>
      <c r="F645" s="485"/>
      <c r="G645" s="485"/>
      <c r="H645" s="485"/>
      <c r="I645" s="485"/>
      <c r="J645" s="485"/>
      <c r="K645" s="485"/>
      <c r="L645" s="485"/>
      <c r="M645" s="485"/>
      <c r="N645" s="485"/>
      <c r="O645" s="485"/>
      <c r="P645" s="485"/>
      <c r="Q645" s="485"/>
      <c r="R645" s="485"/>
      <c r="S645" s="485"/>
      <c r="T645" s="485"/>
      <c r="U645" s="485"/>
      <c r="V645" s="485"/>
      <c r="W645" s="485"/>
      <c r="X645" s="485"/>
      <c r="Y645" s="485"/>
      <c r="Z645" s="485"/>
    </row>
    <row r="646">
      <c r="A646" s="485"/>
      <c r="B646" s="485"/>
      <c r="C646" s="485"/>
      <c r="D646" s="485"/>
      <c r="E646" s="485"/>
      <c r="F646" s="485"/>
      <c r="G646" s="485"/>
      <c r="H646" s="485"/>
      <c r="I646" s="485"/>
      <c r="J646" s="485"/>
      <c r="K646" s="485"/>
      <c r="L646" s="485"/>
      <c r="M646" s="485"/>
      <c r="N646" s="485"/>
      <c r="O646" s="485"/>
      <c r="P646" s="485"/>
      <c r="Q646" s="485"/>
      <c r="R646" s="485"/>
      <c r="S646" s="485"/>
      <c r="T646" s="485"/>
      <c r="U646" s="485"/>
      <c r="V646" s="485"/>
      <c r="W646" s="485"/>
      <c r="X646" s="485"/>
      <c r="Y646" s="485"/>
      <c r="Z646" s="485"/>
    </row>
    <row r="647">
      <c r="A647" s="485"/>
      <c r="B647" s="485"/>
      <c r="C647" s="485"/>
      <c r="D647" s="485"/>
      <c r="E647" s="485"/>
      <c r="F647" s="485"/>
      <c r="G647" s="485"/>
      <c r="H647" s="485"/>
      <c r="I647" s="485"/>
      <c r="J647" s="485"/>
      <c r="K647" s="485"/>
      <c r="L647" s="485"/>
      <c r="M647" s="485"/>
      <c r="N647" s="485"/>
      <c r="O647" s="485"/>
      <c r="P647" s="485"/>
      <c r="Q647" s="485"/>
      <c r="R647" s="485"/>
      <c r="S647" s="485"/>
      <c r="T647" s="485"/>
      <c r="U647" s="485"/>
      <c r="V647" s="485"/>
      <c r="W647" s="485"/>
      <c r="X647" s="485"/>
      <c r="Y647" s="485"/>
      <c r="Z647" s="485"/>
    </row>
    <row r="648">
      <c r="A648" s="485"/>
      <c r="B648" s="485"/>
      <c r="C648" s="485"/>
      <c r="D648" s="485"/>
      <c r="E648" s="485"/>
      <c r="F648" s="485"/>
      <c r="G648" s="485"/>
      <c r="H648" s="485"/>
      <c r="I648" s="485"/>
      <c r="J648" s="485"/>
      <c r="K648" s="485"/>
      <c r="L648" s="485"/>
      <c r="M648" s="485"/>
      <c r="N648" s="485"/>
      <c r="O648" s="485"/>
      <c r="P648" s="485"/>
      <c r="Q648" s="485"/>
      <c r="R648" s="485"/>
      <c r="S648" s="485"/>
      <c r="T648" s="485"/>
      <c r="U648" s="485"/>
      <c r="V648" s="485"/>
      <c r="W648" s="485"/>
      <c r="X648" s="485"/>
      <c r="Y648" s="485"/>
      <c r="Z648" s="485"/>
    </row>
    <row r="649">
      <c r="A649" s="485"/>
      <c r="B649" s="485"/>
      <c r="C649" s="485"/>
      <c r="D649" s="485"/>
      <c r="E649" s="485"/>
      <c r="F649" s="485"/>
      <c r="G649" s="485"/>
      <c r="H649" s="485"/>
      <c r="I649" s="485"/>
      <c r="J649" s="485"/>
      <c r="K649" s="485"/>
      <c r="L649" s="485"/>
      <c r="M649" s="485"/>
      <c r="N649" s="485"/>
      <c r="O649" s="485"/>
      <c r="P649" s="485"/>
      <c r="Q649" s="485"/>
      <c r="R649" s="485"/>
      <c r="S649" s="485"/>
      <c r="T649" s="485"/>
      <c r="U649" s="485"/>
      <c r="V649" s="485"/>
      <c r="W649" s="485"/>
      <c r="X649" s="485"/>
      <c r="Y649" s="485"/>
      <c r="Z649" s="485"/>
    </row>
    <row r="650">
      <c r="A650" s="485"/>
      <c r="B650" s="485"/>
      <c r="C650" s="485"/>
      <c r="D650" s="485"/>
      <c r="E650" s="485"/>
      <c r="F650" s="485"/>
      <c r="G650" s="485"/>
      <c r="H650" s="485"/>
      <c r="I650" s="485"/>
      <c r="J650" s="485"/>
      <c r="K650" s="485"/>
      <c r="L650" s="485"/>
      <c r="M650" s="485"/>
      <c r="N650" s="485"/>
      <c r="O650" s="485"/>
      <c r="P650" s="485"/>
      <c r="Q650" s="485"/>
      <c r="R650" s="485"/>
      <c r="S650" s="485"/>
      <c r="T650" s="485"/>
      <c r="U650" s="485"/>
      <c r="V650" s="485"/>
      <c r="W650" s="485"/>
      <c r="X650" s="485"/>
      <c r="Y650" s="485"/>
      <c r="Z650" s="485"/>
    </row>
    <row r="651">
      <c r="A651" s="485"/>
      <c r="B651" s="485"/>
      <c r="C651" s="485"/>
      <c r="D651" s="485"/>
      <c r="E651" s="485"/>
      <c r="F651" s="485"/>
      <c r="G651" s="485"/>
      <c r="H651" s="485"/>
      <c r="I651" s="485"/>
      <c r="J651" s="485"/>
      <c r="K651" s="485"/>
      <c r="L651" s="485"/>
      <c r="M651" s="485"/>
      <c r="N651" s="485"/>
      <c r="O651" s="485"/>
      <c r="P651" s="485"/>
      <c r="Q651" s="485"/>
      <c r="R651" s="485"/>
      <c r="S651" s="485"/>
      <c r="T651" s="485"/>
      <c r="U651" s="485"/>
      <c r="V651" s="485"/>
      <c r="W651" s="485"/>
      <c r="X651" s="485"/>
      <c r="Y651" s="485"/>
      <c r="Z651" s="485"/>
    </row>
    <row r="652">
      <c r="A652" s="485"/>
      <c r="B652" s="485"/>
      <c r="C652" s="485"/>
      <c r="D652" s="485"/>
      <c r="E652" s="485"/>
      <c r="F652" s="485"/>
      <c r="G652" s="485"/>
      <c r="H652" s="485"/>
      <c r="I652" s="485"/>
      <c r="J652" s="485"/>
      <c r="K652" s="485"/>
      <c r="L652" s="485"/>
      <c r="M652" s="485"/>
      <c r="N652" s="485"/>
      <c r="O652" s="485"/>
      <c r="P652" s="485"/>
      <c r="Q652" s="485"/>
      <c r="R652" s="485"/>
      <c r="S652" s="485"/>
      <c r="T652" s="485"/>
      <c r="U652" s="485"/>
      <c r="V652" s="485"/>
      <c r="W652" s="485"/>
      <c r="X652" s="485"/>
      <c r="Y652" s="485"/>
      <c r="Z652" s="485"/>
    </row>
    <row r="653">
      <c r="A653" s="485"/>
      <c r="B653" s="485"/>
      <c r="C653" s="485"/>
      <c r="D653" s="485"/>
      <c r="E653" s="485"/>
      <c r="F653" s="485"/>
      <c r="G653" s="485"/>
      <c r="H653" s="485"/>
      <c r="I653" s="485"/>
      <c r="J653" s="485"/>
      <c r="K653" s="485"/>
      <c r="L653" s="485"/>
      <c r="M653" s="485"/>
      <c r="N653" s="485"/>
      <c r="O653" s="485"/>
      <c r="P653" s="485"/>
      <c r="Q653" s="485"/>
      <c r="R653" s="485"/>
      <c r="S653" s="485"/>
      <c r="T653" s="485"/>
      <c r="U653" s="485"/>
      <c r="V653" s="485"/>
      <c r="W653" s="485"/>
      <c r="X653" s="485"/>
      <c r="Y653" s="485"/>
      <c r="Z653" s="485"/>
    </row>
    <row r="654">
      <c r="A654" s="485"/>
      <c r="B654" s="485"/>
      <c r="C654" s="485"/>
      <c r="D654" s="485"/>
      <c r="E654" s="485"/>
      <c r="F654" s="485"/>
      <c r="G654" s="485"/>
      <c r="H654" s="485"/>
      <c r="I654" s="485"/>
      <c r="J654" s="485"/>
      <c r="K654" s="485"/>
      <c r="L654" s="485"/>
      <c r="M654" s="485"/>
      <c r="N654" s="485"/>
      <c r="O654" s="485"/>
      <c r="P654" s="485"/>
      <c r="Q654" s="485"/>
      <c r="R654" s="485"/>
      <c r="S654" s="485"/>
      <c r="T654" s="485"/>
      <c r="U654" s="485"/>
      <c r="V654" s="485"/>
      <c r="W654" s="485"/>
      <c r="X654" s="485"/>
      <c r="Y654" s="485"/>
      <c r="Z654" s="485"/>
    </row>
    <row r="655">
      <c r="A655" s="485"/>
      <c r="B655" s="485"/>
      <c r="C655" s="485"/>
      <c r="D655" s="485"/>
      <c r="E655" s="485"/>
      <c r="F655" s="485"/>
      <c r="G655" s="485"/>
      <c r="H655" s="485"/>
      <c r="I655" s="485"/>
      <c r="J655" s="485"/>
      <c r="K655" s="485"/>
      <c r="L655" s="485"/>
      <c r="M655" s="485"/>
      <c r="N655" s="485"/>
      <c r="O655" s="485"/>
      <c r="P655" s="485"/>
      <c r="Q655" s="485"/>
      <c r="R655" s="485"/>
      <c r="S655" s="485"/>
      <c r="T655" s="485"/>
      <c r="U655" s="485"/>
      <c r="V655" s="485"/>
      <c r="W655" s="485"/>
      <c r="X655" s="485"/>
      <c r="Y655" s="485"/>
      <c r="Z655" s="485"/>
    </row>
    <row r="656">
      <c r="A656" s="485"/>
      <c r="B656" s="485"/>
      <c r="C656" s="485"/>
      <c r="D656" s="485"/>
      <c r="E656" s="485"/>
      <c r="F656" s="485"/>
      <c r="G656" s="485"/>
      <c r="H656" s="485"/>
      <c r="I656" s="485"/>
      <c r="J656" s="485"/>
      <c r="K656" s="485"/>
      <c r="L656" s="485"/>
      <c r="M656" s="485"/>
      <c r="N656" s="485"/>
      <c r="O656" s="485"/>
      <c r="P656" s="485"/>
      <c r="Q656" s="485"/>
      <c r="R656" s="485"/>
      <c r="S656" s="485"/>
      <c r="T656" s="485"/>
      <c r="U656" s="485"/>
      <c r="V656" s="485"/>
      <c r="W656" s="485"/>
      <c r="X656" s="485"/>
      <c r="Y656" s="485"/>
      <c r="Z656" s="485"/>
    </row>
    <row r="657">
      <c r="A657" s="485"/>
      <c r="B657" s="485"/>
      <c r="C657" s="485"/>
      <c r="D657" s="485"/>
      <c r="E657" s="485"/>
      <c r="F657" s="485"/>
      <c r="G657" s="485"/>
      <c r="H657" s="485"/>
      <c r="I657" s="485"/>
      <c r="J657" s="485"/>
      <c r="K657" s="485"/>
      <c r="L657" s="485"/>
      <c r="M657" s="485"/>
      <c r="N657" s="485"/>
      <c r="O657" s="485"/>
      <c r="P657" s="485"/>
      <c r="Q657" s="485"/>
      <c r="R657" s="485"/>
      <c r="S657" s="485"/>
      <c r="T657" s="485"/>
      <c r="U657" s="485"/>
      <c r="V657" s="485"/>
      <c r="W657" s="485"/>
      <c r="X657" s="485"/>
      <c r="Y657" s="485"/>
      <c r="Z657" s="485"/>
    </row>
    <row r="658">
      <c r="A658" s="485"/>
      <c r="B658" s="485"/>
      <c r="C658" s="485"/>
      <c r="D658" s="485"/>
      <c r="E658" s="485"/>
      <c r="F658" s="485"/>
      <c r="G658" s="485"/>
      <c r="H658" s="485"/>
      <c r="I658" s="485"/>
      <c r="J658" s="485"/>
      <c r="K658" s="485"/>
      <c r="L658" s="485"/>
      <c r="M658" s="485"/>
      <c r="N658" s="485"/>
      <c r="O658" s="485"/>
      <c r="P658" s="485"/>
      <c r="Q658" s="485"/>
      <c r="R658" s="485"/>
      <c r="S658" s="485"/>
      <c r="T658" s="485"/>
      <c r="U658" s="485"/>
      <c r="V658" s="485"/>
      <c r="W658" s="485"/>
      <c r="X658" s="485"/>
      <c r="Y658" s="485"/>
      <c r="Z658" s="485"/>
    </row>
    <row r="659">
      <c r="A659" s="485"/>
      <c r="B659" s="485"/>
      <c r="C659" s="485"/>
      <c r="D659" s="485"/>
      <c r="E659" s="485"/>
      <c r="F659" s="485"/>
      <c r="G659" s="485"/>
      <c r="H659" s="485"/>
      <c r="I659" s="485"/>
      <c r="J659" s="485"/>
      <c r="K659" s="485"/>
      <c r="L659" s="485"/>
      <c r="M659" s="485"/>
      <c r="N659" s="485"/>
      <c r="O659" s="485"/>
      <c r="P659" s="485"/>
      <c r="Q659" s="485"/>
      <c r="R659" s="485"/>
      <c r="S659" s="485"/>
      <c r="T659" s="485"/>
      <c r="U659" s="485"/>
      <c r="V659" s="485"/>
      <c r="W659" s="485"/>
      <c r="X659" s="485"/>
      <c r="Y659" s="485"/>
      <c r="Z659" s="485"/>
    </row>
    <row r="660">
      <c r="A660" s="485"/>
      <c r="B660" s="485"/>
      <c r="C660" s="485"/>
      <c r="D660" s="485"/>
      <c r="E660" s="485"/>
      <c r="F660" s="485"/>
      <c r="G660" s="485"/>
      <c r="H660" s="485"/>
      <c r="I660" s="485"/>
      <c r="J660" s="485"/>
      <c r="K660" s="485"/>
      <c r="L660" s="485"/>
      <c r="M660" s="485"/>
      <c r="N660" s="485"/>
      <c r="O660" s="485"/>
      <c r="P660" s="485"/>
      <c r="Q660" s="485"/>
      <c r="R660" s="485"/>
      <c r="S660" s="485"/>
      <c r="T660" s="485"/>
      <c r="U660" s="485"/>
      <c r="V660" s="485"/>
      <c r="W660" s="485"/>
      <c r="X660" s="485"/>
      <c r="Y660" s="485"/>
      <c r="Z660" s="485"/>
    </row>
    <row r="661">
      <c r="A661" s="485"/>
      <c r="B661" s="485"/>
      <c r="C661" s="485"/>
      <c r="D661" s="485"/>
      <c r="E661" s="485"/>
      <c r="F661" s="485"/>
      <c r="G661" s="485"/>
      <c r="H661" s="485"/>
      <c r="I661" s="485"/>
      <c r="J661" s="485"/>
      <c r="K661" s="485"/>
      <c r="L661" s="485"/>
      <c r="M661" s="485"/>
      <c r="N661" s="485"/>
      <c r="O661" s="485"/>
      <c r="P661" s="485"/>
      <c r="Q661" s="485"/>
      <c r="R661" s="485"/>
      <c r="S661" s="485"/>
      <c r="T661" s="485"/>
      <c r="U661" s="485"/>
      <c r="V661" s="485"/>
      <c r="W661" s="485"/>
      <c r="X661" s="485"/>
      <c r="Y661" s="485"/>
      <c r="Z661" s="485"/>
    </row>
    <row r="662">
      <c r="A662" s="485"/>
      <c r="B662" s="485"/>
      <c r="C662" s="485"/>
      <c r="D662" s="485"/>
      <c r="E662" s="485"/>
      <c r="F662" s="485"/>
      <c r="G662" s="485"/>
      <c r="H662" s="485"/>
      <c r="I662" s="485"/>
      <c r="J662" s="485"/>
      <c r="K662" s="485"/>
      <c r="L662" s="485"/>
      <c r="M662" s="485"/>
      <c r="N662" s="485"/>
      <c r="O662" s="485"/>
      <c r="P662" s="485"/>
      <c r="Q662" s="485"/>
      <c r="R662" s="485"/>
      <c r="S662" s="485"/>
      <c r="T662" s="485"/>
      <c r="U662" s="485"/>
      <c r="V662" s="485"/>
      <c r="W662" s="485"/>
      <c r="X662" s="485"/>
      <c r="Y662" s="485"/>
      <c r="Z662" s="485"/>
    </row>
    <row r="663">
      <c r="A663" s="485"/>
      <c r="B663" s="485"/>
      <c r="C663" s="485"/>
      <c r="D663" s="485"/>
      <c r="E663" s="485"/>
      <c r="F663" s="485"/>
      <c r="G663" s="485"/>
      <c r="H663" s="485"/>
      <c r="I663" s="485"/>
      <c r="J663" s="485"/>
      <c r="K663" s="485"/>
      <c r="L663" s="485"/>
      <c r="M663" s="485"/>
      <c r="N663" s="485"/>
      <c r="O663" s="485"/>
      <c r="P663" s="485"/>
      <c r="Q663" s="485"/>
      <c r="R663" s="485"/>
      <c r="S663" s="485"/>
      <c r="T663" s="485"/>
      <c r="U663" s="485"/>
      <c r="V663" s="485"/>
      <c r="W663" s="485"/>
      <c r="X663" s="485"/>
      <c r="Y663" s="485"/>
      <c r="Z663" s="485"/>
    </row>
    <row r="664">
      <c r="A664" s="485"/>
      <c r="B664" s="485"/>
      <c r="C664" s="485"/>
      <c r="D664" s="485"/>
      <c r="E664" s="485"/>
      <c r="F664" s="485"/>
      <c r="G664" s="485"/>
      <c r="H664" s="485"/>
      <c r="I664" s="485"/>
      <c r="J664" s="485"/>
      <c r="K664" s="485"/>
      <c r="L664" s="485"/>
      <c r="M664" s="485"/>
      <c r="N664" s="485"/>
      <c r="O664" s="485"/>
      <c r="P664" s="485"/>
      <c r="Q664" s="485"/>
      <c r="R664" s="485"/>
      <c r="S664" s="485"/>
      <c r="T664" s="485"/>
      <c r="U664" s="485"/>
      <c r="V664" s="485"/>
      <c r="W664" s="485"/>
      <c r="X664" s="485"/>
      <c r="Y664" s="485"/>
      <c r="Z664" s="485"/>
    </row>
    <row r="665">
      <c r="A665" s="485"/>
      <c r="B665" s="485"/>
      <c r="C665" s="485"/>
      <c r="D665" s="485"/>
      <c r="E665" s="485"/>
      <c r="F665" s="485"/>
      <c r="G665" s="485"/>
      <c r="H665" s="485"/>
      <c r="I665" s="485"/>
      <c r="J665" s="485"/>
      <c r="K665" s="485"/>
      <c r="L665" s="485"/>
      <c r="M665" s="485"/>
      <c r="N665" s="485"/>
      <c r="O665" s="485"/>
      <c r="P665" s="485"/>
      <c r="Q665" s="485"/>
      <c r="R665" s="485"/>
      <c r="S665" s="485"/>
      <c r="T665" s="485"/>
      <c r="U665" s="485"/>
      <c r="V665" s="485"/>
      <c r="W665" s="485"/>
      <c r="X665" s="485"/>
      <c r="Y665" s="485"/>
      <c r="Z665" s="485"/>
    </row>
    <row r="666">
      <c r="A666" s="485"/>
      <c r="B666" s="485"/>
      <c r="C666" s="485"/>
      <c r="D666" s="485"/>
      <c r="E666" s="485"/>
      <c r="F666" s="485"/>
      <c r="G666" s="485"/>
      <c r="H666" s="485"/>
      <c r="I666" s="485"/>
      <c r="J666" s="485"/>
      <c r="K666" s="485"/>
      <c r="L666" s="485"/>
      <c r="M666" s="485"/>
      <c r="N666" s="485"/>
      <c r="O666" s="485"/>
      <c r="P666" s="485"/>
      <c r="Q666" s="485"/>
      <c r="R666" s="485"/>
      <c r="S666" s="485"/>
      <c r="T666" s="485"/>
      <c r="U666" s="485"/>
      <c r="V666" s="485"/>
      <c r="W666" s="485"/>
      <c r="X666" s="485"/>
      <c r="Y666" s="485"/>
      <c r="Z666" s="485"/>
    </row>
    <row r="667">
      <c r="A667" s="485"/>
      <c r="B667" s="485"/>
      <c r="C667" s="485"/>
      <c r="D667" s="485"/>
      <c r="E667" s="485"/>
      <c r="F667" s="485"/>
      <c r="G667" s="485"/>
      <c r="H667" s="485"/>
      <c r="I667" s="485"/>
      <c r="J667" s="485"/>
      <c r="K667" s="485"/>
      <c r="L667" s="485"/>
      <c r="M667" s="485"/>
      <c r="N667" s="485"/>
      <c r="O667" s="485"/>
      <c r="P667" s="485"/>
      <c r="Q667" s="485"/>
      <c r="R667" s="485"/>
      <c r="S667" s="485"/>
      <c r="T667" s="485"/>
      <c r="U667" s="485"/>
      <c r="V667" s="485"/>
      <c r="W667" s="485"/>
      <c r="X667" s="485"/>
      <c r="Y667" s="485"/>
      <c r="Z667" s="485"/>
    </row>
    <row r="668">
      <c r="A668" s="485"/>
      <c r="B668" s="485"/>
      <c r="C668" s="485"/>
      <c r="D668" s="485"/>
      <c r="E668" s="485"/>
      <c r="F668" s="485"/>
      <c r="G668" s="485"/>
      <c r="H668" s="485"/>
      <c r="I668" s="485"/>
      <c r="J668" s="485"/>
      <c r="K668" s="485"/>
      <c r="L668" s="485"/>
      <c r="M668" s="485"/>
      <c r="N668" s="485"/>
      <c r="O668" s="485"/>
      <c r="P668" s="485"/>
      <c r="Q668" s="485"/>
      <c r="R668" s="485"/>
      <c r="S668" s="485"/>
      <c r="T668" s="485"/>
      <c r="U668" s="485"/>
      <c r="V668" s="485"/>
      <c r="W668" s="485"/>
      <c r="X668" s="485"/>
      <c r="Y668" s="485"/>
      <c r="Z668" s="485"/>
    </row>
    <row r="669">
      <c r="A669" s="485"/>
      <c r="B669" s="485"/>
      <c r="C669" s="485"/>
      <c r="D669" s="485"/>
      <c r="E669" s="485"/>
      <c r="F669" s="485"/>
      <c r="G669" s="485"/>
      <c r="H669" s="485"/>
      <c r="I669" s="485"/>
      <c r="J669" s="485"/>
      <c r="K669" s="485"/>
      <c r="L669" s="485"/>
      <c r="M669" s="485"/>
      <c r="N669" s="485"/>
      <c r="O669" s="485"/>
      <c r="P669" s="485"/>
      <c r="Q669" s="485"/>
      <c r="R669" s="485"/>
      <c r="S669" s="485"/>
      <c r="T669" s="485"/>
      <c r="U669" s="485"/>
      <c r="V669" s="485"/>
      <c r="W669" s="485"/>
      <c r="X669" s="485"/>
      <c r="Y669" s="485"/>
      <c r="Z669" s="485"/>
    </row>
    <row r="670">
      <c r="A670" s="485"/>
      <c r="B670" s="485"/>
      <c r="C670" s="485"/>
      <c r="D670" s="485"/>
      <c r="E670" s="485"/>
      <c r="F670" s="485"/>
      <c r="G670" s="485"/>
      <c r="H670" s="485"/>
      <c r="I670" s="485"/>
      <c r="J670" s="485"/>
      <c r="K670" s="485"/>
      <c r="L670" s="485"/>
      <c r="M670" s="485"/>
      <c r="N670" s="485"/>
      <c r="O670" s="485"/>
      <c r="P670" s="485"/>
      <c r="Q670" s="485"/>
      <c r="R670" s="485"/>
      <c r="S670" s="485"/>
      <c r="T670" s="485"/>
      <c r="U670" s="485"/>
      <c r="V670" s="485"/>
      <c r="W670" s="485"/>
      <c r="X670" s="485"/>
      <c r="Y670" s="485"/>
      <c r="Z670" s="485"/>
    </row>
    <row r="671">
      <c r="A671" s="485"/>
      <c r="B671" s="485"/>
      <c r="C671" s="485"/>
      <c r="D671" s="485"/>
      <c r="E671" s="485"/>
      <c r="F671" s="485"/>
      <c r="G671" s="485"/>
      <c r="H671" s="485"/>
      <c r="I671" s="485"/>
      <c r="J671" s="485"/>
      <c r="K671" s="485"/>
      <c r="L671" s="485"/>
      <c r="M671" s="485"/>
      <c r="N671" s="485"/>
      <c r="O671" s="485"/>
      <c r="P671" s="485"/>
      <c r="Q671" s="485"/>
      <c r="R671" s="485"/>
      <c r="S671" s="485"/>
      <c r="T671" s="485"/>
      <c r="U671" s="485"/>
      <c r="V671" s="485"/>
      <c r="W671" s="485"/>
      <c r="X671" s="485"/>
      <c r="Y671" s="485"/>
      <c r="Z671" s="485"/>
    </row>
    <row r="672">
      <c r="A672" s="485"/>
      <c r="B672" s="485"/>
      <c r="C672" s="485"/>
      <c r="D672" s="485"/>
      <c r="E672" s="485"/>
      <c r="F672" s="485"/>
      <c r="G672" s="485"/>
      <c r="H672" s="485"/>
      <c r="I672" s="485"/>
      <c r="J672" s="485"/>
      <c r="K672" s="485"/>
      <c r="L672" s="485"/>
      <c r="M672" s="485"/>
      <c r="N672" s="485"/>
      <c r="O672" s="485"/>
      <c r="P672" s="485"/>
      <c r="Q672" s="485"/>
      <c r="R672" s="485"/>
      <c r="S672" s="485"/>
      <c r="T672" s="485"/>
      <c r="U672" s="485"/>
      <c r="V672" s="485"/>
      <c r="W672" s="485"/>
      <c r="X672" s="485"/>
      <c r="Y672" s="485"/>
      <c r="Z672" s="485"/>
    </row>
    <row r="673">
      <c r="A673" s="485"/>
      <c r="B673" s="485"/>
      <c r="C673" s="485"/>
      <c r="D673" s="485"/>
      <c r="E673" s="485"/>
      <c r="F673" s="485"/>
      <c r="G673" s="485"/>
      <c r="H673" s="485"/>
      <c r="I673" s="485"/>
      <c r="J673" s="485"/>
      <c r="K673" s="485"/>
      <c r="L673" s="485"/>
      <c r="M673" s="485"/>
      <c r="N673" s="485"/>
      <c r="O673" s="485"/>
      <c r="P673" s="485"/>
      <c r="Q673" s="485"/>
      <c r="R673" s="485"/>
      <c r="S673" s="485"/>
      <c r="T673" s="485"/>
      <c r="U673" s="485"/>
      <c r="V673" s="485"/>
      <c r="W673" s="485"/>
      <c r="X673" s="485"/>
      <c r="Y673" s="485"/>
      <c r="Z673" s="485"/>
    </row>
    <row r="674">
      <c r="A674" s="485"/>
      <c r="B674" s="485"/>
      <c r="C674" s="485"/>
      <c r="D674" s="485"/>
      <c r="E674" s="485"/>
      <c r="F674" s="485"/>
      <c r="G674" s="485"/>
      <c r="H674" s="485"/>
      <c r="I674" s="485"/>
      <c r="J674" s="485"/>
      <c r="K674" s="485"/>
      <c r="L674" s="485"/>
      <c r="M674" s="485"/>
      <c r="N674" s="485"/>
      <c r="O674" s="485"/>
      <c r="P674" s="485"/>
      <c r="Q674" s="485"/>
      <c r="R674" s="485"/>
      <c r="S674" s="485"/>
      <c r="T674" s="485"/>
      <c r="U674" s="485"/>
      <c r="V674" s="485"/>
      <c r="W674" s="485"/>
      <c r="X674" s="485"/>
      <c r="Y674" s="485"/>
      <c r="Z674" s="485"/>
    </row>
    <row r="675">
      <c r="A675" s="485"/>
      <c r="B675" s="485"/>
      <c r="C675" s="485"/>
      <c r="D675" s="485"/>
      <c r="E675" s="485"/>
      <c r="F675" s="485"/>
      <c r="G675" s="485"/>
      <c r="H675" s="485"/>
      <c r="I675" s="485"/>
      <c r="J675" s="485"/>
      <c r="K675" s="485"/>
      <c r="L675" s="485"/>
      <c r="M675" s="485"/>
      <c r="N675" s="485"/>
      <c r="O675" s="485"/>
      <c r="P675" s="485"/>
      <c r="Q675" s="485"/>
      <c r="R675" s="485"/>
      <c r="S675" s="485"/>
      <c r="T675" s="485"/>
      <c r="U675" s="485"/>
      <c r="V675" s="485"/>
      <c r="W675" s="485"/>
      <c r="X675" s="485"/>
      <c r="Y675" s="485"/>
      <c r="Z675" s="485"/>
    </row>
    <row r="676">
      <c r="A676" s="485"/>
      <c r="B676" s="485"/>
      <c r="C676" s="485"/>
      <c r="D676" s="485"/>
      <c r="E676" s="485"/>
      <c r="F676" s="485"/>
      <c r="G676" s="485"/>
      <c r="H676" s="485"/>
      <c r="I676" s="485"/>
      <c r="J676" s="485"/>
      <c r="K676" s="485"/>
      <c r="L676" s="485"/>
      <c r="M676" s="485"/>
      <c r="N676" s="485"/>
      <c r="O676" s="485"/>
      <c r="P676" s="485"/>
      <c r="Q676" s="485"/>
      <c r="R676" s="485"/>
      <c r="S676" s="485"/>
      <c r="T676" s="485"/>
      <c r="U676" s="485"/>
      <c r="V676" s="485"/>
      <c r="W676" s="485"/>
      <c r="X676" s="485"/>
      <c r="Y676" s="485"/>
      <c r="Z676" s="485"/>
    </row>
    <row r="677">
      <c r="A677" s="485"/>
      <c r="B677" s="485"/>
      <c r="C677" s="485"/>
      <c r="D677" s="485"/>
      <c r="E677" s="485"/>
      <c r="F677" s="485"/>
      <c r="G677" s="485"/>
      <c r="H677" s="485"/>
      <c r="I677" s="485"/>
      <c r="J677" s="485"/>
      <c r="K677" s="485"/>
      <c r="L677" s="485"/>
      <c r="M677" s="485"/>
      <c r="N677" s="485"/>
      <c r="O677" s="485"/>
      <c r="P677" s="485"/>
      <c r="Q677" s="485"/>
      <c r="R677" s="485"/>
      <c r="S677" s="485"/>
      <c r="T677" s="485"/>
      <c r="U677" s="485"/>
      <c r="V677" s="485"/>
      <c r="W677" s="485"/>
      <c r="X677" s="485"/>
      <c r="Y677" s="485"/>
      <c r="Z677" s="485"/>
    </row>
    <row r="678">
      <c r="A678" s="485"/>
      <c r="B678" s="485"/>
      <c r="C678" s="485"/>
      <c r="D678" s="485"/>
      <c r="E678" s="485"/>
      <c r="F678" s="485"/>
      <c r="G678" s="485"/>
      <c r="H678" s="485"/>
      <c r="I678" s="485"/>
      <c r="J678" s="485"/>
      <c r="K678" s="485"/>
      <c r="L678" s="485"/>
      <c r="M678" s="485"/>
      <c r="N678" s="485"/>
      <c r="O678" s="485"/>
      <c r="P678" s="485"/>
      <c r="Q678" s="485"/>
      <c r="R678" s="485"/>
      <c r="S678" s="485"/>
      <c r="T678" s="485"/>
      <c r="U678" s="485"/>
      <c r="V678" s="485"/>
      <c r="W678" s="485"/>
      <c r="X678" s="485"/>
      <c r="Y678" s="485"/>
      <c r="Z678" s="485"/>
    </row>
    <row r="679">
      <c r="A679" s="485"/>
      <c r="B679" s="485"/>
      <c r="C679" s="485"/>
      <c r="D679" s="485"/>
      <c r="E679" s="485"/>
      <c r="F679" s="485"/>
      <c r="G679" s="485"/>
      <c r="H679" s="485"/>
      <c r="I679" s="485"/>
      <c r="J679" s="485"/>
      <c r="K679" s="485"/>
      <c r="L679" s="485"/>
      <c r="M679" s="485"/>
      <c r="N679" s="485"/>
      <c r="O679" s="485"/>
      <c r="P679" s="485"/>
      <c r="Q679" s="485"/>
      <c r="R679" s="485"/>
      <c r="S679" s="485"/>
      <c r="T679" s="485"/>
      <c r="U679" s="485"/>
      <c r="V679" s="485"/>
      <c r="W679" s="485"/>
      <c r="X679" s="485"/>
      <c r="Y679" s="485"/>
      <c r="Z679" s="485"/>
    </row>
    <row r="680">
      <c r="A680" s="485"/>
      <c r="B680" s="485"/>
      <c r="C680" s="485"/>
      <c r="D680" s="485"/>
      <c r="E680" s="485"/>
      <c r="F680" s="485"/>
      <c r="G680" s="485"/>
      <c r="H680" s="485"/>
      <c r="I680" s="485"/>
      <c r="J680" s="485"/>
      <c r="K680" s="485"/>
      <c r="L680" s="485"/>
      <c r="M680" s="485"/>
      <c r="N680" s="485"/>
      <c r="O680" s="485"/>
      <c r="P680" s="485"/>
      <c r="Q680" s="485"/>
      <c r="R680" s="485"/>
      <c r="S680" s="485"/>
      <c r="T680" s="485"/>
      <c r="U680" s="485"/>
      <c r="V680" s="485"/>
      <c r="W680" s="485"/>
      <c r="X680" s="485"/>
      <c r="Y680" s="485"/>
      <c r="Z680" s="485"/>
    </row>
    <row r="681">
      <c r="A681" s="485"/>
      <c r="B681" s="485"/>
      <c r="C681" s="485"/>
      <c r="D681" s="485"/>
      <c r="E681" s="485"/>
      <c r="F681" s="485"/>
      <c r="G681" s="485"/>
      <c r="H681" s="485"/>
      <c r="I681" s="485"/>
      <c r="J681" s="485"/>
      <c r="K681" s="485"/>
      <c r="L681" s="485"/>
      <c r="M681" s="485"/>
      <c r="N681" s="485"/>
      <c r="O681" s="485"/>
      <c r="P681" s="485"/>
      <c r="Q681" s="485"/>
      <c r="R681" s="485"/>
      <c r="S681" s="485"/>
      <c r="T681" s="485"/>
      <c r="U681" s="485"/>
      <c r="V681" s="485"/>
      <c r="W681" s="485"/>
      <c r="X681" s="485"/>
      <c r="Y681" s="485"/>
      <c r="Z681" s="485"/>
    </row>
    <row r="682">
      <c r="A682" s="485"/>
      <c r="B682" s="485"/>
      <c r="C682" s="485"/>
      <c r="D682" s="485"/>
      <c r="E682" s="485"/>
      <c r="F682" s="485"/>
      <c r="G682" s="485"/>
      <c r="H682" s="485"/>
      <c r="I682" s="485"/>
      <c r="J682" s="485"/>
      <c r="K682" s="485"/>
      <c r="L682" s="485"/>
      <c r="M682" s="485"/>
      <c r="N682" s="485"/>
      <c r="O682" s="485"/>
      <c r="P682" s="485"/>
      <c r="Q682" s="485"/>
      <c r="R682" s="485"/>
      <c r="S682" s="485"/>
      <c r="T682" s="485"/>
      <c r="U682" s="485"/>
      <c r="V682" s="485"/>
      <c r="W682" s="485"/>
      <c r="X682" s="485"/>
      <c r="Y682" s="485"/>
      <c r="Z682" s="485"/>
    </row>
    <row r="683">
      <c r="A683" s="485"/>
      <c r="B683" s="485"/>
      <c r="C683" s="485"/>
      <c r="D683" s="485"/>
      <c r="E683" s="485"/>
      <c r="F683" s="485"/>
      <c r="G683" s="485"/>
      <c r="H683" s="485"/>
      <c r="I683" s="485"/>
      <c r="J683" s="485"/>
      <c r="K683" s="485"/>
      <c r="L683" s="485"/>
      <c r="M683" s="485"/>
      <c r="N683" s="485"/>
      <c r="O683" s="485"/>
      <c r="P683" s="485"/>
      <c r="Q683" s="485"/>
      <c r="R683" s="485"/>
      <c r="S683" s="485"/>
      <c r="T683" s="485"/>
      <c r="U683" s="485"/>
      <c r="V683" s="485"/>
      <c r="W683" s="485"/>
      <c r="X683" s="485"/>
      <c r="Y683" s="485"/>
      <c r="Z683" s="485"/>
    </row>
    <row r="684">
      <c r="A684" s="485"/>
      <c r="B684" s="485"/>
      <c r="C684" s="485"/>
      <c r="D684" s="485"/>
      <c r="E684" s="485"/>
      <c r="F684" s="485"/>
      <c r="G684" s="485"/>
      <c r="H684" s="485"/>
      <c r="I684" s="485"/>
      <c r="J684" s="485"/>
      <c r="K684" s="485"/>
      <c r="L684" s="485"/>
      <c r="M684" s="485"/>
      <c r="N684" s="485"/>
      <c r="O684" s="485"/>
      <c r="P684" s="485"/>
      <c r="Q684" s="485"/>
      <c r="R684" s="485"/>
      <c r="S684" s="485"/>
      <c r="T684" s="485"/>
      <c r="U684" s="485"/>
      <c r="V684" s="485"/>
      <c r="W684" s="485"/>
      <c r="X684" s="485"/>
      <c r="Y684" s="485"/>
      <c r="Z684" s="485"/>
    </row>
    <row r="685">
      <c r="A685" s="485"/>
      <c r="B685" s="485"/>
      <c r="C685" s="485"/>
      <c r="D685" s="485"/>
      <c r="E685" s="485"/>
      <c r="F685" s="485"/>
      <c r="G685" s="485"/>
      <c r="H685" s="485"/>
      <c r="I685" s="485"/>
      <c r="J685" s="485"/>
      <c r="K685" s="485"/>
      <c r="L685" s="485"/>
      <c r="M685" s="485"/>
      <c r="N685" s="485"/>
      <c r="O685" s="485"/>
      <c r="P685" s="485"/>
      <c r="Q685" s="485"/>
      <c r="R685" s="485"/>
      <c r="S685" s="485"/>
      <c r="T685" s="485"/>
      <c r="U685" s="485"/>
      <c r="V685" s="485"/>
      <c r="W685" s="485"/>
      <c r="X685" s="485"/>
      <c r="Y685" s="485"/>
      <c r="Z685" s="485"/>
    </row>
    <row r="686">
      <c r="A686" s="485"/>
      <c r="B686" s="485"/>
      <c r="C686" s="485"/>
      <c r="D686" s="485"/>
      <c r="E686" s="485"/>
      <c r="F686" s="485"/>
      <c r="G686" s="485"/>
      <c r="H686" s="485"/>
      <c r="I686" s="485"/>
      <c r="J686" s="485"/>
      <c r="K686" s="485"/>
      <c r="L686" s="485"/>
      <c r="M686" s="485"/>
      <c r="N686" s="485"/>
      <c r="O686" s="485"/>
      <c r="P686" s="485"/>
      <c r="Q686" s="485"/>
      <c r="R686" s="485"/>
      <c r="S686" s="485"/>
      <c r="T686" s="485"/>
      <c r="U686" s="485"/>
      <c r="V686" s="485"/>
      <c r="W686" s="485"/>
      <c r="X686" s="485"/>
      <c r="Y686" s="485"/>
      <c r="Z686" s="485"/>
    </row>
    <row r="687">
      <c r="A687" s="485"/>
      <c r="B687" s="485"/>
      <c r="C687" s="485"/>
      <c r="D687" s="485"/>
      <c r="E687" s="485"/>
      <c r="F687" s="485"/>
      <c r="G687" s="485"/>
      <c r="H687" s="485"/>
      <c r="I687" s="485"/>
      <c r="J687" s="485"/>
      <c r="K687" s="485"/>
      <c r="L687" s="485"/>
      <c r="M687" s="485"/>
      <c r="N687" s="485"/>
      <c r="O687" s="485"/>
      <c r="P687" s="485"/>
      <c r="Q687" s="485"/>
      <c r="R687" s="485"/>
      <c r="S687" s="485"/>
      <c r="T687" s="485"/>
      <c r="U687" s="485"/>
      <c r="V687" s="485"/>
      <c r="W687" s="485"/>
      <c r="X687" s="485"/>
      <c r="Y687" s="485"/>
      <c r="Z687" s="485"/>
    </row>
    <row r="688">
      <c r="A688" s="485"/>
      <c r="B688" s="485"/>
      <c r="C688" s="485"/>
      <c r="D688" s="485"/>
      <c r="E688" s="485"/>
      <c r="F688" s="485"/>
      <c r="G688" s="485"/>
      <c r="H688" s="485"/>
      <c r="I688" s="485"/>
      <c r="J688" s="485"/>
      <c r="K688" s="485"/>
      <c r="L688" s="485"/>
      <c r="M688" s="485"/>
      <c r="N688" s="485"/>
      <c r="O688" s="485"/>
      <c r="P688" s="485"/>
      <c r="Q688" s="485"/>
      <c r="R688" s="485"/>
      <c r="S688" s="485"/>
      <c r="T688" s="485"/>
      <c r="U688" s="485"/>
      <c r="V688" s="485"/>
      <c r="W688" s="485"/>
      <c r="X688" s="485"/>
      <c r="Y688" s="485"/>
      <c r="Z688" s="485"/>
    </row>
    <row r="689">
      <c r="A689" s="485"/>
      <c r="B689" s="485"/>
      <c r="C689" s="485"/>
      <c r="D689" s="485"/>
      <c r="E689" s="485"/>
      <c r="F689" s="485"/>
      <c r="G689" s="485"/>
      <c r="H689" s="485"/>
      <c r="I689" s="485"/>
      <c r="J689" s="485"/>
      <c r="K689" s="485"/>
      <c r="L689" s="485"/>
      <c r="M689" s="485"/>
      <c r="N689" s="485"/>
      <c r="O689" s="485"/>
      <c r="P689" s="485"/>
      <c r="Q689" s="485"/>
      <c r="R689" s="485"/>
      <c r="S689" s="485"/>
      <c r="T689" s="485"/>
      <c r="U689" s="485"/>
      <c r="V689" s="485"/>
      <c r="W689" s="485"/>
      <c r="X689" s="485"/>
      <c r="Y689" s="485"/>
      <c r="Z689" s="485"/>
    </row>
    <row r="690">
      <c r="A690" s="485"/>
      <c r="B690" s="485"/>
      <c r="C690" s="485"/>
      <c r="D690" s="485"/>
      <c r="E690" s="485"/>
      <c r="F690" s="485"/>
      <c r="G690" s="485"/>
      <c r="H690" s="485"/>
      <c r="I690" s="485"/>
      <c r="J690" s="485"/>
      <c r="K690" s="485"/>
      <c r="L690" s="485"/>
      <c r="M690" s="485"/>
      <c r="N690" s="485"/>
      <c r="O690" s="485"/>
      <c r="P690" s="485"/>
      <c r="Q690" s="485"/>
      <c r="R690" s="485"/>
      <c r="S690" s="485"/>
      <c r="T690" s="485"/>
      <c r="U690" s="485"/>
      <c r="V690" s="485"/>
      <c r="W690" s="485"/>
      <c r="X690" s="485"/>
      <c r="Y690" s="485"/>
      <c r="Z690" s="485"/>
    </row>
    <row r="691">
      <c r="A691" s="485"/>
      <c r="B691" s="485"/>
      <c r="C691" s="485"/>
      <c r="D691" s="485"/>
      <c r="E691" s="485"/>
      <c r="F691" s="485"/>
      <c r="G691" s="485"/>
      <c r="H691" s="485"/>
      <c r="I691" s="485"/>
      <c r="J691" s="485"/>
      <c r="K691" s="485"/>
      <c r="L691" s="485"/>
      <c r="M691" s="485"/>
      <c r="N691" s="485"/>
      <c r="O691" s="485"/>
      <c r="P691" s="485"/>
      <c r="Q691" s="485"/>
      <c r="R691" s="485"/>
      <c r="S691" s="485"/>
      <c r="T691" s="485"/>
      <c r="U691" s="485"/>
      <c r="V691" s="485"/>
      <c r="W691" s="485"/>
      <c r="X691" s="485"/>
      <c r="Y691" s="485"/>
      <c r="Z691" s="485"/>
    </row>
    <row r="692">
      <c r="A692" s="485"/>
      <c r="B692" s="485"/>
      <c r="C692" s="485"/>
      <c r="D692" s="485"/>
      <c r="E692" s="485"/>
      <c r="F692" s="485"/>
      <c r="G692" s="485"/>
      <c r="H692" s="485"/>
      <c r="I692" s="485"/>
      <c r="J692" s="485"/>
      <c r="K692" s="485"/>
      <c r="L692" s="485"/>
      <c r="M692" s="485"/>
      <c r="N692" s="485"/>
      <c r="O692" s="485"/>
      <c r="P692" s="485"/>
      <c r="Q692" s="485"/>
      <c r="R692" s="485"/>
      <c r="S692" s="485"/>
      <c r="T692" s="485"/>
      <c r="U692" s="485"/>
      <c r="V692" s="485"/>
      <c r="W692" s="485"/>
      <c r="X692" s="485"/>
      <c r="Y692" s="485"/>
      <c r="Z692" s="485"/>
    </row>
    <row r="693">
      <c r="A693" s="485"/>
      <c r="B693" s="485"/>
      <c r="C693" s="485"/>
      <c r="D693" s="485"/>
      <c r="E693" s="485"/>
      <c r="F693" s="485"/>
      <c r="G693" s="485"/>
      <c r="H693" s="485"/>
      <c r="I693" s="485"/>
      <c r="J693" s="485"/>
      <c r="K693" s="485"/>
      <c r="L693" s="485"/>
      <c r="M693" s="485"/>
      <c r="N693" s="485"/>
      <c r="O693" s="485"/>
      <c r="P693" s="485"/>
      <c r="Q693" s="485"/>
      <c r="R693" s="485"/>
      <c r="S693" s="485"/>
      <c r="T693" s="485"/>
      <c r="U693" s="485"/>
      <c r="V693" s="485"/>
      <c r="W693" s="485"/>
      <c r="X693" s="485"/>
      <c r="Y693" s="485"/>
      <c r="Z693" s="485"/>
    </row>
    <row r="694">
      <c r="A694" s="485"/>
      <c r="B694" s="485"/>
      <c r="C694" s="485"/>
      <c r="D694" s="485"/>
      <c r="E694" s="485"/>
      <c r="F694" s="485"/>
      <c r="G694" s="485"/>
      <c r="H694" s="485"/>
      <c r="I694" s="485"/>
      <c r="J694" s="485"/>
      <c r="K694" s="485"/>
      <c r="L694" s="485"/>
      <c r="M694" s="485"/>
      <c r="N694" s="485"/>
      <c r="O694" s="485"/>
      <c r="P694" s="485"/>
      <c r="Q694" s="485"/>
      <c r="R694" s="485"/>
      <c r="S694" s="485"/>
      <c r="T694" s="485"/>
      <c r="U694" s="485"/>
      <c r="V694" s="485"/>
      <c r="W694" s="485"/>
      <c r="X694" s="485"/>
      <c r="Y694" s="485"/>
      <c r="Z694" s="485"/>
    </row>
    <row r="695">
      <c r="A695" s="485"/>
      <c r="B695" s="485"/>
      <c r="C695" s="485"/>
      <c r="D695" s="485"/>
      <c r="E695" s="485"/>
      <c r="F695" s="485"/>
      <c r="G695" s="485"/>
      <c r="H695" s="485"/>
      <c r="I695" s="485"/>
      <c r="J695" s="485"/>
      <c r="K695" s="485"/>
      <c r="L695" s="485"/>
      <c r="M695" s="485"/>
      <c r="N695" s="485"/>
      <c r="O695" s="485"/>
      <c r="P695" s="485"/>
      <c r="Q695" s="485"/>
      <c r="R695" s="485"/>
      <c r="S695" s="485"/>
      <c r="T695" s="485"/>
      <c r="U695" s="485"/>
      <c r="V695" s="485"/>
      <c r="W695" s="485"/>
      <c r="X695" s="485"/>
      <c r="Y695" s="485"/>
      <c r="Z695" s="485"/>
    </row>
    <row r="696">
      <c r="A696" s="485"/>
      <c r="B696" s="485"/>
      <c r="C696" s="485"/>
      <c r="D696" s="485"/>
      <c r="E696" s="485"/>
      <c r="F696" s="485"/>
      <c r="G696" s="485"/>
      <c r="H696" s="485"/>
      <c r="I696" s="485"/>
      <c r="J696" s="485"/>
      <c r="K696" s="485"/>
      <c r="L696" s="485"/>
      <c r="M696" s="485"/>
      <c r="N696" s="485"/>
      <c r="O696" s="485"/>
      <c r="P696" s="485"/>
      <c r="Q696" s="485"/>
      <c r="R696" s="485"/>
      <c r="S696" s="485"/>
      <c r="T696" s="485"/>
      <c r="U696" s="485"/>
      <c r="V696" s="485"/>
      <c r="W696" s="485"/>
      <c r="X696" s="485"/>
      <c r="Y696" s="485"/>
      <c r="Z696" s="485"/>
    </row>
    <row r="697">
      <c r="A697" s="485"/>
      <c r="B697" s="485"/>
      <c r="C697" s="485"/>
      <c r="D697" s="485"/>
      <c r="E697" s="485"/>
      <c r="F697" s="485"/>
      <c r="G697" s="485"/>
      <c r="H697" s="485"/>
      <c r="I697" s="485"/>
      <c r="J697" s="485"/>
      <c r="K697" s="485"/>
      <c r="L697" s="485"/>
      <c r="M697" s="485"/>
      <c r="N697" s="485"/>
      <c r="O697" s="485"/>
      <c r="P697" s="485"/>
      <c r="Q697" s="485"/>
      <c r="R697" s="485"/>
      <c r="S697" s="485"/>
      <c r="T697" s="485"/>
      <c r="U697" s="485"/>
      <c r="V697" s="485"/>
      <c r="W697" s="485"/>
      <c r="X697" s="485"/>
      <c r="Y697" s="485"/>
      <c r="Z697" s="485"/>
    </row>
    <row r="698">
      <c r="A698" s="485"/>
      <c r="B698" s="485"/>
      <c r="C698" s="485"/>
      <c r="D698" s="485"/>
      <c r="E698" s="485"/>
      <c r="F698" s="485"/>
      <c r="G698" s="485"/>
      <c r="H698" s="485"/>
      <c r="I698" s="485"/>
      <c r="J698" s="485"/>
      <c r="K698" s="485"/>
      <c r="L698" s="485"/>
      <c r="M698" s="485"/>
      <c r="N698" s="485"/>
      <c r="O698" s="485"/>
      <c r="P698" s="485"/>
      <c r="Q698" s="485"/>
      <c r="R698" s="485"/>
      <c r="S698" s="485"/>
      <c r="T698" s="485"/>
      <c r="U698" s="485"/>
      <c r="V698" s="485"/>
      <c r="W698" s="485"/>
      <c r="X698" s="485"/>
      <c r="Y698" s="485"/>
      <c r="Z698" s="485"/>
    </row>
    <row r="699">
      <c r="A699" s="485"/>
      <c r="B699" s="485"/>
      <c r="C699" s="485"/>
      <c r="D699" s="485"/>
      <c r="E699" s="485"/>
      <c r="F699" s="485"/>
      <c r="G699" s="485"/>
      <c r="H699" s="485"/>
      <c r="I699" s="485"/>
      <c r="J699" s="485"/>
      <c r="K699" s="485"/>
      <c r="L699" s="485"/>
      <c r="M699" s="485"/>
      <c r="N699" s="485"/>
      <c r="O699" s="485"/>
      <c r="P699" s="485"/>
      <c r="Q699" s="485"/>
      <c r="R699" s="485"/>
      <c r="S699" s="485"/>
      <c r="T699" s="485"/>
      <c r="U699" s="485"/>
      <c r="V699" s="485"/>
      <c r="W699" s="485"/>
      <c r="X699" s="485"/>
      <c r="Y699" s="485"/>
      <c r="Z699" s="485"/>
    </row>
    <row r="700">
      <c r="A700" s="485"/>
      <c r="B700" s="485"/>
      <c r="C700" s="485"/>
      <c r="D700" s="485"/>
      <c r="E700" s="485"/>
      <c r="F700" s="485"/>
      <c r="G700" s="485"/>
      <c r="H700" s="485"/>
      <c r="I700" s="485"/>
      <c r="J700" s="485"/>
      <c r="K700" s="485"/>
      <c r="L700" s="485"/>
      <c r="M700" s="485"/>
      <c r="N700" s="485"/>
      <c r="O700" s="485"/>
      <c r="P700" s="485"/>
      <c r="Q700" s="485"/>
      <c r="R700" s="485"/>
      <c r="S700" s="485"/>
      <c r="T700" s="485"/>
      <c r="U700" s="485"/>
      <c r="V700" s="485"/>
      <c r="W700" s="485"/>
      <c r="X700" s="485"/>
      <c r="Y700" s="485"/>
      <c r="Z700" s="485"/>
    </row>
    <row r="701">
      <c r="A701" s="485"/>
      <c r="B701" s="485"/>
      <c r="C701" s="485"/>
      <c r="D701" s="485"/>
      <c r="E701" s="485"/>
      <c r="F701" s="485"/>
      <c r="G701" s="485"/>
      <c r="H701" s="485"/>
      <c r="I701" s="485"/>
      <c r="J701" s="485"/>
      <c r="K701" s="485"/>
      <c r="L701" s="485"/>
      <c r="M701" s="485"/>
      <c r="N701" s="485"/>
      <c r="O701" s="485"/>
      <c r="P701" s="485"/>
      <c r="Q701" s="485"/>
      <c r="R701" s="485"/>
      <c r="S701" s="485"/>
      <c r="T701" s="485"/>
      <c r="U701" s="485"/>
      <c r="V701" s="485"/>
      <c r="W701" s="485"/>
      <c r="X701" s="485"/>
      <c r="Y701" s="485"/>
      <c r="Z701" s="485"/>
    </row>
    <row r="702">
      <c r="A702" s="485"/>
      <c r="B702" s="485"/>
      <c r="C702" s="485"/>
      <c r="D702" s="485"/>
      <c r="E702" s="485"/>
      <c r="F702" s="485"/>
      <c r="G702" s="485"/>
      <c r="H702" s="485"/>
      <c r="I702" s="485"/>
      <c r="J702" s="485"/>
      <c r="K702" s="485"/>
      <c r="L702" s="485"/>
      <c r="M702" s="485"/>
      <c r="N702" s="485"/>
      <c r="O702" s="485"/>
      <c r="P702" s="485"/>
      <c r="Q702" s="485"/>
      <c r="R702" s="485"/>
      <c r="S702" s="485"/>
      <c r="T702" s="485"/>
      <c r="U702" s="485"/>
      <c r="V702" s="485"/>
      <c r="W702" s="485"/>
      <c r="X702" s="485"/>
      <c r="Y702" s="485"/>
      <c r="Z702" s="485"/>
    </row>
    <row r="703">
      <c r="A703" s="485"/>
      <c r="B703" s="485"/>
      <c r="C703" s="485"/>
      <c r="D703" s="485"/>
      <c r="E703" s="485"/>
      <c r="F703" s="485"/>
      <c r="G703" s="485"/>
      <c r="H703" s="485"/>
      <c r="I703" s="485"/>
      <c r="J703" s="485"/>
      <c r="K703" s="485"/>
      <c r="L703" s="485"/>
      <c r="M703" s="485"/>
      <c r="N703" s="485"/>
      <c r="O703" s="485"/>
      <c r="P703" s="485"/>
      <c r="Q703" s="485"/>
      <c r="R703" s="485"/>
      <c r="S703" s="485"/>
      <c r="T703" s="485"/>
      <c r="U703" s="485"/>
      <c r="V703" s="485"/>
      <c r="W703" s="485"/>
      <c r="X703" s="485"/>
      <c r="Y703" s="485"/>
      <c r="Z703" s="485"/>
    </row>
    <row r="704">
      <c r="A704" s="485"/>
      <c r="B704" s="485"/>
      <c r="C704" s="485"/>
      <c r="D704" s="485"/>
      <c r="E704" s="485"/>
      <c r="F704" s="485"/>
      <c r="G704" s="485"/>
      <c r="H704" s="485"/>
      <c r="I704" s="485"/>
      <c r="J704" s="485"/>
      <c r="K704" s="485"/>
      <c r="L704" s="485"/>
      <c r="M704" s="485"/>
      <c r="N704" s="485"/>
      <c r="O704" s="485"/>
      <c r="P704" s="485"/>
      <c r="Q704" s="485"/>
      <c r="R704" s="485"/>
      <c r="S704" s="485"/>
      <c r="T704" s="485"/>
      <c r="U704" s="485"/>
      <c r="V704" s="485"/>
      <c r="W704" s="485"/>
      <c r="X704" s="485"/>
      <c r="Y704" s="485"/>
      <c r="Z704" s="485"/>
    </row>
    <row r="705">
      <c r="A705" s="485"/>
      <c r="B705" s="485"/>
      <c r="C705" s="485"/>
      <c r="D705" s="485"/>
      <c r="E705" s="485"/>
      <c r="F705" s="485"/>
      <c r="G705" s="485"/>
      <c r="H705" s="485"/>
      <c r="I705" s="485"/>
      <c r="J705" s="485"/>
      <c r="K705" s="485"/>
      <c r="L705" s="485"/>
      <c r="M705" s="485"/>
      <c r="N705" s="485"/>
      <c r="O705" s="485"/>
      <c r="P705" s="485"/>
      <c r="Q705" s="485"/>
      <c r="R705" s="485"/>
      <c r="S705" s="485"/>
      <c r="T705" s="485"/>
      <c r="U705" s="485"/>
      <c r="V705" s="485"/>
      <c r="W705" s="485"/>
      <c r="X705" s="485"/>
      <c r="Y705" s="485"/>
      <c r="Z705" s="485"/>
    </row>
    <row r="706">
      <c r="A706" s="485"/>
      <c r="B706" s="485"/>
      <c r="C706" s="485"/>
      <c r="D706" s="485"/>
      <c r="E706" s="485"/>
      <c r="F706" s="485"/>
      <c r="G706" s="485"/>
      <c r="H706" s="485"/>
      <c r="I706" s="485"/>
      <c r="J706" s="485"/>
      <c r="K706" s="485"/>
      <c r="L706" s="485"/>
      <c r="M706" s="485"/>
      <c r="N706" s="485"/>
      <c r="O706" s="485"/>
      <c r="P706" s="485"/>
      <c r="Q706" s="485"/>
      <c r="R706" s="485"/>
      <c r="S706" s="485"/>
      <c r="T706" s="485"/>
      <c r="U706" s="485"/>
      <c r="V706" s="485"/>
      <c r="W706" s="485"/>
      <c r="X706" s="485"/>
      <c r="Y706" s="485"/>
      <c r="Z706" s="485"/>
    </row>
    <row r="707">
      <c r="A707" s="485"/>
      <c r="B707" s="485"/>
      <c r="C707" s="485"/>
      <c r="D707" s="485"/>
      <c r="E707" s="485"/>
      <c r="F707" s="485"/>
      <c r="G707" s="485"/>
      <c r="H707" s="485"/>
      <c r="I707" s="485"/>
      <c r="J707" s="485"/>
      <c r="K707" s="485"/>
      <c r="L707" s="485"/>
      <c r="M707" s="485"/>
      <c r="N707" s="485"/>
      <c r="O707" s="485"/>
      <c r="P707" s="485"/>
      <c r="Q707" s="485"/>
      <c r="R707" s="485"/>
      <c r="S707" s="485"/>
      <c r="T707" s="485"/>
      <c r="U707" s="485"/>
      <c r="V707" s="485"/>
      <c r="W707" s="485"/>
      <c r="X707" s="485"/>
      <c r="Y707" s="485"/>
      <c r="Z707" s="485"/>
    </row>
    <row r="708">
      <c r="A708" s="485"/>
      <c r="B708" s="485"/>
      <c r="C708" s="485"/>
      <c r="D708" s="485"/>
      <c r="E708" s="485"/>
      <c r="F708" s="485"/>
      <c r="G708" s="485"/>
      <c r="H708" s="485"/>
      <c r="I708" s="485"/>
      <c r="J708" s="485"/>
      <c r="K708" s="485"/>
      <c r="L708" s="485"/>
      <c r="M708" s="485"/>
      <c r="N708" s="485"/>
      <c r="O708" s="485"/>
      <c r="P708" s="485"/>
      <c r="Q708" s="485"/>
      <c r="R708" s="485"/>
      <c r="S708" s="485"/>
      <c r="T708" s="485"/>
      <c r="U708" s="485"/>
      <c r="V708" s="485"/>
      <c r="W708" s="485"/>
      <c r="X708" s="485"/>
      <c r="Y708" s="485"/>
      <c r="Z708" s="485"/>
    </row>
    <row r="709">
      <c r="A709" s="485"/>
      <c r="B709" s="485"/>
      <c r="C709" s="485"/>
      <c r="D709" s="485"/>
      <c r="E709" s="485"/>
      <c r="F709" s="485"/>
      <c r="G709" s="485"/>
      <c r="H709" s="485"/>
      <c r="I709" s="485"/>
      <c r="J709" s="485"/>
      <c r="K709" s="485"/>
      <c r="L709" s="485"/>
      <c r="M709" s="485"/>
      <c r="N709" s="485"/>
      <c r="O709" s="485"/>
      <c r="P709" s="485"/>
      <c r="Q709" s="485"/>
      <c r="R709" s="485"/>
      <c r="S709" s="485"/>
      <c r="T709" s="485"/>
      <c r="U709" s="485"/>
      <c r="V709" s="485"/>
      <c r="W709" s="485"/>
      <c r="X709" s="485"/>
      <c r="Y709" s="485"/>
      <c r="Z709" s="485"/>
    </row>
    <row r="710">
      <c r="A710" s="485"/>
      <c r="B710" s="485"/>
      <c r="C710" s="485"/>
      <c r="D710" s="485"/>
      <c r="E710" s="485"/>
      <c r="F710" s="485"/>
      <c r="G710" s="485"/>
      <c r="H710" s="485"/>
      <c r="I710" s="485"/>
      <c r="J710" s="485"/>
      <c r="K710" s="485"/>
      <c r="L710" s="485"/>
      <c r="M710" s="485"/>
      <c r="N710" s="485"/>
      <c r="O710" s="485"/>
      <c r="P710" s="485"/>
      <c r="Q710" s="485"/>
      <c r="R710" s="485"/>
      <c r="S710" s="485"/>
      <c r="T710" s="485"/>
      <c r="U710" s="485"/>
      <c r="V710" s="485"/>
      <c r="W710" s="485"/>
      <c r="X710" s="485"/>
      <c r="Y710" s="485"/>
      <c r="Z710" s="485"/>
    </row>
    <row r="711">
      <c r="A711" s="485"/>
      <c r="B711" s="485"/>
      <c r="C711" s="485"/>
      <c r="D711" s="485"/>
      <c r="E711" s="485"/>
      <c r="F711" s="485"/>
      <c r="G711" s="485"/>
      <c r="H711" s="485"/>
      <c r="I711" s="485"/>
      <c r="J711" s="485"/>
      <c r="K711" s="485"/>
      <c r="L711" s="485"/>
      <c r="M711" s="485"/>
      <c r="N711" s="485"/>
      <c r="O711" s="485"/>
      <c r="P711" s="485"/>
      <c r="Q711" s="485"/>
      <c r="R711" s="485"/>
      <c r="S711" s="485"/>
      <c r="T711" s="485"/>
      <c r="U711" s="485"/>
      <c r="V711" s="485"/>
      <c r="W711" s="485"/>
      <c r="X711" s="485"/>
      <c r="Y711" s="485"/>
      <c r="Z711" s="485"/>
    </row>
    <row r="712">
      <c r="A712" s="485"/>
      <c r="B712" s="485"/>
      <c r="C712" s="485"/>
      <c r="D712" s="485"/>
      <c r="E712" s="485"/>
      <c r="F712" s="485"/>
      <c r="G712" s="485"/>
      <c r="H712" s="485"/>
      <c r="I712" s="485"/>
      <c r="J712" s="485"/>
      <c r="K712" s="485"/>
      <c r="L712" s="485"/>
      <c r="M712" s="485"/>
      <c r="N712" s="485"/>
      <c r="O712" s="485"/>
      <c r="P712" s="485"/>
      <c r="Q712" s="485"/>
      <c r="R712" s="485"/>
      <c r="S712" s="485"/>
      <c r="T712" s="485"/>
      <c r="U712" s="485"/>
      <c r="V712" s="485"/>
      <c r="W712" s="485"/>
      <c r="X712" s="485"/>
      <c r="Y712" s="485"/>
      <c r="Z712" s="485"/>
    </row>
    <row r="713">
      <c r="A713" s="485"/>
      <c r="B713" s="485"/>
      <c r="C713" s="485"/>
      <c r="D713" s="485"/>
      <c r="E713" s="485"/>
      <c r="F713" s="485"/>
      <c r="G713" s="485"/>
      <c r="H713" s="485"/>
      <c r="I713" s="485"/>
      <c r="J713" s="485"/>
      <c r="K713" s="485"/>
      <c r="L713" s="485"/>
      <c r="M713" s="485"/>
      <c r="N713" s="485"/>
      <c r="O713" s="485"/>
      <c r="P713" s="485"/>
      <c r="Q713" s="485"/>
      <c r="R713" s="485"/>
      <c r="S713" s="485"/>
      <c r="T713" s="485"/>
      <c r="U713" s="485"/>
      <c r="V713" s="485"/>
      <c r="W713" s="485"/>
      <c r="X713" s="485"/>
      <c r="Y713" s="485"/>
      <c r="Z713" s="485"/>
    </row>
    <row r="714">
      <c r="A714" s="485"/>
      <c r="B714" s="485"/>
      <c r="C714" s="485"/>
      <c r="D714" s="485"/>
      <c r="E714" s="485"/>
      <c r="F714" s="485"/>
      <c r="G714" s="485"/>
      <c r="H714" s="485"/>
      <c r="I714" s="485"/>
      <c r="J714" s="485"/>
      <c r="K714" s="485"/>
      <c r="L714" s="485"/>
      <c r="M714" s="485"/>
      <c r="N714" s="485"/>
      <c r="O714" s="485"/>
      <c r="P714" s="485"/>
      <c r="Q714" s="485"/>
      <c r="R714" s="485"/>
      <c r="S714" s="485"/>
      <c r="T714" s="485"/>
      <c r="U714" s="485"/>
      <c r="V714" s="485"/>
      <c r="W714" s="485"/>
      <c r="X714" s="485"/>
      <c r="Y714" s="485"/>
      <c r="Z714" s="485"/>
    </row>
    <row r="715">
      <c r="A715" s="485"/>
      <c r="B715" s="485"/>
      <c r="C715" s="485"/>
      <c r="D715" s="485"/>
      <c r="E715" s="485"/>
      <c r="F715" s="485"/>
      <c r="G715" s="485"/>
      <c r="H715" s="485"/>
      <c r="I715" s="485"/>
      <c r="J715" s="485"/>
      <c r="K715" s="485"/>
      <c r="L715" s="485"/>
      <c r="M715" s="485"/>
      <c r="N715" s="485"/>
      <c r="O715" s="485"/>
      <c r="P715" s="485"/>
      <c r="Q715" s="485"/>
      <c r="R715" s="485"/>
      <c r="S715" s="485"/>
      <c r="T715" s="485"/>
      <c r="U715" s="485"/>
      <c r="V715" s="485"/>
      <c r="W715" s="485"/>
      <c r="X715" s="485"/>
      <c r="Y715" s="485"/>
      <c r="Z715" s="485"/>
    </row>
    <row r="716">
      <c r="A716" s="485"/>
      <c r="B716" s="485"/>
      <c r="C716" s="485"/>
      <c r="D716" s="485"/>
      <c r="E716" s="485"/>
      <c r="F716" s="485"/>
      <c r="G716" s="485"/>
      <c r="H716" s="485"/>
      <c r="I716" s="485"/>
      <c r="J716" s="485"/>
      <c r="K716" s="485"/>
      <c r="L716" s="485"/>
      <c r="M716" s="485"/>
      <c r="N716" s="485"/>
      <c r="O716" s="485"/>
      <c r="P716" s="485"/>
      <c r="Q716" s="485"/>
      <c r="R716" s="485"/>
      <c r="S716" s="485"/>
      <c r="T716" s="485"/>
      <c r="U716" s="485"/>
      <c r="V716" s="485"/>
      <c r="W716" s="485"/>
      <c r="X716" s="485"/>
      <c r="Y716" s="485"/>
      <c r="Z716" s="485"/>
    </row>
    <row r="717">
      <c r="A717" s="485"/>
      <c r="B717" s="485"/>
      <c r="C717" s="485"/>
      <c r="D717" s="485"/>
      <c r="E717" s="485"/>
      <c r="F717" s="485"/>
      <c r="G717" s="485"/>
      <c r="H717" s="485"/>
      <c r="I717" s="485"/>
      <c r="J717" s="485"/>
      <c r="K717" s="485"/>
      <c r="L717" s="485"/>
      <c r="M717" s="485"/>
      <c r="N717" s="485"/>
      <c r="O717" s="485"/>
      <c r="P717" s="485"/>
      <c r="Q717" s="485"/>
      <c r="R717" s="485"/>
      <c r="S717" s="485"/>
      <c r="T717" s="485"/>
      <c r="U717" s="485"/>
      <c r="V717" s="485"/>
      <c r="W717" s="485"/>
      <c r="X717" s="485"/>
      <c r="Y717" s="485"/>
      <c r="Z717" s="485"/>
    </row>
    <row r="718">
      <c r="A718" s="485"/>
      <c r="B718" s="485"/>
      <c r="C718" s="485"/>
      <c r="D718" s="485"/>
      <c r="E718" s="485"/>
      <c r="F718" s="485"/>
      <c r="G718" s="485"/>
      <c r="H718" s="485"/>
      <c r="I718" s="485"/>
      <c r="J718" s="485"/>
      <c r="K718" s="485"/>
      <c r="L718" s="485"/>
      <c r="M718" s="485"/>
      <c r="N718" s="485"/>
      <c r="O718" s="485"/>
      <c r="P718" s="485"/>
      <c r="Q718" s="485"/>
      <c r="R718" s="485"/>
      <c r="S718" s="485"/>
      <c r="T718" s="485"/>
      <c r="U718" s="485"/>
      <c r="V718" s="485"/>
      <c r="W718" s="485"/>
      <c r="X718" s="485"/>
      <c r="Y718" s="485"/>
      <c r="Z718" s="485"/>
    </row>
    <row r="719">
      <c r="A719" s="485"/>
      <c r="B719" s="485"/>
      <c r="C719" s="485"/>
      <c r="D719" s="485"/>
      <c r="E719" s="485"/>
      <c r="F719" s="485"/>
      <c r="G719" s="485"/>
      <c r="H719" s="485"/>
      <c r="I719" s="485"/>
      <c r="J719" s="485"/>
      <c r="K719" s="485"/>
      <c r="L719" s="485"/>
      <c r="M719" s="485"/>
      <c r="N719" s="485"/>
      <c r="O719" s="485"/>
      <c r="P719" s="485"/>
      <c r="Q719" s="485"/>
      <c r="R719" s="485"/>
      <c r="S719" s="485"/>
      <c r="T719" s="485"/>
      <c r="U719" s="485"/>
      <c r="V719" s="485"/>
      <c r="W719" s="485"/>
      <c r="X719" s="485"/>
      <c r="Y719" s="485"/>
      <c r="Z719" s="485"/>
    </row>
    <row r="720">
      <c r="A720" s="485"/>
      <c r="B720" s="485"/>
      <c r="C720" s="485"/>
      <c r="D720" s="485"/>
      <c r="E720" s="485"/>
      <c r="F720" s="485"/>
      <c r="G720" s="485"/>
      <c r="H720" s="485"/>
      <c r="I720" s="485"/>
      <c r="J720" s="485"/>
      <c r="K720" s="485"/>
      <c r="L720" s="485"/>
      <c r="M720" s="485"/>
      <c r="N720" s="485"/>
      <c r="O720" s="485"/>
      <c r="P720" s="485"/>
      <c r="Q720" s="485"/>
      <c r="R720" s="485"/>
      <c r="S720" s="485"/>
      <c r="T720" s="485"/>
      <c r="U720" s="485"/>
      <c r="V720" s="485"/>
      <c r="W720" s="485"/>
      <c r="X720" s="485"/>
      <c r="Y720" s="485"/>
      <c r="Z720" s="485"/>
    </row>
    <row r="721">
      <c r="A721" s="485"/>
      <c r="B721" s="485"/>
      <c r="C721" s="485"/>
      <c r="D721" s="485"/>
      <c r="E721" s="485"/>
      <c r="F721" s="485"/>
      <c r="G721" s="485"/>
      <c r="H721" s="485"/>
      <c r="I721" s="485"/>
      <c r="J721" s="485"/>
      <c r="K721" s="485"/>
      <c r="L721" s="485"/>
      <c r="M721" s="485"/>
      <c r="N721" s="485"/>
      <c r="O721" s="485"/>
      <c r="P721" s="485"/>
      <c r="Q721" s="485"/>
      <c r="R721" s="485"/>
      <c r="S721" s="485"/>
      <c r="T721" s="485"/>
      <c r="U721" s="485"/>
      <c r="V721" s="485"/>
      <c r="W721" s="485"/>
      <c r="X721" s="485"/>
      <c r="Y721" s="485"/>
      <c r="Z721" s="485"/>
    </row>
    <row r="722">
      <c r="A722" s="485"/>
      <c r="B722" s="485"/>
      <c r="C722" s="485"/>
      <c r="D722" s="485"/>
      <c r="E722" s="485"/>
      <c r="F722" s="485"/>
      <c r="G722" s="485"/>
      <c r="H722" s="485"/>
      <c r="I722" s="485"/>
      <c r="J722" s="485"/>
      <c r="K722" s="485"/>
      <c r="L722" s="485"/>
      <c r="M722" s="485"/>
      <c r="N722" s="485"/>
      <c r="O722" s="485"/>
      <c r="P722" s="485"/>
      <c r="Q722" s="485"/>
      <c r="R722" s="485"/>
      <c r="S722" s="485"/>
      <c r="T722" s="485"/>
      <c r="U722" s="485"/>
      <c r="V722" s="485"/>
      <c r="W722" s="485"/>
      <c r="X722" s="485"/>
      <c r="Y722" s="485"/>
      <c r="Z722" s="485"/>
    </row>
    <row r="723">
      <c r="A723" s="485"/>
      <c r="B723" s="485"/>
      <c r="C723" s="485"/>
      <c r="D723" s="485"/>
      <c r="E723" s="485"/>
      <c r="F723" s="485"/>
      <c r="G723" s="485"/>
      <c r="H723" s="485"/>
      <c r="I723" s="485"/>
      <c r="J723" s="485"/>
      <c r="K723" s="485"/>
      <c r="L723" s="485"/>
      <c r="M723" s="485"/>
      <c r="N723" s="485"/>
      <c r="O723" s="485"/>
      <c r="P723" s="485"/>
      <c r="Q723" s="485"/>
      <c r="R723" s="485"/>
      <c r="S723" s="485"/>
      <c r="T723" s="485"/>
      <c r="U723" s="485"/>
      <c r="V723" s="485"/>
      <c r="W723" s="485"/>
      <c r="X723" s="485"/>
      <c r="Y723" s="485"/>
      <c r="Z723" s="485"/>
    </row>
    <row r="724">
      <c r="A724" s="485"/>
      <c r="B724" s="485"/>
      <c r="C724" s="485"/>
      <c r="D724" s="485"/>
      <c r="E724" s="485"/>
      <c r="F724" s="485"/>
      <c r="G724" s="485"/>
      <c r="H724" s="485"/>
      <c r="I724" s="485"/>
      <c r="J724" s="485"/>
      <c r="K724" s="485"/>
      <c r="L724" s="485"/>
      <c r="M724" s="485"/>
      <c r="N724" s="485"/>
      <c r="O724" s="485"/>
      <c r="P724" s="485"/>
      <c r="Q724" s="485"/>
      <c r="R724" s="485"/>
      <c r="S724" s="485"/>
      <c r="T724" s="485"/>
      <c r="U724" s="485"/>
      <c r="V724" s="485"/>
      <c r="W724" s="485"/>
      <c r="X724" s="485"/>
      <c r="Y724" s="485"/>
      <c r="Z724" s="485"/>
    </row>
    <row r="725">
      <c r="A725" s="485"/>
      <c r="B725" s="485"/>
      <c r="C725" s="485"/>
      <c r="D725" s="485"/>
      <c r="E725" s="485"/>
      <c r="F725" s="485"/>
      <c r="G725" s="485"/>
      <c r="H725" s="485"/>
      <c r="I725" s="485"/>
      <c r="J725" s="485"/>
      <c r="K725" s="485"/>
      <c r="L725" s="485"/>
      <c r="M725" s="485"/>
      <c r="N725" s="485"/>
      <c r="O725" s="485"/>
      <c r="P725" s="485"/>
      <c r="Q725" s="485"/>
      <c r="R725" s="485"/>
      <c r="S725" s="485"/>
      <c r="T725" s="485"/>
      <c r="U725" s="485"/>
      <c r="V725" s="485"/>
      <c r="W725" s="485"/>
      <c r="X725" s="485"/>
      <c r="Y725" s="485"/>
      <c r="Z725" s="485"/>
    </row>
    <row r="726">
      <c r="A726" s="485"/>
      <c r="B726" s="485"/>
      <c r="C726" s="485"/>
      <c r="D726" s="485"/>
      <c r="E726" s="485"/>
      <c r="F726" s="485"/>
      <c r="G726" s="485"/>
      <c r="H726" s="485"/>
      <c r="I726" s="485"/>
      <c r="J726" s="485"/>
      <c r="K726" s="485"/>
      <c r="L726" s="485"/>
      <c r="M726" s="485"/>
      <c r="N726" s="485"/>
      <c r="O726" s="485"/>
      <c r="P726" s="485"/>
      <c r="Q726" s="485"/>
      <c r="R726" s="485"/>
      <c r="S726" s="485"/>
      <c r="T726" s="485"/>
      <c r="U726" s="485"/>
      <c r="V726" s="485"/>
      <c r="W726" s="485"/>
      <c r="X726" s="485"/>
      <c r="Y726" s="485"/>
      <c r="Z726" s="485"/>
    </row>
    <row r="727">
      <c r="A727" s="485"/>
      <c r="B727" s="485"/>
      <c r="C727" s="485"/>
      <c r="D727" s="485"/>
      <c r="E727" s="485"/>
      <c r="F727" s="485"/>
      <c r="G727" s="485"/>
      <c r="H727" s="485"/>
      <c r="I727" s="485"/>
      <c r="J727" s="485"/>
      <c r="K727" s="485"/>
      <c r="L727" s="485"/>
      <c r="M727" s="485"/>
      <c r="N727" s="485"/>
      <c r="O727" s="485"/>
      <c r="P727" s="485"/>
      <c r="Q727" s="485"/>
      <c r="R727" s="485"/>
      <c r="S727" s="485"/>
      <c r="T727" s="485"/>
      <c r="U727" s="485"/>
      <c r="V727" s="485"/>
      <c r="W727" s="485"/>
      <c r="X727" s="485"/>
      <c r="Y727" s="485"/>
      <c r="Z727" s="485"/>
    </row>
    <row r="728">
      <c r="A728" s="485"/>
      <c r="B728" s="485"/>
      <c r="C728" s="485"/>
      <c r="D728" s="485"/>
      <c r="E728" s="485"/>
      <c r="F728" s="485"/>
      <c r="G728" s="485"/>
      <c r="H728" s="485"/>
      <c r="I728" s="485"/>
      <c r="J728" s="485"/>
      <c r="K728" s="485"/>
      <c r="L728" s="485"/>
      <c r="M728" s="485"/>
      <c r="N728" s="485"/>
      <c r="O728" s="485"/>
      <c r="P728" s="485"/>
      <c r="Q728" s="485"/>
      <c r="R728" s="485"/>
      <c r="S728" s="485"/>
      <c r="T728" s="485"/>
      <c r="U728" s="485"/>
      <c r="V728" s="485"/>
      <c r="W728" s="485"/>
      <c r="X728" s="485"/>
      <c r="Y728" s="485"/>
      <c r="Z728" s="485"/>
    </row>
    <row r="729">
      <c r="A729" s="485"/>
      <c r="B729" s="485"/>
      <c r="C729" s="485"/>
      <c r="D729" s="485"/>
      <c r="E729" s="485"/>
      <c r="F729" s="485"/>
      <c r="G729" s="485"/>
      <c r="H729" s="485"/>
      <c r="I729" s="485"/>
      <c r="J729" s="485"/>
      <c r="K729" s="485"/>
      <c r="L729" s="485"/>
      <c r="M729" s="485"/>
      <c r="N729" s="485"/>
      <c r="O729" s="485"/>
      <c r="P729" s="485"/>
      <c r="Q729" s="485"/>
      <c r="R729" s="485"/>
      <c r="S729" s="485"/>
      <c r="T729" s="485"/>
      <c r="U729" s="485"/>
      <c r="V729" s="485"/>
      <c r="W729" s="485"/>
      <c r="X729" s="485"/>
      <c r="Y729" s="485"/>
      <c r="Z729" s="485"/>
    </row>
    <row r="730">
      <c r="A730" s="485"/>
      <c r="B730" s="485"/>
      <c r="C730" s="485"/>
      <c r="D730" s="485"/>
      <c r="E730" s="485"/>
      <c r="F730" s="485"/>
      <c r="G730" s="485"/>
      <c r="H730" s="485"/>
      <c r="I730" s="485"/>
      <c r="J730" s="485"/>
      <c r="K730" s="485"/>
      <c r="L730" s="485"/>
      <c r="M730" s="485"/>
      <c r="N730" s="485"/>
      <c r="O730" s="485"/>
      <c r="P730" s="485"/>
      <c r="Q730" s="485"/>
      <c r="R730" s="485"/>
      <c r="S730" s="485"/>
      <c r="T730" s="485"/>
      <c r="U730" s="485"/>
      <c r="V730" s="485"/>
      <c r="W730" s="485"/>
      <c r="X730" s="485"/>
      <c r="Y730" s="485"/>
      <c r="Z730" s="485"/>
    </row>
    <row r="731">
      <c r="A731" s="485"/>
      <c r="B731" s="485"/>
      <c r="C731" s="485"/>
      <c r="D731" s="485"/>
      <c r="E731" s="485"/>
      <c r="F731" s="485"/>
      <c r="G731" s="485"/>
      <c r="H731" s="485"/>
      <c r="I731" s="485"/>
      <c r="J731" s="485"/>
      <c r="K731" s="485"/>
      <c r="L731" s="485"/>
      <c r="M731" s="485"/>
      <c r="N731" s="485"/>
      <c r="O731" s="485"/>
      <c r="P731" s="485"/>
      <c r="Q731" s="485"/>
      <c r="R731" s="485"/>
      <c r="S731" s="485"/>
      <c r="T731" s="485"/>
      <c r="U731" s="485"/>
      <c r="V731" s="485"/>
      <c r="W731" s="485"/>
      <c r="X731" s="485"/>
      <c r="Y731" s="485"/>
      <c r="Z731" s="485"/>
    </row>
    <row r="732">
      <c r="A732" s="485"/>
      <c r="B732" s="485"/>
      <c r="C732" s="485"/>
      <c r="D732" s="485"/>
      <c r="E732" s="485"/>
      <c r="F732" s="485"/>
      <c r="G732" s="485"/>
      <c r="H732" s="485"/>
      <c r="I732" s="485"/>
      <c r="J732" s="485"/>
      <c r="K732" s="485"/>
      <c r="L732" s="485"/>
      <c r="M732" s="485"/>
      <c r="N732" s="485"/>
      <c r="O732" s="485"/>
      <c r="P732" s="485"/>
      <c r="Q732" s="485"/>
      <c r="R732" s="485"/>
      <c r="S732" s="485"/>
      <c r="T732" s="485"/>
      <c r="U732" s="485"/>
      <c r="V732" s="485"/>
      <c r="W732" s="485"/>
      <c r="X732" s="485"/>
      <c r="Y732" s="485"/>
      <c r="Z732" s="485"/>
    </row>
    <row r="733">
      <c r="A733" s="485"/>
      <c r="B733" s="485"/>
      <c r="C733" s="485"/>
      <c r="D733" s="485"/>
      <c r="E733" s="485"/>
      <c r="F733" s="485"/>
      <c r="G733" s="485"/>
      <c r="H733" s="485"/>
      <c r="I733" s="485"/>
      <c r="J733" s="485"/>
      <c r="K733" s="485"/>
      <c r="L733" s="485"/>
      <c r="M733" s="485"/>
      <c r="N733" s="485"/>
      <c r="O733" s="485"/>
      <c r="P733" s="485"/>
      <c r="Q733" s="485"/>
      <c r="R733" s="485"/>
      <c r="S733" s="485"/>
      <c r="T733" s="485"/>
      <c r="U733" s="485"/>
      <c r="V733" s="485"/>
      <c r="W733" s="485"/>
      <c r="X733" s="485"/>
      <c r="Y733" s="485"/>
      <c r="Z733" s="485"/>
    </row>
    <row r="734">
      <c r="A734" s="485"/>
      <c r="B734" s="485"/>
      <c r="C734" s="485"/>
      <c r="D734" s="485"/>
      <c r="E734" s="485"/>
      <c r="F734" s="485"/>
      <c r="G734" s="485"/>
      <c r="H734" s="485"/>
      <c r="I734" s="485"/>
      <c r="J734" s="485"/>
      <c r="K734" s="485"/>
      <c r="L734" s="485"/>
      <c r="M734" s="485"/>
      <c r="N734" s="485"/>
      <c r="O734" s="485"/>
      <c r="P734" s="485"/>
      <c r="Q734" s="485"/>
      <c r="R734" s="485"/>
      <c r="S734" s="485"/>
      <c r="T734" s="485"/>
      <c r="U734" s="485"/>
      <c r="V734" s="485"/>
      <c r="W734" s="485"/>
      <c r="X734" s="485"/>
      <c r="Y734" s="485"/>
      <c r="Z734" s="485"/>
    </row>
    <row r="735">
      <c r="A735" s="485"/>
      <c r="B735" s="485"/>
      <c r="C735" s="485"/>
      <c r="D735" s="485"/>
      <c r="E735" s="485"/>
      <c r="F735" s="485"/>
      <c r="G735" s="485"/>
      <c r="H735" s="485"/>
      <c r="I735" s="485"/>
      <c r="J735" s="485"/>
      <c r="K735" s="485"/>
      <c r="L735" s="485"/>
      <c r="M735" s="485"/>
      <c r="N735" s="485"/>
      <c r="O735" s="485"/>
      <c r="P735" s="485"/>
      <c r="Q735" s="485"/>
      <c r="R735" s="485"/>
      <c r="S735" s="485"/>
      <c r="T735" s="485"/>
      <c r="U735" s="485"/>
      <c r="V735" s="485"/>
      <c r="W735" s="485"/>
      <c r="X735" s="485"/>
      <c r="Y735" s="485"/>
      <c r="Z735" s="485"/>
    </row>
    <row r="736">
      <c r="A736" s="485"/>
      <c r="B736" s="485"/>
      <c r="C736" s="485"/>
      <c r="D736" s="485"/>
      <c r="E736" s="485"/>
      <c r="F736" s="485"/>
      <c r="G736" s="485"/>
      <c r="H736" s="485"/>
      <c r="I736" s="485"/>
      <c r="J736" s="485"/>
      <c r="K736" s="485"/>
      <c r="L736" s="485"/>
      <c r="M736" s="485"/>
      <c r="N736" s="485"/>
      <c r="O736" s="485"/>
      <c r="P736" s="485"/>
      <c r="Q736" s="485"/>
      <c r="R736" s="485"/>
      <c r="S736" s="485"/>
      <c r="T736" s="485"/>
      <c r="U736" s="485"/>
      <c r="V736" s="485"/>
      <c r="W736" s="485"/>
      <c r="X736" s="485"/>
      <c r="Y736" s="485"/>
      <c r="Z736" s="485"/>
    </row>
    <row r="737">
      <c r="A737" s="485"/>
      <c r="B737" s="485"/>
      <c r="C737" s="485"/>
      <c r="D737" s="485"/>
      <c r="E737" s="485"/>
      <c r="F737" s="485"/>
      <c r="G737" s="485"/>
      <c r="H737" s="485"/>
      <c r="I737" s="485"/>
      <c r="J737" s="485"/>
      <c r="K737" s="485"/>
      <c r="L737" s="485"/>
      <c r="M737" s="485"/>
      <c r="N737" s="485"/>
      <c r="O737" s="485"/>
      <c r="P737" s="485"/>
      <c r="Q737" s="485"/>
      <c r="R737" s="485"/>
      <c r="S737" s="485"/>
      <c r="T737" s="485"/>
      <c r="U737" s="485"/>
      <c r="V737" s="485"/>
      <c r="W737" s="485"/>
      <c r="X737" s="485"/>
      <c r="Y737" s="485"/>
      <c r="Z737" s="485"/>
    </row>
    <row r="738">
      <c r="A738" s="485"/>
      <c r="B738" s="485"/>
      <c r="C738" s="485"/>
      <c r="D738" s="485"/>
      <c r="E738" s="485"/>
      <c r="F738" s="485"/>
      <c r="G738" s="485"/>
      <c r="H738" s="485"/>
      <c r="I738" s="485"/>
      <c r="J738" s="485"/>
      <c r="K738" s="485"/>
      <c r="L738" s="485"/>
      <c r="M738" s="485"/>
      <c r="N738" s="485"/>
      <c r="O738" s="485"/>
      <c r="P738" s="485"/>
      <c r="Q738" s="485"/>
      <c r="R738" s="485"/>
      <c r="S738" s="485"/>
      <c r="T738" s="485"/>
      <c r="U738" s="485"/>
      <c r="V738" s="485"/>
      <c r="W738" s="485"/>
      <c r="X738" s="485"/>
      <c r="Y738" s="485"/>
      <c r="Z738" s="485"/>
    </row>
    <row r="739">
      <c r="A739" s="485"/>
      <c r="B739" s="485"/>
      <c r="C739" s="485"/>
      <c r="D739" s="485"/>
      <c r="E739" s="485"/>
      <c r="F739" s="485"/>
      <c r="G739" s="485"/>
      <c r="H739" s="485"/>
      <c r="I739" s="485"/>
      <c r="J739" s="485"/>
      <c r="K739" s="485"/>
      <c r="L739" s="485"/>
      <c r="M739" s="485"/>
      <c r="N739" s="485"/>
      <c r="O739" s="485"/>
      <c r="P739" s="485"/>
      <c r="Q739" s="485"/>
      <c r="R739" s="485"/>
      <c r="S739" s="485"/>
      <c r="T739" s="485"/>
      <c r="U739" s="485"/>
      <c r="V739" s="485"/>
      <c r="W739" s="485"/>
      <c r="X739" s="485"/>
      <c r="Y739" s="485"/>
      <c r="Z739" s="485"/>
    </row>
    <row r="740">
      <c r="A740" s="485"/>
      <c r="B740" s="485"/>
      <c r="C740" s="485"/>
      <c r="D740" s="485"/>
      <c r="E740" s="485"/>
      <c r="F740" s="485"/>
      <c r="G740" s="485"/>
      <c r="H740" s="485"/>
      <c r="I740" s="485"/>
      <c r="J740" s="485"/>
      <c r="K740" s="485"/>
      <c r="L740" s="485"/>
      <c r="M740" s="485"/>
      <c r="N740" s="485"/>
      <c r="O740" s="485"/>
      <c r="P740" s="485"/>
      <c r="Q740" s="485"/>
      <c r="R740" s="485"/>
      <c r="S740" s="485"/>
      <c r="T740" s="485"/>
      <c r="U740" s="485"/>
      <c r="V740" s="485"/>
      <c r="W740" s="485"/>
      <c r="X740" s="485"/>
      <c r="Y740" s="485"/>
      <c r="Z740" s="485"/>
    </row>
    <row r="741">
      <c r="A741" s="485"/>
      <c r="B741" s="485"/>
      <c r="C741" s="485"/>
      <c r="D741" s="485"/>
      <c r="E741" s="485"/>
      <c r="F741" s="485"/>
      <c r="G741" s="485"/>
      <c r="H741" s="485"/>
      <c r="I741" s="485"/>
      <c r="J741" s="485"/>
      <c r="K741" s="485"/>
      <c r="L741" s="485"/>
      <c r="M741" s="485"/>
      <c r="N741" s="485"/>
      <c r="O741" s="485"/>
      <c r="P741" s="485"/>
      <c r="Q741" s="485"/>
      <c r="R741" s="485"/>
      <c r="S741" s="485"/>
      <c r="T741" s="485"/>
      <c r="U741" s="485"/>
      <c r="V741" s="485"/>
      <c r="W741" s="485"/>
      <c r="X741" s="485"/>
      <c r="Y741" s="485"/>
      <c r="Z741" s="485"/>
    </row>
    <row r="742">
      <c r="A742" s="485"/>
      <c r="B742" s="485"/>
      <c r="C742" s="485"/>
      <c r="D742" s="485"/>
      <c r="E742" s="485"/>
      <c r="F742" s="485"/>
      <c r="G742" s="485"/>
      <c r="H742" s="485"/>
      <c r="I742" s="485"/>
      <c r="J742" s="485"/>
      <c r="K742" s="485"/>
      <c r="L742" s="485"/>
      <c r="M742" s="485"/>
      <c r="N742" s="485"/>
      <c r="O742" s="485"/>
      <c r="P742" s="485"/>
      <c r="Q742" s="485"/>
      <c r="R742" s="485"/>
      <c r="S742" s="485"/>
      <c r="T742" s="485"/>
      <c r="U742" s="485"/>
      <c r="V742" s="485"/>
      <c r="W742" s="485"/>
      <c r="X742" s="485"/>
      <c r="Y742" s="485"/>
      <c r="Z742" s="485"/>
    </row>
    <row r="743">
      <c r="A743" s="485"/>
      <c r="B743" s="485"/>
      <c r="C743" s="485"/>
      <c r="D743" s="485"/>
      <c r="E743" s="485"/>
      <c r="F743" s="485"/>
      <c r="G743" s="485"/>
      <c r="H743" s="485"/>
      <c r="I743" s="485"/>
      <c r="J743" s="485"/>
      <c r="K743" s="485"/>
      <c r="L743" s="485"/>
      <c r="M743" s="485"/>
      <c r="N743" s="485"/>
      <c r="O743" s="485"/>
      <c r="P743" s="485"/>
      <c r="Q743" s="485"/>
      <c r="R743" s="485"/>
      <c r="S743" s="485"/>
      <c r="T743" s="485"/>
      <c r="U743" s="485"/>
      <c r="V743" s="485"/>
      <c r="W743" s="485"/>
      <c r="X743" s="485"/>
      <c r="Y743" s="485"/>
      <c r="Z743" s="485"/>
    </row>
    <row r="744">
      <c r="A744" s="485"/>
      <c r="B744" s="485"/>
      <c r="C744" s="485"/>
      <c r="D744" s="485"/>
      <c r="E744" s="485"/>
      <c r="F744" s="485"/>
      <c r="G744" s="485"/>
      <c r="H744" s="485"/>
      <c r="I744" s="485"/>
      <c r="J744" s="485"/>
      <c r="K744" s="485"/>
      <c r="L744" s="485"/>
      <c r="M744" s="485"/>
      <c r="N744" s="485"/>
      <c r="O744" s="485"/>
      <c r="P744" s="485"/>
      <c r="Q744" s="485"/>
      <c r="R744" s="485"/>
      <c r="S744" s="485"/>
      <c r="T744" s="485"/>
      <c r="U744" s="485"/>
      <c r="V744" s="485"/>
      <c r="W744" s="485"/>
      <c r="X744" s="485"/>
      <c r="Y744" s="485"/>
      <c r="Z744" s="485"/>
    </row>
    <row r="745">
      <c r="A745" s="485"/>
      <c r="B745" s="485"/>
      <c r="C745" s="485"/>
      <c r="D745" s="485"/>
      <c r="E745" s="485"/>
      <c r="F745" s="485"/>
      <c r="G745" s="485"/>
      <c r="H745" s="485"/>
      <c r="I745" s="485"/>
      <c r="J745" s="485"/>
      <c r="K745" s="485"/>
      <c r="L745" s="485"/>
      <c r="M745" s="485"/>
      <c r="N745" s="485"/>
      <c r="O745" s="485"/>
      <c r="P745" s="485"/>
      <c r="Q745" s="485"/>
      <c r="R745" s="485"/>
      <c r="S745" s="485"/>
      <c r="T745" s="485"/>
      <c r="U745" s="485"/>
      <c r="V745" s="485"/>
      <c r="W745" s="485"/>
      <c r="X745" s="485"/>
      <c r="Y745" s="485"/>
      <c r="Z745" s="485"/>
    </row>
    <row r="746">
      <c r="A746" s="485"/>
      <c r="B746" s="485"/>
      <c r="C746" s="485"/>
      <c r="D746" s="485"/>
      <c r="E746" s="485"/>
      <c r="F746" s="485"/>
      <c r="G746" s="485"/>
      <c r="H746" s="485"/>
      <c r="I746" s="485"/>
      <c r="J746" s="485"/>
      <c r="K746" s="485"/>
      <c r="L746" s="485"/>
      <c r="M746" s="485"/>
      <c r="N746" s="485"/>
      <c r="O746" s="485"/>
      <c r="P746" s="485"/>
      <c r="Q746" s="485"/>
      <c r="R746" s="485"/>
      <c r="S746" s="485"/>
      <c r="T746" s="485"/>
      <c r="U746" s="485"/>
      <c r="V746" s="485"/>
      <c r="W746" s="485"/>
      <c r="X746" s="485"/>
      <c r="Y746" s="485"/>
      <c r="Z746" s="485"/>
    </row>
    <row r="747">
      <c r="A747" s="485"/>
      <c r="B747" s="485"/>
      <c r="C747" s="485"/>
      <c r="D747" s="485"/>
      <c r="E747" s="485"/>
      <c r="F747" s="485"/>
      <c r="G747" s="485"/>
      <c r="H747" s="485"/>
      <c r="I747" s="485"/>
      <c r="J747" s="485"/>
      <c r="K747" s="485"/>
      <c r="L747" s="485"/>
      <c r="M747" s="485"/>
      <c r="N747" s="485"/>
      <c r="O747" s="485"/>
      <c r="P747" s="485"/>
      <c r="Q747" s="485"/>
      <c r="R747" s="485"/>
      <c r="S747" s="485"/>
      <c r="T747" s="485"/>
      <c r="U747" s="485"/>
      <c r="V747" s="485"/>
      <c r="W747" s="485"/>
      <c r="X747" s="485"/>
      <c r="Y747" s="485"/>
      <c r="Z747" s="485"/>
    </row>
    <row r="748">
      <c r="A748" s="485"/>
      <c r="B748" s="485"/>
      <c r="C748" s="485"/>
      <c r="D748" s="485"/>
      <c r="E748" s="485"/>
      <c r="F748" s="485"/>
      <c r="G748" s="485"/>
      <c r="H748" s="485"/>
      <c r="I748" s="485"/>
      <c r="J748" s="485"/>
      <c r="K748" s="485"/>
      <c r="L748" s="485"/>
      <c r="M748" s="485"/>
      <c r="N748" s="485"/>
      <c r="O748" s="485"/>
      <c r="P748" s="485"/>
      <c r="Q748" s="485"/>
      <c r="R748" s="485"/>
      <c r="S748" s="485"/>
      <c r="T748" s="485"/>
      <c r="U748" s="485"/>
      <c r="V748" s="485"/>
      <c r="W748" s="485"/>
      <c r="X748" s="485"/>
      <c r="Y748" s="485"/>
      <c r="Z748" s="485"/>
    </row>
    <row r="749">
      <c r="A749" s="485"/>
      <c r="B749" s="485"/>
      <c r="C749" s="485"/>
      <c r="D749" s="485"/>
      <c r="E749" s="485"/>
      <c r="F749" s="485"/>
      <c r="G749" s="485"/>
      <c r="H749" s="485"/>
      <c r="I749" s="485"/>
      <c r="J749" s="485"/>
      <c r="K749" s="485"/>
      <c r="L749" s="485"/>
      <c r="M749" s="485"/>
      <c r="N749" s="485"/>
      <c r="O749" s="485"/>
      <c r="P749" s="485"/>
      <c r="Q749" s="485"/>
      <c r="R749" s="485"/>
      <c r="S749" s="485"/>
      <c r="T749" s="485"/>
      <c r="U749" s="485"/>
      <c r="V749" s="485"/>
      <c r="W749" s="485"/>
      <c r="X749" s="485"/>
      <c r="Y749" s="485"/>
      <c r="Z749" s="485"/>
    </row>
    <row r="750">
      <c r="A750" s="485"/>
      <c r="B750" s="485"/>
      <c r="C750" s="485"/>
      <c r="D750" s="485"/>
      <c r="E750" s="485"/>
      <c r="F750" s="485"/>
      <c r="G750" s="485"/>
      <c r="H750" s="485"/>
      <c r="I750" s="485"/>
      <c r="J750" s="485"/>
      <c r="K750" s="485"/>
      <c r="L750" s="485"/>
      <c r="M750" s="485"/>
      <c r="N750" s="485"/>
      <c r="O750" s="485"/>
      <c r="P750" s="485"/>
      <c r="Q750" s="485"/>
      <c r="R750" s="485"/>
      <c r="S750" s="485"/>
      <c r="T750" s="485"/>
      <c r="U750" s="485"/>
      <c r="V750" s="485"/>
      <c r="W750" s="485"/>
      <c r="X750" s="485"/>
      <c r="Y750" s="485"/>
      <c r="Z750" s="485"/>
    </row>
    <row r="751">
      <c r="A751" s="485"/>
      <c r="B751" s="485"/>
      <c r="C751" s="485"/>
      <c r="D751" s="485"/>
      <c r="E751" s="485"/>
      <c r="F751" s="485"/>
      <c r="G751" s="485"/>
      <c r="H751" s="485"/>
      <c r="I751" s="485"/>
      <c r="J751" s="485"/>
      <c r="K751" s="485"/>
      <c r="L751" s="485"/>
      <c r="M751" s="485"/>
      <c r="N751" s="485"/>
      <c r="O751" s="485"/>
      <c r="P751" s="485"/>
      <c r="Q751" s="485"/>
      <c r="R751" s="485"/>
      <c r="S751" s="485"/>
      <c r="T751" s="485"/>
      <c r="U751" s="485"/>
      <c r="V751" s="485"/>
      <c r="W751" s="485"/>
      <c r="X751" s="485"/>
      <c r="Y751" s="485"/>
      <c r="Z751" s="485"/>
    </row>
    <row r="752">
      <c r="A752" s="485"/>
      <c r="B752" s="485"/>
      <c r="C752" s="485"/>
      <c r="D752" s="485"/>
      <c r="E752" s="485"/>
      <c r="F752" s="485"/>
      <c r="G752" s="485"/>
      <c r="H752" s="485"/>
      <c r="I752" s="485"/>
      <c r="J752" s="485"/>
      <c r="K752" s="485"/>
      <c r="L752" s="485"/>
      <c r="M752" s="485"/>
      <c r="N752" s="485"/>
      <c r="O752" s="485"/>
      <c r="P752" s="485"/>
      <c r="Q752" s="485"/>
      <c r="R752" s="485"/>
      <c r="S752" s="485"/>
      <c r="T752" s="485"/>
      <c r="U752" s="485"/>
      <c r="V752" s="485"/>
      <c r="W752" s="485"/>
      <c r="X752" s="485"/>
      <c r="Y752" s="485"/>
      <c r="Z752" s="485"/>
    </row>
    <row r="753">
      <c r="A753" s="485"/>
      <c r="B753" s="485"/>
      <c r="C753" s="485"/>
      <c r="D753" s="485"/>
      <c r="E753" s="485"/>
      <c r="F753" s="485"/>
      <c r="G753" s="485"/>
      <c r="H753" s="485"/>
      <c r="I753" s="485"/>
      <c r="J753" s="485"/>
      <c r="K753" s="485"/>
      <c r="L753" s="485"/>
      <c r="M753" s="485"/>
      <c r="N753" s="485"/>
      <c r="O753" s="485"/>
      <c r="P753" s="485"/>
      <c r="Q753" s="485"/>
      <c r="R753" s="485"/>
      <c r="S753" s="485"/>
      <c r="T753" s="485"/>
      <c r="U753" s="485"/>
      <c r="V753" s="485"/>
      <c r="W753" s="485"/>
      <c r="X753" s="485"/>
      <c r="Y753" s="485"/>
      <c r="Z753" s="485"/>
    </row>
    <row r="754">
      <c r="A754" s="485"/>
      <c r="B754" s="485"/>
      <c r="C754" s="485"/>
      <c r="D754" s="485"/>
      <c r="E754" s="485"/>
      <c r="F754" s="485"/>
      <c r="G754" s="485"/>
      <c r="H754" s="485"/>
      <c r="I754" s="485"/>
      <c r="J754" s="485"/>
      <c r="K754" s="485"/>
      <c r="L754" s="485"/>
      <c r="M754" s="485"/>
      <c r="N754" s="485"/>
      <c r="O754" s="485"/>
      <c r="P754" s="485"/>
      <c r="Q754" s="485"/>
      <c r="R754" s="485"/>
      <c r="S754" s="485"/>
      <c r="T754" s="485"/>
      <c r="U754" s="485"/>
      <c r="V754" s="485"/>
      <c r="W754" s="485"/>
      <c r="X754" s="485"/>
      <c r="Y754" s="485"/>
      <c r="Z754" s="485"/>
    </row>
    <row r="755">
      <c r="A755" s="485"/>
      <c r="B755" s="485"/>
      <c r="C755" s="485"/>
      <c r="D755" s="485"/>
      <c r="E755" s="485"/>
      <c r="F755" s="485"/>
      <c r="G755" s="485"/>
      <c r="H755" s="485"/>
      <c r="I755" s="485"/>
      <c r="J755" s="485"/>
      <c r="K755" s="485"/>
      <c r="L755" s="485"/>
      <c r="M755" s="485"/>
      <c r="N755" s="485"/>
      <c r="O755" s="485"/>
      <c r="P755" s="485"/>
      <c r="Q755" s="485"/>
      <c r="R755" s="485"/>
      <c r="S755" s="485"/>
      <c r="T755" s="485"/>
      <c r="U755" s="485"/>
      <c r="V755" s="485"/>
      <c r="W755" s="485"/>
      <c r="X755" s="485"/>
      <c r="Y755" s="485"/>
      <c r="Z755" s="485"/>
    </row>
    <row r="756">
      <c r="A756" s="485"/>
      <c r="B756" s="485"/>
      <c r="C756" s="485"/>
      <c r="D756" s="485"/>
      <c r="E756" s="485"/>
      <c r="F756" s="485"/>
      <c r="G756" s="485"/>
      <c r="H756" s="485"/>
      <c r="I756" s="485"/>
      <c r="J756" s="485"/>
      <c r="K756" s="485"/>
      <c r="L756" s="485"/>
      <c r="M756" s="485"/>
      <c r="N756" s="485"/>
      <c r="O756" s="485"/>
      <c r="P756" s="485"/>
      <c r="Q756" s="485"/>
      <c r="R756" s="485"/>
      <c r="S756" s="485"/>
      <c r="T756" s="485"/>
      <c r="U756" s="485"/>
      <c r="V756" s="485"/>
      <c r="W756" s="485"/>
      <c r="X756" s="485"/>
      <c r="Y756" s="485"/>
      <c r="Z756" s="485"/>
    </row>
    <row r="757">
      <c r="A757" s="485"/>
      <c r="B757" s="485"/>
      <c r="C757" s="485"/>
      <c r="D757" s="485"/>
      <c r="E757" s="485"/>
      <c r="F757" s="485"/>
      <c r="G757" s="485"/>
      <c r="H757" s="485"/>
      <c r="I757" s="485"/>
      <c r="J757" s="485"/>
      <c r="K757" s="485"/>
      <c r="L757" s="485"/>
      <c r="M757" s="485"/>
      <c r="N757" s="485"/>
      <c r="O757" s="485"/>
      <c r="P757" s="485"/>
      <c r="Q757" s="485"/>
      <c r="R757" s="485"/>
      <c r="S757" s="485"/>
      <c r="T757" s="485"/>
      <c r="U757" s="485"/>
      <c r="V757" s="485"/>
      <c r="W757" s="485"/>
      <c r="X757" s="485"/>
      <c r="Y757" s="485"/>
      <c r="Z757" s="485"/>
    </row>
    <row r="758">
      <c r="A758" s="485"/>
      <c r="B758" s="485"/>
      <c r="C758" s="485"/>
      <c r="D758" s="485"/>
      <c r="E758" s="485"/>
      <c r="F758" s="485"/>
      <c r="G758" s="485"/>
      <c r="H758" s="485"/>
      <c r="I758" s="485"/>
      <c r="J758" s="485"/>
      <c r="K758" s="485"/>
      <c r="L758" s="485"/>
      <c r="M758" s="485"/>
      <c r="N758" s="485"/>
      <c r="O758" s="485"/>
      <c r="P758" s="485"/>
      <c r="Q758" s="485"/>
      <c r="R758" s="485"/>
      <c r="S758" s="485"/>
      <c r="T758" s="485"/>
      <c r="U758" s="485"/>
      <c r="V758" s="485"/>
      <c r="W758" s="485"/>
      <c r="X758" s="485"/>
      <c r="Y758" s="485"/>
      <c r="Z758" s="485"/>
    </row>
    <row r="759">
      <c r="A759" s="485"/>
      <c r="B759" s="485"/>
      <c r="C759" s="485"/>
      <c r="D759" s="485"/>
      <c r="E759" s="485"/>
      <c r="F759" s="485"/>
      <c r="G759" s="485"/>
      <c r="H759" s="485"/>
      <c r="I759" s="485"/>
      <c r="J759" s="485"/>
      <c r="K759" s="485"/>
      <c r="L759" s="485"/>
      <c r="M759" s="485"/>
      <c r="N759" s="485"/>
      <c r="O759" s="485"/>
      <c r="P759" s="485"/>
      <c r="Q759" s="485"/>
      <c r="R759" s="485"/>
      <c r="S759" s="485"/>
      <c r="T759" s="485"/>
      <c r="U759" s="485"/>
      <c r="V759" s="485"/>
      <c r="W759" s="485"/>
      <c r="X759" s="485"/>
      <c r="Y759" s="485"/>
      <c r="Z759" s="485"/>
    </row>
    <row r="760">
      <c r="A760" s="485"/>
      <c r="B760" s="485"/>
      <c r="C760" s="485"/>
      <c r="D760" s="485"/>
      <c r="E760" s="485"/>
      <c r="F760" s="485"/>
      <c r="G760" s="485"/>
      <c r="H760" s="485"/>
      <c r="I760" s="485"/>
      <c r="J760" s="485"/>
      <c r="K760" s="485"/>
      <c r="L760" s="485"/>
      <c r="M760" s="485"/>
      <c r="N760" s="485"/>
      <c r="O760" s="485"/>
      <c r="P760" s="485"/>
      <c r="Q760" s="485"/>
      <c r="R760" s="485"/>
      <c r="S760" s="485"/>
      <c r="T760" s="485"/>
      <c r="U760" s="485"/>
      <c r="V760" s="485"/>
      <c r="W760" s="485"/>
      <c r="X760" s="485"/>
      <c r="Y760" s="485"/>
      <c r="Z760" s="485"/>
    </row>
    <row r="761">
      <c r="A761" s="485"/>
      <c r="B761" s="485"/>
      <c r="C761" s="485"/>
      <c r="D761" s="485"/>
      <c r="E761" s="485"/>
      <c r="F761" s="485"/>
      <c r="G761" s="485"/>
      <c r="H761" s="485"/>
      <c r="I761" s="485"/>
      <c r="J761" s="485"/>
      <c r="K761" s="485"/>
      <c r="L761" s="485"/>
      <c r="M761" s="485"/>
      <c r="N761" s="485"/>
      <c r="O761" s="485"/>
      <c r="P761" s="485"/>
      <c r="Q761" s="485"/>
      <c r="R761" s="485"/>
      <c r="S761" s="485"/>
      <c r="T761" s="485"/>
      <c r="U761" s="485"/>
      <c r="V761" s="485"/>
      <c r="W761" s="485"/>
      <c r="X761" s="485"/>
      <c r="Y761" s="485"/>
      <c r="Z761" s="485"/>
    </row>
    <row r="762">
      <c r="A762" s="485"/>
      <c r="B762" s="485"/>
      <c r="C762" s="485"/>
      <c r="D762" s="485"/>
      <c r="E762" s="485"/>
      <c r="F762" s="485"/>
      <c r="G762" s="485"/>
      <c r="H762" s="485"/>
      <c r="I762" s="485"/>
      <c r="J762" s="485"/>
      <c r="K762" s="485"/>
      <c r="L762" s="485"/>
      <c r="M762" s="485"/>
      <c r="N762" s="485"/>
      <c r="O762" s="485"/>
      <c r="P762" s="485"/>
      <c r="Q762" s="485"/>
      <c r="R762" s="485"/>
      <c r="S762" s="485"/>
      <c r="T762" s="485"/>
      <c r="U762" s="485"/>
      <c r="V762" s="485"/>
      <c r="W762" s="485"/>
      <c r="X762" s="485"/>
      <c r="Y762" s="485"/>
      <c r="Z762" s="485"/>
    </row>
    <row r="763">
      <c r="A763" s="485"/>
      <c r="B763" s="485"/>
      <c r="C763" s="485"/>
      <c r="D763" s="485"/>
      <c r="E763" s="485"/>
      <c r="F763" s="485"/>
      <c r="G763" s="485"/>
      <c r="H763" s="485"/>
      <c r="I763" s="485"/>
      <c r="J763" s="485"/>
      <c r="K763" s="485"/>
      <c r="L763" s="485"/>
      <c r="M763" s="485"/>
      <c r="N763" s="485"/>
      <c r="O763" s="485"/>
      <c r="P763" s="485"/>
      <c r="Q763" s="485"/>
      <c r="R763" s="485"/>
      <c r="S763" s="485"/>
      <c r="T763" s="485"/>
      <c r="U763" s="485"/>
      <c r="V763" s="485"/>
      <c r="W763" s="485"/>
      <c r="X763" s="485"/>
      <c r="Y763" s="485"/>
      <c r="Z763" s="485"/>
    </row>
    <row r="764">
      <c r="A764" s="485"/>
      <c r="B764" s="485"/>
      <c r="C764" s="485"/>
      <c r="D764" s="485"/>
      <c r="E764" s="485"/>
      <c r="F764" s="485"/>
      <c r="G764" s="485"/>
      <c r="H764" s="485"/>
      <c r="I764" s="485"/>
      <c r="J764" s="485"/>
      <c r="K764" s="485"/>
      <c r="L764" s="485"/>
      <c r="M764" s="485"/>
      <c r="N764" s="485"/>
      <c r="O764" s="485"/>
      <c r="P764" s="485"/>
      <c r="Q764" s="485"/>
      <c r="R764" s="485"/>
      <c r="S764" s="485"/>
      <c r="T764" s="485"/>
      <c r="U764" s="485"/>
      <c r="V764" s="485"/>
      <c r="W764" s="485"/>
      <c r="X764" s="485"/>
      <c r="Y764" s="485"/>
      <c r="Z764" s="485"/>
    </row>
    <row r="765">
      <c r="A765" s="485"/>
      <c r="B765" s="485"/>
      <c r="C765" s="485"/>
      <c r="D765" s="485"/>
      <c r="E765" s="485"/>
      <c r="F765" s="485"/>
      <c r="G765" s="485"/>
      <c r="H765" s="485"/>
      <c r="I765" s="485"/>
      <c r="J765" s="485"/>
      <c r="K765" s="485"/>
      <c r="L765" s="485"/>
      <c r="M765" s="485"/>
      <c r="N765" s="485"/>
      <c r="O765" s="485"/>
      <c r="P765" s="485"/>
      <c r="Q765" s="485"/>
      <c r="R765" s="485"/>
      <c r="S765" s="485"/>
      <c r="T765" s="485"/>
      <c r="U765" s="485"/>
      <c r="V765" s="485"/>
      <c r="W765" s="485"/>
      <c r="X765" s="485"/>
      <c r="Y765" s="485"/>
      <c r="Z765" s="485"/>
    </row>
    <row r="766">
      <c r="A766" s="485"/>
      <c r="B766" s="485"/>
      <c r="C766" s="485"/>
      <c r="D766" s="485"/>
      <c r="E766" s="485"/>
      <c r="F766" s="485"/>
      <c r="G766" s="485"/>
      <c r="H766" s="485"/>
      <c r="I766" s="485"/>
      <c r="J766" s="485"/>
      <c r="K766" s="485"/>
      <c r="L766" s="485"/>
      <c r="M766" s="485"/>
      <c r="N766" s="485"/>
      <c r="O766" s="485"/>
      <c r="P766" s="485"/>
      <c r="Q766" s="485"/>
      <c r="R766" s="485"/>
      <c r="S766" s="485"/>
      <c r="T766" s="485"/>
      <c r="U766" s="485"/>
      <c r="V766" s="485"/>
      <c r="W766" s="485"/>
      <c r="X766" s="485"/>
      <c r="Y766" s="485"/>
      <c r="Z766" s="485"/>
    </row>
    <row r="767">
      <c r="A767" s="485"/>
      <c r="B767" s="485"/>
      <c r="C767" s="485"/>
      <c r="D767" s="485"/>
      <c r="E767" s="485"/>
      <c r="F767" s="485"/>
      <c r="G767" s="485"/>
      <c r="H767" s="485"/>
      <c r="I767" s="485"/>
      <c r="J767" s="485"/>
      <c r="K767" s="485"/>
      <c r="L767" s="485"/>
      <c r="M767" s="485"/>
      <c r="N767" s="485"/>
      <c r="O767" s="485"/>
      <c r="P767" s="485"/>
      <c r="Q767" s="485"/>
      <c r="R767" s="485"/>
      <c r="S767" s="485"/>
      <c r="T767" s="485"/>
      <c r="U767" s="485"/>
      <c r="V767" s="485"/>
      <c r="W767" s="485"/>
      <c r="X767" s="485"/>
      <c r="Y767" s="485"/>
      <c r="Z767" s="485"/>
    </row>
    <row r="768">
      <c r="A768" s="485"/>
      <c r="B768" s="485"/>
      <c r="C768" s="485"/>
      <c r="D768" s="485"/>
      <c r="E768" s="485"/>
      <c r="F768" s="485"/>
      <c r="G768" s="485"/>
      <c r="H768" s="485"/>
      <c r="I768" s="485"/>
      <c r="J768" s="485"/>
      <c r="K768" s="485"/>
      <c r="L768" s="485"/>
      <c r="M768" s="485"/>
      <c r="N768" s="485"/>
      <c r="O768" s="485"/>
      <c r="P768" s="485"/>
      <c r="Q768" s="485"/>
      <c r="R768" s="485"/>
      <c r="S768" s="485"/>
      <c r="T768" s="485"/>
      <c r="U768" s="485"/>
      <c r="V768" s="485"/>
      <c r="W768" s="485"/>
      <c r="X768" s="485"/>
      <c r="Y768" s="485"/>
      <c r="Z768" s="485"/>
    </row>
    <row r="769">
      <c r="A769" s="485"/>
      <c r="B769" s="485"/>
      <c r="C769" s="485"/>
      <c r="D769" s="485"/>
      <c r="E769" s="485"/>
      <c r="F769" s="485"/>
      <c r="G769" s="485"/>
      <c r="H769" s="485"/>
      <c r="I769" s="485"/>
      <c r="J769" s="485"/>
      <c r="K769" s="485"/>
      <c r="L769" s="485"/>
      <c r="M769" s="485"/>
      <c r="N769" s="485"/>
      <c r="O769" s="485"/>
      <c r="P769" s="485"/>
      <c r="Q769" s="485"/>
      <c r="R769" s="485"/>
      <c r="S769" s="485"/>
      <c r="T769" s="485"/>
      <c r="U769" s="485"/>
      <c r="V769" s="485"/>
      <c r="W769" s="485"/>
      <c r="X769" s="485"/>
      <c r="Y769" s="485"/>
      <c r="Z769" s="485"/>
    </row>
    <row r="770">
      <c r="A770" s="485"/>
      <c r="B770" s="485"/>
      <c r="C770" s="485"/>
      <c r="D770" s="485"/>
      <c r="E770" s="485"/>
      <c r="F770" s="485"/>
      <c r="G770" s="485"/>
      <c r="H770" s="485"/>
      <c r="I770" s="485"/>
      <c r="J770" s="485"/>
      <c r="K770" s="485"/>
      <c r="L770" s="485"/>
      <c r="M770" s="485"/>
      <c r="N770" s="485"/>
      <c r="O770" s="485"/>
      <c r="P770" s="485"/>
      <c r="Q770" s="485"/>
      <c r="R770" s="485"/>
      <c r="S770" s="485"/>
      <c r="T770" s="485"/>
      <c r="U770" s="485"/>
      <c r="V770" s="485"/>
      <c r="W770" s="485"/>
      <c r="X770" s="485"/>
      <c r="Y770" s="485"/>
      <c r="Z770" s="485"/>
    </row>
    <row r="771">
      <c r="A771" s="485"/>
      <c r="B771" s="485"/>
      <c r="C771" s="485"/>
      <c r="D771" s="485"/>
      <c r="E771" s="485"/>
      <c r="F771" s="485"/>
      <c r="G771" s="485"/>
      <c r="H771" s="485"/>
      <c r="I771" s="485"/>
      <c r="J771" s="485"/>
      <c r="K771" s="485"/>
      <c r="L771" s="485"/>
      <c r="M771" s="485"/>
      <c r="N771" s="485"/>
      <c r="O771" s="485"/>
      <c r="P771" s="485"/>
      <c r="Q771" s="485"/>
      <c r="R771" s="485"/>
      <c r="S771" s="485"/>
      <c r="T771" s="485"/>
      <c r="U771" s="485"/>
      <c r="V771" s="485"/>
      <c r="W771" s="485"/>
      <c r="X771" s="485"/>
      <c r="Y771" s="485"/>
      <c r="Z771" s="485"/>
    </row>
    <row r="772">
      <c r="A772" s="485"/>
      <c r="B772" s="485"/>
      <c r="C772" s="485"/>
      <c r="D772" s="485"/>
      <c r="E772" s="485"/>
      <c r="F772" s="485"/>
      <c r="G772" s="485"/>
      <c r="H772" s="485"/>
      <c r="I772" s="485"/>
      <c r="J772" s="485"/>
      <c r="K772" s="485"/>
      <c r="L772" s="485"/>
      <c r="M772" s="485"/>
      <c r="N772" s="485"/>
      <c r="O772" s="485"/>
      <c r="P772" s="485"/>
      <c r="Q772" s="485"/>
      <c r="R772" s="485"/>
      <c r="S772" s="485"/>
      <c r="T772" s="485"/>
      <c r="U772" s="485"/>
      <c r="V772" s="485"/>
      <c r="W772" s="485"/>
      <c r="X772" s="485"/>
      <c r="Y772" s="485"/>
      <c r="Z772" s="485"/>
    </row>
    <row r="773">
      <c r="A773" s="485"/>
      <c r="B773" s="485"/>
      <c r="C773" s="485"/>
      <c r="D773" s="485"/>
      <c r="E773" s="485"/>
      <c r="F773" s="485"/>
      <c r="G773" s="485"/>
      <c r="H773" s="485"/>
      <c r="I773" s="485"/>
      <c r="J773" s="485"/>
      <c r="K773" s="485"/>
      <c r="L773" s="485"/>
      <c r="M773" s="485"/>
      <c r="N773" s="485"/>
      <c r="O773" s="485"/>
      <c r="P773" s="485"/>
      <c r="Q773" s="485"/>
      <c r="R773" s="485"/>
      <c r="S773" s="485"/>
      <c r="T773" s="485"/>
      <c r="U773" s="485"/>
      <c r="V773" s="485"/>
      <c r="W773" s="485"/>
      <c r="X773" s="485"/>
      <c r="Y773" s="485"/>
      <c r="Z773" s="485"/>
    </row>
    <row r="774">
      <c r="A774" s="485"/>
      <c r="B774" s="485"/>
      <c r="C774" s="485"/>
      <c r="D774" s="485"/>
      <c r="E774" s="485"/>
      <c r="F774" s="485"/>
      <c r="G774" s="485"/>
      <c r="H774" s="485"/>
      <c r="I774" s="485"/>
      <c r="J774" s="485"/>
      <c r="K774" s="485"/>
      <c r="L774" s="485"/>
      <c r="M774" s="485"/>
      <c r="N774" s="485"/>
      <c r="O774" s="485"/>
      <c r="P774" s="485"/>
      <c r="Q774" s="485"/>
      <c r="R774" s="485"/>
      <c r="S774" s="485"/>
      <c r="T774" s="485"/>
      <c r="U774" s="485"/>
      <c r="V774" s="485"/>
      <c r="W774" s="485"/>
      <c r="X774" s="485"/>
      <c r="Y774" s="485"/>
      <c r="Z774" s="485"/>
    </row>
    <row r="775">
      <c r="A775" s="485"/>
      <c r="B775" s="485"/>
      <c r="C775" s="485"/>
      <c r="D775" s="485"/>
      <c r="E775" s="485"/>
      <c r="F775" s="485"/>
      <c r="G775" s="485"/>
      <c r="H775" s="485"/>
      <c r="I775" s="485"/>
      <c r="J775" s="485"/>
      <c r="K775" s="485"/>
      <c r="L775" s="485"/>
      <c r="M775" s="485"/>
      <c r="N775" s="485"/>
      <c r="O775" s="485"/>
      <c r="P775" s="485"/>
      <c r="Q775" s="485"/>
      <c r="R775" s="485"/>
      <c r="S775" s="485"/>
      <c r="T775" s="485"/>
      <c r="U775" s="485"/>
      <c r="V775" s="485"/>
      <c r="W775" s="485"/>
      <c r="X775" s="485"/>
      <c r="Y775" s="485"/>
      <c r="Z775" s="485"/>
    </row>
    <row r="776">
      <c r="A776" s="485"/>
      <c r="B776" s="485"/>
      <c r="C776" s="485"/>
      <c r="D776" s="485"/>
      <c r="E776" s="485"/>
      <c r="F776" s="485"/>
      <c r="G776" s="485"/>
      <c r="H776" s="485"/>
      <c r="I776" s="485"/>
      <c r="J776" s="485"/>
      <c r="K776" s="485"/>
      <c r="L776" s="485"/>
      <c r="M776" s="485"/>
      <c r="N776" s="485"/>
      <c r="O776" s="485"/>
      <c r="P776" s="485"/>
      <c r="Q776" s="485"/>
      <c r="R776" s="485"/>
      <c r="S776" s="485"/>
      <c r="T776" s="485"/>
      <c r="U776" s="485"/>
      <c r="V776" s="485"/>
      <c r="W776" s="485"/>
      <c r="X776" s="485"/>
      <c r="Y776" s="485"/>
      <c r="Z776" s="485"/>
    </row>
    <row r="777">
      <c r="A777" s="485"/>
      <c r="B777" s="485"/>
      <c r="C777" s="485"/>
      <c r="D777" s="485"/>
      <c r="E777" s="485"/>
      <c r="F777" s="485"/>
      <c r="G777" s="485"/>
      <c r="H777" s="485"/>
      <c r="I777" s="485"/>
      <c r="J777" s="485"/>
      <c r="K777" s="485"/>
      <c r="L777" s="485"/>
      <c r="M777" s="485"/>
      <c r="N777" s="485"/>
      <c r="O777" s="485"/>
      <c r="P777" s="485"/>
      <c r="Q777" s="485"/>
      <c r="R777" s="485"/>
      <c r="S777" s="485"/>
      <c r="T777" s="485"/>
      <c r="U777" s="485"/>
      <c r="V777" s="485"/>
      <c r="W777" s="485"/>
      <c r="X777" s="485"/>
      <c r="Y777" s="485"/>
      <c r="Z777" s="485"/>
    </row>
    <row r="778">
      <c r="A778" s="485"/>
      <c r="B778" s="485"/>
      <c r="C778" s="485"/>
      <c r="D778" s="485"/>
      <c r="E778" s="485"/>
      <c r="F778" s="485"/>
      <c r="G778" s="485"/>
      <c r="H778" s="485"/>
      <c r="I778" s="485"/>
      <c r="J778" s="485"/>
      <c r="K778" s="485"/>
      <c r="L778" s="485"/>
      <c r="M778" s="485"/>
      <c r="N778" s="485"/>
      <c r="O778" s="485"/>
      <c r="P778" s="485"/>
      <c r="Q778" s="485"/>
      <c r="R778" s="485"/>
      <c r="S778" s="485"/>
      <c r="T778" s="485"/>
      <c r="U778" s="485"/>
      <c r="V778" s="485"/>
      <c r="W778" s="485"/>
      <c r="X778" s="485"/>
      <c r="Y778" s="485"/>
      <c r="Z778" s="485"/>
    </row>
    <row r="779">
      <c r="A779" s="485"/>
      <c r="B779" s="485"/>
      <c r="C779" s="485"/>
      <c r="D779" s="485"/>
      <c r="E779" s="485"/>
      <c r="F779" s="485"/>
      <c r="G779" s="485"/>
      <c r="H779" s="485"/>
      <c r="I779" s="485"/>
      <c r="J779" s="485"/>
      <c r="K779" s="485"/>
      <c r="L779" s="485"/>
      <c r="M779" s="485"/>
      <c r="N779" s="485"/>
      <c r="O779" s="485"/>
      <c r="P779" s="485"/>
      <c r="Q779" s="485"/>
      <c r="R779" s="485"/>
      <c r="S779" s="485"/>
      <c r="T779" s="485"/>
      <c r="U779" s="485"/>
      <c r="V779" s="485"/>
      <c r="W779" s="485"/>
      <c r="X779" s="485"/>
      <c r="Y779" s="485"/>
      <c r="Z779" s="485"/>
    </row>
    <row r="780">
      <c r="A780" s="485"/>
      <c r="B780" s="485"/>
      <c r="C780" s="485"/>
      <c r="D780" s="485"/>
      <c r="E780" s="485"/>
      <c r="F780" s="485"/>
      <c r="G780" s="485"/>
      <c r="H780" s="485"/>
      <c r="I780" s="485"/>
      <c r="J780" s="485"/>
      <c r="K780" s="485"/>
      <c r="L780" s="485"/>
      <c r="M780" s="485"/>
      <c r="N780" s="485"/>
      <c r="O780" s="485"/>
      <c r="P780" s="485"/>
      <c r="Q780" s="485"/>
      <c r="R780" s="485"/>
      <c r="S780" s="485"/>
      <c r="T780" s="485"/>
      <c r="U780" s="485"/>
      <c r="V780" s="485"/>
      <c r="W780" s="485"/>
      <c r="X780" s="485"/>
      <c r="Y780" s="485"/>
      <c r="Z780" s="485"/>
    </row>
    <row r="781">
      <c r="A781" s="485"/>
      <c r="B781" s="485"/>
      <c r="C781" s="485"/>
      <c r="D781" s="485"/>
      <c r="E781" s="485"/>
      <c r="F781" s="485"/>
      <c r="G781" s="485"/>
      <c r="H781" s="485"/>
      <c r="I781" s="485"/>
      <c r="J781" s="485"/>
      <c r="K781" s="485"/>
      <c r="L781" s="485"/>
      <c r="M781" s="485"/>
      <c r="N781" s="485"/>
      <c r="O781" s="485"/>
      <c r="P781" s="485"/>
      <c r="Q781" s="485"/>
      <c r="R781" s="485"/>
      <c r="S781" s="485"/>
      <c r="T781" s="485"/>
      <c r="U781" s="485"/>
      <c r="V781" s="485"/>
      <c r="W781" s="485"/>
      <c r="X781" s="485"/>
      <c r="Y781" s="485"/>
      <c r="Z781" s="485"/>
    </row>
    <row r="782">
      <c r="A782" s="485"/>
      <c r="B782" s="485"/>
      <c r="C782" s="485"/>
      <c r="D782" s="485"/>
      <c r="E782" s="485"/>
      <c r="F782" s="485"/>
      <c r="G782" s="485"/>
      <c r="H782" s="485"/>
      <c r="I782" s="485"/>
      <c r="J782" s="485"/>
      <c r="K782" s="485"/>
      <c r="L782" s="485"/>
      <c r="M782" s="485"/>
      <c r="N782" s="485"/>
      <c r="O782" s="485"/>
      <c r="P782" s="485"/>
      <c r="Q782" s="485"/>
      <c r="R782" s="485"/>
      <c r="S782" s="485"/>
      <c r="T782" s="485"/>
      <c r="U782" s="485"/>
      <c r="V782" s="485"/>
      <c r="W782" s="485"/>
      <c r="X782" s="485"/>
      <c r="Y782" s="485"/>
      <c r="Z782" s="485"/>
    </row>
    <row r="783">
      <c r="A783" s="485"/>
      <c r="B783" s="485"/>
      <c r="C783" s="485"/>
      <c r="D783" s="485"/>
      <c r="E783" s="485"/>
      <c r="F783" s="485"/>
      <c r="G783" s="485"/>
      <c r="H783" s="485"/>
      <c r="I783" s="485"/>
      <c r="J783" s="485"/>
      <c r="K783" s="485"/>
      <c r="L783" s="485"/>
      <c r="M783" s="485"/>
      <c r="N783" s="485"/>
      <c r="O783" s="485"/>
      <c r="P783" s="485"/>
      <c r="Q783" s="485"/>
      <c r="R783" s="485"/>
      <c r="S783" s="485"/>
      <c r="T783" s="485"/>
      <c r="U783" s="485"/>
      <c r="V783" s="485"/>
      <c r="W783" s="485"/>
      <c r="X783" s="485"/>
      <c r="Y783" s="485"/>
      <c r="Z783" s="485"/>
    </row>
    <row r="784">
      <c r="A784" s="485"/>
      <c r="B784" s="485"/>
      <c r="C784" s="485"/>
      <c r="D784" s="485"/>
      <c r="E784" s="485"/>
      <c r="F784" s="485"/>
      <c r="G784" s="485"/>
      <c r="H784" s="485"/>
      <c r="I784" s="485"/>
      <c r="J784" s="485"/>
      <c r="K784" s="485"/>
      <c r="L784" s="485"/>
      <c r="M784" s="485"/>
      <c r="N784" s="485"/>
      <c r="O784" s="485"/>
      <c r="P784" s="485"/>
      <c r="Q784" s="485"/>
      <c r="R784" s="485"/>
      <c r="S784" s="485"/>
      <c r="T784" s="485"/>
      <c r="U784" s="485"/>
      <c r="V784" s="485"/>
      <c r="W784" s="485"/>
      <c r="X784" s="485"/>
      <c r="Y784" s="485"/>
      <c r="Z784" s="485"/>
    </row>
    <row r="785">
      <c r="A785" s="485"/>
      <c r="B785" s="485"/>
      <c r="C785" s="485"/>
      <c r="D785" s="485"/>
      <c r="E785" s="485"/>
      <c r="F785" s="485"/>
      <c r="G785" s="485"/>
      <c r="H785" s="485"/>
      <c r="I785" s="485"/>
      <c r="J785" s="485"/>
      <c r="K785" s="485"/>
      <c r="L785" s="485"/>
      <c r="M785" s="485"/>
      <c r="N785" s="485"/>
      <c r="O785" s="485"/>
      <c r="P785" s="485"/>
      <c r="Q785" s="485"/>
      <c r="R785" s="485"/>
      <c r="S785" s="485"/>
      <c r="T785" s="485"/>
      <c r="U785" s="485"/>
      <c r="V785" s="485"/>
      <c r="W785" s="485"/>
      <c r="X785" s="485"/>
      <c r="Y785" s="485"/>
      <c r="Z785" s="485"/>
    </row>
    <row r="786">
      <c r="A786" s="485"/>
      <c r="B786" s="485"/>
      <c r="C786" s="485"/>
      <c r="D786" s="485"/>
      <c r="E786" s="485"/>
      <c r="F786" s="485"/>
      <c r="G786" s="485"/>
      <c r="H786" s="485"/>
      <c r="I786" s="485"/>
      <c r="J786" s="485"/>
      <c r="K786" s="485"/>
      <c r="L786" s="485"/>
      <c r="M786" s="485"/>
      <c r="N786" s="485"/>
      <c r="O786" s="485"/>
      <c r="P786" s="485"/>
      <c r="Q786" s="485"/>
      <c r="R786" s="485"/>
      <c r="S786" s="485"/>
      <c r="T786" s="485"/>
      <c r="U786" s="485"/>
      <c r="V786" s="485"/>
      <c r="W786" s="485"/>
      <c r="X786" s="485"/>
      <c r="Y786" s="485"/>
      <c r="Z786" s="485"/>
    </row>
    <row r="787">
      <c r="A787" s="485"/>
      <c r="B787" s="485"/>
      <c r="C787" s="485"/>
      <c r="D787" s="485"/>
      <c r="E787" s="485"/>
      <c r="F787" s="485"/>
      <c r="G787" s="485"/>
      <c r="H787" s="485"/>
      <c r="I787" s="485"/>
      <c r="J787" s="485"/>
      <c r="K787" s="485"/>
      <c r="L787" s="485"/>
      <c r="M787" s="485"/>
      <c r="N787" s="485"/>
      <c r="O787" s="485"/>
      <c r="P787" s="485"/>
      <c r="Q787" s="485"/>
      <c r="R787" s="485"/>
      <c r="S787" s="485"/>
      <c r="T787" s="485"/>
      <c r="U787" s="485"/>
      <c r="V787" s="485"/>
      <c r="W787" s="485"/>
      <c r="X787" s="485"/>
      <c r="Y787" s="485"/>
      <c r="Z787" s="485"/>
    </row>
    <row r="788">
      <c r="A788" s="485"/>
      <c r="B788" s="485"/>
      <c r="C788" s="485"/>
      <c r="D788" s="485"/>
      <c r="E788" s="485"/>
      <c r="F788" s="485"/>
      <c r="G788" s="485"/>
      <c r="H788" s="485"/>
      <c r="I788" s="485"/>
      <c r="J788" s="485"/>
      <c r="K788" s="485"/>
      <c r="L788" s="485"/>
      <c r="M788" s="485"/>
      <c r="N788" s="485"/>
      <c r="O788" s="485"/>
      <c r="P788" s="485"/>
      <c r="Q788" s="485"/>
      <c r="R788" s="485"/>
      <c r="S788" s="485"/>
      <c r="T788" s="485"/>
      <c r="U788" s="485"/>
      <c r="V788" s="485"/>
      <c r="W788" s="485"/>
      <c r="X788" s="485"/>
      <c r="Y788" s="485"/>
      <c r="Z788" s="485"/>
    </row>
    <row r="789">
      <c r="A789" s="485"/>
      <c r="B789" s="485"/>
      <c r="C789" s="485"/>
      <c r="D789" s="485"/>
      <c r="E789" s="485"/>
      <c r="F789" s="485"/>
      <c r="G789" s="485"/>
      <c r="H789" s="485"/>
      <c r="I789" s="485"/>
      <c r="J789" s="485"/>
      <c r="K789" s="485"/>
      <c r="L789" s="485"/>
      <c r="M789" s="485"/>
      <c r="N789" s="485"/>
      <c r="O789" s="485"/>
      <c r="P789" s="485"/>
      <c r="Q789" s="485"/>
      <c r="R789" s="485"/>
      <c r="S789" s="485"/>
      <c r="T789" s="485"/>
      <c r="U789" s="485"/>
      <c r="V789" s="485"/>
      <c r="W789" s="485"/>
      <c r="X789" s="485"/>
      <c r="Y789" s="485"/>
      <c r="Z789" s="485"/>
    </row>
    <row r="790">
      <c r="A790" s="485"/>
      <c r="B790" s="485"/>
      <c r="C790" s="485"/>
      <c r="D790" s="485"/>
      <c r="E790" s="485"/>
      <c r="F790" s="485"/>
      <c r="G790" s="485"/>
      <c r="H790" s="485"/>
      <c r="I790" s="485"/>
      <c r="J790" s="485"/>
      <c r="K790" s="485"/>
      <c r="L790" s="485"/>
      <c r="M790" s="485"/>
      <c r="N790" s="485"/>
      <c r="O790" s="485"/>
      <c r="P790" s="485"/>
      <c r="Q790" s="485"/>
      <c r="R790" s="485"/>
      <c r="S790" s="485"/>
      <c r="T790" s="485"/>
      <c r="U790" s="485"/>
      <c r="V790" s="485"/>
      <c r="W790" s="485"/>
      <c r="X790" s="485"/>
      <c r="Y790" s="485"/>
      <c r="Z790" s="485"/>
    </row>
    <row r="791">
      <c r="A791" s="485"/>
      <c r="B791" s="485"/>
      <c r="C791" s="485"/>
      <c r="D791" s="485"/>
      <c r="E791" s="485"/>
      <c r="F791" s="485"/>
      <c r="G791" s="485"/>
      <c r="H791" s="485"/>
      <c r="I791" s="485"/>
      <c r="J791" s="485"/>
      <c r="K791" s="485"/>
      <c r="L791" s="485"/>
      <c r="M791" s="485"/>
      <c r="N791" s="485"/>
      <c r="O791" s="485"/>
      <c r="P791" s="485"/>
      <c r="Q791" s="485"/>
      <c r="R791" s="485"/>
      <c r="S791" s="485"/>
      <c r="T791" s="485"/>
      <c r="U791" s="485"/>
      <c r="V791" s="485"/>
      <c r="W791" s="485"/>
      <c r="X791" s="485"/>
      <c r="Y791" s="485"/>
      <c r="Z791" s="485"/>
    </row>
    <row r="792">
      <c r="A792" s="485"/>
      <c r="B792" s="485"/>
      <c r="C792" s="485"/>
      <c r="D792" s="485"/>
      <c r="E792" s="485"/>
      <c r="F792" s="485"/>
      <c r="G792" s="485"/>
      <c r="H792" s="485"/>
      <c r="I792" s="485"/>
      <c r="J792" s="485"/>
      <c r="K792" s="485"/>
      <c r="L792" s="485"/>
      <c r="M792" s="485"/>
      <c r="N792" s="485"/>
      <c r="O792" s="485"/>
      <c r="P792" s="485"/>
      <c r="Q792" s="485"/>
      <c r="R792" s="485"/>
      <c r="S792" s="485"/>
      <c r="T792" s="485"/>
      <c r="U792" s="485"/>
      <c r="V792" s="485"/>
      <c r="W792" s="485"/>
      <c r="X792" s="485"/>
      <c r="Y792" s="485"/>
      <c r="Z792" s="485"/>
    </row>
    <row r="793">
      <c r="A793" s="485"/>
      <c r="B793" s="485"/>
      <c r="C793" s="485"/>
      <c r="D793" s="485"/>
      <c r="E793" s="485"/>
      <c r="F793" s="485"/>
      <c r="G793" s="485"/>
      <c r="H793" s="485"/>
      <c r="I793" s="485"/>
      <c r="J793" s="485"/>
      <c r="K793" s="485"/>
      <c r="L793" s="485"/>
      <c r="M793" s="485"/>
      <c r="N793" s="485"/>
      <c r="O793" s="485"/>
      <c r="P793" s="485"/>
      <c r="Q793" s="485"/>
      <c r="R793" s="485"/>
      <c r="S793" s="485"/>
      <c r="T793" s="485"/>
      <c r="U793" s="485"/>
      <c r="V793" s="485"/>
      <c r="W793" s="485"/>
      <c r="X793" s="485"/>
      <c r="Y793" s="485"/>
      <c r="Z793" s="485"/>
    </row>
    <row r="794">
      <c r="A794" s="485"/>
      <c r="B794" s="485"/>
      <c r="C794" s="485"/>
      <c r="D794" s="485"/>
      <c r="E794" s="485"/>
      <c r="F794" s="485"/>
      <c r="G794" s="485"/>
      <c r="H794" s="485"/>
      <c r="I794" s="485"/>
      <c r="J794" s="485"/>
      <c r="K794" s="485"/>
      <c r="L794" s="485"/>
      <c r="M794" s="485"/>
      <c r="N794" s="485"/>
      <c r="O794" s="485"/>
      <c r="P794" s="485"/>
      <c r="Q794" s="485"/>
      <c r="R794" s="485"/>
      <c r="S794" s="485"/>
      <c r="T794" s="485"/>
      <c r="U794" s="485"/>
      <c r="V794" s="485"/>
      <c r="W794" s="485"/>
      <c r="X794" s="485"/>
      <c r="Y794" s="485"/>
      <c r="Z794" s="485"/>
    </row>
    <row r="795">
      <c r="A795" s="485"/>
      <c r="B795" s="485"/>
      <c r="C795" s="485"/>
      <c r="D795" s="485"/>
      <c r="E795" s="485"/>
      <c r="F795" s="485"/>
      <c r="G795" s="485"/>
      <c r="H795" s="485"/>
      <c r="I795" s="485"/>
      <c r="J795" s="485"/>
      <c r="K795" s="485"/>
      <c r="L795" s="485"/>
      <c r="M795" s="485"/>
      <c r="N795" s="485"/>
      <c r="O795" s="485"/>
      <c r="P795" s="485"/>
      <c r="Q795" s="485"/>
      <c r="R795" s="485"/>
      <c r="S795" s="485"/>
      <c r="T795" s="485"/>
      <c r="U795" s="485"/>
      <c r="V795" s="485"/>
      <c r="W795" s="485"/>
      <c r="X795" s="485"/>
      <c r="Y795" s="485"/>
      <c r="Z795" s="485"/>
    </row>
    <row r="796">
      <c r="A796" s="485"/>
      <c r="B796" s="485"/>
      <c r="C796" s="485"/>
      <c r="D796" s="485"/>
      <c r="E796" s="485"/>
      <c r="F796" s="485"/>
      <c r="G796" s="485"/>
      <c r="H796" s="485"/>
      <c r="I796" s="485"/>
      <c r="J796" s="485"/>
      <c r="K796" s="485"/>
      <c r="L796" s="485"/>
      <c r="M796" s="485"/>
      <c r="N796" s="485"/>
      <c r="O796" s="485"/>
      <c r="P796" s="485"/>
      <c r="Q796" s="485"/>
      <c r="R796" s="485"/>
      <c r="S796" s="485"/>
      <c r="T796" s="485"/>
      <c r="U796" s="485"/>
      <c r="V796" s="485"/>
      <c r="W796" s="485"/>
      <c r="X796" s="485"/>
      <c r="Y796" s="485"/>
      <c r="Z796" s="485"/>
    </row>
    <row r="797">
      <c r="A797" s="485"/>
      <c r="B797" s="485"/>
      <c r="C797" s="485"/>
      <c r="D797" s="485"/>
      <c r="E797" s="485"/>
      <c r="F797" s="485"/>
      <c r="G797" s="485"/>
      <c r="H797" s="485"/>
      <c r="I797" s="485"/>
      <c r="J797" s="485"/>
      <c r="K797" s="485"/>
      <c r="L797" s="485"/>
      <c r="M797" s="485"/>
      <c r="N797" s="485"/>
      <c r="O797" s="485"/>
      <c r="P797" s="485"/>
      <c r="Q797" s="485"/>
      <c r="R797" s="485"/>
      <c r="S797" s="485"/>
      <c r="T797" s="485"/>
      <c r="U797" s="485"/>
      <c r="V797" s="485"/>
      <c r="W797" s="485"/>
      <c r="X797" s="485"/>
      <c r="Y797" s="485"/>
      <c r="Z797" s="485"/>
    </row>
    <row r="798">
      <c r="A798" s="485"/>
      <c r="B798" s="485"/>
      <c r="C798" s="485"/>
      <c r="D798" s="485"/>
      <c r="E798" s="485"/>
      <c r="F798" s="485"/>
      <c r="G798" s="485"/>
      <c r="H798" s="485"/>
      <c r="I798" s="485"/>
      <c r="J798" s="485"/>
      <c r="K798" s="485"/>
      <c r="L798" s="485"/>
      <c r="M798" s="485"/>
      <c r="N798" s="485"/>
      <c r="O798" s="485"/>
      <c r="P798" s="485"/>
      <c r="Q798" s="485"/>
      <c r="R798" s="485"/>
      <c r="S798" s="485"/>
      <c r="T798" s="485"/>
      <c r="U798" s="485"/>
      <c r="V798" s="485"/>
      <c r="W798" s="485"/>
      <c r="X798" s="485"/>
      <c r="Y798" s="485"/>
      <c r="Z798" s="485"/>
    </row>
    <row r="799">
      <c r="A799" s="485"/>
      <c r="B799" s="485"/>
      <c r="C799" s="485"/>
      <c r="D799" s="485"/>
      <c r="E799" s="485"/>
      <c r="F799" s="485"/>
      <c r="G799" s="485"/>
      <c r="H799" s="485"/>
      <c r="I799" s="485"/>
      <c r="J799" s="485"/>
      <c r="K799" s="485"/>
      <c r="L799" s="485"/>
      <c r="M799" s="485"/>
      <c r="N799" s="485"/>
      <c r="O799" s="485"/>
      <c r="P799" s="485"/>
      <c r="Q799" s="485"/>
      <c r="R799" s="485"/>
      <c r="S799" s="485"/>
      <c r="T799" s="485"/>
      <c r="U799" s="485"/>
      <c r="V799" s="485"/>
      <c r="W799" s="485"/>
      <c r="X799" s="485"/>
      <c r="Y799" s="485"/>
      <c r="Z799" s="485"/>
    </row>
    <row r="800">
      <c r="A800" s="485"/>
      <c r="B800" s="485"/>
      <c r="C800" s="485"/>
      <c r="D800" s="485"/>
      <c r="E800" s="485"/>
      <c r="F800" s="485"/>
      <c r="G800" s="485"/>
      <c r="H800" s="485"/>
      <c r="I800" s="485"/>
      <c r="J800" s="485"/>
      <c r="K800" s="485"/>
      <c r="L800" s="485"/>
      <c r="M800" s="485"/>
      <c r="N800" s="485"/>
      <c r="O800" s="485"/>
      <c r="P800" s="485"/>
      <c r="Q800" s="485"/>
      <c r="R800" s="485"/>
      <c r="S800" s="485"/>
      <c r="T800" s="485"/>
      <c r="U800" s="485"/>
      <c r="V800" s="485"/>
      <c r="W800" s="485"/>
      <c r="X800" s="485"/>
      <c r="Y800" s="485"/>
      <c r="Z800" s="485"/>
    </row>
    <row r="801">
      <c r="A801" s="485"/>
      <c r="B801" s="485"/>
      <c r="C801" s="485"/>
      <c r="D801" s="485"/>
      <c r="E801" s="485"/>
      <c r="F801" s="485"/>
      <c r="G801" s="485"/>
      <c r="H801" s="485"/>
      <c r="I801" s="485"/>
      <c r="J801" s="485"/>
      <c r="K801" s="485"/>
      <c r="L801" s="485"/>
      <c r="M801" s="485"/>
      <c r="N801" s="485"/>
      <c r="O801" s="485"/>
      <c r="P801" s="485"/>
      <c r="Q801" s="485"/>
      <c r="R801" s="485"/>
      <c r="S801" s="485"/>
      <c r="T801" s="485"/>
      <c r="U801" s="485"/>
      <c r="V801" s="485"/>
      <c r="W801" s="485"/>
      <c r="X801" s="485"/>
      <c r="Y801" s="485"/>
      <c r="Z801" s="485"/>
    </row>
    <row r="802">
      <c r="A802" s="485"/>
      <c r="B802" s="485"/>
      <c r="C802" s="485"/>
      <c r="D802" s="485"/>
      <c r="E802" s="485"/>
      <c r="F802" s="485"/>
      <c r="G802" s="485"/>
      <c r="H802" s="485"/>
      <c r="I802" s="485"/>
      <c r="J802" s="485"/>
      <c r="K802" s="485"/>
      <c r="L802" s="485"/>
      <c r="M802" s="485"/>
      <c r="N802" s="485"/>
      <c r="O802" s="485"/>
      <c r="P802" s="485"/>
      <c r="Q802" s="485"/>
      <c r="R802" s="485"/>
      <c r="S802" s="485"/>
      <c r="T802" s="485"/>
      <c r="U802" s="485"/>
      <c r="V802" s="485"/>
      <c r="W802" s="485"/>
      <c r="X802" s="485"/>
      <c r="Y802" s="485"/>
      <c r="Z802" s="485"/>
    </row>
    <row r="803">
      <c r="A803" s="485"/>
      <c r="B803" s="485"/>
      <c r="C803" s="485"/>
      <c r="D803" s="485"/>
      <c r="E803" s="485"/>
      <c r="F803" s="485"/>
      <c r="G803" s="485"/>
      <c r="H803" s="485"/>
      <c r="I803" s="485"/>
      <c r="J803" s="485"/>
      <c r="K803" s="485"/>
      <c r="L803" s="485"/>
      <c r="M803" s="485"/>
      <c r="N803" s="485"/>
      <c r="O803" s="485"/>
      <c r="P803" s="485"/>
      <c r="Q803" s="485"/>
      <c r="R803" s="485"/>
      <c r="S803" s="485"/>
      <c r="T803" s="485"/>
      <c r="U803" s="485"/>
      <c r="V803" s="485"/>
      <c r="W803" s="485"/>
      <c r="X803" s="485"/>
      <c r="Y803" s="485"/>
      <c r="Z803" s="485"/>
    </row>
    <row r="804">
      <c r="A804" s="485"/>
      <c r="B804" s="485"/>
      <c r="C804" s="485"/>
      <c r="D804" s="485"/>
      <c r="E804" s="485"/>
      <c r="F804" s="485"/>
      <c r="G804" s="485"/>
      <c r="H804" s="485"/>
      <c r="I804" s="485"/>
      <c r="J804" s="485"/>
      <c r="K804" s="485"/>
      <c r="L804" s="485"/>
      <c r="M804" s="485"/>
      <c r="N804" s="485"/>
      <c r="O804" s="485"/>
      <c r="P804" s="485"/>
      <c r="Q804" s="485"/>
      <c r="R804" s="485"/>
      <c r="S804" s="485"/>
      <c r="T804" s="485"/>
      <c r="U804" s="485"/>
      <c r="V804" s="485"/>
      <c r="W804" s="485"/>
      <c r="X804" s="485"/>
      <c r="Y804" s="485"/>
      <c r="Z804" s="485"/>
    </row>
    <row r="805">
      <c r="A805" s="485"/>
      <c r="B805" s="485"/>
      <c r="C805" s="485"/>
      <c r="D805" s="485"/>
      <c r="E805" s="485"/>
      <c r="F805" s="485"/>
      <c r="G805" s="485"/>
      <c r="H805" s="485"/>
      <c r="I805" s="485"/>
      <c r="J805" s="485"/>
      <c r="K805" s="485"/>
      <c r="L805" s="485"/>
      <c r="M805" s="485"/>
      <c r="N805" s="485"/>
      <c r="O805" s="485"/>
      <c r="P805" s="485"/>
      <c r="Q805" s="485"/>
      <c r="R805" s="485"/>
      <c r="S805" s="485"/>
      <c r="T805" s="485"/>
      <c r="U805" s="485"/>
      <c r="V805" s="485"/>
      <c r="W805" s="485"/>
      <c r="X805" s="485"/>
      <c r="Y805" s="485"/>
      <c r="Z805" s="485"/>
    </row>
    <row r="806">
      <c r="A806" s="485"/>
      <c r="B806" s="485"/>
      <c r="C806" s="485"/>
      <c r="D806" s="485"/>
      <c r="E806" s="485"/>
      <c r="F806" s="485"/>
      <c r="G806" s="485"/>
      <c r="H806" s="485"/>
      <c r="I806" s="485"/>
      <c r="J806" s="485"/>
      <c r="K806" s="485"/>
      <c r="L806" s="485"/>
      <c r="M806" s="485"/>
      <c r="N806" s="485"/>
      <c r="O806" s="485"/>
      <c r="P806" s="485"/>
      <c r="Q806" s="485"/>
      <c r="R806" s="485"/>
      <c r="S806" s="485"/>
      <c r="T806" s="485"/>
      <c r="U806" s="485"/>
      <c r="V806" s="485"/>
      <c r="W806" s="485"/>
      <c r="X806" s="485"/>
      <c r="Y806" s="485"/>
      <c r="Z806" s="485"/>
    </row>
    <row r="807">
      <c r="A807" s="485"/>
      <c r="B807" s="485"/>
      <c r="C807" s="485"/>
      <c r="D807" s="485"/>
      <c r="E807" s="485"/>
      <c r="F807" s="485"/>
      <c r="G807" s="485"/>
      <c r="H807" s="485"/>
      <c r="I807" s="485"/>
      <c r="J807" s="485"/>
      <c r="K807" s="485"/>
      <c r="L807" s="485"/>
      <c r="M807" s="485"/>
      <c r="N807" s="485"/>
      <c r="O807" s="485"/>
      <c r="P807" s="485"/>
      <c r="Q807" s="485"/>
      <c r="R807" s="485"/>
      <c r="S807" s="485"/>
      <c r="T807" s="485"/>
      <c r="U807" s="485"/>
      <c r="V807" s="485"/>
      <c r="W807" s="485"/>
      <c r="X807" s="485"/>
      <c r="Y807" s="485"/>
      <c r="Z807" s="485"/>
    </row>
    <row r="808">
      <c r="A808" s="485"/>
      <c r="B808" s="485"/>
      <c r="C808" s="485"/>
      <c r="D808" s="485"/>
      <c r="E808" s="485"/>
      <c r="F808" s="485"/>
      <c r="G808" s="485"/>
      <c r="H808" s="485"/>
      <c r="I808" s="485"/>
      <c r="J808" s="485"/>
      <c r="K808" s="485"/>
      <c r="L808" s="485"/>
      <c r="M808" s="485"/>
      <c r="N808" s="485"/>
      <c r="O808" s="485"/>
      <c r="P808" s="485"/>
      <c r="Q808" s="485"/>
      <c r="R808" s="485"/>
      <c r="S808" s="485"/>
      <c r="T808" s="485"/>
      <c r="U808" s="485"/>
      <c r="V808" s="485"/>
      <c r="W808" s="485"/>
      <c r="X808" s="485"/>
      <c r="Y808" s="485"/>
      <c r="Z808" s="485"/>
    </row>
    <row r="809">
      <c r="A809" s="485"/>
      <c r="B809" s="485"/>
      <c r="C809" s="485"/>
      <c r="D809" s="485"/>
      <c r="E809" s="485"/>
      <c r="F809" s="485"/>
      <c r="G809" s="485"/>
      <c r="H809" s="485"/>
      <c r="I809" s="485"/>
      <c r="J809" s="485"/>
      <c r="K809" s="485"/>
      <c r="L809" s="485"/>
      <c r="M809" s="485"/>
      <c r="N809" s="485"/>
      <c r="O809" s="485"/>
      <c r="P809" s="485"/>
      <c r="Q809" s="485"/>
      <c r="R809" s="485"/>
      <c r="S809" s="485"/>
      <c r="T809" s="485"/>
      <c r="U809" s="485"/>
      <c r="V809" s="485"/>
      <c r="W809" s="485"/>
      <c r="X809" s="485"/>
      <c r="Y809" s="485"/>
      <c r="Z809" s="485"/>
    </row>
    <row r="810">
      <c r="A810" s="485"/>
      <c r="B810" s="485"/>
      <c r="C810" s="485"/>
      <c r="D810" s="485"/>
      <c r="E810" s="485"/>
      <c r="F810" s="485"/>
      <c r="G810" s="485"/>
      <c r="H810" s="485"/>
      <c r="I810" s="485"/>
      <c r="J810" s="485"/>
      <c r="K810" s="485"/>
      <c r="L810" s="485"/>
      <c r="M810" s="485"/>
      <c r="N810" s="485"/>
      <c r="O810" s="485"/>
      <c r="P810" s="485"/>
      <c r="Q810" s="485"/>
      <c r="R810" s="485"/>
      <c r="S810" s="485"/>
      <c r="T810" s="485"/>
      <c r="U810" s="485"/>
      <c r="V810" s="485"/>
      <c r="W810" s="485"/>
      <c r="X810" s="485"/>
      <c r="Y810" s="485"/>
      <c r="Z810" s="485"/>
    </row>
    <row r="811">
      <c r="A811" s="485"/>
      <c r="B811" s="485"/>
      <c r="C811" s="485"/>
      <c r="D811" s="485"/>
      <c r="E811" s="485"/>
      <c r="F811" s="485"/>
      <c r="G811" s="485"/>
      <c r="H811" s="485"/>
      <c r="I811" s="485"/>
      <c r="J811" s="485"/>
      <c r="K811" s="485"/>
      <c r="L811" s="485"/>
      <c r="M811" s="485"/>
      <c r="N811" s="485"/>
      <c r="O811" s="485"/>
      <c r="P811" s="485"/>
      <c r="Q811" s="485"/>
      <c r="R811" s="485"/>
      <c r="S811" s="485"/>
      <c r="T811" s="485"/>
      <c r="U811" s="485"/>
      <c r="V811" s="485"/>
      <c r="W811" s="485"/>
      <c r="X811" s="485"/>
      <c r="Y811" s="485"/>
      <c r="Z811" s="485"/>
    </row>
    <row r="812">
      <c r="A812" s="485"/>
      <c r="B812" s="485"/>
      <c r="C812" s="485"/>
      <c r="D812" s="485"/>
      <c r="E812" s="485"/>
      <c r="F812" s="485"/>
      <c r="G812" s="485"/>
      <c r="H812" s="485"/>
      <c r="I812" s="485"/>
      <c r="J812" s="485"/>
      <c r="K812" s="485"/>
      <c r="L812" s="485"/>
      <c r="M812" s="485"/>
      <c r="N812" s="485"/>
      <c r="O812" s="485"/>
      <c r="P812" s="485"/>
      <c r="Q812" s="485"/>
      <c r="R812" s="485"/>
      <c r="S812" s="485"/>
      <c r="T812" s="485"/>
      <c r="U812" s="485"/>
      <c r="V812" s="485"/>
      <c r="W812" s="485"/>
      <c r="X812" s="485"/>
      <c r="Y812" s="485"/>
      <c r="Z812" s="485"/>
    </row>
    <row r="813">
      <c r="A813" s="485"/>
      <c r="B813" s="485"/>
      <c r="C813" s="485"/>
      <c r="D813" s="485"/>
      <c r="E813" s="485"/>
      <c r="F813" s="485"/>
      <c r="G813" s="485"/>
      <c r="H813" s="485"/>
      <c r="I813" s="485"/>
      <c r="J813" s="485"/>
      <c r="K813" s="485"/>
      <c r="L813" s="485"/>
      <c r="M813" s="485"/>
      <c r="N813" s="485"/>
      <c r="O813" s="485"/>
      <c r="P813" s="485"/>
      <c r="Q813" s="485"/>
      <c r="R813" s="485"/>
      <c r="S813" s="485"/>
      <c r="T813" s="485"/>
      <c r="U813" s="485"/>
      <c r="V813" s="485"/>
      <c r="W813" s="485"/>
      <c r="X813" s="485"/>
      <c r="Y813" s="485"/>
      <c r="Z813" s="485"/>
    </row>
    <row r="814">
      <c r="A814" s="485"/>
      <c r="B814" s="485"/>
      <c r="C814" s="485"/>
      <c r="D814" s="485"/>
      <c r="E814" s="485"/>
      <c r="F814" s="485"/>
      <c r="G814" s="485"/>
      <c r="H814" s="485"/>
      <c r="I814" s="485"/>
      <c r="J814" s="485"/>
      <c r="K814" s="485"/>
      <c r="L814" s="485"/>
      <c r="M814" s="485"/>
      <c r="N814" s="485"/>
      <c r="O814" s="485"/>
      <c r="P814" s="485"/>
      <c r="Q814" s="485"/>
      <c r="R814" s="485"/>
      <c r="S814" s="485"/>
      <c r="T814" s="485"/>
      <c r="U814" s="485"/>
      <c r="V814" s="485"/>
      <c r="W814" s="485"/>
      <c r="X814" s="485"/>
      <c r="Y814" s="485"/>
      <c r="Z814" s="485"/>
    </row>
    <row r="815">
      <c r="A815" s="485"/>
      <c r="B815" s="485"/>
      <c r="C815" s="485"/>
      <c r="D815" s="485"/>
      <c r="E815" s="485"/>
      <c r="F815" s="485"/>
      <c r="G815" s="485"/>
      <c r="H815" s="485"/>
      <c r="I815" s="485"/>
      <c r="J815" s="485"/>
      <c r="K815" s="485"/>
      <c r="L815" s="485"/>
      <c r="M815" s="485"/>
      <c r="N815" s="485"/>
      <c r="O815" s="485"/>
      <c r="P815" s="485"/>
      <c r="Q815" s="485"/>
      <c r="R815" s="485"/>
      <c r="S815" s="485"/>
      <c r="T815" s="485"/>
      <c r="U815" s="485"/>
      <c r="V815" s="485"/>
      <c r="W815" s="485"/>
      <c r="X815" s="485"/>
      <c r="Y815" s="485"/>
      <c r="Z815" s="485"/>
    </row>
    <row r="816">
      <c r="A816" s="485"/>
      <c r="B816" s="485"/>
      <c r="C816" s="485"/>
      <c r="D816" s="485"/>
      <c r="E816" s="485"/>
      <c r="F816" s="485"/>
      <c r="G816" s="485"/>
      <c r="H816" s="485"/>
      <c r="I816" s="485"/>
      <c r="J816" s="485"/>
      <c r="K816" s="485"/>
      <c r="L816" s="485"/>
      <c r="M816" s="485"/>
      <c r="N816" s="485"/>
      <c r="O816" s="485"/>
      <c r="P816" s="485"/>
      <c r="Q816" s="485"/>
      <c r="R816" s="485"/>
      <c r="S816" s="485"/>
      <c r="T816" s="485"/>
      <c r="U816" s="485"/>
      <c r="V816" s="485"/>
      <c r="W816" s="485"/>
      <c r="X816" s="485"/>
      <c r="Y816" s="485"/>
      <c r="Z816" s="485"/>
    </row>
    <row r="817">
      <c r="A817" s="485"/>
      <c r="B817" s="485"/>
      <c r="C817" s="485"/>
      <c r="D817" s="485"/>
      <c r="E817" s="485"/>
      <c r="F817" s="485"/>
      <c r="G817" s="485"/>
      <c r="H817" s="485"/>
      <c r="I817" s="485"/>
      <c r="J817" s="485"/>
      <c r="K817" s="485"/>
      <c r="L817" s="485"/>
      <c r="M817" s="485"/>
      <c r="N817" s="485"/>
      <c r="O817" s="485"/>
      <c r="P817" s="485"/>
      <c r="Q817" s="485"/>
      <c r="R817" s="485"/>
      <c r="S817" s="485"/>
      <c r="T817" s="485"/>
      <c r="U817" s="485"/>
      <c r="V817" s="485"/>
      <c r="W817" s="485"/>
      <c r="X817" s="485"/>
      <c r="Y817" s="485"/>
      <c r="Z817" s="485"/>
    </row>
    <row r="818">
      <c r="A818" s="485"/>
      <c r="B818" s="485"/>
      <c r="C818" s="485"/>
      <c r="D818" s="485"/>
      <c r="E818" s="485"/>
      <c r="F818" s="485"/>
      <c r="G818" s="485"/>
      <c r="H818" s="485"/>
      <c r="I818" s="485"/>
      <c r="J818" s="485"/>
      <c r="K818" s="485"/>
      <c r="L818" s="485"/>
      <c r="M818" s="485"/>
      <c r="N818" s="485"/>
      <c r="O818" s="485"/>
      <c r="P818" s="485"/>
      <c r="Q818" s="485"/>
      <c r="R818" s="485"/>
      <c r="S818" s="485"/>
      <c r="T818" s="485"/>
      <c r="U818" s="485"/>
      <c r="V818" s="485"/>
      <c r="W818" s="485"/>
      <c r="X818" s="485"/>
      <c r="Y818" s="485"/>
      <c r="Z818" s="485"/>
    </row>
    <row r="819">
      <c r="A819" s="485"/>
      <c r="B819" s="485"/>
      <c r="C819" s="485"/>
      <c r="D819" s="485"/>
      <c r="E819" s="485"/>
      <c r="F819" s="485"/>
      <c r="G819" s="485"/>
      <c r="H819" s="485"/>
      <c r="I819" s="485"/>
      <c r="J819" s="485"/>
      <c r="K819" s="485"/>
      <c r="L819" s="485"/>
      <c r="M819" s="485"/>
      <c r="N819" s="485"/>
      <c r="O819" s="485"/>
      <c r="P819" s="485"/>
      <c r="Q819" s="485"/>
      <c r="R819" s="485"/>
      <c r="S819" s="485"/>
      <c r="T819" s="485"/>
      <c r="U819" s="485"/>
      <c r="V819" s="485"/>
      <c r="W819" s="485"/>
      <c r="X819" s="485"/>
      <c r="Y819" s="485"/>
      <c r="Z819" s="485"/>
    </row>
    <row r="820">
      <c r="A820" s="485"/>
      <c r="B820" s="485"/>
      <c r="C820" s="485"/>
      <c r="D820" s="485"/>
      <c r="E820" s="485"/>
      <c r="F820" s="485"/>
      <c r="G820" s="485"/>
      <c r="H820" s="485"/>
      <c r="I820" s="485"/>
      <c r="J820" s="485"/>
      <c r="K820" s="485"/>
      <c r="L820" s="485"/>
      <c r="M820" s="485"/>
      <c r="N820" s="485"/>
      <c r="O820" s="485"/>
      <c r="P820" s="485"/>
      <c r="Q820" s="485"/>
      <c r="R820" s="485"/>
      <c r="S820" s="485"/>
      <c r="T820" s="485"/>
      <c r="U820" s="485"/>
      <c r="V820" s="485"/>
      <c r="W820" s="485"/>
      <c r="X820" s="485"/>
      <c r="Y820" s="485"/>
      <c r="Z820" s="485"/>
    </row>
    <row r="821">
      <c r="A821" s="485"/>
      <c r="B821" s="485"/>
      <c r="C821" s="485"/>
      <c r="D821" s="485"/>
      <c r="E821" s="485"/>
      <c r="F821" s="485"/>
      <c r="G821" s="485"/>
      <c r="H821" s="485"/>
      <c r="I821" s="485"/>
      <c r="J821" s="485"/>
      <c r="K821" s="485"/>
      <c r="L821" s="485"/>
      <c r="M821" s="485"/>
      <c r="N821" s="485"/>
      <c r="O821" s="485"/>
      <c r="P821" s="485"/>
      <c r="Q821" s="485"/>
      <c r="R821" s="485"/>
      <c r="S821" s="485"/>
      <c r="T821" s="485"/>
      <c r="U821" s="485"/>
      <c r="V821" s="485"/>
      <c r="W821" s="485"/>
      <c r="X821" s="485"/>
      <c r="Y821" s="485"/>
      <c r="Z821" s="485"/>
    </row>
    <row r="822">
      <c r="A822" s="485"/>
      <c r="B822" s="485"/>
      <c r="C822" s="485"/>
      <c r="D822" s="485"/>
      <c r="E822" s="485"/>
      <c r="F822" s="485"/>
      <c r="G822" s="485"/>
      <c r="H822" s="485"/>
      <c r="I822" s="485"/>
      <c r="J822" s="485"/>
      <c r="K822" s="485"/>
      <c r="L822" s="485"/>
      <c r="M822" s="485"/>
      <c r="N822" s="485"/>
      <c r="O822" s="485"/>
      <c r="P822" s="485"/>
      <c r="Q822" s="485"/>
      <c r="R822" s="485"/>
      <c r="S822" s="485"/>
      <c r="T822" s="485"/>
      <c r="U822" s="485"/>
      <c r="V822" s="485"/>
      <c r="W822" s="485"/>
      <c r="X822" s="485"/>
      <c r="Y822" s="485"/>
      <c r="Z822" s="485"/>
    </row>
    <row r="823">
      <c r="A823" s="485"/>
      <c r="B823" s="485"/>
      <c r="C823" s="485"/>
      <c r="D823" s="485"/>
      <c r="E823" s="485"/>
      <c r="F823" s="485"/>
      <c r="G823" s="485"/>
      <c r="H823" s="485"/>
      <c r="I823" s="485"/>
      <c r="J823" s="485"/>
      <c r="K823" s="485"/>
      <c r="L823" s="485"/>
      <c r="M823" s="485"/>
      <c r="N823" s="485"/>
      <c r="O823" s="485"/>
      <c r="P823" s="485"/>
      <c r="Q823" s="485"/>
      <c r="R823" s="485"/>
      <c r="S823" s="485"/>
      <c r="T823" s="485"/>
      <c r="U823" s="485"/>
      <c r="V823" s="485"/>
      <c r="W823" s="485"/>
      <c r="X823" s="485"/>
      <c r="Y823" s="485"/>
      <c r="Z823" s="485"/>
    </row>
    <row r="824">
      <c r="A824" s="485"/>
      <c r="B824" s="485"/>
      <c r="C824" s="485"/>
      <c r="D824" s="485"/>
      <c r="E824" s="485"/>
      <c r="F824" s="485"/>
      <c r="G824" s="485"/>
      <c r="H824" s="485"/>
      <c r="I824" s="485"/>
      <c r="J824" s="485"/>
      <c r="K824" s="485"/>
      <c r="L824" s="485"/>
      <c r="M824" s="485"/>
      <c r="N824" s="485"/>
      <c r="O824" s="485"/>
      <c r="P824" s="485"/>
      <c r="Q824" s="485"/>
      <c r="R824" s="485"/>
      <c r="S824" s="485"/>
      <c r="T824" s="485"/>
      <c r="U824" s="485"/>
      <c r="V824" s="485"/>
      <c r="W824" s="485"/>
      <c r="X824" s="485"/>
      <c r="Y824" s="485"/>
      <c r="Z824" s="485"/>
    </row>
    <row r="825">
      <c r="A825" s="485"/>
      <c r="B825" s="485"/>
      <c r="C825" s="485"/>
      <c r="D825" s="485"/>
      <c r="E825" s="485"/>
      <c r="F825" s="485"/>
      <c r="G825" s="485"/>
      <c r="H825" s="485"/>
      <c r="I825" s="485"/>
      <c r="J825" s="485"/>
      <c r="K825" s="485"/>
      <c r="L825" s="485"/>
      <c r="M825" s="485"/>
      <c r="N825" s="485"/>
      <c r="O825" s="485"/>
      <c r="P825" s="485"/>
      <c r="Q825" s="485"/>
      <c r="R825" s="485"/>
      <c r="S825" s="485"/>
      <c r="T825" s="485"/>
      <c r="U825" s="485"/>
      <c r="V825" s="485"/>
      <c r="W825" s="485"/>
      <c r="X825" s="485"/>
      <c r="Y825" s="485"/>
      <c r="Z825" s="485"/>
    </row>
    <row r="826">
      <c r="A826" s="485"/>
      <c r="B826" s="485"/>
      <c r="C826" s="485"/>
      <c r="D826" s="485"/>
      <c r="E826" s="485"/>
      <c r="F826" s="485"/>
      <c r="G826" s="485"/>
      <c r="H826" s="485"/>
      <c r="I826" s="485"/>
      <c r="J826" s="485"/>
      <c r="K826" s="485"/>
      <c r="L826" s="485"/>
      <c r="M826" s="485"/>
      <c r="N826" s="485"/>
      <c r="O826" s="485"/>
      <c r="P826" s="485"/>
      <c r="Q826" s="485"/>
      <c r="R826" s="485"/>
      <c r="S826" s="485"/>
      <c r="T826" s="485"/>
      <c r="U826" s="485"/>
      <c r="V826" s="485"/>
      <c r="W826" s="485"/>
      <c r="X826" s="485"/>
      <c r="Y826" s="485"/>
      <c r="Z826" s="485"/>
    </row>
    <row r="827">
      <c r="A827" s="485"/>
      <c r="B827" s="485"/>
      <c r="C827" s="485"/>
      <c r="D827" s="485"/>
      <c r="E827" s="485"/>
      <c r="F827" s="485"/>
      <c r="G827" s="485"/>
      <c r="H827" s="485"/>
      <c r="I827" s="485"/>
      <c r="J827" s="485"/>
      <c r="K827" s="485"/>
      <c r="L827" s="485"/>
      <c r="M827" s="485"/>
      <c r="N827" s="485"/>
      <c r="O827" s="485"/>
      <c r="P827" s="485"/>
      <c r="Q827" s="485"/>
      <c r="R827" s="485"/>
      <c r="S827" s="485"/>
      <c r="T827" s="485"/>
      <c r="U827" s="485"/>
      <c r="V827" s="485"/>
      <c r="W827" s="485"/>
      <c r="X827" s="485"/>
      <c r="Y827" s="485"/>
      <c r="Z827" s="485"/>
    </row>
    <row r="828">
      <c r="A828" s="485"/>
      <c r="B828" s="485"/>
      <c r="C828" s="485"/>
      <c r="D828" s="485"/>
      <c r="E828" s="485"/>
      <c r="F828" s="485"/>
      <c r="G828" s="485"/>
      <c r="H828" s="485"/>
      <c r="I828" s="485"/>
      <c r="J828" s="485"/>
      <c r="K828" s="485"/>
      <c r="L828" s="485"/>
      <c r="M828" s="485"/>
      <c r="N828" s="485"/>
      <c r="O828" s="485"/>
      <c r="P828" s="485"/>
      <c r="Q828" s="485"/>
      <c r="R828" s="485"/>
      <c r="S828" s="485"/>
      <c r="T828" s="485"/>
      <c r="U828" s="485"/>
      <c r="V828" s="485"/>
      <c r="W828" s="485"/>
      <c r="X828" s="485"/>
      <c r="Y828" s="485"/>
      <c r="Z828" s="485"/>
    </row>
    <row r="829">
      <c r="A829" s="485"/>
      <c r="B829" s="485"/>
      <c r="C829" s="485"/>
      <c r="D829" s="485"/>
      <c r="E829" s="485"/>
      <c r="F829" s="485"/>
      <c r="G829" s="485"/>
      <c r="H829" s="485"/>
      <c r="I829" s="485"/>
      <c r="J829" s="485"/>
      <c r="K829" s="485"/>
      <c r="L829" s="485"/>
      <c r="M829" s="485"/>
      <c r="N829" s="485"/>
      <c r="O829" s="485"/>
      <c r="P829" s="485"/>
      <c r="Q829" s="485"/>
      <c r="R829" s="485"/>
      <c r="S829" s="485"/>
      <c r="T829" s="485"/>
      <c r="U829" s="485"/>
      <c r="V829" s="485"/>
      <c r="W829" s="485"/>
      <c r="X829" s="485"/>
      <c r="Y829" s="485"/>
      <c r="Z829" s="485"/>
    </row>
    <row r="830">
      <c r="A830" s="485"/>
      <c r="B830" s="485"/>
      <c r="C830" s="485"/>
      <c r="D830" s="485"/>
      <c r="E830" s="485"/>
      <c r="F830" s="485"/>
      <c r="G830" s="485"/>
      <c r="H830" s="485"/>
      <c r="I830" s="485"/>
      <c r="J830" s="485"/>
      <c r="K830" s="485"/>
      <c r="L830" s="485"/>
      <c r="M830" s="485"/>
      <c r="N830" s="485"/>
      <c r="O830" s="485"/>
      <c r="P830" s="485"/>
      <c r="Q830" s="485"/>
      <c r="R830" s="485"/>
      <c r="S830" s="485"/>
      <c r="T830" s="485"/>
      <c r="U830" s="485"/>
      <c r="V830" s="485"/>
      <c r="W830" s="485"/>
      <c r="X830" s="485"/>
      <c r="Y830" s="485"/>
      <c r="Z830" s="485"/>
    </row>
    <row r="831">
      <c r="A831" s="485"/>
      <c r="B831" s="485"/>
      <c r="C831" s="485"/>
      <c r="D831" s="485"/>
      <c r="E831" s="485"/>
      <c r="F831" s="485"/>
      <c r="G831" s="485"/>
      <c r="H831" s="485"/>
      <c r="I831" s="485"/>
      <c r="J831" s="485"/>
      <c r="K831" s="485"/>
      <c r="L831" s="485"/>
      <c r="M831" s="485"/>
      <c r="N831" s="485"/>
      <c r="O831" s="485"/>
      <c r="P831" s="485"/>
      <c r="Q831" s="485"/>
      <c r="R831" s="485"/>
      <c r="S831" s="485"/>
      <c r="T831" s="485"/>
      <c r="U831" s="485"/>
      <c r="V831" s="485"/>
      <c r="W831" s="485"/>
      <c r="X831" s="485"/>
      <c r="Y831" s="485"/>
      <c r="Z831" s="485"/>
    </row>
    <row r="832">
      <c r="A832" s="485"/>
      <c r="B832" s="485"/>
      <c r="C832" s="485"/>
      <c r="D832" s="485"/>
      <c r="E832" s="485"/>
      <c r="F832" s="485"/>
      <c r="G832" s="485"/>
      <c r="H832" s="485"/>
      <c r="I832" s="485"/>
      <c r="J832" s="485"/>
      <c r="K832" s="485"/>
      <c r="L832" s="485"/>
      <c r="M832" s="485"/>
      <c r="N832" s="485"/>
      <c r="O832" s="485"/>
      <c r="P832" s="485"/>
      <c r="Q832" s="485"/>
      <c r="R832" s="485"/>
      <c r="S832" s="485"/>
      <c r="T832" s="485"/>
      <c r="U832" s="485"/>
      <c r="V832" s="485"/>
      <c r="W832" s="485"/>
      <c r="X832" s="485"/>
      <c r="Y832" s="485"/>
      <c r="Z832" s="485"/>
    </row>
    <row r="833">
      <c r="A833" s="485"/>
      <c r="B833" s="485"/>
      <c r="C833" s="485"/>
      <c r="D833" s="485"/>
      <c r="E833" s="485"/>
      <c r="F833" s="485"/>
      <c r="G833" s="485"/>
      <c r="H833" s="485"/>
      <c r="I833" s="485"/>
      <c r="J833" s="485"/>
      <c r="K833" s="485"/>
      <c r="L833" s="485"/>
      <c r="M833" s="485"/>
      <c r="N833" s="485"/>
      <c r="O833" s="485"/>
      <c r="P833" s="485"/>
      <c r="Q833" s="485"/>
      <c r="R833" s="485"/>
      <c r="S833" s="485"/>
      <c r="T833" s="485"/>
      <c r="U833" s="485"/>
      <c r="V833" s="485"/>
      <c r="W833" s="485"/>
      <c r="X833" s="485"/>
      <c r="Y833" s="485"/>
      <c r="Z833" s="485"/>
    </row>
    <row r="834">
      <c r="A834" s="485"/>
      <c r="B834" s="485"/>
      <c r="C834" s="485"/>
      <c r="D834" s="485"/>
      <c r="E834" s="485"/>
      <c r="F834" s="485"/>
      <c r="G834" s="485"/>
      <c r="H834" s="485"/>
      <c r="I834" s="485"/>
      <c r="J834" s="485"/>
      <c r="K834" s="485"/>
      <c r="L834" s="485"/>
      <c r="M834" s="485"/>
      <c r="N834" s="485"/>
      <c r="O834" s="485"/>
      <c r="P834" s="485"/>
      <c r="Q834" s="485"/>
      <c r="R834" s="485"/>
      <c r="S834" s="485"/>
      <c r="T834" s="485"/>
      <c r="U834" s="485"/>
      <c r="V834" s="485"/>
      <c r="W834" s="485"/>
      <c r="X834" s="485"/>
      <c r="Y834" s="485"/>
      <c r="Z834" s="485"/>
    </row>
    <row r="835">
      <c r="A835" s="485"/>
      <c r="B835" s="485"/>
      <c r="C835" s="485"/>
      <c r="D835" s="485"/>
      <c r="E835" s="485"/>
      <c r="F835" s="485"/>
      <c r="G835" s="485"/>
      <c r="H835" s="485"/>
      <c r="I835" s="485"/>
      <c r="J835" s="485"/>
      <c r="K835" s="485"/>
      <c r="L835" s="485"/>
      <c r="M835" s="485"/>
      <c r="N835" s="485"/>
      <c r="O835" s="485"/>
      <c r="P835" s="485"/>
      <c r="Q835" s="485"/>
      <c r="R835" s="485"/>
      <c r="S835" s="485"/>
      <c r="T835" s="485"/>
      <c r="U835" s="485"/>
      <c r="V835" s="485"/>
      <c r="W835" s="485"/>
      <c r="X835" s="485"/>
      <c r="Y835" s="485"/>
      <c r="Z835" s="485"/>
    </row>
    <row r="836">
      <c r="A836" s="485"/>
      <c r="B836" s="485"/>
      <c r="C836" s="485"/>
      <c r="D836" s="485"/>
      <c r="E836" s="485"/>
      <c r="F836" s="485"/>
      <c r="G836" s="485"/>
      <c r="H836" s="485"/>
      <c r="I836" s="485"/>
      <c r="J836" s="485"/>
      <c r="K836" s="485"/>
      <c r="L836" s="485"/>
      <c r="M836" s="485"/>
      <c r="N836" s="485"/>
      <c r="O836" s="485"/>
      <c r="P836" s="485"/>
      <c r="Q836" s="485"/>
      <c r="R836" s="485"/>
      <c r="S836" s="485"/>
      <c r="T836" s="485"/>
      <c r="U836" s="485"/>
      <c r="V836" s="485"/>
      <c r="W836" s="485"/>
      <c r="X836" s="485"/>
      <c r="Y836" s="485"/>
      <c r="Z836" s="485"/>
    </row>
    <row r="837">
      <c r="A837" s="485"/>
      <c r="B837" s="485"/>
      <c r="C837" s="485"/>
      <c r="D837" s="485"/>
      <c r="E837" s="485"/>
      <c r="F837" s="485"/>
      <c r="G837" s="485"/>
      <c r="H837" s="485"/>
      <c r="I837" s="485"/>
      <c r="J837" s="485"/>
      <c r="K837" s="485"/>
      <c r="L837" s="485"/>
      <c r="M837" s="485"/>
      <c r="N837" s="485"/>
      <c r="O837" s="485"/>
      <c r="P837" s="485"/>
      <c r="Q837" s="485"/>
      <c r="R837" s="485"/>
      <c r="S837" s="485"/>
      <c r="T837" s="485"/>
      <c r="U837" s="485"/>
      <c r="V837" s="485"/>
      <c r="W837" s="485"/>
      <c r="X837" s="485"/>
      <c r="Y837" s="485"/>
      <c r="Z837" s="485"/>
    </row>
    <row r="838">
      <c r="A838" s="485"/>
      <c r="B838" s="485"/>
      <c r="C838" s="485"/>
      <c r="D838" s="485"/>
      <c r="E838" s="485"/>
      <c r="F838" s="485"/>
      <c r="G838" s="485"/>
      <c r="H838" s="485"/>
      <c r="I838" s="485"/>
      <c r="J838" s="485"/>
      <c r="K838" s="485"/>
      <c r="L838" s="485"/>
      <c r="M838" s="485"/>
      <c r="N838" s="485"/>
      <c r="O838" s="485"/>
      <c r="P838" s="485"/>
      <c r="Q838" s="485"/>
      <c r="R838" s="485"/>
      <c r="S838" s="485"/>
      <c r="T838" s="485"/>
      <c r="U838" s="485"/>
      <c r="V838" s="485"/>
      <c r="W838" s="485"/>
      <c r="X838" s="485"/>
      <c r="Y838" s="485"/>
      <c r="Z838" s="485"/>
    </row>
    <row r="839">
      <c r="A839" s="485"/>
      <c r="B839" s="485"/>
      <c r="C839" s="485"/>
      <c r="D839" s="485"/>
      <c r="E839" s="485"/>
      <c r="F839" s="485"/>
      <c r="G839" s="485"/>
      <c r="H839" s="485"/>
      <c r="I839" s="485"/>
      <c r="J839" s="485"/>
      <c r="K839" s="485"/>
      <c r="L839" s="485"/>
      <c r="M839" s="485"/>
      <c r="N839" s="485"/>
      <c r="O839" s="485"/>
      <c r="P839" s="485"/>
      <c r="Q839" s="485"/>
      <c r="R839" s="485"/>
      <c r="S839" s="485"/>
      <c r="T839" s="485"/>
      <c r="U839" s="485"/>
      <c r="V839" s="485"/>
      <c r="W839" s="485"/>
      <c r="X839" s="485"/>
      <c r="Y839" s="485"/>
      <c r="Z839" s="485"/>
    </row>
    <row r="840">
      <c r="A840" s="485"/>
      <c r="B840" s="485"/>
      <c r="C840" s="485"/>
      <c r="D840" s="485"/>
      <c r="E840" s="485"/>
      <c r="F840" s="485"/>
      <c r="G840" s="485"/>
      <c r="H840" s="485"/>
      <c r="I840" s="485"/>
      <c r="J840" s="485"/>
      <c r="K840" s="485"/>
      <c r="L840" s="485"/>
      <c r="M840" s="485"/>
      <c r="N840" s="485"/>
      <c r="O840" s="485"/>
      <c r="P840" s="485"/>
      <c r="Q840" s="485"/>
      <c r="R840" s="485"/>
      <c r="S840" s="485"/>
      <c r="T840" s="485"/>
      <c r="U840" s="485"/>
      <c r="V840" s="485"/>
      <c r="W840" s="485"/>
      <c r="X840" s="485"/>
      <c r="Y840" s="485"/>
      <c r="Z840" s="485"/>
    </row>
    <row r="841">
      <c r="A841" s="485"/>
      <c r="B841" s="485"/>
      <c r="C841" s="485"/>
      <c r="D841" s="485"/>
      <c r="E841" s="485"/>
      <c r="F841" s="485"/>
      <c r="G841" s="485"/>
      <c r="H841" s="485"/>
      <c r="I841" s="485"/>
      <c r="J841" s="485"/>
      <c r="K841" s="485"/>
      <c r="L841" s="485"/>
      <c r="M841" s="485"/>
      <c r="N841" s="485"/>
      <c r="O841" s="485"/>
      <c r="P841" s="485"/>
      <c r="Q841" s="485"/>
      <c r="R841" s="485"/>
      <c r="S841" s="485"/>
      <c r="T841" s="485"/>
      <c r="U841" s="485"/>
      <c r="V841" s="485"/>
      <c r="W841" s="485"/>
      <c r="X841" s="485"/>
      <c r="Y841" s="485"/>
      <c r="Z841" s="485"/>
    </row>
    <row r="842">
      <c r="A842" s="485"/>
      <c r="B842" s="485"/>
      <c r="C842" s="485"/>
      <c r="D842" s="485"/>
      <c r="E842" s="485"/>
      <c r="F842" s="485"/>
      <c r="G842" s="485"/>
      <c r="H842" s="485"/>
      <c r="I842" s="485"/>
      <c r="J842" s="485"/>
      <c r="K842" s="485"/>
      <c r="L842" s="485"/>
      <c r="M842" s="485"/>
      <c r="N842" s="485"/>
      <c r="O842" s="485"/>
      <c r="P842" s="485"/>
      <c r="Q842" s="485"/>
      <c r="R842" s="485"/>
      <c r="S842" s="485"/>
      <c r="T842" s="485"/>
      <c r="U842" s="485"/>
      <c r="V842" s="485"/>
      <c r="W842" s="485"/>
      <c r="X842" s="485"/>
      <c r="Y842" s="485"/>
      <c r="Z842" s="485"/>
    </row>
    <row r="843">
      <c r="A843" s="485"/>
      <c r="B843" s="485"/>
      <c r="C843" s="485"/>
      <c r="D843" s="485"/>
      <c r="E843" s="485"/>
      <c r="F843" s="485"/>
      <c r="G843" s="485"/>
      <c r="H843" s="485"/>
      <c r="I843" s="485"/>
      <c r="J843" s="485"/>
      <c r="K843" s="485"/>
      <c r="L843" s="485"/>
      <c r="M843" s="485"/>
      <c r="N843" s="485"/>
      <c r="O843" s="485"/>
      <c r="P843" s="485"/>
      <c r="Q843" s="485"/>
      <c r="R843" s="485"/>
      <c r="S843" s="485"/>
      <c r="T843" s="485"/>
      <c r="U843" s="485"/>
      <c r="V843" s="485"/>
      <c r="W843" s="485"/>
      <c r="X843" s="485"/>
      <c r="Y843" s="485"/>
      <c r="Z843" s="485"/>
    </row>
    <row r="844">
      <c r="A844" s="485"/>
      <c r="B844" s="485"/>
      <c r="C844" s="485"/>
      <c r="D844" s="485"/>
      <c r="E844" s="485"/>
      <c r="F844" s="485"/>
      <c r="G844" s="485"/>
      <c r="H844" s="485"/>
      <c r="I844" s="485"/>
      <c r="J844" s="485"/>
      <c r="K844" s="485"/>
      <c r="L844" s="485"/>
      <c r="M844" s="485"/>
      <c r="N844" s="485"/>
      <c r="O844" s="485"/>
      <c r="P844" s="485"/>
      <c r="Q844" s="485"/>
      <c r="R844" s="485"/>
      <c r="S844" s="485"/>
      <c r="T844" s="485"/>
      <c r="U844" s="485"/>
      <c r="V844" s="485"/>
      <c r="W844" s="485"/>
      <c r="X844" s="485"/>
      <c r="Y844" s="485"/>
      <c r="Z844" s="485"/>
    </row>
    <row r="845">
      <c r="A845" s="485"/>
      <c r="B845" s="485"/>
      <c r="C845" s="485"/>
      <c r="D845" s="485"/>
      <c r="E845" s="485"/>
      <c r="F845" s="485"/>
      <c r="G845" s="485"/>
      <c r="H845" s="485"/>
      <c r="I845" s="485"/>
      <c r="J845" s="485"/>
      <c r="K845" s="485"/>
      <c r="L845" s="485"/>
      <c r="M845" s="485"/>
      <c r="N845" s="485"/>
      <c r="O845" s="485"/>
      <c r="P845" s="485"/>
      <c r="Q845" s="485"/>
      <c r="R845" s="485"/>
      <c r="S845" s="485"/>
      <c r="T845" s="485"/>
      <c r="U845" s="485"/>
      <c r="V845" s="485"/>
      <c r="W845" s="485"/>
      <c r="X845" s="485"/>
      <c r="Y845" s="485"/>
      <c r="Z845" s="485"/>
    </row>
    <row r="846">
      <c r="A846" s="485"/>
      <c r="B846" s="485"/>
      <c r="C846" s="485"/>
      <c r="D846" s="485"/>
      <c r="E846" s="485"/>
      <c r="F846" s="485"/>
      <c r="G846" s="485"/>
      <c r="H846" s="485"/>
      <c r="I846" s="485"/>
      <c r="J846" s="485"/>
      <c r="K846" s="485"/>
      <c r="L846" s="485"/>
      <c r="M846" s="485"/>
      <c r="N846" s="485"/>
      <c r="O846" s="485"/>
      <c r="P846" s="485"/>
      <c r="Q846" s="485"/>
      <c r="R846" s="485"/>
      <c r="S846" s="485"/>
      <c r="T846" s="485"/>
      <c r="U846" s="485"/>
      <c r="V846" s="485"/>
      <c r="W846" s="485"/>
      <c r="X846" s="485"/>
      <c r="Y846" s="485"/>
      <c r="Z846" s="485"/>
    </row>
    <row r="847">
      <c r="A847" s="485"/>
      <c r="B847" s="485"/>
      <c r="C847" s="485"/>
      <c r="D847" s="485"/>
      <c r="E847" s="485"/>
      <c r="F847" s="485"/>
      <c r="G847" s="485"/>
      <c r="H847" s="485"/>
      <c r="I847" s="485"/>
      <c r="J847" s="485"/>
      <c r="K847" s="485"/>
      <c r="L847" s="485"/>
      <c r="M847" s="485"/>
      <c r="N847" s="485"/>
      <c r="O847" s="485"/>
      <c r="P847" s="485"/>
      <c r="Q847" s="485"/>
      <c r="R847" s="485"/>
      <c r="S847" s="485"/>
      <c r="T847" s="485"/>
      <c r="U847" s="485"/>
      <c r="V847" s="485"/>
      <c r="W847" s="485"/>
      <c r="X847" s="485"/>
      <c r="Y847" s="485"/>
      <c r="Z847" s="485"/>
    </row>
    <row r="848">
      <c r="A848" s="485"/>
      <c r="B848" s="485"/>
      <c r="C848" s="485"/>
      <c r="D848" s="485"/>
      <c r="E848" s="485"/>
      <c r="F848" s="485"/>
      <c r="G848" s="485"/>
      <c r="H848" s="485"/>
      <c r="I848" s="485"/>
      <c r="J848" s="485"/>
      <c r="K848" s="485"/>
      <c r="L848" s="485"/>
      <c r="M848" s="485"/>
      <c r="N848" s="485"/>
      <c r="O848" s="485"/>
      <c r="P848" s="485"/>
      <c r="Q848" s="485"/>
      <c r="R848" s="485"/>
      <c r="S848" s="485"/>
      <c r="T848" s="485"/>
      <c r="U848" s="485"/>
      <c r="V848" s="485"/>
      <c r="W848" s="485"/>
      <c r="X848" s="485"/>
      <c r="Y848" s="485"/>
      <c r="Z848" s="485"/>
    </row>
    <row r="849">
      <c r="A849" s="485"/>
      <c r="B849" s="485"/>
      <c r="C849" s="485"/>
      <c r="D849" s="485"/>
      <c r="E849" s="485"/>
      <c r="F849" s="485"/>
      <c r="G849" s="485"/>
      <c r="H849" s="485"/>
      <c r="I849" s="485"/>
      <c r="J849" s="485"/>
      <c r="K849" s="485"/>
      <c r="L849" s="485"/>
      <c r="M849" s="485"/>
      <c r="N849" s="485"/>
      <c r="O849" s="485"/>
      <c r="P849" s="485"/>
      <c r="Q849" s="485"/>
      <c r="R849" s="485"/>
      <c r="S849" s="485"/>
      <c r="T849" s="485"/>
      <c r="U849" s="485"/>
      <c r="V849" s="485"/>
      <c r="W849" s="485"/>
      <c r="X849" s="485"/>
      <c r="Y849" s="485"/>
      <c r="Z849" s="485"/>
    </row>
    <row r="850">
      <c r="A850" s="485"/>
      <c r="B850" s="485"/>
      <c r="C850" s="485"/>
      <c r="D850" s="485"/>
      <c r="E850" s="485"/>
      <c r="F850" s="485"/>
      <c r="G850" s="485"/>
      <c r="H850" s="485"/>
      <c r="I850" s="485"/>
      <c r="J850" s="485"/>
      <c r="K850" s="485"/>
      <c r="L850" s="485"/>
      <c r="M850" s="485"/>
      <c r="N850" s="485"/>
      <c r="O850" s="485"/>
      <c r="P850" s="485"/>
      <c r="Q850" s="485"/>
      <c r="R850" s="485"/>
      <c r="S850" s="485"/>
      <c r="T850" s="485"/>
      <c r="U850" s="485"/>
      <c r="V850" s="485"/>
      <c r="W850" s="485"/>
      <c r="X850" s="485"/>
      <c r="Y850" s="485"/>
      <c r="Z850" s="485"/>
    </row>
    <row r="851">
      <c r="A851" s="485"/>
      <c r="B851" s="485"/>
      <c r="C851" s="485"/>
      <c r="D851" s="485"/>
      <c r="E851" s="485"/>
      <c r="F851" s="485"/>
      <c r="G851" s="485"/>
      <c r="H851" s="485"/>
      <c r="I851" s="485"/>
      <c r="J851" s="485"/>
      <c r="K851" s="485"/>
      <c r="L851" s="485"/>
      <c r="M851" s="485"/>
      <c r="N851" s="485"/>
      <c r="O851" s="485"/>
      <c r="P851" s="485"/>
      <c r="Q851" s="485"/>
      <c r="R851" s="485"/>
      <c r="S851" s="485"/>
      <c r="T851" s="485"/>
      <c r="U851" s="485"/>
      <c r="V851" s="485"/>
      <c r="W851" s="485"/>
      <c r="X851" s="485"/>
      <c r="Y851" s="485"/>
      <c r="Z851" s="485"/>
    </row>
    <row r="852">
      <c r="A852" s="485"/>
      <c r="B852" s="485"/>
      <c r="C852" s="485"/>
      <c r="D852" s="485"/>
      <c r="E852" s="485"/>
      <c r="F852" s="485"/>
      <c r="G852" s="485"/>
      <c r="H852" s="485"/>
      <c r="I852" s="485"/>
      <c r="J852" s="485"/>
      <c r="K852" s="485"/>
      <c r="L852" s="485"/>
      <c r="M852" s="485"/>
      <c r="N852" s="485"/>
      <c r="O852" s="485"/>
      <c r="P852" s="485"/>
      <c r="Q852" s="485"/>
      <c r="R852" s="485"/>
      <c r="S852" s="485"/>
      <c r="T852" s="485"/>
      <c r="U852" s="485"/>
      <c r="V852" s="485"/>
      <c r="W852" s="485"/>
      <c r="X852" s="485"/>
      <c r="Y852" s="485"/>
      <c r="Z852" s="485"/>
    </row>
    <row r="853">
      <c r="A853" s="485"/>
      <c r="B853" s="485"/>
      <c r="C853" s="485"/>
      <c r="D853" s="485"/>
      <c r="E853" s="485"/>
      <c r="F853" s="485"/>
      <c r="G853" s="485"/>
      <c r="H853" s="485"/>
      <c r="I853" s="485"/>
      <c r="J853" s="485"/>
      <c r="K853" s="485"/>
      <c r="L853" s="485"/>
      <c r="M853" s="485"/>
      <c r="N853" s="485"/>
      <c r="O853" s="485"/>
      <c r="P853" s="485"/>
      <c r="Q853" s="485"/>
      <c r="R853" s="485"/>
      <c r="S853" s="485"/>
      <c r="T853" s="485"/>
      <c r="U853" s="485"/>
      <c r="V853" s="485"/>
      <c r="W853" s="485"/>
      <c r="X853" s="485"/>
      <c r="Y853" s="485"/>
      <c r="Z853" s="485"/>
    </row>
    <row r="854">
      <c r="A854" s="485"/>
      <c r="B854" s="485"/>
      <c r="C854" s="485"/>
      <c r="D854" s="485"/>
      <c r="E854" s="485"/>
      <c r="F854" s="485"/>
      <c r="G854" s="485"/>
      <c r="H854" s="485"/>
      <c r="I854" s="485"/>
      <c r="J854" s="485"/>
      <c r="K854" s="485"/>
      <c r="L854" s="485"/>
      <c r="M854" s="485"/>
      <c r="N854" s="485"/>
      <c r="O854" s="485"/>
      <c r="P854" s="485"/>
      <c r="Q854" s="485"/>
      <c r="R854" s="485"/>
      <c r="S854" s="485"/>
      <c r="T854" s="485"/>
      <c r="U854" s="485"/>
      <c r="V854" s="485"/>
      <c r="W854" s="485"/>
      <c r="X854" s="485"/>
      <c r="Y854" s="485"/>
      <c r="Z854" s="485"/>
    </row>
    <row r="855">
      <c r="A855" s="485"/>
      <c r="B855" s="485"/>
      <c r="C855" s="485"/>
      <c r="D855" s="485"/>
      <c r="E855" s="485"/>
      <c r="F855" s="485"/>
      <c r="G855" s="485"/>
      <c r="H855" s="485"/>
      <c r="I855" s="485"/>
      <c r="J855" s="485"/>
      <c r="K855" s="485"/>
      <c r="L855" s="485"/>
      <c r="M855" s="485"/>
      <c r="N855" s="485"/>
      <c r="O855" s="485"/>
      <c r="P855" s="485"/>
      <c r="Q855" s="485"/>
      <c r="R855" s="485"/>
      <c r="S855" s="485"/>
      <c r="T855" s="485"/>
      <c r="U855" s="485"/>
      <c r="V855" s="485"/>
      <c r="W855" s="485"/>
      <c r="X855" s="485"/>
      <c r="Y855" s="485"/>
      <c r="Z855" s="485"/>
    </row>
    <row r="856">
      <c r="A856" s="485"/>
      <c r="B856" s="485"/>
      <c r="C856" s="485"/>
      <c r="D856" s="485"/>
      <c r="E856" s="485"/>
      <c r="F856" s="485"/>
      <c r="G856" s="485"/>
      <c r="H856" s="485"/>
      <c r="I856" s="485"/>
      <c r="J856" s="485"/>
      <c r="K856" s="485"/>
      <c r="L856" s="485"/>
      <c r="M856" s="485"/>
      <c r="N856" s="485"/>
      <c r="O856" s="485"/>
      <c r="P856" s="485"/>
      <c r="Q856" s="485"/>
      <c r="R856" s="485"/>
      <c r="S856" s="485"/>
      <c r="T856" s="485"/>
      <c r="U856" s="485"/>
      <c r="V856" s="485"/>
      <c r="W856" s="485"/>
      <c r="X856" s="485"/>
      <c r="Y856" s="485"/>
      <c r="Z856" s="485"/>
    </row>
    <row r="857">
      <c r="A857" s="485"/>
      <c r="B857" s="485"/>
      <c r="C857" s="485"/>
      <c r="D857" s="485"/>
      <c r="E857" s="485"/>
      <c r="F857" s="485"/>
      <c r="G857" s="485"/>
      <c r="H857" s="485"/>
      <c r="I857" s="485"/>
      <c r="J857" s="485"/>
      <c r="K857" s="485"/>
      <c r="L857" s="485"/>
      <c r="M857" s="485"/>
      <c r="N857" s="485"/>
      <c r="O857" s="485"/>
      <c r="P857" s="485"/>
      <c r="Q857" s="485"/>
      <c r="R857" s="485"/>
      <c r="S857" s="485"/>
      <c r="T857" s="485"/>
      <c r="U857" s="485"/>
      <c r="V857" s="485"/>
      <c r="W857" s="485"/>
      <c r="X857" s="485"/>
      <c r="Y857" s="485"/>
      <c r="Z857" s="485"/>
    </row>
    <row r="858">
      <c r="A858" s="485"/>
      <c r="B858" s="485"/>
      <c r="C858" s="485"/>
      <c r="D858" s="485"/>
      <c r="E858" s="485"/>
      <c r="F858" s="485"/>
      <c r="G858" s="485"/>
      <c r="H858" s="485"/>
      <c r="I858" s="485"/>
      <c r="J858" s="485"/>
      <c r="K858" s="485"/>
      <c r="L858" s="485"/>
      <c r="M858" s="485"/>
      <c r="N858" s="485"/>
      <c r="O858" s="485"/>
      <c r="P858" s="485"/>
      <c r="Q858" s="485"/>
      <c r="R858" s="485"/>
      <c r="S858" s="485"/>
      <c r="T858" s="485"/>
      <c r="U858" s="485"/>
      <c r="V858" s="485"/>
      <c r="W858" s="485"/>
      <c r="X858" s="485"/>
      <c r="Y858" s="485"/>
      <c r="Z858" s="485"/>
    </row>
    <row r="859">
      <c r="A859" s="485"/>
      <c r="B859" s="485"/>
      <c r="C859" s="485"/>
      <c r="D859" s="485"/>
      <c r="E859" s="485"/>
      <c r="F859" s="485"/>
      <c r="G859" s="485"/>
      <c r="H859" s="485"/>
      <c r="I859" s="485"/>
      <c r="J859" s="485"/>
      <c r="K859" s="485"/>
      <c r="L859" s="485"/>
      <c r="M859" s="485"/>
      <c r="N859" s="485"/>
      <c r="O859" s="485"/>
      <c r="P859" s="485"/>
      <c r="Q859" s="485"/>
      <c r="R859" s="485"/>
      <c r="S859" s="485"/>
      <c r="T859" s="485"/>
      <c r="U859" s="485"/>
      <c r="V859" s="485"/>
      <c r="W859" s="485"/>
      <c r="X859" s="485"/>
      <c r="Y859" s="485"/>
      <c r="Z859" s="485"/>
    </row>
    <row r="860">
      <c r="A860" s="485"/>
      <c r="B860" s="485"/>
      <c r="C860" s="485"/>
      <c r="D860" s="485"/>
      <c r="E860" s="485"/>
      <c r="F860" s="485"/>
      <c r="G860" s="485"/>
      <c r="H860" s="485"/>
      <c r="I860" s="485"/>
      <c r="J860" s="485"/>
      <c r="K860" s="485"/>
      <c r="L860" s="485"/>
      <c r="M860" s="485"/>
      <c r="N860" s="485"/>
      <c r="O860" s="485"/>
      <c r="P860" s="485"/>
      <c r="Q860" s="485"/>
      <c r="R860" s="485"/>
      <c r="S860" s="485"/>
      <c r="T860" s="485"/>
      <c r="U860" s="485"/>
      <c r="V860" s="485"/>
      <c r="W860" s="485"/>
      <c r="X860" s="485"/>
      <c r="Y860" s="485"/>
      <c r="Z860" s="485"/>
    </row>
    <row r="861">
      <c r="A861" s="485"/>
      <c r="B861" s="485"/>
      <c r="C861" s="485"/>
      <c r="D861" s="485"/>
      <c r="E861" s="485"/>
      <c r="F861" s="485"/>
      <c r="G861" s="485"/>
      <c r="H861" s="485"/>
      <c r="I861" s="485"/>
      <c r="J861" s="485"/>
      <c r="K861" s="485"/>
      <c r="L861" s="485"/>
      <c r="M861" s="485"/>
      <c r="N861" s="485"/>
      <c r="O861" s="485"/>
      <c r="P861" s="485"/>
      <c r="Q861" s="485"/>
      <c r="R861" s="485"/>
      <c r="S861" s="485"/>
      <c r="T861" s="485"/>
      <c r="U861" s="485"/>
      <c r="V861" s="485"/>
      <c r="W861" s="485"/>
      <c r="X861" s="485"/>
      <c r="Y861" s="485"/>
      <c r="Z861" s="485"/>
    </row>
    <row r="862">
      <c r="A862" s="485"/>
      <c r="B862" s="485"/>
      <c r="C862" s="485"/>
      <c r="D862" s="485"/>
      <c r="E862" s="485"/>
      <c r="F862" s="485"/>
      <c r="G862" s="485"/>
      <c r="H862" s="485"/>
      <c r="I862" s="485"/>
      <c r="J862" s="485"/>
      <c r="K862" s="485"/>
      <c r="L862" s="485"/>
      <c r="M862" s="485"/>
      <c r="N862" s="485"/>
      <c r="O862" s="485"/>
      <c r="P862" s="485"/>
      <c r="Q862" s="485"/>
      <c r="R862" s="485"/>
      <c r="S862" s="485"/>
      <c r="T862" s="485"/>
      <c r="U862" s="485"/>
      <c r="V862" s="485"/>
      <c r="W862" s="485"/>
      <c r="X862" s="485"/>
      <c r="Y862" s="485"/>
      <c r="Z862" s="485"/>
    </row>
    <row r="863">
      <c r="A863" s="485"/>
      <c r="B863" s="485"/>
      <c r="C863" s="485"/>
      <c r="D863" s="485"/>
      <c r="E863" s="485"/>
      <c r="F863" s="485"/>
      <c r="G863" s="485"/>
      <c r="H863" s="485"/>
      <c r="I863" s="485"/>
      <c r="J863" s="485"/>
      <c r="K863" s="485"/>
      <c r="L863" s="485"/>
      <c r="M863" s="485"/>
      <c r="N863" s="485"/>
      <c r="O863" s="485"/>
      <c r="P863" s="485"/>
      <c r="Q863" s="485"/>
      <c r="R863" s="485"/>
      <c r="S863" s="485"/>
      <c r="T863" s="485"/>
      <c r="U863" s="485"/>
      <c r="V863" s="485"/>
      <c r="W863" s="485"/>
      <c r="X863" s="485"/>
      <c r="Y863" s="485"/>
      <c r="Z863" s="485"/>
    </row>
    <row r="864">
      <c r="A864" s="485"/>
      <c r="B864" s="485"/>
      <c r="C864" s="485"/>
      <c r="D864" s="485"/>
      <c r="E864" s="485"/>
      <c r="F864" s="485"/>
      <c r="G864" s="485"/>
      <c r="H864" s="485"/>
      <c r="I864" s="485"/>
      <c r="J864" s="485"/>
      <c r="K864" s="485"/>
      <c r="L864" s="485"/>
      <c r="M864" s="485"/>
      <c r="N864" s="485"/>
      <c r="O864" s="485"/>
      <c r="P864" s="485"/>
      <c r="Q864" s="485"/>
      <c r="R864" s="485"/>
      <c r="S864" s="485"/>
      <c r="T864" s="485"/>
      <c r="U864" s="485"/>
      <c r="V864" s="485"/>
      <c r="W864" s="485"/>
      <c r="X864" s="485"/>
      <c r="Y864" s="485"/>
      <c r="Z864" s="485"/>
    </row>
    <row r="865">
      <c r="A865" s="485"/>
      <c r="B865" s="485"/>
      <c r="C865" s="485"/>
      <c r="D865" s="485"/>
      <c r="E865" s="485"/>
      <c r="F865" s="485"/>
      <c r="G865" s="485"/>
      <c r="H865" s="485"/>
      <c r="I865" s="485"/>
      <c r="J865" s="485"/>
      <c r="K865" s="485"/>
      <c r="L865" s="485"/>
      <c r="M865" s="485"/>
      <c r="N865" s="485"/>
      <c r="O865" s="485"/>
      <c r="P865" s="485"/>
      <c r="Q865" s="485"/>
      <c r="R865" s="485"/>
      <c r="S865" s="485"/>
      <c r="T865" s="485"/>
      <c r="U865" s="485"/>
      <c r="V865" s="485"/>
      <c r="W865" s="485"/>
      <c r="X865" s="485"/>
      <c r="Y865" s="485"/>
      <c r="Z865" s="485"/>
    </row>
    <row r="866">
      <c r="A866" s="485"/>
      <c r="B866" s="485"/>
      <c r="C866" s="485"/>
      <c r="D866" s="485"/>
      <c r="E866" s="485"/>
      <c r="F866" s="485"/>
      <c r="G866" s="485"/>
      <c r="H866" s="485"/>
      <c r="I866" s="485"/>
      <c r="J866" s="485"/>
      <c r="K866" s="485"/>
      <c r="L866" s="485"/>
      <c r="M866" s="485"/>
      <c r="N866" s="485"/>
      <c r="O866" s="485"/>
      <c r="P866" s="485"/>
      <c r="Q866" s="485"/>
      <c r="R866" s="485"/>
      <c r="S866" s="485"/>
      <c r="T866" s="485"/>
      <c r="U866" s="485"/>
      <c r="V866" s="485"/>
      <c r="W866" s="485"/>
      <c r="X866" s="485"/>
      <c r="Y866" s="485"/>
      <c r="Z866" s="485"/>
    </row>
    <row r="867">
      <c r="A867" s="485"/>
      <c r="B867" s="485"/>
      <c r="C867" s="485"/>
      <c r="D867" s="485"/>
      <c r="E867" s="485"/>
      <c r="F867" s="485"/>
      <c r="G867" s="485"/>
      <c r="H867" s="485"/>
      <c r="I867" s="485"/>
      <c r="J867" s="485"/>
      <c r="K867" s="485"/>
      <c r="L867" s="485"/>
      <c r="M867" s="485"/>
      <c r="N867" s="485"/>
      <c r="O867" s="485"/>
      <c r="P867" s="485"/>
      <c r="Q867" s="485"/>
      <c r="R867" s="485"/>
      <c r="S867" s="485"/>
      <c r="T867" s="485"/>
      <c r="U867" s="485"/>
      <c r="V867" s="485"/>
      <c r="W867" s="485"/>
      <c r="X867" s="485"/>
      <c r="Y867" s="485"/>
      <c r="Z867" s="485"/>
    </row>
    <row r="868">
      <c r="A868" s="485"/>
      <c r="B868" s="485"/>
      <c r="C868" s="485"/>
      <c r="D868" s="485"/>
      <c r="E868" s="485"/>
      <c r="F868" s="485"/>
      <c r="G868" s="485"/>
      <c r="H868" s="485"/>
      <c r="I868" s="485"/>
      <c r="J868" s="485"/>
      <c r="K868" s="485"/>
      <c r="L868" s="485"/>
      <c r="M868" s="485"/>
      <c r="N868" s="485"/>
      <c r="O868" s="485"/>
      <c r="P868" s="485"/>
      <c r="Q868" s="485"/>
      <c r="R868" s="485"/>
      <c r="S868" s="485"/>
      <c r="T868" s="485"/>
      <c r="U868" s="485"/>
      <c r="V868" s="485"/>
      <c r="W868" s="485"/>
      <c r="X868" s="485"/>
      <c r="Y868" s="485"/>
      <c r="Z868" s="485"/>
    </row>
    <row r="869">
      <c r="A869" s="485"/>
      <c r="B869" s="485"/>
      <c r="C869" s="485"/>
      <c r="D869" s="485"/>
      <c r="E869" s="485"/>
      <c r="F869" s="485"/>
      <c r="G869" s="485"/>
      <c r="H869" s="485"/>
      <c r="I869" s="485"/>
      <c r="J869" s="485"/>
      <c r="K869" s="485"/>
      <c r="L869" s="485"/>
      <c r="M869" s="485"/>
      <c r="N869" s="485"/>
      <c r="O869" s="485"/>
      <c r="P869" s="485"/>
      <c r="Q869" s="485"/>
      <c r="R869" s="485"/>
      <c r="S869" s="485"/>
      <c r="T869" s="485"/>
      <c r="U869" s="485"/>
      <c r="V869" s="485"/>
      <c r="W869" s="485"/>
      <c r="X869" s="485"/>
      <c r="Y869" s="485"/>
      <c r="Z869" s="485"/>
    </row>
    <row r="870">
      <c r="A870" s="485"/>
      <c r="B870" s="485"/>
      <c r="C870" s="485"/>
      <c r="D870" s="485"/>
      <c r="E870" s="485"/>
      <c r="F870" s="485"/>
      <c r="G870" s="485"/>
      <c r="H870" s="485"/>
      <c r="I870" s="485"/>
      <c r="J870" s="485"/>
      <c r="K870" s="485"/>
      <c r="L870" s="485"/>
      <c r="M870" s="485"/>
      <c r="N870" s="485"/>
      <c r="O870" s="485"/>
      <c r="P870" s="485"/>
      <c r="Q870" s="485"/>
      <c r="R870" s="485"/>
      <c r="S870" s="485"/>
      <c r="T870" s="485"/>
      <c r="U870" s="485"/>
      <c r="V870" s="485"/>
      <c r="W870" s="485"/>
      <c r="X870" s="485"/>
      <c r="Y870" s="485"/>
      <c r="Z870" s="485"/>
    </row>
    <row r="871">
      <c r="A871" s="485"/>
      <c r="B871" s="485"/>
      <c r="C871" s="485"/>
      <c r="D871" s="485"/>
      <c r="E871" s="485"/>
      <c r="F871" s="485"/>
      <c r="G871" s="485"/>
      <c r="H871" s="485"/>
      <c r="I871" s="485"/>
      <c r="J871" s="485"/>
      <c r="K871" s="485"/>
      <c r="L871" s="485"/>
      <c r="M871" s="485"/>
      <c r="N871" s="485"/>
      <c r="O871" s="485"/>
      <c r="P871" s="485"/>
      <c r="Q871" s="485"/>
      <c r="R871" s="485"/>
      <c r="S871" s="485"/>
      <c r="T871" s="485"/>
      <c r="U871" s="485"/>
      <c r="V871" s="485"/>
      <c r="W871" s="485"/>
      <c r="X871" s="485"/>
      <c r="Y871" s="485"/>
      <c r="Z871" s="485"/>
    </row>
    <row r="872">
      <c r="A872" s="485"/>
      <c r="B872" s="485"/>
      <c r="C872" s="485"/>
      <c r="D872" s="485"/>
      <c r="E872" s="485"/>
      <c r="F872" s="485"/>
      <c r="G872" s="485"/>
      <c r="H872" s="485"/>
      <c r="I872" s="485"/>
      <c r="J872" s="485"/>
      <c r="K872" s="485"/>
      <c r="L872" s="485"/>
      <c r="M872" s="485"/>
      <c r="N872" s="485"/>
      <c r="O872" s="485"/>
      <c r="P872" s="485"/>
      <c r="Q872" s="485"/>
      <c r="R872" s="485"/>
      <c r="S872" s="485"/>
      <c r="T872" s="485"/>
      <c r="U872" s="485"/>
      <c r="V872" s="485"/>
      <c r="W872" s="485"/>
      <c r="X872" s="485"/>
      <c r="Y872" s="485"/>
      <c r="Z872" s="485"/>
    </row>
    <row r="873">
      <c r="A873" s="485"/>
      <c r="B873" s="485"/>
      <c r="C873" s="485"/>
      <c r="D873" s="485"/>
      <c r="E873" s="485"/>
      <c r="F873" s="485"/>
      <c r="G873" s="485"/>
      <c r="H873" s="485"/>
      <c r="I873" s="485"/>
      <c r="J873" s="485"/>
      <c r="K873" s="485"/>
      <c r="L873" s="485"/>
      <c r="M873" s="485"/>
      <c r="N873" s="485"/>
      <c r="O873" s="485"/>
      <c r="P873" s="485"/>
      <c r="Q873" s="485"/>
      <c r="R873" s="485"/>
      <c r="S873" s="485"/>
      <c r="T873" s="485"/>
      <c r="U873" s="485"/>
      <c r="V873" s="485"/>
      <c r="W873" s="485"/>
      <c r="X873" s="485"/>
      <c r="Y873" s="485"/>
      <c r="Z873" s="485"/>
    </row>
    <row r="874">
      <c r="A874" s="485"/>
      <c r="B874" s="485"/>
      <c r="C874" s="485"/>
      <c r="D874" s="485"/>
      <c r="E874" s="485"/>
      <c r="F874" s="485"/>
      <c r="G874" s="485"/>
      <c r="H874" s="485"/>
      <c r="I874" s="485"/>
      <c r="J874" s="485"/>
      <c r="K874" s="485"/>
      <c r="L874" s="485"/>
      <c r="M874" s="485"/>
      <c r="N874" s="485"/>
      <c r="O874" s="485"/>
      <c r="P874" s="485"/>
      <c r="Q874" s="485"/>
      <c r="R874" s="485"/>
      <c r="S874" s="485"/>
      <c r="T874" s="485"/>
      <c r="U874" s="485"/>
      <c r="V874" s="485"/>
      <c r="W874" s="485"/>
      <c r="X874" s="485"/>
      <c r="Y874" s="485"/>
      <c r="Z874" s="485"/>
    </row>
    <row r="875">
      <c r="A875" s="485"/>
      <c r="B875" s="485"/>
      <c r="C875" s="485"/>
      <c r="D875" s="485"/>
      <c r="E875" s="485"/>
      <c r="F875" s="485"/>
      <c r="G875" s="485"/>
      <c r="H875" s="485"/>
      <c r="I875" s="485"/>
      <c r="J875" s="485"/>
      <c r="K875" s="485"/>
      <c r="L875" s="485"/>
      <c r="M875" s="485"/>
      <c r="N875" s="485"/>
      <c r="O875" s="485"/>
      <c r="P875" s="485"/>
      <c r="Q875" s="485"/>
      <c r="R875" s="485"/>
      <c r="S875" s="485"/>
      <c r="T875" s="485"/>
      <c r="U875" s="485"/>
      <c r="V875" s="485"/>
      <c r="W875" s="485"/>
      <c r="X875" s="485"/>
      <c r="Y875" s="485"/>
      <c r="Z875" s="485"/>
    </row>
    <row r="876">
      <c r="A876" s="485"/>
      <c r="B876" s="485"/>
      <c r="C876" s="485"/>
      <c r="D876" s="485"/>
      <c r="E876" s="485"/>
      <c r="F876" s="485"/>
      <c r="G876" s="485"/>
      <c r="H876" s="485"/>
      <c r="I876" s="485"/>
      <c r="J876" s="485"/>
      <c r="K876" s="485"/>
      <c r="L876" s="485"/>
      <c r="M876" s="485"/>
      <c r="N876" s="485"/>
      <c r="O876" s="485"/>
      <c r="P876" s="485"/>
      <c r="Q876" s="485"/>
      <c r="R876" s="485"/>
      <c r="S876" s="485"/>
      <c r="T876" s="485"/>
      <c r="U876" s="485"/>
      <c r="V876" s="485"/>
      <c r="W876" s="485"/>
      <c r="X876" s="485"/>
      <c r="Y876" s="485"/>
      <c r="Z876" s="485"/>
    </row>
    <row r="877">
      <c r="A877" s="485"/>
      <c r="B877" s="485"/>
      <c r="C877" s="485"/>
      <c r="D877" s="485"/>
      <c r="E877" s="485"/>
      <c r="F877" s="485"/>
      <c r="G877" s="485"/>
      <c r="H877" s="485"/>
      <c r="I877" s="485"/>
      <c r="J877" s="485"/>
      <c r="K877" s="485"/>
      <c r="L877" s="485"/>
      <c r="M877" s="485"/>
      <c r="N877" s="485"/>
      <c r="O877" s="485"/>
      <c r="P877" s="485"/>
      <c r="Q877" s="485"/>
      <c r="R877" s="485"/>
      <c r="S877" s="485"/>
      <c r="T877" s="485"/>
      <c r="U877" s="485"/>
      <c r="V877" s="485"/>
      <c r="W877" s="485"/>
      <c r="X877" s="485"/>
      <c r="Y877" s="485"/>
      <c r="Z877" s="485"/>
    </row>
    <row r="878">
      <c r="A878" s="485"/>
      <c r="B878" s="485"/>
      <c r="C878" s="485"/>
      <c r="D878" s="485"/>
      <c r="E878" s="485"/>
      <c r="F878" s="485"/>
      <c r="G878" s="485"/>
      <c r="H878" s="485"/>
      <c r="I878" s="485"/>
      <c r="J878" s="485"/>
      <c r="K878" s="485"/>
      <c r="L878" s="485"/>
      <c r="M878" s="485"/>
      <c r="N878" s="485"/>
      <c r="O878" s="485"/>
      <c r="P878" s="485"/>
      <c r="Q878" s="485"/>
      <c r="R878" s="485"/>
      <c r="S878" s="485"/>
      <c r="T878" s="485"/>
      <c r="U878" s="485"/>
      <c r="V878" s="485"/>
      <c r="W878" s="485"/>
      <c r="X878" s="485"/>
      <c r="Y878" s="485"/>
      <c r="Z878" s="485"/>
    </row>
    <row r="879">
      <c r="A879" s="485"/>
      <c r="B879" s="485"/>
      <c r="C879" s="485"/>
      <c r="D879" s="485"/>
      <c r="E879" s="485"/>
      <c r="F879" s="485"/>
      <c r="G879" s="485"/>
      <c r="H879" s="485"/>
      <c r="I879" s="485"/>
      <c r="J879" s="485"/>
      <c r="K879" s="485"/>
      <c r="L879" s="485"/>
      <c r="M879" s="485"/>
      <c r="N879" s="485"/>
      <c r="O879" s="485"/>
      <c r="P879" s="485"/>
      <c r="Q879" s="485"/>
      <c r="R879" s="485"/>
      <c r="S879" s="485"/>
      <c r="T879" s="485"/>
      <c r="U879" s="485"/>
      <c r="V879" s="485"/>
      <c r="W879" s="485"/>
      <c r="X879" s="485"/>
      <c r="Y879" s="485"/>
      <c r="Z879" s="485"/>
    </row>
    <row r="880">
      <c r="A880" s="485"/>
      <c r="B880" s="485"/>
      <c r="C880" s="485"/>
      <c r="D880" s="485"/>
      <c r="E880" s="485"/>
      <c r="F880" s="485"/>
      <c r="G880" s="485"/>
      <c r="H880" s="485"/>
      <c r="I880" s="485"/>
      <c r="J880" s="485"/>
      <c r="K880" s="485"/>
      <c r="L880" s="485"/>
      <c r="M880" s="485"/>
      <c r="N880" s="485"/>
      <c r="O880" s="485"/>
      <c r="P880" s="485"/>
      <c r="Q880" s="485"/>
      <c r="R880" s="485"/>
      <c r="S880" s="485"/>
      <c r="T880" s="485"/>
      <c r="U880" s="485"/>
      <c r="V880" s="485"/>
      <c r="W880" s="485"/>
      <c r="X880" s="485"/>
      <c r="Y880" s="485"/>
      <c r="Z880" s="485"/>
    </row>
    <row r="881">
      <c r="A881" s="485"/>
      <c r="B881" s="485"/>
      <c r="C881" s="485"/>
      <c r="D881" s="485"/>
      <c r="E881" s="485"/>
      <c r="F881" s="485"/>
      <c r="G881" s="485"/>
      <c r="H881" s="485"/>
      <c r="I881" s="485"/>
      <c r="J881" s="485"/>
      <c r="K881" s="485"/>
      <c r="L881" s="485"/>
      <c r="M881" s="485"/>
      <c r="N881" s="485"/>
      <c r="O881" s="485"/>
      <c r="P881" s="485"/>
      <c r="Q881" s="485"/>
      <c r="R881" s="485"/>
      <c r="S881" s="485"/>
      <c r="T881" s="485"/>
      <c r="U881" s="485"/>
      <c r="V881" s="485"/>
      <c r="W881" s="485"/>
      <c r="X881" s="485"/>
      <c r="Y881" s="485"/>
      <c r="Z881" s="485"/>
    </row>
    <row r="882">
      <c r="A882" s="485"/>
      <c r="B882" s="485"/>
      <c r="C882" s="485"/>
      <c r="D882" s="485"/>
      <c r="E882" s="485"/>
      <c r="F882" s="485"/>
      <c r="G882" s="485"/>
      <c r="H882" s="485"/>
      <c r="I882" s="485"/>
      <c r="J882" s="485"/>
      <c r="K882" s="485"/>
      <c r="L882" s="485"/>
      <c r="M882" s="485"/>
      <c r="N882" s="485"/>
      <c r="O882" s="485"/>
      <c r="P882" s="485"/>
      <c r="Q882" s="485"/>
      <c r="R882" s="485"/>
      <c r="S882" s="485"/>
      <c r="T882" s="485"/>
      <c r="U882" s="485"/>
      <c r="V882" s="485"/>
      <c r="W882" s="485"/>
      <c r="X882" s="485"/>
      <c r="Y882" s="485"/>
      <c r="Z882" s="485"/>
    </row>
    <row r="883">
      <c r="A883" s="485"/>
      <c r="B883" s="485"/>
      <c r="C883" s="485"/>
      <c r="D883" s="485"/>
      <c r="E883" s="485"/>
      <c r="F883" s="485"/>
      <c r="G883" s="485"/>
      <c r="H883" s="485"/>
      <c r="I883" s="485"/>
      <c r="J883" s="485"/>
      <c r="K883" s="485"/>
      <c r="L883" s="485"/>
      <c r="M883" s="485"/>
      <c r="N883" s="485"/>
      <c r="O883" s="485"/>
      <c r="P883" s="485"/>
      <c r="Q883" s="485"/>
      <c r="R883" s="485"/>
      <c r="S883" s="485"/>
      <c r="T883" s="485"/>
      <c r="U883" s="485"/>
      <c r="V883" s="485"/>
      <c r="W883" s="485"/>
      <c r="X883" s="485"/>
      <c r="Y883" s="485"/>
      <c r="Z883" s="485"/>
    </row>
    <row r="884">
      <c r="A884" s="485"/>
      <c r="B884" s="485"/>
      <c r="C884" s="485"/>
      <c r="D884" s="485"/>
      <c r="E884" s="485"/>
      <c r="F884" s="485"/>
      <c r="G884" s="485"/>
      <c r="H884" s="485"/>
      <c r="I884" s="485"/>
      <c r="J884" s="485"/>
      <c r="K884" s="485"/>
      <c r="L884" s="485"/>
      <c r="M884" s="485"/>
      <c r="N884" s="485"/>
      <c r="O884" s="485"/>
      <c r="P884" s="485"/>
      <c r="Q884" s="485"/>
      <c r="R884" s="485"/>
      <c r="S884" s="485"/>
      <c r="T884" s="485"/>
      <c r="U884" s="485"/>
      <c r="V884" s="485"/>
      <c r="W884" s="485"/>
      <c r="X884" s="485"/>
      <c r="Y884" s="485"/>
      <c r="Z884" s="485"/>
    </row>
    <row r="885">
      <c r="A885" s="485"/>
      <c r="B885" s="485"/>
      <c r="C885" s="485"/>
      <c r="D885" s="485"/>
      <c r="E885" s="485"/>
      <c r="F885" s="485"/>
      <c r="G885" s="485"/>
      <c r="H885" s="485"/>
      <c r="I885" s="485"/>
      <c r="J885" s="485"/>
      <c r="K885" s="485"/>
      <c r="L885" s="485"/>
      <c r="M885" s="485"/>
      <c r="N885" s="485"/>
      <c r="O885" s="485"/>
      <c r="P885" s="485"/>
      <c r="Q885" s="485"/>
      <c r="R885" s="485"/>
      <c r="S885" s="485"/>
      <c r="T885" s="485"/>
      <c r="U885" s="485"/>
      <c r="V885" s="485"/>
      <c r="W885" s="485"/>
      <c r="X885" s="485"/>
      <c r="Y885" s="485"/>
      <c r="Z885" s="485"/>
    </row>
    <row r="886">
      <c r="A886" s="485"/>
      <c r="B886" s="485"/>
      <c r="C886" s="485"/>
      <c r="D886" s="485"/>
      <c r="E886" s="485"/>
      <c r="F886" s="485"/>
      <c r="G886" s="485"/>
      <c r="H886" s="485"/>
      <c r="I886" s="485"/>
      <c r="J886" s="485"/>
      <c r="K886" s="485"/>
      <c r="L886" s="485"/>
      <c r="M886" s="485"/>
      <c r="N886" s="485"/>
      <c r="O886" s="485"/>
      <c r="P886" s="485"/>
      <c r="Q886" s="485"/>
      <c r="R886" s="485"/>
      <c r="S886" s="485"/>
      <c r="T886" s="485"/>
      <c r="U886" s="485"/>
      <c r="V886" s="485"/>
      <c r="W886" s="485"/>
      <c r="X886" s="485"/>
      <c r="Y886" s="485"/>
      <c r="Z886" s="485"/>
    </row>
    <row r="887">
      <c r="A887" s="485"/>
      <c r="B887" s="485"/>
      <c r="C887" s="485"/>
      <c r="D887" s="485"/>
      <c r="E887" s="485"/>
      <c r="F887" s="485"/>
      <c r="G887" s="485"/>
      <c r="H887" s="485"/>
      <c r="I887" s="485"/>
      <c r="J887" s="485"/>
      <c r="K887" s="485"/>
      <c r="L887" s="485"/>
      <c r="M887" s="485"/>
      <c r="N887" s="485"/>
      <c r="O887" s="485"/>
      <c r="P887" s="485"/>
      <c r="Q887" s="485"/>
      <c r="R887" s="485"/>
      <c r="S887" s="485"/>
      <c r="T887" s="485"/>
      <c r="U887" s="485"/>
      <c r="V887" s="485"/>
      <c r="W887" s="485"/>
      <c r="X887" s="485"/>
      <c r="Y887" s="485"/>
      <c r="Z887" s="485"/>
    </row>
    <row r="888">
      <c r="A888" s="485"/>
      <c r="B888" s="485"/>
      <c r="C888" s="485"/>
      <c r="D888" s="485"/>
      <c r="E888" s="485"/>
      <c r="F888" s="485"/>
      <c r="G888" s="485"/>
      <c r="H888" s="485"/>
      <c r="I888" s="485"/>
      <c r="J888" s="485"/>
      <c r="K888" s="485"/>
      <c r="L888" s="485"/>
      <c r="M888" s="485"/>
      <c r="N888" s="485"/>
      <c r="O888" s="485"/>
      <c r="P888" s="485"/>
      <c r="Q888" s="485"/>
      <c r="R888" s="485"/>
      <c r="S888" s="485"/>
      <c r="T888" s="485"/>
      <c r="U888" s="485"/>
      <c r="V888" s="485"/>
      <c r="W888" s="485"/>
      <c r="X888" s="485"/>
      <c r="Y888" s="485"/>
      <c r="Z888" s="485"/>
    </row>
    <row r="889">
      <c r="A889" s="485"/>
      <c r="B889" s="485"/>
      <c r="C889" s="485"/>
      <c r="D889" s="485"/>
      <c r="E889" s="485"/>
      <c r="F889" s="485"/>
      <c r="G889" s="485"/>
      <c r="H889" s="485"/>
      <c r="I889" s="485"/>
      <c r="J889" s="485"/>
      <c r="K889" s="485"/>
      <c r="L889" s="485"/>
      <c r="M889" s="485"/>
      <c r="N889" s="485"/>
      <c r="O889" s="485"/>
      <c r="P889" s="485"/>
      <c r="Q889" s="485"/>
      <c r="R889" s="485"/>
      <c r="S889" s="485"/>
      <c r="T889" s="485"/>
      <c r="U889" s="485"/>
      <c r="V889" s="485"/>
      <c r="W889" s="485"/>
      <c r="X889" s="485"/>
      <c r="Y889" s="485"/>
      <c r="Z889" s="485"/>
    </row>
    <row r="890">
      <c r="A890" s="485"/>
      <c r="B890" s="485"/>
      <c r="C890" s="485"/>
      <c r="D890" s="485"/>
      <c r="E890" s="485"/>
      <c r="F890" s="485"/>
      <c r="G890" s="485"/>
      <c r="H890" s="485"/>
      <c r="I890" s="485"/>
      <c r="J890" s="485"/>
      <c r="K890" s="485"/>
      <c r="L890" s="485"/>
      <c r="M890" s="485"/>
      <c r="N890" s="485"/>
      <c r="O890" s="485"/>
      <c r="P890" s="485"/>
      <c r="Q890" s="485"/>
      <c r="R890" s="485"/>
      <c r="S890" s="485"/>
      <c r="T890" s="485"/>
      <c r="U890" s="485"/>
      <c r="V890" s="485"/>
      <c r="W890" s="485"/>
      <c r="X890" s="485"/>
      <c r="Y890" s="485"/>
      <c r="Z890" s="485"/>
    </row>
    <row r="891">
      <c r="A891" s="485"/>
      <c r="B891" s="485"/>
      <c r="C891" s="485"/>
      <c r="D891" s="485"/>
      <c r="E891" s="485"/>
      <c r="F891" s="485"/>
      <c r="G891" s="485"/>
      <c r="H891" s="485"/>
      <c r="I891" s="485"/>
      <c r="J891" s="485"/>
      <c r="K891" s="485"/>
      <c r="L891" s="485"/>
      <c r="M891" s="485"/>
      <c r="N891" s="485"/>
      <c r="O891" s="485"/>
      <c r="P891" s="485"/>
      <c r="Q891" s="485"/>
      <c r="R891" s="485"/>
      <c r="S891" s="485"/>
      <c r="T891" s="485"/>
      <c r="U891" s="485"/>
      <c r="V891" s="485"/>
      <c r="W891" s="485"/>
      <c r="X891" s="485"/>
      <c r="Y891" s="485"/>
      <c r="Z891" s="485"/>
    </row>
    <row r="892">
      <c r="A892" s="485"/>
      <c r="B892" s="485"/>
      <c r="C892" s="485"/>
      <c r="D892" s="485"/>
      <c r="E892" s="485"/>
      <c r="F892" s="485"/>
      <c r="G892" s="485"/>
      <c r="H892" s="485"/>
      <c r="I892" s="485"/>
      <c r="J892" s="485"/>
      <c r="K892" s="485"/>
      <c r="L892" s="485"/>
      <c r="M892" s="485"/>
      <c r="N892" s="485"/>
      <c r="O892" s="485"/>
      <c r="P892" s="485"/>
      <c r="Q892" s="485"/>
      <c r="R892" s="485"/>
      <c r="S892" s="485"/>
      <c r="T892" s="485"/>
      <c r="U892" s="485"/>
      <c r="V892" s="485"/>
      <c r="W892" s="485"/>
      <c r="X892" s="485"/>
      <c r="Y892" s="485"/>
      <c r="Z892" s="485"/>
    </row>
    <row r="893">
      <c r="A893" s="485"/>
      <c r="B893" s="485"/>
      <c r="C893" s="485"/>
      <c r="D893" s="485"/>
      <c r="E893" s="485"/>
      <c r="F893" s="485"/>
      <c r="G893" s="485"/>
      <c r="H893" s="485"/>
      <c r="I893" s="485"/>
      <c r="J893" s="485"/>
      <c r="K893" s="485"/>
      <c r="L893" s="485"/>
      <c r="M893" s="485"/>
      <c r="N893" s="485"/>
      <c r="O893" s="485"/>
      <c r="P893" s="485"/>
      <c r="Q893" s="485"/>
      <c r="R893" s="485"/>
      <c r="S893" s="485"/>
      <c r="T893" s="485"/>
      <c r="U893" s="485"/>
      <c r="V893" s="485"/>
      <c r="W893" s="485"/>
      <c r="X893" s="485"/>
      <c r="Y893" s="485"/>
      <c r="Z893" s="485"/>
    </row>
    <row r="894">
      <c r="A894" s="485"/>
      <c r="B894" s="485"/>
      <c r="C894" s="485"/>
      <c r="D894" s="485"/>
      <c r="E894" s="485"/>
      <c r="F894" s="485"/>
      <c r="G894" s="485"/>
      <c r="H894" s="485"/>
      <c r="I894" s="485"/>
      <c r="J894" s="485"/>
      <c r="K894" s="485"/>
      <c r="L894" s="485"/>
      <c r="M894" s="485"/>
      <c r="N894" s="485"/>
      <c r="O894" s="485"/>
      <c r="P894" s="485"/>
      <c r="Q894" s="485"/>
      <c r="R894" s="485"/>
      <c r="S894" s="485"/>
      <c r="T894" s="485"/>
      <c r="U894" s="485"/>
      <c r="V894" s="485"/>
      <c r="W894" s="485"/>
      <c r="X894" s="485"/>
      <c r="Y894" s="485"/>
      <c r="Z894" s="485"/>
    </row>
    <row r="895">
      <c r="A895" s="485"/>
      <c r="B895" s="485"/>
      <c r="C895" s="485"/>
      <c r="D895" s="485"/>
      <c r="E895" s="485"/>
      <c r="F895" s="485"/>
      <c r="G895" s="485"/>
      <c r="H895" s="485"/>
      <c r="I895" s="485"/>
      <c r="J895" s="485"/>
      <c r="K895" s="485"/>
      <c r="L895" s="485"/>
      <c r="M895" s="485"/>
      <c r="N895" s="485"/>
      <c r="O895" s="485"/>
      <c r="P895" s="485"/>
      <c r="Q895" s="485"/>
      <c r="R895" s="485"/>
      <c r="S895" s="485"/>
      <c r="T895" s="485"/>
      <c r="U895" s="485"/>
      <c r="V895" s="485"/>
      <c r="W895" s="485"/>
      <c r="X895" s="485"/>
      <c r="Y895" s="485"/>
      <c r="Z895" s="485"/>
    </row>
    <row r="896">
      <c r="A896" s="485"/>
      <c r="B896" s="485"/>
      <c r="C896" s="485"/>
      <c r="D896" s="485"/>
      <c r="E896" s="485"/>
      <c r="F896" s="485"/>
      <c r="G896" s="485"/>
      <c r="H896" s="485"/>
      <c r="I896" s="485"/>
      <c r="J896" s="485"/>
      <c r="K896" s="485"/>
      <c r="L896" s="485"/>
      <c r="M896" s="485"/>
      <c r="N896" s="485"/>
      <c r="O896" s="485"/>
      <c r="P896" s="485"/>
      <c r="Q896" s="485"/>
      <c r="R896" s="485"/>
      <c r="S896" s="485"/>
      <c r="T896" s="485"/>
      <c r="U896" s="485"/>
      <c r="V896" s="485"/>
      <c r="W896" s="485"/>
      <c r="X896" s="485"/>
      <c r="Y896" s="485"/>
      <c r="Z896" s="485"/>
    </row>
    <row r="897">
      <c r="A897" s="485"/>
      <c r="B897" s="485"/>
      <c r="C897" s="485"/>
      <c r="D897" s="485"/>
      <c r="E897" s="485"/>
      <c r="F897" s="485"/>
      <c r="G897" s="485"/>
      <c r="H897" s="485"/>
      <c r="I897" s="485"/>
      <c r="J897" s="485"/>
      <c r="K897" s="485"/>
      <c r="L897" s="485"/>
      <c r="M897" s="485"/>
      <c r="N897" s="485"/>
      <c r="O897" s="485"/>
      <c r="P897" s="485"/>
      <c r="Q897" s="485"/>
      <c r="R897" s="485"/>
      <c r="S897" s="485"/>
      <c r="T897" s="485"/>
      <c r="U897" s="485"/>
      <c r="V897" s="485"/>
      <c r="W897" s="485"/>
      <c r="X897" s="485"/>
      <c r="Y897" s="485"/>
      <c r="Z897" s="485"/>
    </row>
    <row r="898">
      <c r="A898" s="485"/>
      <c r="B898" s="485"/>
      <c r="C898" s="485"/>
      <c r="D898" s="485"/>
      <c r="E898" s="485"/>
      <c r="F898" s="485"/>
      <c r="G898" s="485"/>
      <c r="H898" s="485"/>
      <c r="I898" s="485"/>
      <c r="J898" s="485"/>
      <c r="K898" s="485"/>
      <c r="L898" s="485"/>
      <c r="M898" s="485"/>
      <c r="N898" s="485"/>
      <c r="O898" s="485"/>
      <c r="P898" s="485"/>
      <c r="Q898" s="485"/>
      <c r="R898" s="485"/>
      <c r="S898" s="485"/>
      <c r="T898" s="485"/>
      <c r="U898" s="485"/>
      <c r="V898" s="485"/>
      <c r="W898" s="485"/>
      <c r="X898" s="485"/>
      <c r="Y898" s="485"/>
      <c r="Z898" s="485"/>
    </row>
    <row r="899">
      <c r="A899" s="485"/>
      <c r="B899" s="485"/>
      <c r="C899" s="485"/>
      <c r="D899" s="485"/>
      <c r="E899" s="485"/>
      <c r="F899" s="485"/>
      <c r="G899" s="485"/>
      <c r="H899" s="485"/>
      <c r="I899" s="485"/>
      <c r="J899" s="485"/>
      <c r="K899" s="485"/>
      <c r="L899" s="485"/>
      <c r="M899" s="485"/>
      <c r="N899" s="485"/>
      <c r="O899" s="485"/>
      <c r="P899" s="485"/>
      <c r="Q899" s="485"/>
      <c r="R899" s="485"/>
      <c r="S899" s="485"/>
      <c r="T899" s="485"/>
      <c r="U899" s="485"/>
      <c r="V899" s="485"/>
      <c r="W899" s="485"/>
      <c r="X899" s="485"/>
      <c r="Y899" s="485"/>
      <c r="Z899" s="485"/>
    </row>
    <row r="900">
      <c r="A900" s="485"/>
      <c r="B900" s="485"/>
      <c r="C900" s="485"/>
      <c r="D900" s="485"/>
      <c r="E900" s="485"/>
      <c r="F900" s="485"/>
      <c r="G900" s="485"/>
      <c r="H900" s="485"/>
      <c r="I900" s="485"/>
      <c r="J900" s="485"/>
      <c r="K900" s="485"/>
      <c r="L900" s="485"/>
      <c r="M900" s="485"/>
      <c r="N900" s="485"/>
      <c r="O900" s="485"/>
      <c r="P900" s="485"/>
      <c r="Q900" s="485"/>
      <c r="R900" s="485"/>
      <c r="S900" s="485"/>
      <c r="T900" s="485"/>
      <c r="U900" s="485"/>
      <c r="V900" s="485"/>
      <c r="W900" s="485"/>
      <c r="X900" s="485"/>
      <c r="Y900" s="485"/>
      <c r="Z900" s="485"/>
    </row>
    <row r="901">
      <c r="A901" s="485"/>
      <c r="B901" s="485"/>
      <c r="C901" s="485"/>
      <c r="D901" s="485"/>
      <c r="E901" s="485"/>
      <c r="F901" s="485"/>
      <c r="G901" s="485"/>
      <c r="H901" s="485"/>
      <c r="I901" s="485"/>
      <c r="J901" s="485"/>
      <c r="K901" s="485"/>
      <c r="L901" s="485"/>
      <c r="M901" s="485"/>
      <c r="N901" s="485"/>
      <c r="O901" s="485"/>
      <c r="P901" s="485"/>
      <c r="Q901" s="485"/>
      <c r="R901" s="485"/>
      <c r="S901" s="485"/>
      <c r="T901" s="485"/>
      <c r="U901" s="485"/>
      <c r="V901" s="485"/>
      <c r="W901" s="485"/>
      <c r="X901" s="485"/>
      <c r="Y901" s="485"/>
      <c r="Z901" s="485"/>
    </row>
    <row r="902">
      <c r="A902" s="485"/>
      <c r="B902" s="485"/>
      <c r="C902" s="485"/>
      <c r="D902" s="485"/>
      <c r="E902" s="485"/>
      <c r="F902" s="485"/>
      <c r="G902" s="485"/>
      <c r="H902" s="485"/>
      <c r="I902" s="485"/>
      <c r="J902" s="485"/>
      <c r="K902" s="485"/>
      <c r="L902" s="485"/>
      <c r="M902" s="485"/>
      <c r="N902" s="485"/>
      <c r="O902" s="485"/>
      <c r="P902" s="485"/>
      <c r="Q902" s="485"/>
      <c r="R902" s="485"/>
      <c r="S902" s="485"/>
      <c r="T902" s="485"/>
      <c r="U902" s="485"/>
      <c r="V902" s="485"/>
      <c r="W902" s="485"/>
      <c r="X902" s="485"/>
      <c r="Y902" s="485"/>
      <c r="Z902" s="485"/>
    </row>
    <row r="903">
      <c r="A903" s="485"/>
      <c r="B903" s="485"/>
      <c r="C903" s="485"/>
      <c r="D903" s="485"/>
      <c r="E903" s="485"/>
      <c r="F903" s="485"/>
      <c r="G903" s="485"/>
      <c r="H903" s="485"/>
      <c r="I903" s="485"/>
      <c r="J903" s="485"/>
      <c r="K903" s="485"/>
      <c r="L903" s="485"/>
      <c r="M903" s="485"/>
      <c r="N903" s="485"/>
      <c r="O903" s="485"/>
      <c r="P903" s="485"/>
      <c r="Q903" s="485"/>
      <c r="R903" s="485"/>
      <c r="S903" s="485"/>
      <c r="T903" s="485"/>
      <c r="U903" s="485"/>
      <c r="V903" s="485"/>
      <c r="W903" s="485"/>
      <c r="X903" s="485"/>
      <c r="Y903" s="485"/>
      <c r="Z903" s="485"/>
    </row>
    <row r="904">
      <c r="A904" s="485"/>
      <c r="B904" s="485"/>
      <c r="C904" s="485"/>
      <c r="D904" s="485"/>
      <c r="E904" s="485"/>
      <c r="F904" s="485"/>
      <c r="G904" s="485"/>
      <c r="H904" s="485"/>
      <c r="I904" s="485"/>
      <c r="J904" s="485"/>
      <c r="K904" s="485"/>
      <c r="L904" s="485"/>
      <c r="M904" s="485"/>
      <c r="N904" s="485"/>
      <c r="O904" s="485"/>
      <c r="P904" s="485"/>
      <c r="Q904" s="485"/>
      <c r="R904" s="485"/>
      <c r="S904" s="485"/>
      <c r="T904" s="485"/>
      <c r="U904" s="485"/>
      <c r="V904" s="485"/>
      <c r="W904" s="485"/>
      <c r="X904" s="485"/>
      <c r="Y904" s="485"/>
      <c r="Z904" s="485"/>
    </row>
    <row r="905">
      <c r="A905" s="485"/>
      <c r="B905" s="485"/>
      <c r="C905" s="485"/>
      <c r="D905" s="485"/>
      <c r="E905" s="485"/>
      <c r="F905" s="485"/>
      <c r="G905" s="485"/>
      <c r="H905" s="485"/>
      <c r="I905" s="485"/>
      <c r="J905" s="485"/>
      <c r="K905" s="485"/>
      <c r="L905" s="485"/>
      <c r="M905" s="485"/>
      <c r="N905" s="485"/>
      <c r="O905" s="485"/>
      <c r="P905" s="485"/>
      <c r="Q905" s="485"/>
      <c r="R905" s="485"/>
      <c r="S905" s="485"/>
      <c r="T905" s="485"/>
      <c r="U905" s="485"/>
      <c r="V905" s="485"/>
      <c r="W905" s="485"/>
      <c r="X905" s="485"/>
      <c r="Y905" s="485"/>
      <c r="Z905" s="485"/>
    </row>
    <row r="906">
      <c r="A906" s="485"/>
      <c r="B906" s="485"/>
      <c r="C906" s="485"/>
      <c r="D906" s="485"/>
      <c r="E906" s="485"/>
      <c r="F906" s="485"/>
      <c r="G906" s="485"/>
      <c r="H906" s="485"/>
      <c r="I906" s="485"/>
      <c r="J906" s="485"/>
      <c r="K906" s="485"/>
      <c r="L906" s="485"/>
      <c r="M906" s="485"/>
      <c r="N906" s="485"/>
      <c r="O906" s="485"/>
      <c r="P906" s="485"/>
      <c r="Q906" s="485"/>
      <c r="R906" s="485"/>
      <c r="S906" s="485"/>
      <c r="T906" s="485"/>
      <c r="U906" s="485"/>
      <c r="V906" s="485"/>
      <c r="W906" s="485"/>
      <c r="X906" s="485"/>
      <c r="Y906" s="485"/>
      <c r="Z906" s="485"/>
    </row>
    <row r="907">
      <c r="A907" s="485"/>
      <c r="B907" s="485"/>
      <c r="C907" s="485"/>
      <c r="D907" s="485"/>
      <c r="E907" s="485"/>
      <c r="F907" s="485"/>
      <c r="G907" s="485"/>
      <c r="H907" s="485"/>
      <c r="I907" s="485"/>
      <c r="J907" s="485"/>
      <c r="K907" s="485"/>
      <c r="L907" s="485"/>
      <c r="M907" s="485"/>
      <c r="N907" s="485"/>
      <c r="O907" s="485"/>
      <c r="P907" s="485"/>
      <c r="Q907" s="485"/>
      <c r="R907" s="485"/>
      <c r="S907" s="485"/>
      <c r="T907" s="485"/>
      <c r="U907" s="485"/>
      <c r="V907" s="485"/>
      <c r="W907" s="485"/>
      <c r="X907" s="485"/>
      <c r="Y907" s="485"/>
      <c r="Z907" s="485"/>
    </row>
    <row r="908">
      <c r="A908" s="485"/>
      <c r="B908" s="485"/>
      <c r="C908" s="485"/>
      <c r="D908" s="485"/>
      <c r="E908" s="485"/>
      <c r="F908" s="485"/>
      <c r="G908" s="485"/>
      <c r="H908" s="485"/>
      <c r="I908" s="485"/>
      <c r="J908" s="485"/>
      <c r="K908" s="485"/>
      <c r="L908" s="485"/>
      <c r="M908" s="485"/>
      <c r="N908" s="485"/>
      <c r="O908" s="485"/>
      <c r="P908" s="485"/>
      <c r="Q908" s="485"/>
      <c r="R908" s="485"/>
      <c r="S908" s="485"/>
      <c r="T908" s="485"/>
      <c r="U908" s="485"/>
      <c r="V908" s="485"/>
      <c r="W908" s="485"/>
      <c r="X908" s="485"/>
      <c r="Y908" s="485"/>
      <c r="Z908" s="485"/>
    </row>
    <row r="909">
      <c r="A909" s="485"/>
      <c r="B909" s="485"/>
      <c r="C909" s="485"/>
      <c r="D909" s="485"/>
      <c r="E909" s="485"/>
      <c r="F909" s="485"/>
      <c r="G909" s="485"/>
      <c r="H909" s="485"/>
      <c r="I909" s="485"/>
      <c r="J909" s="485"/>
      <c r="K909" s="485"/>
      <c r="L909" s="485"/>
      <c r="M909" s="485"/>
      <c r="N909" s="485"/>
      <c r="O909" s="485"/>
      <c r="P909" s="485"/>
      <c r="Q909" s="485"/>
      <c r="R909" s="485"/>
      <c r="S909" s="485"/>
      <c r="T909" s="485"/>
      <c r="U909" s="485"/>
      <c r="V909" s="485"/>
      <c r="W909" s="485"/>
      <c r="X909" s="485"/>
      <c r="Y909" s="485"/>
      <c r="Z909" s="485"/>
    </row>
    <row r="910">
      <c r="A910" s="485"/>
      <c r="B910" s="485"/>
      <c r="C910" s="485"/>
      <c r="D910" s="485"/>
      <c r="E910" s="485"/>
      <c r="F910" s="485"/>
      <c r="G910" s="485"/>
      <c r="H910" s="485"/>
      <c r="I910" s="485"/>
      <c r="J910" s="485"/>
      <c r="K910" s="485"/>
      <c r="L910" s="485"/>
      <c r="M910" s="485"/>
      <c r="N910" s="485"/>
      <c r="O910" s="485"/>
      <c r="P910" s="485"/>
      <c r="Q910" s="485"/>
      <c r="R910" s="485"/>
      <c r="S910" s="485"/>
      <c r="T910" s="485"/>
      <c r="U910" s="485"/>
      <c r="V910" s="485"/>
      <c r="W910" s="485"/>
      <c r="X910" s="485"/>
      <c r="Y910" s="485"/>
      <c r="Z910" s="485"/>
    </row>
    <row r="911">
      <c r="A911" s="485"/>
      <c r="B911" s="485"/>
      <c r="C911" s="485"/>
      <c r="D911" s="485"/>
      <c r="E911" s="485"/>
      <c r="F911" s="485"/>
      <c r="G911" s="485"/>
      <c r="H911" s="485"/>
      <c r="I911" s="485"/>
      <c r="J911" s="485"/>
      <c r="K911" s="485"/>
      <c r="L911" s="485"/>
      <c r="M911" s="485"/>
      <c r="N911" s="485"/>
      <c r="O911" s="485"/>
      <c r="P911" s="485"/>
      <c r="Q911" s="485"/>
      <c r="R911" s="485"/>
      <c r="S911" s="485"/>
      <c r="T911" s="485"/>
      <c r="U911" s="485"/>
      <c r="V911" s="485"/>
      <c r="W911" s="485"/>
      <c r="X911" s="485"/>
      <c r="Y911" s="485"/>
      <c r="Z911" s="485"/>
    </row>
    <row r="912">
      <c r="A912" s="485"/>
      <c r="B912" s="485"/>
      <c r="C912" s="485"/>
      <c r="D912" s="485"/>
      <c r="E912" s="485"/>
      <c r="F912" s="485"/>
      <c r="G912" s="485"/>
      <c r="H912" s="485"/>
      <c r="I912" s="485"/>
      <c r="J912" s="485"/>
      <c r="K912" s="485"/>
      <c r="L912" s="485"/>
      <c r="M912" s="485"/>
      <c r="N912" s="485"/>
      <c r="O912" s="485"/>
      <c r="P912" s="485"/>
      <c r="Q912" s="485"/>
      <c r="R912" s="485"/>
      <c r="S912" s="485"/>
      <c r="T912" s="485"/>
      <c r="U912" s="485"/>
      <c r="V912" s="485"/>
      <c r="W912" s="485"/>
      <c r="X912" s="485"/>
      <c r="Y912" s="485"/>
      <c r="Z912" s="485"/>
    </row>
    <row r="913">
      <c r="A913" s="485"/>
      <c r="B913" s="485"/>
      <c r="C913" s="485"/>
      <c r="D913" s="485"/>
      <c r="E913" s="485"/>
      <c r="F913" s="485"/>
      <c r="G913" s="485"/>
      <c r="H913" s="485"/>
      <c r="I913" s="485"/>
      <c r="J913" s="485"/>
      <c r="K913" s="485"/>
      <c r="L913" s="485"/>
      <c r="M913" s="485"/>
      <c r="N913" s="485"/>
      <c r="O913" s="485"/>
      <c r="P913" s="485"/>
      <c r="Q913" s="485"/>
      <c r="R913" s="485"/>
      <c r="S913" s="485"/>
      <c r="T913" s="485"/>
      <c r="U913" s="485"/>
      <c r="V913" s="485"/>
      <c r="W913" s="485"/>
      <c r="X913" s="485"/>
      <c r="Y913" s="485"/>
      <c r="Z913" s="485"/>
    </row>
    <row r="914">
      <c r="A914" s="485"/>
      <c r="B914" s="485"/>
      <c r="C914" s="485"/>
      <c r="D914" s="485"/>
      <c r="E914" s="485"/>
      <c r="F914" s="485"/>
      <c r="G914" s="485"/>
      <c r="H914" s="485"/>
      <c r="I914" s="485"/>
      <c r="J914" s="485"/>
      <c r="K914" s="485"/>
      <c r="L914" s="485"/>
      <c r="M914" s="485"/>
      <c r="N914" s="485"/>
      <c r="O914" s="485"/>
      <c r="P914" s="485"/>
      <c r="Q914" s="485"/>
      <c r="R914" s="485"/>
      <c r="S914" s="485"/>
      <c r="T914" s="485"/>
      <c r="U914" s="485"/>
      <c r="V914" s="485"/>
      <c r="W914" s="485"/>
      <c r="X914" s="485"/>
      <c r="Y914" s="485"/>
      <c r="Z914" s="485"/>
    </row>
    <row r="915">
      <c r="A915" s="485"/>
      <c r="B915" s="485"/>
      <c r="C915" s="485"/>
      <c r="D915" s="485"/>
      <c r="E915" s="485"/>
      <c r="F915" s="485"/>
      <c r="G915" s="485"/>
      <c r="H915" s="485"/>
      <c r="I915" s="485"/>
      <c r="J915" s="485"/>
      <c r="K915" s="485"/>
      <c r="L915" s="485"/>
      <c r="M915" s="485"/>
      <c r="N915" s="485"/>
      <c r="O915" s="485"/>
      <c r="P915" s="485"/>
      <c r="Q915" s="485"/>
      <c r="R915" s="485"/>
      <c r="S915" s="485"/>
      <c r="T915" s="485"/>
      <c r="U915" s="485"/>
      <c r="V915" s="485"/>
      <c r="W915" s="485"/>
      <c r="X915" s="485"/>
      <c r="Y915" s="485"/>
      <c r="Z915" s="485"/>
    </row>
    <row r="916">
      <c r="A916" s="485"/>
      <c r="B916" s="485"/>
      <c r="C916" s="485"/>
      <c r="D916" s="485"/>
      <c r="E916" s="485"/>
      <c r="F916" s="485"/>
      <c r="G916" s="485"/>
      <c r="H916" s="485"/>
      <c r="I916" s="485"/>
      <c r="J916" s="485"/>
      <c r="K916" s="485"/>
      <c r="L916" s="485"/>
      <c r="M916" s="485"/>
      <c r="N916" s="485"/>
      <c r="O916" s="485"/>
      <c r="P916" s="485"/>
      <c r="Q916" s="485"/>
      <c r="R916" s="485"/>
      <c r="S916" s="485"/>
      <c r="T916" s="485"/>
      <c r="U916" s="485"/>
      <c r="V916" s="485"/>
      <c r="W916" s="485"/>
      <c r="X916" s="485"/>
      <c r="Y916" s="485"/>
      <c r="Z916" s="485"/>
    </row>
    <row r="917">
      <c r="A917" s="485"/>
      <c r="B917" s="485"/>
      <c r="C917" s="485"/>
      <c r="D917" s="485"/>
      <c r="E917" s="485"/>
      <c r="F917" s="485"/>
      <c r="G917" s="485"/>
      <c r="H917" s="485"/>
      <c r="I917" s="485"/>
      <c r="J917" s="485"/>
      <c r="K917" s="485"/>
      <c r="L917" s="485"/>
      <c r="M917" s="485"/>
      <c r="N917" s="485"/>
      <c r="O917" s="485"/>
      <c r="P917" s="485"/>
      <c r="Q917" s="485"/>
      <c r="R917" s="485"/>
      <c r="S917" s="485"/>
      <c r="T917" s="485"/>
      <c r="U917" s="485"/>
      <c r="V917" s="485"/>
      <c r="W917" s="485"/>
      <c r="X917" s="485"/>
      <c r="Y917" s="485"/>
      <c r="Z917" s="485"/>
    </row>
    <row r="918">
      <c r="A918" s="485"/>
      <c r="B918" s="485"/>
      <c r="C918" s="485"/>
      <c r="D918" s="485"/>
      <c r="E918" s="485"/>
      <c r="F918" s="485"/>
      <c r="G918" s="485"/>
      <c r="H918" s="485"/>
      <c r="I918" s="485"/>
      <c r="J918" s="485"/>
      <c r="K918" s="485"/>
      <c r="L918" s="485"/>
      <c r="M918" s="485"/>
      <c r="N918" s="485"/>
      <c r="O918" s="485"/>
      <c r="P918" s="485"/>
      <c r="Q918" s="485"/>
      <c r="R918" s="485"/>
      <c r="S918" s="485"/>
      <c r="T918" s="485"/>
      <c r="U918" s="485"/>
      <c r="V918" s="485"/>
      <c r="W918" s="485"/>
      <c r="X918" s="485"/>
      <c r="Y918" s="485"/>
      <c r="Z918" s="485"/>
    </row>
    <row r="919">
      <c r="A919" s="485"/>
      <c r="B919" s="485"/>
      <c r="C919" s="485"/>
      <c r="D919" s="485"/>
      <c r="E919" s="485"/>
      <c r="F919" s="485"/>
      <c r="G919" s="485"/>
      <c r="H919" s="485"/>
      <c r="I919" s="485"/>
      <c r="J919" s="485"/>
      <c r="K919" s="485"/>
      <c r="L919" s="485"/>
      <c r="M919" s="485"/>
      <c r="N919" s="485"/>
      <c r="O919" s="485"/>
      <c r="P919" s="485"/>
      <c r="Q919" s="485"/>
      <c r="R919" s="485"/>
      <c r="S919" s="485"/>
      <c r="T919" s="485"/>
      <c r="U919" s="485"/>
      <c r="V919" s="485"/>
      <c r="W919" s="485"/>
      <c r="X919" s="485"/>
      <c r="Y919" s="485"/>
      <c r="Z919" s="485"/>
    </row>
    <row r="920">
      <c r="A920" s="485"/>
      <c r="B920" s="485"/>
      <c r="C920" s="485"/>
      <c r="D920" s="485"/>
      <c r="E920" s="485"/>
      <c r="F920" s="485"/>
      <c r="G920" s="485"/>
      <c r="H920" s="485"/>
      <c r="I920" s="485"/>
      <c r="J920" s="485"/>
      <c r="K920" s="485"/>
      <c r="L920" s="485"/>
      <c r="M920" s="485"/>
      <c r="N920" s="485"/>
      <c r="O920" s="485"/>
      <c r="P920" s="485"/>
      <c r="Q920" s="485"/>
      <c r="R920" s="485"/>
      <c r="S920" s="485"/>
      <c r="T920" s="485"/>
      <c r="U920" s="485"/>
      <c r="V920" s="485"/>
      <c r="W920" s="485"/>
      <c r="X920" s="485"/>
      <c r="Y920" s="485"/>
      <c r="Z920" s="485"/>
    </row>
    <row r="921">
      <c r="A921" s="485"/>
      <c r="B921" s="485"/>
      <c r="C921" s="485"/>
      <c r="D921" s="485"/>
      <c r="E921" s="485"/>
      <c r="F921" s="485"/>
      <c r="G921" s="485"/>
      <c r="H921" s="485"/>
      <c r="I921" s="485"/>
      <c r="J921" s="485"/>
      <c r="K921" s="485"/>
      <c r="L921" s="485"/>
      <c r="M921" s="485"/>
      <c r="N921" s="485"/>
      <c r="O921" s="485"/>
      <c r="P921" s="485"/>
      <c r="Q921" s="485"/>
      <c r="R921" s="485"/>
      <c r="S921" s="485"/>
      <c r="T921" s="485"/>
      <c r="U921" s="485"/>
      <c r="V921" s="485"/>
      <c r="W921" s="485"/>
      <c r="X921" s="485"/>
      <c r="Y921" s="485"/>
      <c r="Z921" s="485"/>
    </row>
    <row r="922">
      <c r="A922" s="485"/>
      <c r="B922" s="485"/>
      <c r="C922" s="485"/>
      <c r="D922" s="485"/>
      <c r="E922" s="485"/>
      <c r="F922" s="485"/>
      <c r="G922" s="485"/>
      <c r="H922" s="485"/>
      <c r="I922" s="485"/>
      <c r="J922" s="485"/>
      <c r="K922" s="485"/>
      <c r="L922" s="485"/>
      <c r="M922" s="485"/>
      <c r="N922" s="485"/>
      <c r="O922" s="485"/>
      <c r="P922" s="485"/>
      <c r="Q922" s="485"/>
      <c r="R922" s="485"/>
      <c r="S922" s="485"/>
      <c r="T922" s="485"/>
      <c r="U922" s="485"/>
      <c r="V922" s="485"/>
      <c r="W922" s="485"/>
      <c r="X922" s="485"/>
      <c r="Y922" s="485"/>
      <c r="Z922" s="485"/>
    </row>
    <row r="923">
      <c r="A923" s="485"/>
      <c r="B923" s="485"/>
      <c r="C923" s="485"/>
      <c r="D923" s="485"/>
      <c r="E923" s="485"/>
      <c r="F923" s="485"/>
      <c r="G923" s="485"/>
      <c r="H923" s="485"/>
      <c r="I923" s="485"/>
      <c r="J923" s="485"/>
      <c r="K923" s="485"/>
      <c r="L923" s="485"/>
      <c r="M923" s="485"/>
      <c r="N923" s="485"/>
      <c r="O923" s="485"/>
      <c r="P923" s="485"/>
      <c r="Q923" s="485"/>
      <c r="R923" s="485"/>
      <c r="S923" s="485"/>
      <c r="T923" s="485"/>
      <c r="U923" s="485"/>
      <c r="V923" s="485"/>
      <c r="W923" s="485"/>
      <c r="X923" s="485"/>
      <c r="Y923" s="485"/>
      <c r="Z923" s="485"/>
    </row>
    <row r="924">
      <c r="A924" s="485"/>
      <c r="B924" s="485"/>
      <c r="C924" s="485"/>
      <c r="D924" s="485"/>
      <c r="E924" s="485"/>
      <c r="F924" s="485"/>
      <c r="G924" s="485"/>
      <c r="H924" s="485"/>
      <c r="I924" s="485"/>
      <c r="J924" s="485"/>
      <c r="K924" s="485"/>
      <c r="L924" s="485"/>
      <c r="M924" s="485"/>
      <c r="N924" s="485"/>
      <c r="O924" s="485"/>
      <c r="P924" s="485"/>
      <c r="Q924" s="485"/>
      <c r="R924" s="485"/>
      <c r="S924" s="485"/>
      <c r="T924" s="485"/>
      <c r="U924" s="485"/>
      <c r="V924" s="485"/>
      <c r="W924" s="485"/>
      <c r="X924" s="485"/>
      <c r="Y924" s="485"/>
      <c r="Z924" s="485"/>
    </row>
    <row r="925">
      <c r="A925" s="485"/>
      <c r="B925" s="485"/>
      <c r="C925" s="485"/>
      <c r="D925" s="485"/>
      <c r="E925" s="485"/>
      <c r="F925" s="485"/>
      <c r="G925" s="485"/>
      <c r="H925" s="485"/>
      <c r="I925" s="485"/>
      <c r="J925" s="485"/>
      <c r="K925" s="485"/>
      <c r="L925" s="485"/>
      <c r="M925" s="485"/>
      <c r="N925" s="485"/>
      <c r="O925" s="485"/>
      <c r="P925" s="485"/>
      <c r="Q925" s="485"/>
      <c r="R925" s="485"/>
      <c r="S925" s="485"/>
      <c r="T925" s="485"/>
      <c r="U925" s="485"/>
      <c r="V925" s="485"/>
      <c r="W925" s="485"/>
      <c r="X925" s="485"/>
      <c r="Y925" s="485"/>
      <c r="Z925" s="485"/>
    </row>
    <row r="926">
      <c r="A926" s="485"/>
      <c r="B926" s="485"/>
      <c r="C926" s="485"/>
      <c r="D926" s="485"/>
      <c r="E926" s="485"/>
      <c r="F926" s="485"/>
      <c r="G926" s="485"/>
      <c r="H926" s="485"/>
      <c r="I926" s="485"/>
      <c r="J926" s="485"/>
      <c r="K926" s="485"/>
      <c r="L926" s="485"/>
      <c r="M926" s="485"/>
      <c r="N926" s="485"/>
      <c r="O926" s="485"/>
      <c r="P926" s="485"/>
      <c r="Q926" s="485"/>
      <c r="R926" s="485"/>
      <c r="S926" s="485"/>
      <c r="T926" s="485"/>
      <c r="U926" s="485"/>
      <c r="V926" s="485"/>
      <c r="W926" s="485"/>
      <c r="X926" s="485"/>
      <c r="Y926" s="485"/>
      <c r="Z926" s="485"/>
    </row>
    <row r="927">
      <c r="A927" s="485"/>
      <c r="B927" s="485"/>
      <c r="C927" s="485"/>
      <c r="D927" s="485"/>
      <c r="E927" s="485"/>
      <c r="F927" s="485"/>
      <c r="G927" s="485"/>
      <c r="H927" s="485"/>
      <c r="I927" s="485"/>
      <c r="J927" s="485"/>
      <c r="K927" s="485"/>
      <c r="L927" s="485"/>
      <c r="M927" s="485"/>
      <c r="N927" s="485"/>
      <c r="O927" s="485"/>
      <c r="P927" s="485"/>
      <c r="Q927" s="485"/>
      <c r="R927" s="485"/>
      <c r="S927" s="485"/>
      <c r="T927" s="485"/>
      <c r="U927" s="485"/>
      <c r="V927" s="485"/>
      <c r="W927" s="485"/>
      <c r="X927" s="485"/>
      <c r="Y927" s="485"/>
      <c r="Z927" s="485"/>
    </row>
    <row r="928">
      <c r="A928" s="485"/>
      <c r="B928" s="485"/>
      <c r="C928" s="485"/>
      <c r="D928" s="485"/>
      <c r="E928" s="485"/>
      <c r="F928" s="485"/>
      <c r="G928" s="485"/>
      <c r="H928" s="485"/>
      <c r="I928" s="485"/>
      <c r="J928" s="485"/>
      <c r="K928" s="485"/>
      <c r="L928" s="485"/>
      <c r="M928" s="485"/>
      <c r="N928" s="485"/>
      <c r="O928" s="485"/>
      <c r="P928" s="485"/>
      <c r="Q928" s="485"/>
      <c r="R928" s="485"/>
      <c r="S928" s="485"/>
      <c r="T928" s="485"/>
      <c r="U928" s="485"/>
      <c r="V928" s="485"/>
      <c r="W928" s="485"/>
      <c r="X928" s="485"/>
      <c r="Y928" s="485"/>
      <c r="Z928" s="485"/>
    </row>
    <row r="929">
      <c r="A929" s="485"/>
      <c r="B929" s="485"/>
      <c r="C929" s="485"/>
      <c r="D929" s="485"/>
      <c r="E929" s="485"/>
      <c r="F929" s="485"/>
      <c r="G929" s="485"/>
      <c r="H929" s="485"/>
      <c r="I929" s="485"/>
      <c r="J929" s="485"/>
      <c r="K929" s="485"/>
      <c r="L929" s="485"/>
      <c r="M929" s="485"/>
      <c r="N929" s="485"/>
      <c r="O929" s="485"/>
      <c r="P929" s="485"/>
      <c r="Q929" s="485"/>
      <c r="R929" s="485"/>
      <c r="S929" s="485"/>
      <c r="T929" s="485"/>
      <c r="U929" s="485"/>
      <c r="V929" s="485"/>
      <c r="W929" s="485"/>
      <c r="X929" s="485"/>
      <c r="Y929" s="485"/>
      <c r="Z929" s="485"/>
    </row>
    <row r="930">
      <c r="A930" s="485"/>
      <c r="B930" s="485"/>
      <c r="C930" s="485"/>
      <c r="D930" s="485"/>
      <c r="E930" s="485"/>
      <c r="F930" s="485"/>
      <c r="G930" s="485"/>
      <c r="H930" s="485"/>
      <c r="I930" s="485"/>
      <c r="J930" s="485"/>
      <c r="K930" s="485"/>
      <c r="L930" s="485"/>
      <c r="M930" s="485"/>
      <c r="N930" s="485"/>
      <c r="O930" s="485"/>
      <c r="P930" s="485"/>
      <c r="Q930" s="485"/>
      <c r="R930" s="485"/>
      <c r="S930" s="485"/>
      <c r="T930" s="485"/>
      <c r="U930" s="485"/>
      <c r="V930" s="485"/>
      <c r="W930" s="485"/>
      <c r="X930" s="485"/>
      <c r="Y930" s="485"/>
      <c r="Z930" s="485"/>
    </row>
    <row r="931">
      <c r="A931" s="485"/>
      <c r="B931" s="485"/>
      <c r="C931" s="485"/>
      <c r="D931" s="485"/>
      <c r="E931" s="485"/>
      <c r="F931" s="485"/>
      <c r="G931" s="485"/>
      <c r="H931" s="485"/>
      <c r="I931" s="485"/>
      <c r="J931" s="485"/>
      <c r="K931" s="485"/>
      <c r="L931" s="485"/>
      <c r="M931" s="485"/>
      <c r="N931" s="485"/>
      <c r="O931" s="485"/>
      <c r="P931" s="485"/>
      <c r="Q931" s="485"/>
      <c r="R931" s="485"/>
      <c r="S931" s="485"/>
      <c r="T931" s="485"/>
      <c r="U931" s="485"/>
      <c r="V931" s="485"/>
      <c r="W931" s="485"/>
      <c r="X931" s="485"/>
      <c r="Y931" s="485"/>
      <c r="Z931" s="485"/>
    </row>
    <row r="932">
      <c r="A932" s="485"/>
      <c r="B932" s="485"/>
      <c r="C932" s="485"/>
      <c r="D932" s="485"/>
      <c r="E932" s="485"/>
      <c r="F932" s="485"/>
      <c r="G932" s="485"/>
      <c r="H932" s="485"/>
      <c r="I932" s="485"/>
      <c r="J932" s="485"/>
      <c r="K932" s="485"/>
      <c r="L932" s="485"/>
      <c r="M932" s="485"/>
      <c r="N932" s="485"/>
      <c r="O932" s="485"/>
      <c r="P932" s="485"/>
      <c r="Q932" s="485"/>
      <c r="R932" s="485"/>
      <c r="S932" s="485"/>
      <c r="T932" s="485"/>
      <c r="U932" s="485"/>
      <c r="V932" s="485"/>
      <c r="W932" s="485"/>
      <c r="X932" s="485"/>
      <c r="Y932" s="485"/>
      <c r="Z932" s="485"/>
    </row>
    <row r="933">
      <c r="A933" s="485"/>
      <c r="B933" s="485"/>
      <c r="C933" s="485"/>
      <c r="D933" s="485"/>
      <c r="E933" s="485"/>
      <c r="F933" s="485"/>
      <c r="G933" s="485"/>
      <c r="H933" s="485"/>
      <c r="I933" s="485"/>
      <c r="J933" s="485"/>
      <c r="K933" s="485"/>
      <c r="L933" s="485"/>
      <c r="M933" s="485"/>
      <c r="N933" s="485"/>
      <c r="O933" s="485"/>
      <c r="P933" s="485"/>
      <c r="Q933" s="485"/>
      <c r="R933" s="485"/>
      <c r="S933" s="485"/>
      <c r="T933" s="485"/>
      <c r="U933" s="485"/>
      <c r="V933" s="485"/>
      <c r="W933" s="485"/>
      <c r="X933" s="485"/>
      <c r="Y933" s="485"/>
      <c r="Z933" s="485"/>
    </row>
    <row r="934">
      <c r="A934" s="485"/>
      <c r="B934" s="485"/>
      <c r="C934" s="485"/>
      <c r="D934" s="485"/>
      <c r="E934" s="485"/>
      <c r="F934" s="485"/>
      <c r="G934" s="485"/>
      <c r="H934" s="485"/>
      <c r="I934" s="485"/>
      <c r="J934" s="485"/>
      <c r="K934" s="485"/>
      <c r="L934" s="485"/>
      <c r="M934" s="485"/>
      <c r="N934" s="485"/>
      <c r="O934" s="485"/>
      <c r="P934" s="485"/>
      <c r="Q934" s="485"/>
      <c r="R934" s="485"/>
      <c r="S934" s="485"/>
      <c r="T934" s="485"/>
      <c r="U934" s="485"/>
      <c r="V934" s="485"/>
      <c r="W934" s="485"/>
      <c r="X934" s="485"/>
      <c r="Y934" s="485"/>
      <c r="Z934" s="485"/>
    </row>
    <row r="935">
      <c r="A935" s="485"/>
      <c r="B935" s="485"/>
      <c r="C935" s="485"/>
      <c r="D935" s="485"/>
      <c r="E935" s="485"/>
      <c r="F935" s="485"/>
      <c r="G935" s="485"/>
      <c r="H935" s="485"/>
      <c r="I935" s="485"/>
      <c r="J935" s="485"/>
      <c r="K935" s="485"/>
      <c r="L935" s="485"/>
      <c r="M935" s="485"/>
      <c r="N935" s="485"/>
      <c r="O935" s="485"/>
      <c r="P935" s="485"/>
      <c r="Q935" s="485"/>
      <c r="R935" s="485"/>
      <c r="S935" s="485"/>
      <c r="T935" s="485"/>
      <c r="U935" s="485"/>
      <c r="V935" s="485"/>
      <c r="W935" s="485"/>
      <c r="X935" s="485"/>
      <c r="Y935" s="485"/>
      <c r="Z935" s="485"/>
    </row>
    <row r="936">
      <c r="A936" s="485"/>
      <c r="B936" s="485"/>
      <c r="C936" s="485"/>
      <c r="D936" s="485"/>
      <c r="E936" s="485"/>
      <c r="F936" s="485"/>
      <c r="G936" s="485"/>
      <c r="H936" s="485"/>
      <c r="I936" s="485"/>
      <c r="J936" s="485"/>
      <c r="K936" s="485"/>
      <c r="L936" s="485"/>
      <c r="M936" s="485"/>
      <c r="N936" s="485"/>
      <c r="O936" s="485"/>
      <c r="P936" s="485"/>
      <c r="Q936" s="485"/>
      <c r="R936" s="485"/>
      <c r="S936" s="485"/>
      <c r="T936" s="485"/>
      <c r="U936" s="485"/>
      <c r="V936" s="485"/>
      <c r="W936" s="485"/>
      <c r="X936" s="485"/>
      <c r="Y936" s="485"/>
      <c r="Z936" s="485"/>
    </row>
    <row r="937">
      <c r="A937" s="485"/>
      <c r="B937" s="485"/>
      <c r="C937" s="485"/>
      <c r="D937" s="485"/>
      <c r="E937" s="485"/>
      <c r="F937" s="485"/>
      <c r="G937" s="485"/>
      <c r="H937" s="485"/>
      <c r="I937" s="485"/>
      <c r="J937" s="485"/>
      <c r="K937" s="485"/>
      <c r="L937" s="485"/>
      <c r="M937" s="485"/>
      <c r="N937" s="485"/>
      <c r="O937" s="485"/>
      <c r="P937" s="485"/>
      <c r="Q937" s="485"/>
      <c r="R937" s="485"/>
      <c r="S937" s="485"/>
      <c r="T937" s="485"/>
      <c r="U937" s="485"/>
      <c r="V937" s="485"/>
      <c r="W937" s="485"/>
      <c r="X937" s="485"/>
      <c r="Y937" s="485"/>
      <c r="Z937" s="485"/>
    </row>
    <row r="938">
      <c r="A938" s="485"/>
      <c r="B938" s="485"/>
      <c r="C938" s="485"/>
      <c r="D938" s="485"/>
      <c r="E938" s="485"/>
      <c r="F938" s="485"/>
      <c r="G938" s="485"/>
      <c r="H938" s="485"/>
      <c r="I938" s="485"/>
      <c r="J938" s="485"/>
      <c r="K938" s="485"/>
      <c r="L938" s="485"/>
      <c r="M938" s="485"/>
      <c r="N938" s="485"/>
      <c r="O938" s="485"/>
      <c r="P938" s="485"/>
      <c r="Q938" s="485"/>
      <c r="R938" s="485"/>
      <c r="S938" s="485"/>
      <c r="T938" s="485"/>
      <c r="U938" s="485"/>
      <c r="V938" s="485"/>
      <c r="W938" s="485"/>
      <c r="X938" s="485"/>
      <c r="Y938" s="485"/>
      <c r="Z938" s="485"/>
    </row>
    <row r="939">
      <c r="A939" s="485"/>
      <c r="B939" s="485"/>
      <c r="C939" s="485"/>
      <c r="D939" s="485"/>
      <c r="E939" s="485"/>
      <c r="F939" s="485"/>
      <c r="G939" s="485"/>
      <c r="H939" s="485"/>
      <c r="I939" s="485"/>
      <c r="J939" s="485"/>
      <c r="K939" s="485"/>
      <c r="L939" s="485"/>
      <c r="M939" s="485"/>
      <c r="N939" s="485"/>
      <c r="O939" s="485"/>
      <c r="P939" s="485"/>
      <c r="Q939" s="485"/>
      <c r="R939" s="485"/>
      <c r="S939" s="485"/>
      <c r="T939" s="485"/>
      <c r="U939" s="485"/>
      <c r="V939" s="485"/>
      <c r="W939" s="485"/>
      <c r="X939" s="485"/>
      <c r="Y939" s="485"/>
      <c r="Z939" s="485"/>
    </row>
    <row r="940">
      <c r="A940" s="485"/>
      <c r="B940" s="485"/>
      <c r="C940" s="485"/>
      <c r="D940" s="485"/>
      <c r="E940" s="485"/>
      <c r="F940" s="485"/>
      <c r="G940" s="485"/>
      <c r="H940" s="485"/>
      <c r="I940" s="485"/>
      <c r="J940" s="485"/>
      <c r="K940" s="485"/>
      <c r="L940" s="485"/>
      <c r="M940" s="485"/>
      <c r="N940" s="485"/>
      <c r="O940" s="485"/>
      <c r="P940" s="485"/>
      <c r="Q940" s="485"/>
      <c r="R940" s="485"/>
      <c r="S940" s="485"/>
      <c r="T940" s="485"/>
      <c r="U940" s="485"/>
      <c r="V940" s="485"/>
      <c r="W940" s="485"/>
      <c r="X940" s="485"/>
      <c r="Y940" s="485"/>
      <c r="Z940" s="485"/>
    </row>
    <row r="941">
      <c r="A941" s="485"/>
      <c r="B941" s="485"/>
      <c r="C941" s="485"/>
      <c r="D941" s="485"/>
      <c r="E941" s="485"/>
      <c r="F941" s="485"/>
      <c r="G941" s="485"/>
      <c r="H941" s="485"/>
      <c r="I941" s="485"/>
      <c r="J941" s="485"/>
      <c r="K941" s="485"/>
      <c r="L941" s="485"/>
      <c r="M941" s="485"/>
      <c r="N941" s="485"/>
      <c r="O941" s="485"/>
      <c r="P941" s="485"/>
      <c r="Q941" s="485"/>
      <c r="R941" s="485"/>
      <c r="S941" s="485"/>
      <c r="T941" s="485"/>
      <c r="U941" s="485"/>
      <c r="V941" s="485"/>
      <c r="W941" s="485"/>
      <c r="X941" s="485"/>
      <c r="Y941" s="485"/>
      <c r="Z941" s="485"/>
    </row>
    <row r="942">
      <c r="A942" s="485"/>
      <c r="B942" s="485"/>
      <c r="C942" s="485"/>
      <c r="D942" s="485"/>
      <c r="E942" s="485"/>
      <c r="F942" s="485"/>
      <c r="G942" s="485"/>
      <c r="H942" s="485"/>
      <c r="I942" s="485"/>
      <c r="J942" s="485"/>
      <c r="K942" s="485"/>
      <c r="L942" s="485"/>
      <c r="M942" s="485"/>
      <c r="N942" s="485"/>
      <c r="O942" s="485"/>
      <c r="P942" s="485"/>
      <c r="Q942" s="485"/>
      <c r="R942" s="485"/>
      <c r="S942" s="485"/>
      <c r="T942" s="485"/>
      <c r="U942" s="485"/>
      <c r="V942" s="485"/>
      <c r="W942" s="485"/>
      <c r="X942" s="485"/>
      <c r="Y942" s="485"/>
      <c r="Z942" s="485"/>
    </row>
    <row r="943">
      <c r="A943" s="485"/>
      <c r="B943" s="485"/>
      <c r="C943" s="485"/>
      <c r="D943" s="485"/>
      <c r="E943" s="485"/>
      <c r="F943" s="485"/>
      <c r="G943" s="485"/>
      <c r="H943" s="485"/>
      <c r="I943" s="485"/>
      <c r="J943" s="485"/>
      <c r="K943" s="485"/>
      <c r="L943" s="485"/>
      <c r="M943" s="485"/>
      <c r="N943" s="485"/>
      <c r="O943" s="485"/>
      <c r="P943" s="485"/>
      <c r="Q943" s="485"/>
      <c r="R943" s="485"/>
      <c r="S943" s="485"/>
      <c r="T943" s="485"/>
      <c r="U943" s="485"/>
      <c r="V943" s="485"/>
      <c r="W943" s="485"/>
      <c r="X943" s="485"/>
      <c r="Y943" s="485"/>
      <c r="Z943" s="485"/>
    </row>
    <row r="944">
      <c r="A944" s="485"/>
      <c r="B944" s="485"/>
      <c r="C944" s="485"/>
      <c r="D944" s="485"/>
      <c r="E944" s="485"/>
      <c r="F944" s="485"/>
      <c r="G944" s="485"/>
      <c r="H944" s="485"/>
      <c r="I944" s="485"/>
      <c r="J944" s="485"/>
      <c r="K944" s="485"/>
      <c r="L944" s="485"/>
      <c r="M944" s="485"/>
      <c r="N944" s="485"/>
      <c r="O944" s="485"/>
      <c r="P944" s="485"/>
      <c r="Q944" s="485"/>
      <c r="R944" s="485"/>
      <c r="S944" s="485"/>
      <c r="T944" s="485"/>
      <c r="U944" s="485"/>
      <c r="V944" s="485"/>
      <c r="W944" s="485"/>
      <c r="X944" s="485"/>
      <c r="Y944" s="485"/>
      <c r="Z944" s="485"/>
    </row>
    <row r="945">
      <c r="A945" s="485"/>
      <c r="B945" s="485"/>
      <c r="C945" s="485"/>
      <c r="D945" s="485"/>
      <c r="E945" s="485"/>
      <c r="F945" s="485"/>
      <c r="G945" s="485"/>
      <c r="H945" s="485"/>
      <c r="I945" s="485"/>
      <c r="J945" s="485"/>
      <c r="K945" s="485"/>
      <c r="L945" s="485"/>
      <c r="M945" s="485"/>
      <c r="N945" s="485"/>
      <c r="O945" s="485"/>
      <c r="P945" s="485"/>
      <c r="Q945" s="485"/>
      <c r="R945" s="485"/>
      <c r="S945" s="485"/>
      <c r="T945" s="485"/>
      <c r="U945" s="485"/>
      <c r="V945" s="485"/>
      <c r="W945" s="485"/>
      <c r="X945" s="485"/>
      <c r="Y945" s="485"/>
      <c r="Z945" s="485"/>
    </row>
    <row r="946">
      <c r="A946" s="485"/>
      <c r="B946" s="485"/>
      <c r="C946" s="485"/>
      <c r="D946" s="485"/>
      <c r="E946" s="485"/>
      <c r="F946" s="485"/>
      <c r="G946" s="485"/>
      <c r="H946" s="485"/>
      <c r="I946" s="485"/>
      <c r="J946" s="485"/>
      <c r="K946" s="485"/>
      <c r="L946" s="485"/>
      <c r="M946" s="485"/>
      <c r="N946" s="485"/>
      <c r="O946" s="485"/>
      <c r="P946" s="485"/>
      <c r="Q946" s="485"/>
      <c r="R946" s="485"/>
      <c r="S946" s="485"/>
      <c r="T946" s="485"/>
      <c r="U946" s="485"/>
      <c r="V946" s="485"/>
      <c r="W946" s="485"/>
      <c r="X946" s="485"/>
      <c r="Y946" s="485"/>
      <c r="Z946" s="485"/>
    </row>
    <row r="947">
      <c r="A947" s="485"/>
      <c r="B947" s="485"/>
      <c r="C947" s="485"/>
      <c r="D947" s="485"/>
      <c r="E947" s="485"/>
      <c r="F947" s="485"/>
      <c r="G947" s="485"/>
      <c r="H947" s="485"/>
      <c r="I947" s="485"/>
      <c r="J947" s="485"/>
      <c r="K947" s="485"/>
      <c r="L947" s="485"/>
      <c r="M947" s="485"/>
      <c r="N947" s="485"/>
      <c r="O947" s="485"/>
      <c r="P947" s="485"/>
      <c r="Q947" s="485"/>
      <c r="R947" s="485"/>
      <c r="S947" s="485"/>
      <c r="T947" s="485"/>
      <c r="U947" s="485"/>
      <c r="V947" s="485"/>
      <c r="W947" s="485"/>
      <c r="X947" s="485"/>
      <c r="Y947" s="485"/>
      <c r="Z947" s="485"/>
    </row>
    <row r="948">
      <c r="A948" s="485"/>
      <c r="B948" s="485"/>
      <c r="C948" s="485"/>
      <c r="D948" s="485"/>
      <c r="E948" s="485"/>
      <c r="F948" s="485"/>
      <c r="G948" s="485"/>
      <c r="H948" s="485"/>
      <c r="I948" s="485"/>
      <c r="J948" s="485"/>
      <c r="K948" s="485"/>
      <c r="L948" s="485"/>
      <c r="M948" s="485"/>
      <c r="N948" s="485"/>
      <c r="O948" s="485"/>
      <c r="P948" s="485"/>
      <c r="Q948" s="485"/>
      <c r="R948" s="485"/>
      <c r="S948" s="485"/>
      <c r="T948" s="485"/>
      <c r="U948" s="485"/>
      <c r="V948" s="485"/>
      <c r="W948" s="485"/>
      <c r="X948" s="485"/>
      <c r="Y948" s="485"/>
      <c r="Z948" s="485"/>
    </row>
    <row r="949">
      <c r="A949" s="485"/>
      <c r="B949" s="485"/>
      <c r="C949" s="485"/>
      <c r="D949" s="485"/>
      <c r="E949" s="485"/>
      <c r="F949" s="485"/>
      <c r="G949" s="485"/>
      <c r="H949" s="485"/>
      <c r="I949" s="485"/>
      <c r="J949" s="485"/>
      <c r="K949" s="485"/>
      <c r="L949" s="485"/>
      <c r="M949" s="485"/>
      <c r="N949" s="485"/>
      <c r="O949" s="485"/>
      <c r="P949" s="485"/>
      <c r="Q949" s="485"/>
      <c r="R949" s="485"/>
      <c r="S949" s="485"/>
      <c r="T949" s="485"/>
      <c r="U949" s="485"/>
      <c r="V949" s="485"/>
      <c r="W949" s="485"/>
      <c r="X949" s="485"/>
      <c r="Y949" s="485"/>
      <c r="Z949" s="485"/>
    </row>
    <row r="950">
      <c r="A950" s="485"/>
      <c r="B950" s="485"/>
      <c r="C950" s="485"/>
      <c r="D950" s="485"/>
      <c r="E950" s="485"/>
      <c r="F950" s="485"/>
      <c r="G950" s="485"/>
      <c r="H950" s="485"/>
      <c r="I950" s="485"/>
      <c r="J950" s="485"/>
      <c r="K950" s="485"/>
      <c r="L950" s="485"/>
      <c r="M950" s="485"/>
      <c r="N950" s="485"/>
      <c r="O950" s="485"/>
      <c r="P950" s="485"/>
      <c r="Q950" s="485"/>
      <c r="R950" s="485"/>
      <c r="S950" s="485"/>
      <c r="T950" s="485"/>
      <c r="U950" s="485"/>
      <c r="V950" s="485"/>
      <c r="W950" s="485"/>
      <c r="X950" s="485"/>
      <c r="Y950" s="485"/>
      <c r="Z950" s="485"/>
    </row>
    <row r="951">
      <c r="A951" s="485"/>
      <c r="B951" s="485"/>
      <c r="C951" s="485"/>
      <c r="D951" s="485"/>
      <c r="E951" s="485"/>
      <c r="F951" s="485"/>
      <c r="G951" s="485"/>
      <c r="H951" s="485"/>
      <c r="I951" s="485"/>
      <c r="J951" s="485"/>
      <c r="K951" s="485"/>
      <c r="L951" s="485"/>
      <c r="M951" s="485"/>
      <c r="N951" s="485"/>
      <c r="O951" s="485"/>
      <c r="P951" s="485"/>
      <c r="Q951" s="485"/>
      <c r="R951" s="485"/>
      <c r="S951" s="485"/>
      <c r="T951" s="485"/>
      <c r="U951" s="485"/>
      <c r="V951" s="485"/>
      <c r="W951" s="485"/>
      <c r="X951" s="485"/>
      <c r="Y951" s="485"/>
      <c r="Z951" s="485"/>
    </row>
    <row r="952">
      <c r="A952" s="485"/>
      <c r="B952" s="485"/>
      <c r="C952" s="485"/>
      <c r="D952" s="485"/>
      <c r="E952" s="485"/>
      <c r="F952" s="485"/>
      <c r="G952" s="485"/>
      <c r="H952" s="485"/>
      <c r="I952" s="485"/>
      <c r="J952" s="485"/>
      <c r="K952" s="485"/>
      <c r="L952" s="485"/>
      <c r="M952" s="485"/>
      <c r="N952" s="485"/>
      <c r="O952" s="485"/>
      <c r="P952" s="485"/>
      <c r="Q952" s="485"/>
      <c r="R952" s="485"/>
      <c r="S952" s="485"/>
      <c r="T952" s="485"/>
      <c r="U952" s="485"/>
      <c r="V952" s="485"/>
      <c r="W952" s="485"/>
      <c r="X952" s="485"/>
      <c r="Y952" s="485"/>
      <c r="Z952" s="485"/>
    </row>
    <row r="953">
      <c r="A953" s="485"/>
      <c r="B953" s="485"/>
      <c r="C953" s="485"/>
      <c r="D953" s="485"/>
      <c r="E953" s="485"/>
      <c r="F953" s="485"/>
      <c r="G953" s="485"/>
      <c r="H953" s="485"/>
      <c r="I953" s="485"/>
      <c r="J953" s="485"/>
      <c r="K953" s="485"/>
      <c r="L953" s="485"/>
      <c r="M953" s="485"/>
      <c r="N953" s="485"/>
      <c r="O953" s="485"/>
      <c r="P953" s="485"/>
      <c r="Q953" s="485"/>
      <c r="R953" s="485"/>
      <c r="S953" s="485"/>
      <c r="T953" s="485"/>
      <c r="U953" s="485"/>
      <c r="V953" s="485"/>
      <c r="W953" s="485"/>
      <c r="X953" s="485"/>
      <c r="Y953" s="485"/>
      <c r="Z953" s="485"/>
    </row>
    <row r="954">
      <c r="A954" s="485"/>
      <c r="B954" s="485"/>
      <c r="C954" s="485"/>
      <c r="D954" s="485"/>
      <c r="E954" s="485"/>
      <c r="F954" s="485"/>
      <c r="G954" s="485"/>
      <c r="H954" s="485"/>
      <c r="I954" s="485"/>
      <c r="J954" s="485"/>
      <c r="K954" s="485"/>
      <c r="L954" s="485"/>
      <c r="M954" s="485"/>
      <c r="N954" s="485"/>
      <c r="O954" s="485"/>
      <c r="P954" s="485"/>
      <c r="Q954" s="485"/>
      <c r="R954" s="485"/>
      <c r="S954" s="485"/>
      <c r="T954" s="485"/>
      <c r="U954" s="485"/>
      <c r="V954" s="485"/>
      <c r="W954" s="485"/>
      <c r="X954" s="485"/>
      <c r="Y954" s="485"/>
      <c r="Z954" s="485"/>
    </row>
    <row r="955">
      <c r="A955" s="485"/>
      <c r="B955" s="485"/>
      <c r="C955" s="485"/>
      <c r="D955" s="485"/>
      <c r="E955" s="485"/>
      <c r="F955" s="485"/>
      <c r="G955" s="485"/>
      <c r="H955" s="485"/>
      <c r="I955" s="485"/>
      <c r="J955" s="485"/>
      <c r="K955" s="485"/>
      <c r="L955" s="485"/>
      <c r="M955" s="485"/>
      <c r="N955" s="485"/>
      <c r="O955" s="485"/>
      <c r="P955" s="485"/>
      <c r="Q955" s="485"/>
      <c r="R955" s="485"/>
      <c r="S955" s="485"/>
      <c r="T955" s="485"/>
      <c r="U955" s="485"/>
      <c r="V955" s="485"/>
      <c r="W955" s="485"/>
      <c r="X955" s="485"/>
      <c r="Y955" s="485"/>
      <c r="Z955" s="485"/>
    </row>
    <row r="956">
      <c r="A956" s="485"/>
      <c r="B956" s="485"/>
      <c r="C956" s="485"/>
      <c r="D956" s="485"/>
      <c r="E956" s="485"/>
      <c r="F956" s="485"/>
      <c r="G956" s="485"/>
      <c r="H956" s="485"/>
      <c r="I956" s="485"/>
      <c r="J956" s="485"/>
      <c r="K956" s="485"/>
      <c r="L956" s="485"/>
      <c r="M956" s="485"/>
      <c r="N956" s="485"/>
      <c r="O956" s="485"/>
      <c r="P956" s="485"/>
      <c r="Q956" s="485"/>
      <c r="R956" s="485"/>
      <c r="S956" s="485"/>
      <c r="T956" s="485"/>
      <c r="U956" s="485"/>
      <c r="V956" s="485"/>
      <c r="W956" s="485"/>
      <c r="X956" s="485"/>
      <c r="Y956" s="485"/>
      <c r="Z956" s="485"/>
    </row>
    <row r="957">
      <c r="A957" s="485"/>
      <c r="B957" s="485"/>
      <c r="C957" s="485"/>
      <c r="D957" s="485"/>
      <c r="E957" s="485"/>
      <c r="F957" s="485"/>
      <c r="G957" s="485"/>
      <c r="H957" s="485"/>
      <c r="I957" s="485"/>
      <c r="J957" s="485"/>
      <c r="K957" s="485"/>
      <c r="L957" s="485"/>
      <c r="M957" s="485"/>
      <c r="N957" s="485"/>
      <c r="O957" s="485"/>
      <c r="P957" s="485"/>
      <c r="Q957" s="485"/>
      <c r="R957" s="485"/>
      <c r="S957" s="485"/>
      <c r="T957" s="485"/>
      <c r="U957" s="485"/>
      <c r="V957" s="485"/>
      <c r="W957" s="485"/>
      <c r="X957" s="485"/>
      <c r="Y957" s="485"/>
      <c r="Z957" s="485"/>
    </row>
    <row r="958">
      <c r="A958" s="485"/>
      <c r="B958" s="485"/>
      <c r="C958" s="485"/>
      <c r="D958" s="485"/>
      <c r="E958" s="485"/>
      <c r="F958" s="485"/>
      <c r="G958" s="485"/>
      <c r="H958" s="485"/>
      <c r="I958" s="485"/>
      <c r="J958" s="485"/>
      <c r="K958" s="485"/>
      <c r="L958" s="485"/>
      <c r="M958" s="485"/>
      <c r="N958" s="485"/>
      <c r="O958" s="485"/>
      <c r="P958" s="485"/>
      <c r="Q958" s="485"/>
      <c r="R958" s="485"/>
      <c r="S958" s="485"/>
      <c r="T958" s="485"/>
      <c r="U958" s="485"/>
      <c r="V958" s="485"/>
      <c r="W958" s="485"/>
      <c r="X958" s="485"/>
      <c r="Y958" s="485"/>
      <c r="Z958" s="485"/>
    </row>
    <row r="959">
      <c r="A959" s="485"/>
      <c r="B959" s="485"/>
      <c r="C959" s="485"/>
      <c r="D959" s="485"/>
      <c r="E959" s="485"/>
      <c r="F959" s="485"/>
      <c r="G959" s="485"/>
      <c r="H959" s="485"/>
      <c r="I959" s="485"/>
      <c r="J959" s="485"/>
      <c r="K959" s="485"/>
      <c r="L959" s="485"/>
      <c r="M959" s="485"/>
      <c r="N959" s="485"/>
      <c r="O959" s="485"/>
      <c r="P959" s="485"/>
      <c r="Q959" s="485"/>
      <c r="R959" s="485"/>
      <c r="S959" s="485"/>
      <c r="T959" s="485"/>
      <c r="U959" s="485"/>
      <c r="V959" s="485"/>
      <c r="W959" s="485"/>
      <c r="X959" s="485"/>
      <c r="Y959" s="485"/>
      <c r="Z959" s="485"/>
    </row>
    <row r="960">
      <c r="A960" s="485"/>
      <c r="B960" s="485"/>
      <c r="C960" s="485"/>
      <c r="D960" s="485"/>
      <c r="E960" s="485"/>
      <c r="F960" s="485"/>
      <c r="G960" s="485"/>
      <c r="H960" s="485"/>
      <c r="I960" s="485"/>
      <c r="J960" s="485"/>
      <c r="K960" s="485"/>
      <c r="L960" s="485"/>
      <c r="M960" s="485"/>
      <c r="N960" s="485"/>
      <c r="O960" s="485"/>
      <c r="P960" s="485"/>
      <c r="Q960" s="485"/>
      <c r="R960" s="485"/>
      <c r="S960" s="485"/>
      <c r="T960" s="485"/>
      <c r="U960" s="485"/>
      <c r="V960" s="485"/>
      <c r="W960" s="485"/>
      <c r="X960" s="485"/>
      <c r="Y960" s="485"/>
      <c r="Z960" s="485"/>
    </row>
    <row r="961">
      <c r="A961" s="485"/>
      <c r="B961" s="485"/>
      <c r="C961" s="485"/>
      <c r="D961" s="485"/>
      <c r="E961" s="485"/>
      <c r="F961" s="485"/>
      <c r="G961" s="485"/>
      <c r="H961" s="485"/>
      <c r="I961" s="485"/>
      <c r="J961" s="485"/>
      <c r="K961" s="485"/>
      <c r="L961" s="485"/>
      <c r="M961" s="485"/>
      <c r="N961" s="485"/>
      <c r="O961" s="485"/>
      <c r="P961" s="485"/>
      <c r="Q961" s="485"/>
      <c r="R961" s="485"/>
      <c r="S961" s="485"/>
      <c r="T961" s="485"/>
      <c r="U961" s="485"/>
      <c r="V961" s="485"/>
      <c r="W961" s="485"/>
      <c r="X961" s="485"/>
      <c r="Y961" s="485"/>
      <c r="Z961" s="485"/>
    </row>
    <row r="962">
      <c r="A962" s="485"/>
      <c r="B962" s="485"/>
      <c r="C962" s="485"/>
      <c r="D962" s="485"/>
      <c r="E962" s="485"/>
      <c r="F962" s="485"/>
      <c r="G962" s="485"/>
      <c r="H962" s="485"/>
      <c r="I962" s="485"/>
      <c r="J962" s="485"/>
      <c r="K962" s="485"/>
      <c r="L962" s="485"/>
      <c r="M962" s="485"/>
      <c r="N962" s="485"/>
      <c r="O962" s="485"/>
      <c r="P962" s="485"/>
      <c r="Q962" s="485"/>
      <c r="R962" s="485"/>
      <c r="S962" s="485"/>
      <c r="T962" s="485"/>
      <c r="U962" s="485"/>
      <c r="V962" s="485"/>
      <c r="W962" s="485"/>
      <c r="X962" s="485"/>
      <c r="Y962" s="485"/>
      <c r="Z962" s="485"/>
    </row>
    <row r="963">
      <c r="A963" s="485"/>
      <c r="B963" s="485"/>
      <c r="C963" s="485"/>
      <c r="D963" s="485"/>
      <c r="E963" s="485"/>
      <c r="F963" s="485"/>
      <c r="G963" s="485"/>
      <c r="H963" s="485"/>
      <c r="I963" s="485"/>
      <c r="J963" s="485"/>
      <c r="K963" s="485"/>
      <c r="L963" s="485"/>
      <c r="M963" s="485"/>
      <c r="N963" s="485"/>
      <c r="O963" s="485"/>
      <c r="P963" s="485"/>
      <c r="Q963" s="485"/>
      <c r="R963" s="485"/>
      <c r="S963" s="485"/>
      <c r="T963" s="485"/>
      <c r="U963" s="485"/>
      <c r="V963" s="485"/>
      <c r="W963" s="485"/>
      <c r="X963" s="485"/>
      <c r="Y963" s="485"/>
      <c r="Z963" s="485"/>
    </row>
    <row r="964">
      <c r="A964" s="485"/>
      <c r="B964" s="485"/>
      <c r="C964" s="485"/>
      <c r="D964" s="485"/>
      <c r="E964" s="485"/>
      <c r="F964" s="485"/>
      <c r="G964" s="485"/>
      <c r="H964" s="485"/>
      <c r="I964" s="485"/>
      <c r="J964" s="485"/>
      <c r="K964" s="485"/>
      <c r="L964" s="485"/>
      <c r="M964" s="485"/>
      <c r="N964" s="485"/>
      <c r="O964" s="485"/>
      <c r="P964" s="485"/>
      <c r="Q964" s="485"/>
      <c r="R964" s="485"/>
      <c r="S964" s="485"/>
      <c r="T964" s="485"/>
      <c r="U964" s="485"/>
      <c r="V964" s="485"/>
      <c r="W964" s="485"/>
      <c r="X964" s="485"/>
      <c r="Y964" s="485"/>
      <c r="Z964" s="485"/>
    </row>
    <row r="965">
      <c r="A965" s="485"/>
      <c r="B965" s="485"/>
      <c r="C965" s="485"/>
      <c r="D965" s="485"/>
      <c r="E965" s="485"/>
      <c r="F965" s="485"/>
      <c r="G965" s="485"/>
      <c r="H965" s="485"/>
      <c r="I965" s="485"/>
      <c r="J965" s="485"/>
      <c r="K965" s="485"/>
      <c r="L965" s="485"/>
      <c r="M965" s="485"/>
      <c r="N965" s="485"/>
      <c r="O965" s="485"/>
      <c r="P965" s="485"/>
      <c r="Q965" s="485"/>
      <c r="R965" s="485"/>
      <c r="S965" s="485"/>
      <c r="T965" s="485"/>
      <c r="U965" s="485"/>
      <c r="V965" s="485"/>
      <c r="W965" s="485"/>
      <c r="X965" s="485"/>
      <c r="Y965" s="485"/>
      <c r="Z965" s="485"/>
    </row>
    <row r="966">
      <c r="A966" s="485"/>
      <c r="B966" s="485"/>
      <c r="C966" s="485"/>
      <c r="D966" s="485"/>
      <c r="E966" s="485"/>
      <c r="F966" s="485"/>
      <c r="G966" s="485"/>
      <c r="H966" s="485"/>
      <c r="I966" s="485"/>
      <c r="J966" s="485"/>
      <c r="K966" s="485"/>
      <c r="L966" s="485"/>
      <c r="M966" s="485"/>
      <c r="N966" s="485"/>
      <c r="O966" s="485"/>
      <c r="P966" s="485"/>
      <c r="Q966" s="485"/>
      <c r="R966" s="485"/>
      <c r="S966" s="485"/>
      <c r="T966" s="485"/>
      <c r="U966" s="485"/>
      <c r="V966" s="485"/>
      <c r="W966" s="485"/>
      <c r="X966" s="485"/>
      <c r="Y966" s="485"/>
      <c r="Z966" s="485"/>
    </row>
    <row r="967">
      <c r="A967" s="485"/>
      <c r="B967" s="485"/>
      <c r="C967" s="485"/>
      <c r="D967" s="485"/>
      <c r="E967" s="485"/>
      <c r="F967" s="485"/>
      <c r="G967" s="485"/>
      <c r="H967" s="485"/>
      <c r="I967" s="485"/>
      <c r="J967" s="485"/>
      <c r="K967" s="485"/>
      <c r="L967" s="485"/>
      <c r="M967" s="485"/>
      <c r="N967" s="485"/>
      <c r="O967" s="485"/>
      <c r="P967" s="485"/>
      <c r="Q967" s="485"/>
      <c r="R967" s="485"/>
      <c r="S967" s="485"/>
      <c r="T967" s="485"/>
      <c r="U967" s="485"/>
      <c r="V967" s="485"/>
      <c r="W967" s="485"/>
      <c r="X967" s="485"/>
      <c r="Y967" s="485"/>
      <c r="Z967" s="485"/>
    </row>
    <row r="968">
      <c r="A968" s="485"/>
      <c r="B968" s="485"/>
      <c r="C968" s="485"/>
      <c r="D968" s="485"/>
      <c r="E968" s="485"/>
      <c r="F968" s="485"/>
      <c r="G968" s="485"/>
      <c r="H968" s="485"/>
      <c r="I968" s="485"/>
      <c r="J968" s="485"/>
      <c r="K968" s="485"/>
      <c r="L968" s="485"/>
      <c r="M968" s="485"/>
      <c r="N968" s="485"/>
      <c r="O968" s="485"/>
      <c r="P968" s="485"/>
      <c r="Q968" s="485"/>
      <c r="R968" s="485"/>
      <c r="S968" s="485"/>
      <c r="T968" s="485"/>
      <c r="U968" s="485"/>
      <c r="V968" s="485"/>
      <c r="W968" s="485"/>
      <c r="X968" s="485"/>
      <c r="Y968" s="485"/>
      <c r="Z968" s="485"/>
    </row>
    <row r="969">
      <c r="A969" s="485"/>
      <c r="B969" s="485"/>
      <c r="C969" s="485"/>
      <c r="D969" s="485"/>
      <c r="E969" s="485"/>
      <c r="F969" s="485"/>
      <c r="G969" s="485"/>
      <c r="H969" s="485"/>
      <c r="I969" s="485"/>
      <c r="J969" s="485"/>
      <c r="K969" s="485"/>
      <c r="L969" s="485"/>
      <c r="M969" s="485"/>
      <c r="N969" s="485"/>
      <c r="O969" s="485"/>
      <c r="P969" s="485"/>
      <c r="Q969" s="485"/>
      <c r="R969" s="485"/>
      <c r="S969" s="485"/>
      <c r="T969" s="485"/>
      <c r="U969" s="485"/>
      <c r="V969" s="485"/>
      <c r="W969" s="485"/>
      <c r="X969" s="485"/>
      <c r="Y969" s="485"/>
      <c r="Z969" s="485"/>
    </row>
    <row r="970">
      <c r="A970" s="485"/>
      <c r="B970" s="485"/>
      <c r="C970" s="485"/>
      <c r="D970" s="485"/>
      <c r="E970" s="485"/>
      <c r="F970" s="485"/>
      <c r="G970" s="485"/>
      <c r="H970" s="485"/>
      <c r="I970" s="485"/>
      <c r="J970" s="485"/>
      <c r="K970" s="485"/>
      <c r="L970" s="485"/>
      <c r="M970" s="485"/>
      <c r="N970" s="485"/>
      <c r="O970" s="485"/>
      <c r="P970" s="485"/>
      <c r="Q970" s="485"/>
      <c r="R970" s="485"/>
      <c r="S970" s="485"/>
      <c r="T970" s="485"/>
      <c r="U970" s="485"/>
      <c r="V970" s="485"/>
      <c r="W970" s="485"/>
      <c r="X970" s="485"/>
      <c r="Y970" s="485"/>
      <c r="Z970" s="485"/>
    </row>
    <row r="971">
      <c r="A971" s="485"/>
      <c r="B971" s="485"/>
      <c r="C971" s="485"/>
      <c r="D971" s="485"/>
      <c r="E971" s="485"/>
      <c r="F971" s="485"/>
      <c r="G971" s="485"/>
      <c r="H971" s="485"/>
      <c r="I971" s="485"/>
      <c r="J971" s="485"/>
      <c r="K971" s="485"/>
      <c r="L971" s="485"/>
      <c r="M971" s="485"/>
      <c r="N971" s="485"/>
      <c r="O971" s="485"/>
      <c r="P971" s="485"/>
      <c r="Q971" s="485"/>
      <c r="R971" s="485"/>
      <c r="S971" s="485"/>
      <c r="T971" s="485"/>
      <c r="U971" s="485"/>
      <c r="V971" s="485"/>
      <c r="W971" s="485"/>
      <c r="X971" s="485"/>
      <c r="Y971" s="485"/>
      <c r="Z971" s="485"/>
    </row>
    <row r="972">
      <c r="A972" s="485"/>
      <c r="B972" s="485"/>
      <c r="C972" s="485"/>
      <c r="D972" s="485"/>
      <c r="E972" s="485"/>
      <c r="F972" s="485"/>
      <c r="G972" s="485"/>
      <c r="H972" s="485"/>
      <c r="I972" s="485"/>
      <c r="J972" s="485"/>
      <c r="K972" s="485"/>
      <c r="L972" s="485"/>
      <c r="M972" s="485"/>
      <c r="N972" s="485"/>
      <c r="O972" s="485"/>
      <c r="P972" s="485"/>
      <c r="Q972" s="485"/>
      <c r="R972" s="485"/>
      <c r="S972" s="485"/>
      <c r="T972" s="485"/>
      <c r="U972" s="485"/>
      <c r="V972" s="485"/>
      <c r="W972" s="485"/>
      <c r="X972" s="485"/>
      <c r="Y972" s="485"/>
      <c r="Z972" s="485"/>
    </row>
    <row r="973">
      <c r="A973" s="485"/>
      <c r="B973" s="485"/>
      <c r="C973" s="485"/>
      <c r="D973" s="485"/>
      <c r="E973" s="485"/>
      <c r="F973" s="485"/>
      <c r="G973" s="485"/>
      <c r="H973" s="485"/>
      <c r="I973" s="485"/>
      <c r="J973" s="485"/>
      <c r="K973" s="485"/>
      <c r="L973" s="485"/>
      <c r="M973" s="485"/>
      <c r="N973" s="485"/>
      <c r="O973" s="485"/>
      <c r="P973" s="485"/>
      <c r="Q973" s="485"/>
      <c r="R973" s="485"/>
      <c r="S973" s="485"/>
      <c r="T973" s="485"/>
      <c r="U973" s="485"/>
      <c r="V973" s="485"/>
      <c r="W973" s="485"/>
      <c r="X973" s="485"/>
      <c r="Y973" s="485"/>
      <c r="Z973" s="485"/>
    </row>
    <row r="974">
      <c r="A974" s="485"/>
      <c r="B974" s="485"/>
      <c r="C974" s="485"/>
      <c r="D974" s="485"/>
      <c r="E974" s="485"/>
      <c r="F974" s="485"/>
      <c r="G974" s="485"/>
      <c r="H974" s="485"/>
      <c r="I974" s="485"/>
      <c r="J974" s="485"/>
      <c r="K974" s="485"/>
      <c r="L974" s="485"/>
      <c r="M974" s="485"/>
      <c r="N974" s="485"/>
      <c r="O974" s="485"/>
      <c r="P974" s="485"/>
      <c r="Q974" s="485"/>
      <c r="R974" s="485"/>
      <c r="S974" s="485"/>
      <c r="T974" s="485"/>
      <c r="U974" s="485"/>
      <c r="V974" s="485"/>
      <c r="W974" s="485"/>
      <c r="X974" s="485"/>
      <c r="Y974" s="485"/>
      <c r="Z974" s="485"/>
    </row>
    <row r="975">
      <c r="A975" s="485"/>
      <c r="B975" s="485"/>
      <c r="C975" s="485"/>
      <c r="D975" s="485"/>
      <c r="E975" s="485"/>
      <c r="F975" s="485"/>
      <c r="G975" s="485"/>
      <c r="H975" s="485"/>
      <c r="I975" s="485"/>
      <c r="J975" s="485"/>
      <c r="K975" s="485"/>
      <c r="L975" s="485"/>
      <c r="M975" s="485"/>
      <c r="N975" s="485"/>
      <c r="O975" s="485"/>
      <c r="P975" s="485"/>
      <c r="Q975" s="485"/>
      <c r="R975" s="485"/>
      <c r="S975" s="485"/>
      <c r="T975" s="485"/>
      <c r="U975" s="485"/>
      <c r="V975" s="485"/>
      <c r="W975" s="485"/>
      <c r="X975" s="485"/>
      <c r="Y975" s="485"/>
      <c r="Z975" s="485"/>
    </row>
    <row r="976">
      <c r="A976" s="485"/>
      <c r="B976" s="485"/>
      <c r="C976" s="485"/>
      <c r="D976" s="485"/>
      <c r="E976" s="485"/>
      <c r="F976" s="485"/>
      <c r="G976" s="485"/>
      <c r="H976" s="485"/>
      <c r="I976" s="485"/>
      <c r="J976" s="485"/>
      <c r="K976" s="485"/>
      <c r="L976" s="485"/>
      <c r="M976" s="485"/>
      <c r="N976" s="485"/>
      <c r="O976" s="485"/>
      <c r="P976" s="485"/>
      <c r="Q976" s="485"/>
      <c r="R976" s="485"/>
      <c r="S976" s="485"/>
      <c r="T976" s="485"/>
      <c r="U976" s="485"/>
      <c r="V976" s="485"/>
      <c r="W976" s="485"/>
      <c r="X976" s="485"/>
      <c r="Y976" s="485"/>
      <c r="Z976" s="485"/>
    </row>
    <row r="977">
      <c r="A977" s="485"/>
      <c r="B977" s="485"/>
      <c r="C977" s="485"/>
      <c r="D977" s="485"/>
      <c r="E977" s="485"/>
      <c r="F977" s="485"/>
      <c r="G977" s="485"/>
      <c r="H977" s="485"/>
      <c r="I977" s="485"/>
      <c r="J977" s="485"/>
      <c r="K977" s="485"/>
      <c r="L977" s="485"/>
      <c r="M977" s="485"/>
      <c r="N977" s="485"/>
      <c r="O977" s="485"/>
      <c r="P977" s="485"/>
      <c r="Q977" s="485"/>
      <c r="R977" s="485"/>
      <c r="S977" s="485"/>
      <c r="T977" s="485"/>
      <c r="U977" s="485"/>
      <c r="V977" s="485"/>
      <c r="W977" s="485"/>
      <c r="X977" s="485"/>
      <c r="Y977" s="485"/>
      <c r="Z977" s="485"/>
    </row>
    <row r="978">
      <c r="A978" s="485"/>
      <c r="B978" s="485"/>
      <c r="C978" s="485"/>
      <c r="D978" s="485"/>
      <c r="E978" s="485"/>
      <c r="F978" s="485"/>
      <c r="G978" s="485"/>
      <c r="H978" s="485"/>
      <c r="I978" s="485"/>
      <c r="J978" s="485"/>
      <c r="K978" s="485"/>
      <c r="L978" s="485"/>
      <c r="M978" s="485"/>
      <c r="N978" s="485"/>
      <c r="O978" s="485"/>
      <c r="P978" s="485"/>
      <c r="Q978" s="485"/>
      <c r="R978" s="485"/>
      <c r="S978" s="485"/>
      <c r="T978" s="485"/>
      <c r="U978" s="485"/>
      <c r="V978" s="485"/>
      <c r="W978" s="485"/>
      <c r="X978" s="485"/>
      <c r="Y978" s="485"/>
      <c r="Z978" s="485"/>
    </row>
    <row r="979">
      <c r="A979" s="485"/>
      <c r="B979" s="485"/>
      <c r="C979" s="485"/>
      <c r="D979" s="485"/>
      <c r="E979" s="485"/>
      <c r="F979" s="485"/>
      <c r="G979" s="485"/>
      <c r="H979" s="485"/>
      <c r="I979" s="485"/>
      <c r="J979" s="485"/>
      <c r="K979" s="485"/>
      <c r="L979" s="485"/>
      <c r="M979" s="485"/>
      <c r="N979" s="485"/>
      <c r="O979" s="485"/>
      <c r="P979" s="485"/>
      <c r="Q979" s="485"/>
      <c r="R979" s="485"/>
      <c r="S979" s="485"/>
      <c r="T979" s="485"/>
      <c r="U979" s="485"/>
      <c r="V979" s="485"/>
      <c r="W979" s="485"/>
      <c r="X979" s="485"/>
      <c r="Y979" s="485"/>
      <c r="Z979" s="485"/>
    </row>
    <row r="980">
      <c r="A980" s="485"/>
      <c r="B980" s="485"/>
      <c r="C980" s="485"/>
      <c r="D980" s="485"/>
      <c r="E980" s="485"/>
      <c r="F980" s="485"/>
      <c r="G980" s="485"/>
      <c r="H980" s="485"/>
      <c r="I980" s="485"/>
      <c r="J980" s="485"/>
      <c r="K980" s="485"/>
      <c r="L980" s="485"/>
      <c r="M980" s="485"/>
      <c r="N980" s="485"/>
      <c r="O980" s="485"/>
      <c r="P980" s="485"/>
      <c r="Q980" s="485"/>
      <c r="R980" s="485"/>
      <c r="S980" s="485"/>
      <c r="T980" s="485"/>
      <c r="U980" s="485"/>
      <c r="V980" s="485"/>
      <c r="W980" s="485"/>
      <c r="X980" s="485"/>
      <c r="Y980" s="485"/>
      <c r="Z980" s="485"/>
    </row>
    <row r="981">
      <c r="A981" s="485"/>
      <c r="B981" s="485"/>
      <c r="C981" s="485"/>
      <c r="D981" s="485"/>
      <c r="E981" s="485"/>
      <c r="F981" s="485"/>
      <c r="G981" s="485"/>
      <c r="H981" s="485"/>
      <c r="I981" s="485"/>
      <c r="J981" s="485"/>
      <c r="K981" s="485"/>
      <c r="L981" s="485"/>
      <c r="M981" s="485"/>
      <c r="N981" s="485"/>
      <c r="O981" s="485"/>
      <c r="P981" s="485"/>
      <c r="Q981" s="485"/>
      <c r="R981" s="485"/>
      <c r="S981" s="485"/>
      <c r="T981" s="485"/>
      <c r="U981" s="485"/>
      <c r="V981" s="485"/>
      <c r="W981" s="485"/>
      <c r="X981" s="485"/>
      <c r="Y981" s="485"/>
      <c r="Z981" s="485"/>
    </row>
    <row r="982">
      <c r="A982" s="485"/>
      <c r="B982" s="485"/>
      <c r="C982" s="485"/>
      <c r="D982" s="485"/>
      <c r="E982" s="485"/>
      <c r="F982" s="485"/>
      <c r="G982" s="485"/>
      <c r="H982" s="485"/>
      <c r="I982" s="485"/>
      <c r="J982" s="485"/>
      <c r="K982" s="485"/>
      <c r="L982" s="485"/>
      <c r="M982" s="485"/>
      <c r="N982" s="485"/>
      <c r="O982" s="485"/>
      <c r="P982" s="485"/>
      <c r="Q982" s="485"/>
      <c r="R982" s="485"/>
      <c r="S982" s="485"/>
      <c r="T982" s="485"/>
      <c r="U982" s="485"/>
      <c r="V982" s="485"/>
      <c r="W982" s="485"/>
      <c r="X982" s="485"/>
      <c r="Y982" s="485"/>
      <c r="Z982" s="485"/>
    </row>
    <row r="983">
      <c r="A983" s="485"/>
      <c r="B983" s="485"/>
      <c r="C983" s="485"/>
      <c r="D983" s="485"/>
      <c r="E983" s="485"/>
      <c r="F983" s="485"/>
      <c r="G983" s="485"/>
      <c r="H983" s="485"/>
      <c r="I983" s="485"/>
      <c r="J983" s="485"/>
      <c r="K983" s="485"/>
      <c r="L983" s="485"/>
      <c r="M983" s="485"/>
      <c r="N983" s="485"/>
      <c r="O983" s="485"/>
      <c r="P983" s="485"/>
      <c r="Q983" s="485"/>
      <c r="R983" s="485"/>
      <c r="S983" s="485"/>
      <c r="T983" s="485"/>
      <c r="U983" s="485"/>
      <c r="V983" s="485"/>
      <c r="W983" s="485"/>
      <c r="X983" s="485"/>
      <c r="Y983" s="485"/>
      <c r="Z983" s="485"/>
    </row>
    <row r="984">
      <c r="A984" s="485"/>
      <c r="B984" s="485"/>
      <c r="C984" s="485"/>
      <c r="D984" s="485"/>
      <c r="E984" s="485"/>
      <c r="F984" s="485"/>
      <c r="G984" s="485"/>
      <c r="H984" s="485"/>
      <c r="I984" s="485"/>
      <c r="J984" s="485"/>
      <c r="K984" s="485"/>
      <c r="L984" s="485"/>
      <c r="M984" s="485"/>
      <c r="N984" s="485"/>
      <c r="O984" s="485"/>
      <c r="P984" s="485"/>
      <c r="Q984" s="485"/>
      <c r="R984" s="485"/>
      <c r="S984" s="485"/>
      <c r="T984" s="485"/>
      <c r="U984" s="485"/>
      <c r="V984" s="485"/>
      <c r="W984" s="485"/>
      <c r="X984" s="485"/>
      <c r="Y984" s="485"/>
      <c r="Z984" s="485"/>
    </row>
    <row r="985">
      <c r="A985" s="485"/>
      <c r="B985" s="485"/>
      <c r="C985" s="485"/>
      <c r="D985" s="485"/>
      <c r="E985" s="485"/>
      <c r="F985" s="485"/>
      <c r="G985" s="485"/>
      <c r="H985" s="485"/>
      <c r="I985" s="485"/>
      <c r="J985" s="485"/>
      <c r="K985" s="485"/>
      <c r="L985" s="485"/>
      <c r="M985" s="485"/>
      <c r="N985" s="485"/>
      <c r="O985" s="485"/>
      <c r="P985" s="485"/>
      <c r="Q985" s="485"/>
      <c r="R985" s="485"/>
      <c r="S985" s="485"/>
      <c r="T985" s="485"/>
      <c r="U985" s="485"/>
      <c r="V985" s="485"/>
      <c r="W985" s="485"/>
      <c r="X985" s="485"/>
      <c r="Y985" s="485"/>
      <c r="Z985" s="485"/>
    </row>
    <row r="986">
      <c r="A986" s="485"/>
      <c r="B986" s="485"/>
      <c r="C986" s="485"/>
      <c r="D986" s="485"/>
      <c r="E986" s="485"/>
      <c r="F986" s="485"/>
      <c r="G986" s="485"/>
      <c r="H986" s="485"/>
      <c r="I986" s="485"/>
      <c r="J986" s="485"/>
      <c r="K986" s="485"/>
      <c r="L986" s="485"/>
      <c r="M986" s="485"/>
      <c r="N986" s="485"/>
      <c r="O986" s="485"/>
      <c r="P986" s="485"/>
      <c r="Q986" s="485"/>
      <c r="R986" s="485"/>
      <c r="S986" s="485"/>
      <c r="T986" s="485"/>
      <c r="U986" s="485"/>
      <c r="V986" s="485"/>
      <c r="W986" s="485"/>
      <c r="X986" s="485"/>
      <c r="Y986" s="485"/>
      <c r="Z986" s="485"/>
    </row>
    <row r="987">
      <c r="A987" s="485"/>
      <c r="B987" s="485"/>
      <c r="C987" s="485"/>
      <c r="D987" s="485"/>
      <c r="E987" s="485"/>
      <c r="F987" s="485"/>
      <c r="G987" s="485"/>
      <c r="H987" s="485"/>
      <c r="I987" s="485"/>
      <c r="J987" s="485"/>
      <c r="K987" s="485"/>
      <c r="L987" s="485"/>
      <c r="M987" s="485"/>
      <c r="N987" s="485"/>
      <c r="O987" s="485"/>
      <c r="P987" s="485"/>
      <c r="Q987" s="485"/>
      <c r="R987" s="485"/>
      <c r="S987" s="485"/>
      <c r="T987" s="485"/>
      <c r="U987" s="485"/>
      <c r="V987" s="485"/>
      <c r="W987" s="485"/>
      <c r="X987" s="485"/>
      <c r="Y987" s="485"/>
      <c r="Z987" s="485"/>
    </row>
    <row r="988">
      <c r="A988" s="485"/>
      <c r="B988" s="485"/>
      <c r="C988" s="485"/>
      <c r="D988" s="485"/>
      <c r="E988" s="485"/>
      <c r="F988" s="485"/>
      <c r="G988" s="485"/>
      <c r="H988" s="485"/>
      <c r="I988" s="485"/>
      <c r="J988" s="485"/>
      <c r="K988" s="485"/>
      <c r="L988" s="485"/>
      <c r="M988" s="485"/>
      <c r="N988" s="485"/>
      <c r="O988" s="485"/>
      <c r="P988" s="485"/>
      <c r="Q988" s="485"/>
      <c r="R988" s="485"/>
      <c r="S988" s="485"/>
      <c r="T988" s="485"/>
      <c r="U988" s="485"/>
      <c r="V988" s="485"/>
      <c r="W988" s="485"/>
      <c r="X988" s="485"/>
      <c r="Y988" s="485"/>
      <c r="Z988" s="485"/>
    </row>
    <row r="989">
      <c r="A989" s="485"/>
      <c r="B989" s="485"/>
      <c r="C989" s="485"/>
      <c r="D989" s="485"/>
      <c r="E989" s="485"/>
      <c r="F989" s="485"/>
      <c r="G989" s="485"/>
      <c r="H989" s="485"/>
      <c r="I989" s="485"/>
      <c r="J989" s="485"/>
      <c r="K989" s="485"/>
      <c r="L989" s="485"/>
      <c r="M989" s="485"/>
      <c r="N989" s="485"/>
      <c r="O989" s="485"/>
      <c r="P989" s="485"/>
      <c r="Q989" s="485"/>
      <c r="R989" s="485"/>
      <c r="S989" s="485"/>
      <c r="T989" s="485"/>
      <c r="U989" s="485"/>
      <c r="V989" s="485"/>
      <c r="W989" s="485"/>
      <c r="X989" s="485"/>
      <c r="Y989" s="485"/>
      <c r="Z989" s="485"/>
    </row>
    <row r="990">
      <c r="A990" s="485"/>
      <c r="B990" s="485"/>
      <c r="C990" s="485"/>
      <c r="D990" s="485"/>
      <c r="E990" s="485"/>
      <c r="F990" s="485"/>
      <c r="G990" s="485"/>
      <c r="H990" s="485"/>
      <c r="I990" s="485"/>
      <c r="J990" s="485"/>
      <c r="K990" s="485"/>
      <c r="L990" s="485"/>
      <c r="M990" s="485"/>
      <c r="N990" s="485"/>
      <c r="O990" s="485"/>
      <c r="P990" s="485"/>
      <c r="Q990" s="485"/>
      <c r="R990" s="485"/>
      <c r="S990" s="485"/>
      <c r="T990" s="485"/>
      <c r="U990" s="485"/>
      <c r="V990" s="485"/>
      <c r="W990" s="485"/>
      <c r="X990" s="485"/>
      <c r="Y990" s="485"/>
      <c r="Z990" s="485"/>
    </row>
    <row r="991">
      <c r="A991" s="485"/>
      <c r="B991" s="485"/>
      <c r="C991" s="485"/>
      <c r="D991" s="485"/>
      <c r="E991" s="485"/>
      <c r="F991" s="485"/>
      <c r="G991" s="485"/>
      <c r="H991" s="485"/>
      <c r="I991" s="485"/>
      <c r="J991" s="485"/>
      <c r="K991" s="485"/>
      <c r="L991" s="485"/>
      <c r="M991" s="485"/>
      <c r="N991" s="485"/>
      <c r="O991" s="485"/>
      <c r="P991" s="485"/>
      <c r="Q991" s="485"/>
      <c r="R991" s="485"/>
      <c r="S991" s="485"/>
      <c r="T991" s="485"/>
      <c r="U991" s="485"/>
      <c r="V991" s="485"/>
      <c r="W991" s="485"/>
      <c r="X991" s="485"/>
      <c r="Y991" s="485"/>
      <c r="Z991" s="485"/>
    </row>
    <row r="992">
      <c r="A992" s="485"/>
      <c r="B992" s="485"/>
      <c r="C992" s="485"/>
      <c r="D992" s="485"/>
      <c r="E992" s="485"/>
      <c r="F992" s="485"/>
      <c r="G992" s="485"/>
      <c r="H992" s="485"/>
      <c r="I992" s="485"/>
      <c r="J992" s="485"/>
      <c r="K992" s="485"/>
      <c r="L992" s="485"/>
      <c r="M992" s="485"/>
      <c r="N992" s="485"/>
      <c r="O992" s="485"/>
      <c r="P992" s="485"/>
      <c r="Q992" s="485"/>
      <c r="R992" s="485"/>
      <c r="S992" s="485"/>
      <c r="T992" s="485"/>
      <c r="U992" s="485"/>
      <c r="V992" s="485"/>
      <c r="W992" s="485"/>
      <c r="X992" s="485"/>
      <c r="Y992" s="485"/>
      <c r="Z992" s="485"/>
    </row>
    <row r="993">
      <c r="A993" s="485"/>
      <c r="B993" s="485"/>
      <c r="C993" s="485"/>
      <c r="D993" s="485"/>
      <c r="E993" s="485"/>
      <c r="F993" s="485"/>
      <c r="G993" s="485"/>
      <c r="H993" s="485"/>
      <c r="I993" s="485"/>
      <c r="J993" s="485"/>
      <c r="K993" s="485"/>
      <c r="L993" s="485"/>
      <c r="M993" s="485"/>
      <c r="N993" s="485"/>
      <c r="O993" s="485"/>
      <c r="P993" s="485"/>
      <c r="Q993" s="485"/>
      <c r="R993" s="485"/>
      <c r="S993" s="485"/>
      <c r="T993" s="485"/>
      <c r="U993" s="485"/>
      <c r="V993" s="485"/>
      <c r="W993" s="485"/>
      <c r="X993" s="485"/>
      <c r="Y993" s="485"/>
      <c r="Z993" s="485"/>
    </row>
    <row r="994">
      <c r="A994" s="485"/>
      <c r="B994" s="485"/>
      <c r="C994" s="485"/>
      <c r="D994" s="485"/>
      <c r="E994" s="485"/>
      <c r="F994" s="485"/>
      <c r="G994" s="485"/>
      <c r="H994" s="485"/>
      <c r="I994" s="485"/>
      <c r="J994" s="485"/>
      <c r="K994" s="485"/>
      <c r="L994" s="485"/>
      <c r="M994" s="485"/>
      <c r="N994" s="485"/>
      <c r="O994" s="485"/>
      <c r="P994" s="485"/>
      <c r="Q994" s="485"/>
      <c r="R994" s="485"/>
      <c r="S994" s="485"/>
      <c r="T994" s="485"/>
      <c r="U994" s="485"/>
      <c r="V994" s="485"/>
      <c r="W994" s="485"/>
      <c r="X994" s="485"/>
      <c r="Y994" s="485"/>
      <c r="Z994" s="485"/>
    </row>
    <row r="995">
      <c r="A995" s="485"/>
      <c r="B995" s="485"/>
      <c r="C995" s="485"/>
      <c r="D995" s="485"/>
      <c r="E995" s="485"/>
      <c r="F995" s="485"/>
      <c r="G995" s="485"/>
      <c r="H995" s="485"/>
      <c r="I995" s="485"/>
      <c r="J995" s="485"/>
      <c r="K995" s="485"/>
      <c r="L995" s="485"/>
      <c r="M995" s="485"/>
      <c r="N995" s="485"/>
      <c r="O995" s="485"/>
      <c r="P995" s="485"/>
      <c r="Q995" s="485"/>
      <c r="R995" s="485"/>
      <c r="S995" s="485"/>
      <c r="T995" s="485"/>
      <c r="U995" s="485"/>
      <c r="V995" s="485"/>
      <c r="W995" s="485"/>
      <c r="X995" s="485"/>
      <c r="Y995" s="485"/>
      <c r="Z995" s="485"/>
    </row>
    <row r="996">
      <c r="A996" s="485"/>
      <c r="B996" s="485"/>
      <c r="C996" s="485"/>
      <c r="D996" s="485"/>
      <c r="E996" s="485"/>
      <c r="F996" s="485"/>
      <c r="G996" s="485"/>
      <c r="H996" s="485"/>
      <c r="I996" s="485"/>
      <c r="J996" s="485"/>
      <c r="K996" s="485"/>
      <c r="L996" s="485"/>
      <c r="M996" s="485"/>
      <c r="N996" s="485"/>
      <c r="O996" s="485"/>
      <c r="P996" s="485"/>
      <c r="Q996" s="485"/>
      <c r="R996" s="485"/>
      <c r="S996" s="485"/>
      <c r="T996" s="485"/>
      <c r="U996" s="485"/>
      <c r="V996" s="485"/>
      <c r="W996" s="485"/>
      <c r="X996" s="485"/>
      <c r="Y996" s="485"/>
      <c r="Z996" s="485"/>
    </row>
    <row r="997">
      <c r="A997" s="485"/>
      <c r="B997" s="485"/>
      <c r="C997" s="485"/>
      <c r="D997" s="485"/>
      <c r="E997" s="485"/>
      <c r="F997" s="485"/>
      <c r="G997" s="485"/>
      <c r="H997" s="485"/>
      <c r="I997" s="485"/>
      <c r="J997" s="485"/>
      <c r="K997" s="485"/>
      <c r="L997" s="485"/>
      <c r="M997" s="485"/>
      <c r="N997" s="485"/>
      <c r="O997" s="485"/>
      <c r="P997" s="485"/>
      <c r="Q997" s="485"/>
      <c r="R997" s="485"/>
      <c r="S997" s="485"/>
      <c r="T997" s="485"/>
      <c r="U997" s="485"/>
      <c r="V997" s="485"/>
      <c r="W997" s="485"/>
      <c r="X997" s="485"/>
      <c r="Y997" s="485"/>
      <c r="Z997" s="485"/>
    </row>
    <row r="998">
      <c r="A998" s="485"/>
      <c r="B998" s="485"/>
      <c r="C998" s="485"/>
      <c r="D998" s="485"/>
      <c r="E998" s="485"/>
      <c r="F998" s="485"/>
      <c r="G998" s="485"/>
      <c r="H998" s="485"/>
      <c r="I998" s="485"/>
      <c r="J998" s="485"/>
      <c r="K998" s="485"/>
      <c r="L998" s="485"/>
      <c r="M998" s="485"/>
      <c r="N998" s="485"/>
      <c r="O998" s="485"/>
      <c r="P998" s="485"/>
      <c r="Q998" s="485"/>
      <c r="R998" s="485"/>
      <c r="S998" s="485"/>
      <c r="T998" s="485"/>
      <c r="U998" s="485"/>
      <c r="V998" s="485"/>
      <c r="W998" s="485"/>
      <c r="X998" s="485"/>
      <c r="Y998" s="485"/>
      <c r="Z998" s="485"/>
    </row>
    <row r="999">
      <c r="A999" s="485"/>
      <c r="B999" s="485"/>
      <c r="C999" s="485"/>
      <c r="D999" s="485"/>
      <c r="E999" s="485"/>
      <c r="F999" s="485"/>
      <c r="G999" s="485"/>
      <c r="H999" s="485"/>
      <c r="I999" s="485"/>
      <c r="J999" s="485"/>
      <c r="K999" s="485"/>
      <c r="L999" s="485"/>
      <c r="M999" s="485"/>
      <c r="N999" s="485"/>
      <c r="O999" s="485"/>
      <c r="P999" s="485"/>
      <c r="Q999" s="485"/>
      <c r="R999" s="485"/>
      <c r="S999" s="485"/>
      <c r="T999" s="485"/>
      <c r="U999" s="485"/>
      <c r="V999" s="485"/>
      <c r="W999" s="485"/>
      <c r="X999" s="485"/>
      <c r="Y999" s="485"/>
      <c r="Z999" s="485"/>
    </row>
    <row r="1000">
      <c r="A1000" s="485"/>
      <c r="B1000" s="485"/>
      <c r="C1000" s="485"/>
      <c r="D1000" s="485"/>
      <c r="E1000" s="485"/>
      <c r="F1000" s="485"/>
      <c r="G1000" s="485"/>
      <c r="H1000" s="485"/>
      <c r="I1000" s="485"/>
      <c r="J1000" s="485"/>
      <c r="K1000" s="485"/>
      <c r="L1000" s="485"/>
      <c r="M1000" s="485"/>
      <c r="N1000" s="485"/>
      <c r="O1000" s="485"/>
      <c r="P1000" s="485"/>
      <c r="Q1000" s="485"/>
      <c r="R1000" s="485"/>
      <c r="S1000" s="485"/>
      <c r="T1000" s="485"/>
      <c r="U1000" s="485"/>
      <c r="V1000" s="485"/>
      <c r="W1000" s="485"/>
      <c r="X1000" s="485"/>
      <c r="Y1000" s="485"/>
      <c r="Z1000" s="485"/>
    </row>
  </sheetData>
  <mergeCells count="2">
    <mergeCell ref="A1:D1"/>
    <mergeCell ref="A2:D2"/>
  </mergeCells>
  <dataValidations>
    <dataValidation type="list" allowBlank="1" showErrorMessage="1" sqref="E4:E81">
      <formula1>"Presencial,Virtual,Híbrida"</formula1>
    </dataValidation>
  </dataValidations>
  <printOptions/>
  <pageMargins bottom="0.75" footer="0.0" header="0.0" left="0.7" right="0.7" top="0.75"/>
  <pageSetup orientation="portrait"/>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00000"/>
    <pageSetUpPr/>
  </sheetPr>
  <sheetViews>
    <sheetView workbookViewId="0"/>
  </sheetViews>
  <sheetFormatPr customHeight="1" defaultColWidth="12.63" defaultRowHeight="15.0"/>
  <cols>
    <col customWidth="1" min="1" max="1" width="11.38"/>
    <col customWidth="1" hidden="1" min="2" max="2" width="42.38"/>
    <col customWidth="1" min="3" max="3" width="49.38"/>
    <col customWidth="1" min="4" max="4" width="10.38"/>
    <col customWidth="1" min="5" max="5" width="18.0"/>
    <col customWidth="1" min="6" max="6" width="10.38"/>
    <col customWidth="1" min="7" max="7" width="28.0"/>
    <col customWidth="1" hidden="1" min="8" max="8" width="8.0"/>
    <col customWidth="1" hidden="1" min="9" max="9" width="13.25"/>
    <col customWidth="1" min="10" max="10" width="21.13"/>
    <col customWidth="1" min="11" max="11" width="24.63"/>
    <col customWidth="1" hidden="1" min="12" max="12" width="8.38"/>
    <col customWidth="1" hidden="1" min="13" max="13" width="13.38"/>
    <col customWidth="1" hidden="1" min="14" max="14" width="17.38"/>
    <col customWidth="1" min="15" max="15" width="33.88"/>
    <col customWidth="1" min="16" max="26" width="11.38"/>
  </cols>
  <sheetData>
    <row r="1" ht="14.25" customHeight="1">
      <c r="A1" s="390" t="s">
        <v>992</v>
      </c>
      <c r="B1" s="540"/>
      <c r="C1" s="540"/>
      <c r="D1" s="540"/>
      <c r="E1" s="540"/>
      <c r="F1" s="540"/>
      <c r="G1" s="540"/>
      <c r="H1" s="540"/>
      <c r="I1" s="540"/>
      <c r="J1" s="540"/>
      <c r="K1" s="540"/>
      <c r="L1" s="540"/>
      <c r="M1" s="540"/>
      <c r="N1" s="540"/>
      <c r="O1" s="513"/>
    </row>
    <row r="2" ht="14.25" customHeight="1">
      <c r="A2" s="390" t="s">
        <v>1006</v>
      </c>
      <c r="B2" s="540"/>
      <c r="C2" s="540"/>
      <c r="D2" s="540"/>
      <c r="E2" s="540"/>
      <c r="F2" s="540"/>
      <c r="G2" s="540"/>
      <c r="H2" s="540"/>
      <c r="I2" s="540"/>
      <c r="J2" s="540"/>
      <c r="K2" s="540"/>
      <c r="L2" s="540"/>
      <c r="M2" s="540"/>
      <c r="N2" s="540"/>
      <c r="O2" s="540"/>
    </row>
    <row r="3" ht="14.25" customHeight="1">
      <c r="A3" s="390" t="s">
        <v>1007</v>
      </c>
      <c r="B3" s="540"/>
      <c r="C3" s="540"/>
      <c r="D3" s="540"/>
      <c r="E3" s="540"/>
      <c r="F3" s="540"/>
      <c r="G3" s="540"/>
      <c r="H3" s="540"/>
      <c r="I3" s="540"/>
      <c r="J3" s="540"/>
      <c r="K3" s="540"/>
      <c r="L3" s="540"/>
      <c r="M3" s="540"/>
      <c r="N3" s="540"/>
      <c r="O3" s="540"/>
    </row>
    <row r="4" ht="14.25" customHeight="1">
      <c r="A4" s="390"/>
      <c r="B4" s="540"/>
      <c r="C4" s="540"/>
      <c r="D4" s="540"/>
      <c r="E4" s="540"/>
      <c r="F4" s="540"/>
      <c r="G4" s="540"/>
      <c r="H4" s="540"/>
      <c r="I4" s="540"/>
      <c r="J4" s="540"/>
      <c r="K4" s="540"/>
      <c r="L4" s="540"/>
      <c r="M4" s="540"/>
      <c r="N4" s="540"/>
      <c r="O4" s="540"/>
    </row>
    <row r="5" ht="14.25" customHeight="1">
      <c r="A5" s="541" t="s">
        <v>1008</v>
      </c>
      <c r="B5" s="424"/>
      <c r="C5" s="542" t="s">
        <v>1009</v>
      </c>
      <c r="D5" s="543" t="s">
        <v>1010</v>
      </c>
      <c r="E5" s="424"/>
      <c r="F5" s="544" t="s">
        <v>1011</v>
      </c>
      <c r="G5" s="423"/>
      <c r="H5" s="424"/>
      <c r="I5" s="545" t="s">
        <v>1012</v>
      </c>
      <c r="J5" s="424"/>
      <c r="K5" s="546" t="s">
        <v>1013</v>
      </c>
      <c r="L5" s="540"/>
      <c r="M5" s="540"/>
      <c r="N5" s="540"/>
      <c r="O5" s="540"/>
    </row>
    <row r="6" ht="14.25" customHeight="1">
      <c r="A6" s="540"/>
      <c r="B6" s="540"/>
      <c r="C6" s="540"/>
      <c r="D6" s="540"/>
      <c r="E6" s="540"/>
      <c r="F6" s="540"/>
      <c r="G6" s="540"/>
      <c r="H6" s="540"/>
      <c r="I6" s="540"/>
      <c r="J6" s="540"/>
      <c r="K6" s="540"/>
      <c r="L6" s="547">
        <v>45838.0</v>
      </c>
      <c r="M6" s="540"/>
      <c r="N6" s="540"/>
      <c r="O6" s="540"/>
    </row>
    <row r="7" ht="14.25" customHeight="1">
      <c r="A7" s="548" t="s">
        <v>1014</v>
      </c>
      <c r="B7" s="4"/>
      <c r="C7" s="4"/>
      <c r="D7" s="4"/>
      <c r="E7" s="4"/>
      <c r="F7" s="4"/>
      <c r="G7" s="4"/>
      <c r="H7" s="4"/>
      <c r="I7" s="4"/>
      <c r="J7" s="4"/>
      <c r="K7" s="4"/>
      <c r="L7" s="4"/>
      <c r="M7" s="4"/>
      <c r="N7" s="4"/>
      <c r="O7" s="4"/>
    </row>
    <row r="8" ht="54.75" customHeight="1">
      <c r="A8" s="47" t="s">
        <v>965</v>
      </c>
      <c r="B8" s="47" t="s">
        <v>19</v>
      </c>
      <c r="C8" s="47" t="s">
        <v>20</v>
      </c>
      <c r="D8" s="47" t="s">
        <v>23</v>
      </c>
      <c r="E8" s="47" t="s">
        <v>30</v>
      </c>
      <c r="F8" s="47" t="s">
        <v>46</v>
      </c>
      <c r="G8" s="47" t="s">
        <v>47</v>
      </c>
      <c r="H8" s="47" t="s">
        <v>48</v>
      </c>
      <c r="I8" s="53" t="s">
        <v>1015</v>
      </c>
      <c r="J8" s="53" t="s">
        <v>50</v>
      </c>
      <c r="K8" s="53" t="s">
        <v>51</v>
      </c>
      <c r="L8" s="47" t="s">
        <v>1016</v>
      </c>
      <c r="M8" s="549" t="s">
        <v>1015</v>
      </c>
      <c r="N8" s="549" t="s">
        <v>50</v>
      </c>
      <c r="O8" s="549" t="s">
        <v>1017</v>
      </c>
    </row>
    <row r="9" ht="14.25" customHeight="1">
      <c r="A9" s="116">
        <v>2.0</v>
      </c>
      <c r="B9" s="550" t="s">
        <v>182</v>
      </c>
      <c r="C9" s="550" t="s">
        <v>989</v>
      </c>
      <c r="D9" s="116">
        <v>105715.0</v>
      </c>
      <c r="E9" s="550" t="s">
        <v>337</v>
      </c>
      <c r="F9" s="551">
        <v>14953.0</v>
      </c>
      <c r="G9" s="552">
        <v>42573.0</v>
      </c>
      <c r="H9" s="551">
        <v>7.0</v>
      </c>
      <c r="I9" s="552">
        <f t="shared" ref="I9:I10" si="1">EDATE(G9,(H9*12)-14)</f>
        <v>44703</v>
      </c>
      <c r="J9" s="552">
        <f t="shared" ref="J9:J10" si="2">EDATE(G9,(H9*12)-12)</f>
        <v>44764</v>
      </c>
      <c r="K9" s="552">
        <f t="shared" ref="K9:K10" si="3">EDATE(G9,H9*12)</f>
        <v>45129</v>
      </c>
      <c r="L9" s="553">
        <f t="shared" ref="L9:L10" si="4">(+$L$6-K9+1)/30</f>
        <v>23.66666667</v>
      </c>
      <c r="M9" s="552">
        <f t="shared" ref="M9:M10" si="5">EDATE(O9,-14)</f>
        <v>45412</v>
      </c>
      <c r="N9" s="552">
        <f t="shared" ref="N9:N10" si="6">+EDATE(O9,-12)</f>
        <v>45473</v>
      </c>
      <c r="O9" s="552">
        <v>45838.0</v>
      </c>
    </row>
    <row r="10" ht="14.25" customHeight="1">
      <c r="A10" s="444">
        <v>4.0</v>
      </c>
      <c r="B10" s="554" t="s">
        <v>333</v>
      </c>
      <c r="C10" s="554" t="s">
        <v>1018</v>
      </c>
      <c r="D10" s="444">
        <v>90695.0</v>
      </c>
      <c r="E10" s="554" t="s">
        <v>80</v>
      </c>
      <c r="F10" s="555">
        <v>22945.0</v>
      </c>
      <c r="G10" s="556">
        <v>42718.0</v>
      </c>
      <c r="H10" s="555">
        <v>7.0</v>
      </c>
      <c r="I10" s="556">
        <f t="shared" si="1"/>
        <v>44848</v>
      </c>
      <c r="J10" s="556">
        <f t="shared" si="2"/>
        <v>44909</v>
      </c>
      <c r="K10" s="556">
        <f t="shared" si="3"/>
        <v>45274</v>
      </c>
      <c r="L10" s="557">
        <f t="shared" si="4"/>
        <v>18.83333333</v>
      </c>
      <c r="M10" s="556">
        <f t="shared" si="5"/>
        <v>45412</v>
      </c>
      <c r="N10" s="556">
        <f t="shared" si="6"/>
        <v>45473</v>
      </c>
      <c r="O10" s="556">
        <v>45838.0</v>
      </c>
    </row>
    <row r="11" ht="14.25" customHeight="1">
      <c r="A11" s="102"/>
      <c r="B11" s="504"/>
      <c r="C11" s="558"/>
      <c r="D11" s="102"/>
      <c r="E11" s="504"/>
      <c r="F11" s="559"/>
      <c r="G11" s="560"/>
      <c r="H11" s="559"/>
      <c r="I11" s="560"/>
      <c r="J11" s="560"/>
      <c r="K11" s="560"/>
      <c r="L11" s="561"/>
      <c r="M11" s="562"/>
      <c r="N11" s="560"/>
      <c r="O11" s="560"/>
    </row>
    <row r="12" ht="14.25" customHeight="1">
      <c r="A12" s="540"/>
      <c r="B12" s="540"/>
      <c r="C12" s="540"/>
      <c r="D12" s="540"/>
      <c r="E12" s="540"/>
      <c r="F12" s="540"/>
      <c r="G12" s="540"/>
      <c r="H12" s="540"/>
      <c r="I12" s="540"/>
      <c r="J12" s="540"/>
      <c r="K12" s="540"/>
      <c r="L12" s="547">
        <v>45930.0</v>
      </c>
      <c r="M12" s="540"/>
      <c r="N12" s="540"/>
      <c r="O12" s="540"/>
    </row>
    <row r="13" ht="14.25" customHeight="1">
      <c r="A13" s="548" t="s">
        <v>1019</v>
      </c>
      <c r="B13" s="4"/>
      <c r="C13" s="4"/>
      <c r="D13" s="4"/>
      <c r="E13" s="4"/>
      <c r="F13" s="4"/>
      <c r="G13" s="4"/>
      <c r="H13" s="4"/>
      <c r="I13" s="4"/>
      <c r="J13" s="4"/>
      <c r="K13" s="4"/>
      <c r="L13" s="4"/>
      <c r="M13" s="4"/>
      <c r="N13" s="4"/>
      <c r="O13" s="4"/>
    </row>
    <row r="14" ht="42.75" customHeight="1">
      <c r="A14" s="47" t="s">
        <v>965</v>
      </c>
      <c r="B14" s="47" t="s">
        <v>19</v>
      </c>
      <c r="C14" s="47" t="s">
        <v>20</v>
      </c>
      <c r="D14" s="47" t="s">
        <v>23</v>
      </c>
      <c r="E14" s="47" t="s">
        <v>30</v>
      </c>
      <c r="F14" s="47" t="s">
        <v>46</v>
      </c>
      <c r="G14" s="47" t="s">
        <v>47</v>
      </c>
      <c r="H14" s="47" t="s">
        <v>48</v>
      </c>
      <c r="I14" s="53" t="s">
        <v>1015</v>
      </c>
      <c r="J14" s="53" t="s">
        <v>50</v>
      </c>
      <c r="K14" s="53" t="s">
        <v>51</v>
      </c>
      <c r="L14" s="47" t="s">
        <v>1016</v>
      </c>
      <c r="M14" s="549" t="s">
        <v>1015</v>
      </c>
      <c r="N14" s="549" t="s">
        <v>50</v>
      </c>
      <c r="O14" s="549" t="s">
        <v>1020</v>
      </c>
    </row>
    <row r="15" ht="14.25" customHeight="1">
      <c r="A15" s="65">
        <v>1.0</v>
      </c>
      <c r="B15" s="66" t="s">
        <v>255</v>
      </c>
      <c r="C15" s="563" t="s">
        <v>318</v>
      </c>
      <c r="D15" s="65">
        <v>106126.0</v>
      </c>
      <c r="E15" s="66" t="s">
        <v>80</v>
      </c>
      <c r="F15" s="564">
        <v>2330.0</v>
      </c>
      <c r="G15" s="565">
        <v>42783.0</v>
      </c>
      <c r="H15" s="564">
        <v>7.0</v>
      </c>
      <c r="I15" s="565">
        <f t="shared" ref="I15:I27" si="7">EDATE(G15,(H15*12)-14)</f>
        <v>44912</v>
      </c>
      <c r="J15" s="565">
        <f t="shared" ref="J15:J27" si="8">EDATE(G15,(H15*12)-12)</f>
        <v>44974</v>
      </c>
      <c r="K15" s="565">
        <f t="shared" ref="K15:K27" si="9">EDATE(G15,H15*12)</f>
        <v>45339</v>
      </c>
      <c r="L15" s="561">
        <f t="shared" ref="L15:L27" si="10">+($L$12-K15+1)/30</f>
        <v>19.73333333</v>
      </c>
      <c r="M15" s="565">
        <f t="shared" ref="M15:M27" si="11">+EDATE(O15,-14)</f>
        <v>45503</v>
      </c>
      <c r="N15" s="565">
        <f t="shared" ref="N15:N27" si="12">+EDATE(O15,-12)</f>
        <v>45565</v>
      </c>
      <c r="O15" s="565">
        <v>45930.0</v>
      </c>
    </row>
    <row r="16" ht="37.5" customHeight="1">
      <c r="A16" s="566">
        <v>2.0</v>
      </c>
      <c r="B16" s="567" t="s">
        <v>333</v>
      </c>
      <c r="C16" s="567" t="s">
        <v>372</v>
      </c>
      <c r="D16" s="566">
        <v>106575.0</v>
      </c>
      <c r="E16" s="567" t="s">
        <v>80</v>
      </c>
      <c r="F16" s="568">
        <v>29142.0</v>
      </c>
      <c r="G16" s="569">
        <v>43095.0</v>
      </c>
      <c r="H16" s="568">
        <v>7.0</v>
      </c>
      <c r="I16" s="569">
        <f t="shared" si="7"/>
        <v>45225</v>
      </c>
      <c r="J16" s="569">
        <f t="shared" si="8"/>
        <v>45286</v>
      </c>
      <c r="K16" s="569">
        <f t="shared" si="9"/>
        <v>45652</v>
      </c>
      <c r="L16" s="570">
        <f t="shared" si="10"/>
        <v>9.3</v>
      </c>
      <c r="M16" s="569">
        <f t="shared" si="11"/>
        <v>45503</v>
      </c>
      <c r="N16" s="569">
        <f t="shared" si="12"/>
        <v>45565</v>
      </c>
      <c r="O16" s="569">
        <v>45930.0</v>
      </c>
    </row>
    <row r="17" ht="14.25" customHeight="1">
      <c r="A17" s="65">
        <v>3.0</v>
      </c>
      <c r="B17" s="66" t="s">
        <v>333</v>
      </c>
      <c r="C17" s="66" t="s">
        <v>1021</v>
      </c>
      <c r="D17" s="65">
        <v>90694.0</v>
      </c>
      <c r="E17" s="66" t="s">
        <v>80</v>
      </c>
      <c r="F17" s="564">
        <v>4199.0</v>
      </c>
      <c r="G17" s="565">
        <v>42804.0</v>
      </c>
      <c r="H17" s="564">
        <v>7.0</v>
      </c>
      <c r="I17" s="565">
        <f t="shared" si="7"/>
        <v>44936</v>
      </c>
      <c r="J17" s="565">
        <f t="shared" si="8"/>
        <v>44995</v>
      </c>
      <c r="K17" s="565">
        <f t="shared" si="9"/>
        <v>45361</v>
      </c>
      <c r="L17" s="561">
        <f t="shared" si="10"/>
        <v>19</v>
      </c>
      <c r="M17" s="565">
        <f t="shared" si="11"/>
        <v>45503</v>
      </c>
      <c r="N17" s="565">
        <f t="shared" si="12"/>
        <v>45565</v>
      </c>
      <c r="O17" s="565">
        <v>45930.0</v>
      </c>
    </row>
    <row r="18" ht="14.25" customHeight="1">
      <c r="A18" s="65">
        <v>4.0</v>
      </c>
      <c r="B18" s="66" t="s">
        <v>333</v>
      </c>
      <c r="C18" s="66" t="s">
        <v>357</v>
      </c>
      <c r="D18" s="65">
        <v>106091.0</v>
      </c>
      <c r="E18" s="66" t="s">
        <v>337</v>
      </c>
      <c r="F18" s="564">
        <v>150.0</v>
      </c>
      <c r="G18" s="565">
        <v>42751.0</v>
      </c>
      <c r="H18" s="564">
        <v>7.0</v>
      </c>
      <c r="I18" s="565">
        <f t="shared" si="7"/>
        <v>44881</v>
      </c>
      <c r="J18" s="565">
        <f t="shared" si="8"/>
        <v>44942</v>
      </c>
      <c r="K18" s="565">
        <f t="shared" si="9"/>
        <v>45307</v>
      </c>
      <c r="L18" s="561">
        <f t="shared" si="10"/>
        <v>20.8</v>
      </c>
      <c r="M18" s="565">
        <f t="shared" si="11"/>
        <v>45503</v>
      </c>
      <c r="N18" s="565">
        <f t="shared" si="12"/>
        <v>45565</v>
      </c>
      <c r="O18" s="565">
        <v>45930.0</v>
      </c>
    </row>
    <row r="19" ht="14.25" customHeight="1">
      <c r="A19" s="453">
        <v>5.0</v>
      </c>
      <c r="B19" s="571" t="s">
        <v>413</v>
      </c>
      <c r="C19" s="571" t="s">
        <v>564</v>
      </c>
      <c r="D19" s="453">
        <v>229.0</v>
      </c>
      <c r="E19" s="571" t="s">
        <v>80</v>
      </c>
      <c r="F19" s="572">
        <v>25099.0</v>
      </c>
      <c r="G19" s="573">
        <v>43056.0</v>
      </c>
      <c r="H19" s="572">
        <v>7.0</v>
      </c>
      <c r="I19" s="573">
        <f t="shared" si="7"/>
        <v>45186</v>
      </c>
      <c r="J19" s="573">
        <f t="shared" si="8"/>
        <v>45247</v>
      </c>
      <c r="K19" s="573">
        <f t="shared" si="9"/>
        <v>45613</v>
      </c>
      <c r="L19" s="574">
        <f t="shared" si="10"/>
        <v>10.6</v>
      </c>
      <c r="M19" s="573">
        <f t="shared" si="11"/>
        <v>45503</v>
      </c>
      <c r="N19" s="573">
        <f t="shared" si="12"/>
        <v>45565</v>
      </c>
      <c r="O19" s="573">
        <v>45930.0</v>
      </c>
    </row>
    <row r="20" ht="14.25" customHeight="1">
      <c r="A20" s="566">
        <v>6.0</v>
      </c>
      <c r="B20" s="567" t="s">
        <v>413</v>
      </c>
      <c r="C20" s="567" t="s">
        <v>1022</v>
      </c>
      <c r="D20" s="566">
        <v>2130.0</v>
      </c>
      <c r="E20" s="567" t="s">
        <v>80</v>
      </c>
      <c r="F20" s="568">
        <v>7895.0</v>
      </c>
      <c r="G20" s="569">
        <v>42979.0</v>
      </c>
      <c r="H20" s="568">
        <v>7.0</v>
      </c>
      <c r="I20" s="569">
        <f t="shared" si="7"/>
        <v>45108</v>
      </c>
      <c r="J20" s="569">
        <f t="shared" si="8"/>
        <v>45170</v>
      </c>
      <c r="K20" s="569">
        <f t="shared" si="9"/>
        <v>45536</v>
      </c>
      <c r="L20" s="570">
        <f t="shared" si="10"/>
        <v>13.16666667</v>
      </c>
      <c r="M20" s="569">
        <f t="shared" si="11"/>
        <v>45503</v>
      </c>
      <c r="N20" s="569">
        <f t="shared" si="12"/>
        <v>45565</v>
      </c>
      <c r="O20" s="569">
        <v>45930.0</v>
      </c>
    </row>
    <row r="21" ht="14.25" customHeight="1">
      <c r="A21" s="566">
        <v>7.0</v>
      </c>
      <c r="B21" s="567" t="s">
        <v>413</v>
      </c>
      <c r="C21" s="567" t="s">
        <v>1023</v>
      </c>
      <c r="D21" s="566">
        <v>4010.0</v>
      </c>
      <c r="E21" s="567" t="s">
        <v>80</v>
      </c>
      <c r="F21" s="568">
        <v>8938.0</v>
      </c>
      <c r="G21" s="569">
        <v>42971.0</v>
      </c>
      <c r="H21" s="568">
        <v>7.0</v>
      </c>
      <c r="I21" s="569">
        <f t="shared" si="7"/>
        <v>45101</v>
      </c>
      <c r="J21" s="569">
        <f t="shared" si="8"/>
        <v>45162</v>
      </c>
      <c r="K21" s="569">
        <f t="shared" si="9"/>
        <v>45528</v>
      </c>
      <c r="L21" s="570">
        <f t="shared" si="10"/>
        <v>13.43333333</v>
      </c>
      <c r="M21" s="569">
        <f t="shared" si="11"/>
        <v>45503</v>
      </c>
      <c r="N21" s="569">
        <f t="shared" si="12"/>
        <v>45565</v>
      </c>
      <c r="O21" s="569">
        <v>45930.0</v>
      </c>
    </row>
    <row r="22" ht="14.25" customHeight="1">
      <c r="A22" s="65">
        <v>8.0</v>
      </c>
      <c r="B22" s="66" t="s">
        <v>413</v>
      </c>
      <c r="C22" s="563" t="s">
        <v>554</v>
      </c>
      <c r="D22" s="65">
        <v>90909.0</v>
      </c>
      <c r="E22" s="66" t="s">
        <v>80</v>
      </c>
      <c r="F22" s="564">
        <v>9552.0</v>
      </c>
      <c r="G22" s="565">
        <v>42866.0</v>
      </c>
      <c r="H22" s="564">
        <v>7.0</v>
      </c>
      <c r="I22" s="565">
        <f t="shared" si="7"/>
        <v>44996</v>
      </c>
      <c r="J22" s="565">
        <f t="shared" si="8"/>
        <v>45057</v>
      </c>
      <c r="K22" s="565">
        <f t="shared" si="9"/>
        <v>45423</v>
      </c>
      <c r="L22" s="561">
        <f t="shared" si="10"/>
        <v>16.93333333</v>
      </c>
      <c r="M22" s="565">
        <f t="shared" si="11"/>
        <v>45503</v>
      </c>
      <c r="N22" s="565">
        <f t="shared" si="12"/>
        <v>45565</v>
      </c>
      <c r="O22" s="565">
        <v>45930.0</v>
      </c>
    </row>
    <row r="23" ht="14.25" customHeight="1">
      <c r="A23" s="65">
        <v>9.0</v>
      </c>
      <c r="B23" s="66" t="s">
        <v>413</v>
      </c>
      <c r="C23" s="66" t="s">
        <v>572</v>
      </c>
      <c r="D23" s="65">
        <v>106198.0</v>
      </c>
      <c r="E23" s="66" t="s">
        <v>337</v>
      </c>
      <c r="F23" s="564">
        <v>4682.0</v>
      </c>
      <c r="G23" s="565">
        <v>42809.0</v>
      </c>
      <c r="H23" s="564">
        <v>7.0</v>
      </c>
      <c r="I23" s="565">
        <f t="shared" si="7"/>
        <v>44941</v>
      </c>
      <c r="J23" s="565">
        <f t="shared" si="8"/>
        <v>45000</v>
      </c>
      <c r="K23" s="565">
        <f t="shared" si="9"/>
        <v>45366</v>
      </c>
      <c r="L23" s="561">
        <f t="shared" si="10"/>
        <v>18.83333333</v>
      </c>
      <c r="M23" s="565">
        <f t="shared" si="11"/>
        <v>45503</v>
      </c>
      <c r="N23" s="565">
        <f t="shared" si="12"/>
        <v>45565</v>
      </c>
      <c r="O23" s="565">
        <v>45930.0</v>
      </c>
    </row>
    <row r="24" ht="14.25" customHeight="1">
      <c r="A24" s="65">
        <v>10.0</v>
      </c>
      <c r="B24" s="66" t="s">
        <v>413</v>
      </c>
      <c r="C24" s="66" t="s">
        <v>1024</v>
      </c>
      <c r="D24" s="65">
        <v>106421.0</v>
      </c>
      <c r="E24" s="66" t="s">
        <v>80</v>
      </c>
      <c r="F24" s="564">
        <v>16311.0</v>
      </c>
      <c r="G24" s="565">
        <v>42964.0</v>
      </c>
      <c r="H24" s="564">
        <v>7.0</v>
      </c>
      <c r="I24" s="565">
        <f t="shared" si="7"/>
        <v>45094</v>
      </c>
      <c r="J24" s="565">
        <f t="shared" si="8"/>
        <v>45155</v>
      </c>
      <c r="K24" s="565">
        <f t="shared" si="9"/>
        <v>45521</v>
      </c>
      <c r="L24" s="561">
        <f t="shared" si="10"/>
        <v>13.66666667</v>
      </c>
      <c r="M24" s="565">
        <f t="shared" si="11"/>
        <v>45503</v>
      </c>
      <c r="N24" s="565">
        <f t="shared" si="12"/>
        <v>45565</v>
      </c>
      <c r="O24" s="565">
        <v>45930.0</v>
      </c>
    </row>
    <row r="25" ht="14.25" customHeight="1">
      <c r="A25" s="65">
        <v>11.0</v>
      </c>
      <c r="B25" s="66" t="s">
        <v>413</v>
      </c>
      <c r="C25" s="66" t="s">
        <v>1024</v>
      </c>
      <c r="D25" s="65">
        <v>106422.0</v>
      </c>
      <c r="E25" s="66" t="s">
        <v>337</v>
      </c>
      <c r="F25" s="564">
        <v>16312.0</v>
      </c>
      <c r="G25" s="565">
        <v>42964.0</v>
      </c>
      <c r="H25" s="564">
        <v>7.0</v>
      </c>
      <c r="I25" s="565">
        <f t="shared" si="7"/>
        <v>45094</v>
      </c>
      <c r="J25" s="565">
        <f t="shared" si="8"/>
        <v>45155</v>
      </c>
      <c r="K25" s="565">
        <f t="shared" si="9"/>
        <v>45521</v>
      </c>
      <c r="L25" s="561">
        <f t="shared" si="10"/>
        <v>13.66666667</v>
      </c>
      <c r="M25" s="565">
        <f t="shared" si="11"/>
        <v>45503</v>
      </c>
      <c r="N25" s="565">
        <f t="shared" si="12"/>
        <v>45565</v>
      </c>
      <c r="O25" s="565">
        <v>45930.0</v>
      </c>
    </row>
    <row r="26" ht="14.25" customHeight="1">
      <c r="A26" s="65">
        <v>12.0</v>
      </c>
      <c r="B26" s="66" t="s">
        <v>576</v>
      </c>
      <c r="C26" s="66" t="s">
        <v>1025</v>
      </c>
      <c r="D26" s="65">
        <v>106623.0</v>
      </c>
      <c r="E26" s="66" t="s">
        <v>80</v>
      </c>
      <c r="F26" s="564">
        <v>29123.0</v>
      </c>
      <c r="G26" s="565">
        <v>43095.0</v>
      </c>
      <c r="H26" s="564">
        <v>7.0</v>
      </c>
      <c r="I26" s="565">
        <f t="shared" si="7"/>
        <v>45225</v>
      </c>
      <c r="J26" s="565">
        <f t="shared" si="8"/>
        <v>45286</v>
      </c>
      <c r="K26" s="565">
        <f t="shared" si="9"/>
        <v>45652</v>
      </c>
      <c r="L26" s="561">
        <f t="shared" si="10"/>
        <v>9.3</v>
      </c>
      <c r="M26" s="565">
        <f t="shared" si="11"/>
        <v>45503</v>
      </c>
      <c r="N26" s="565">
        <f t="shared" si="12"/>
        <v>45565</v>
      </c>
      <c r="O26" s="565">
        <v>45930.0</v>
      </c>
    </row>
    <row r="27" ht="14.25" customHeight="1">
      <c r="A27" s="65">
        <v>13.0</v>
      </c>
      <c r="B27" s="66" t="s">
        <v>611</v>
      </c>
      <c r="C27" s="563" t="s">
        <v>690</v>
      </c>
      <c r="D27" s="65">
        <v>106111.0</v>
      </c>
      <c r="E27" s="66" t="s">
        <v>80</v>
      </c>
      <c r="F27" s="564">
        <v>1145.0</v>
      </c>
      <c r="G27" s="565">
        <v>42766.0</v>
      </c>
      <c r="H27" s="564">
        <v>7.0</v>
      </c>
      <c r="I27" s="565">
        <f t="shared" si="7"/>
        <v>44895</v>
      </c>
      <c r="J27" s="565">
        <f t="shared" si="8"/>
        <v>44957</v>
      </c>
      <c r="K27" s="565">
        <f t="shared" si="9"/>
        <v>45322</v>
      </c>
      <c r="L27" s="561">
        <f t="shared" si="10"/>
        <v>20.3</v>
      </c>
      <c r="M27" s="565">
        <f t="shared" si="11"/>
        <v>45503</v>
      </c>
      <c r="N27" s="565">
        <f t="shared" si="12"/>
        <v>45565</v>
      </c>
      <c r="O27" s="565">
        <v>45930.0</v>
      </c>
    </row>
    <row r="28" ht="14.25" customHeight="1">
      <c r="A28" s="540"/>
      <c r="B28" s="540"/>
      <c r="C28" s="540"/>
      <c r="D28" s="540"/>
      <c r="E28" s="540"/>
      <c r="F28" s="540"/>
      <c r="G28" s="540"/>
      <c r="H28" s="540"/>
      <c r="I28" s="540"/>
      <c r="J28" s="540"/>
      <c r="K28" s="540"/>
      <c r="L28" s="540"/>
      <c r="M28" s="540"/>
      <c r="N28" s="540"/>
      <c r="O28" s="540"/>
    </row>
    <row r="29" ht="14.25" customHeight="1">
      <c r="A29" s="540"/>
      <c r="B29" s="540"/>
      <c r="C29" s="540"/>
      <c r="D29" s="540"/>
      <c r="E29" s="540"/>
      <c r="F29" s="540"/>
      <c r="G29" s="540"/>
      <c r="H29" s="540"/>
      <c r="I29" s="540"/>
      <c r="J29" s="540"/>
      <c r="K29" s="540"/>
      <c r="L29" s="547">
        <v>46022.0</v>
      </c>
      <c r="M29" s="540"/>
      <c r="N29" s="540"/>
      <c r="O29" s="540"/>
    </row>
    <row r="30" ht="14.25" customHeight="1">
      <c r="A30" s="548" t="s">
        <v>1026</v>
      </c>
      <c r="B30" s="4"/>
      <c r="C30" s="4"/>
      <c r="D30" s="4"/>
      <c r="E30" s="4"/>
      <c r="F30" s="4"/>
      <c r="G30" s="4"/>
      <c r="H30" s="4"/>
      <c r="I30" s="4"/>
      <c r="J30" s="4"/>
      <c r="K30" s="4"/>
      <c r="L30" s="4"/>
      <c r="M30" s="4"/>
      <c r="N30" s="4"/>
      <c r="O30" s="4"/>
    </row>
    <row r="31" ht="36.75" customHeight="1">
      <c r="A31" s="47" t="s">
        <v>965</v>
      </c>
      <c r="B31" s="47" t="s">
        <v>19</v>
      </c>
      <c r="C31" s="47" t="s">
        <v>20</v>
      </c>
      <c r="D31" s="47" t="s">
        <v>23</v>
      </c>
      <c r="E31" s="47" t="s">
        <v>30</v>
      </c>
      <c r="F31" s="47" t="s">
        <v>46</v>
      </c>
      <c r="G31" s="47" t="s">
        <v>47</v>
      </c>
      <c r="H31" s="575" t="s">
        <v>48</v>
      </c>
      <c r="I31" s="575" t="s">
        <v>1015</v>
      </c>
      <c r="J31" s="53" t="s">
        <v>50</v>
      </c>
      <c r="K31" s="53" t="s">
        <v>51</v>
      </c>
      <c r="L31" s="575" t="s">
        <v>1016</v>
      </c>
      <c r="M31" s="575" t="s">
        <v>1015</v>
      </c>
      <c r="N31" s="575" t="s">
        <v>50</v>
      </c>
      <c r="O31" s="549" t="s">
        <v>1017</v>
      </c>
    </row>
    <row r="32" ht="14.25" customHeight="1">
      <c r="A32" s="65">
        <v>1.0</v>
      </c>
      <c r="B32" s="66" t="s">
        <v>130</v>
      </c>
      <c r="C32" s="66" t="s">
        <v>1027</v>
      </c>
      <c r="D32" s="65">
        <v>106793.0</v>
      </c>
      <c r="E32" s="66" t="s">
        <v>337</v>
      </c>
      <c r="F32" s="564">
        <v>3679.0</v>
      </c>
      <c r="G32" s="565">
        <v>43161.0</v>
      </c>
      <c r="H32" s="564">
        <v>7.0</v>
      </c>
      <c r="I32" s="565">
        <f t="shared" ref="I32:I41" si="13">EDATE(G32,(H32*12)-14)</f>
        <v>45293</v>
      </c>
      <c r="J32" s="565">
        <f t="shared" ref="J32:J41" si="14">EDATE(G32,(H32*12)-12)</f>
        <v>45353</v>
      </c>
      <c r="K32" s="565">
        <f t="shared" ref="K32:K41" si="15">EDATE(G32,H32*12)</f>
        <v>45718</v>
      </c>
      <c r="L32" s="561">
        <f t="shared" ref="L32:L41" si="16">+($L$29-K32+1)/30</f>
        <v>10.16666667</v>
      </c>
      <c r="M32" s="565">
        <f t="shared" ref="M32:M41" si="17">+EDATE(O32,-14)</f>
        <v>45596</v>
      </c>
      <c r="N32" s="565">
        <f t="shared" ref="N32:N41" si="18">+EDATE(O32,-12)</f>
        <v>45657</v>
      </c>
      <c r="O32" s="565">
        <v>46022.0</v>
      </c>
    </row>
    <row r="33" ht="14.25" customHeight="1">
      <c r="A33" s="65">
        <v>2.0</v>
      </c>
      <c r="B33" s="66" t="s">
        <v>130</v>
      </c>
      <c r="C33" s="66" t="s">
        <v>1028</v>
      </c>
      <c r="D33" s="65">
        <v>106792.0</v>
      </c>
      <c r="E33" s="66" t="s">
        <v>337</v>
      </c>
      <c r="F33" s="564">
        <v>3678.0</v>
      </c>
      <c r="G33" s="565">
        <v>43161.0</v>
      </c>
      <c r="H33" s="564">
        <v>7.0</v>
      </c>
      <c r="I33" s="565">
        <f t="shared" si="13"/>
        <v>45293</v>
      </c>
      <c r="J33" s="565">
        <f t="shared" si="14"/>
        <v>45353</v>
      </c>
      <c r="K33" s="565">
        <f t="shared" si="15"/>
        <v>45718</v>
      </c>
      <c r="L33" s="561">
        <f t="shared" si="16"/>
        <v>10.16666667</v>
      </c>
      <c r="M33" s="565">
        <f t="shared" si="17"/>
        <v>45596</v>
      </c>
      <c r="N33" s="565">
        <f t="shared" si="18"/>
        <v>45657</v>
      </c>
      <c r="O33" s="565">
        <v>46022.0</v>
      </c>
    </row>
    <row r="34" ht="14.25" customHeight="1">
      <c r="A34" s="65">
        <v>3.0</v>
      </c>
      <c r="B34" s="66" t="s">
        <v>182</v>
      </c>
      <c r="C34" s="576" t="s">
        <v>183</v>
      </c>
      <c r="D34" s="65">
        <v>235.0</v>
      </c>
      <c r="E34" s="66" t="s">
        <v>80</v>
      </c>
      <c r="F34" s="564">
        <v>8937.0</v>
      </c>
      <c r="G34" s="565">
        <v>43152.0</v>
      </c>
      <c r="H34" s="564">
        <v>7.0</v>
      </c>
      <c r="I34" s="565">
        <f t="shared" si="13"/>
        <v>45281</v>
      </c>
      <c r="J34" s="565">
        <f t="shared" si="14"/>
        <v>45343</v>
      </c>
      <c r="K34" s="565">
        <f t="shared" si="15"/>
        <v>45709</v>
      </c>
      <c r="L34" s="561">
        <f t="shared" si="16"/>
        <v>10.46666667</v>
      </c>
      <c r="M34" s="565">
        <f t="shared" si="17"/>
        <v>45596</v>
      </c>
      <c r="N34" s="565">
        <f t="shared" si="18"/>
        <v>45657</v>
      </c>
      <c r="O34" s="565">
        <v>46022.0</v>
      </c>
    </row>
    <row r="35" ht="14.25" customHeight="1">
      <c r="A35" s="65">
        <v>4.0</v>
      </c>
      <c r="B35" s="66" t="s">
        <v>182</v>
      </c>
      <c r="C35" s="66" t="s">
        <v>1029</v>
      </c>
      <c r="D35" s="65">
        <v>18679.0</v>
      </c>
      <c r="E35" s="66" t="s">
        <v>80</v>
      </c>
      <c r="F35" s="564">
        <v>8936.0</v>
      </c>
      <c r="G35" s="565">
        <v>43251.0</v>
      </c>
      <c r="H35" s="564">
        <v>7.0</v>
      </c>
      <c r="I35" s="565">
        <f t="shared" si="13"/>
        <v>45382</v>
      </c>
      <c r="J35" s="565">
        <f t="shared" si="14"/>
        <v>45443</v>
      </c>
      <c r="K35" s="565">
        <f t="shared" si="15"/>
        <v>45808</v>
      </c>
      <c r="L35" s="561">
        <f t="shared" si="16"/>
        <v>7.166666667</v>
      </c>
      <c r="M35" s="565">
        <f t="shared" si="17"/>
        <v>45596</v>
      </c>
      <c r="N35" s="565">
        <f t="shared" si="18"/>
        <v>45657</v>
      </c>
      <c r="O35" s="565">
        <v>46022.0</v>
      </c>
    </row>
    <row r="36" ht="14.25" customHeight="1">
      <c r="A36" s="65">
        <v>5.0</v>
      </c>
      <c r="B36" s="66" t="s">
        <v>255</v>
      </c>
      <c r="C36" s="66" t="s">
        <v>972</v>
      </c>
      <c r="D36" s="65">
        <v>55202.0</v>
      </c>
      <c r="E36" s="66" t="s">
        <v>80</v>
      </c>
      <c r="F36" s="564">
        <v>3324.0</v>
      </c>
      <c r="G36" s="565">
        <v>43158.0</v>
      </c>
      <c r="H36" s="564">
        <v>7.0</v>
      </c>
      <c r="I36" s="565">
        <f t="shared" si="13"/>
        <v>45287</v>
      </c>
      <c r="J36" s="565">
        <f t="shared" si="14"/>
        <v>45349</v>
      </c>
      <c r="K36" s="565">
        <f t="shared" si="15"/>
        <v>45715</v>
      </c>
      <c r="L36" s="561">
        <f t="shared" si="16"/>
        <v>10.26666667</v>
      </c>
      <c r="M36" s="565">
        <f t="shared" si="17"/>
        <v>45596</v>
      </c>
      <c r="N36" s="565">
        <f t="shared" si="18"/>
        <v>45657</v>
      </c>
      <c r="O36" s="565">
        <v>46022.0</v>
      </c>
    </row>
    <row r="37" ht="14.25" customHeight="1">
      <c r="A37" s="65">
        <v>6.0</v>
      </c>
      <c r="B37" s="66" t="s">
        <v>333</v>
      </c>
      <c r="C37" s="577" t="s">
        <v>392</v>
      </c>
      <c r="D37" s="65">
        <v>106604.0</v>
      </c>
      <c r="E37" s="66" t="s">
        <v>80</v>
      </c>
      <c r="F37" s="564">
        <v>2054.0</v>
      </c>
      <c r="G37" s="565">
        <v>43144.0</v>
      </c>
      <c r="H37" s="564">
        <v>7.0</v>
      </c>
      <c r="I37" s="565">
        <f t="shared" si="13"/>
        <v>45273</v>
      </c>
      <c r="J37" s="565">
        <f t="shared" si="14"/>
        <v>45335</v>
      </c>
      <c r="K37" s="565">
        <f t="shared" si="15"/>
        <v>45701</v>
      </c>
      <c r="L37" s="561">
        <f t="shared" si="16"/>
        <v>10.73333333</v>
      </c>
      <c r="M37" s="565">
        <f t="shared" si="17"/>
        <v>45596</v>
      </c>
      <c r="N37" s="565">
        <f t="shared" si="18"/>
        <v>45657</v>
      </c>
      <c r="O37" s="565">
        <v>46022.0</v>
      </c>
    </row>
    <row r="38" ht="14.25" customHeight="1">
      <c r="A38" s="566">
        <v>7.0</v>
      </c>
      <c r="B38" s="567" t="s">
        <v>413</v>
      </c>
      <c r="C38" s="567" t="s">
        <v>484</v>
      </c>
      <c r="D38" s="566">
        <v>106574.0</v>
      </c>
      <c r="E38" s="567" t="s">
        <v>80</v>
      </c>
      <c r="F38" s="568">
        <v>6928.0</v>
      </c>
      <c r="G38" s="569">
        <v>43214.0</v>
      </c>
      <c r="H38" s="568">
        <v>7.0</v>
      </c>
      <c r="I38" s="569">
        <f t="shared" si="13"/>
        <v>45346</v>
      </c>
      <c r="J38" s="569">
        <f t="shared" si="14"/>
        <v>45406</v>
      </c>
      <c r="K38" s="569">
        <f t="shared" si="15"/>
        <v>45771</v>
      </c>
      <c r="L38" s="570">
        <f t="shared" si="16"/>
        <v>8.4</v>
      </c>
      <c r="M38" s="569">
        <f t="shared" si="17"/>
        <v>45596</v>
      </c>
      <c r="N38" s="569">
        <f t="shared" si="18"/>
        <v>45657</v>
      </c>
      <c r="O38" s="569">
        <v>46022.0</v>
      </c>
    </row>
    <row r="39" ht="14.25" customHeight="1">
      <c r="A39" s="65">
        <v>8.0</v>
      </c>
      <c r="B39" s="66" t="s">
        <v>413</v>
      </c>
      <c r="C39" s="66" t="s">
        <v>1030</v>
      </c>
      <c r="D39" s="65">
        <v>12098.0</v>
      </c>
      <c r="E39" s="66" t="s">
        <v>80</v>
      </c>
      <c r="F39" s="564">
        <v>3523.0</v>
      </c>
      <c r="G39" s="565">
        <v>43160.0</v>
      </c>
      <c r="H39" s="564">
        <v>7.0</v>
      </c>
      <c r="I39" s="565">
        <f t="shared" si="13"/>
        <v>45292</v>
      </c>
      <c r="J39" s="565">
        <f t="shared" si="14"/>
        <v>45352</v>
      </c>
      <c r="K39" s="565">
        <f t="shared" si="15"/>
        <v>45717</v>
      </c>
      <c r="L39" s="561">
        <f t="shared" si="16"/>
        <v>10.2</v>
      </c>
      <c r="M39" s="565">
        <f t="shared" si="17"/>
        <v>45596</v>
      </c>
      <c r="N39" s="565">
        <f t="shared" si="18"/>
        <v>45657</v>
      </c>
      <c r="O39" s="565">
        <v>46022.0</v>
      </c>
    </row>
    <row r="40" ht="14.25" customHeight="1">
      <c r="A40" s="566">
        <v>9.0</v>
      </c>
      <c r="B40" s="567" t="s">
        <v>413</v>
      </c>
      <c r="C40" s="567" t="s">
        <v>492</v>
      </c>
      <c r="D40" s="566">
        <v>106794.0</v>
      </c>
      <c r="E40" s="567" t="s">
        <v>80</v>
      </c>
      <c r="F40" s="568">
        <v>3266.0</v>
      </c>
      <c r="G40" s="569">
        <v>43157.0</v>
      </c>
      <c r="H40" s="568">
        <v>7.0</v>
      </c>
      <c r="I40" s="569">
        <f t="shared" si="13"/>
        <v>45286</v>
      </c>
      <c r="J40" s="569">
        <f t="shared" si="14"/>
        <v>45348</v>
      </c>
      <c r="K40" s="569">
        <f t="shared" si="15"/>
        <v>45714</v>
      </c>
      <c r="L40" s="570">
        <f t="shared" si="16"/>
        <v>10.3</v>
      </c>
      <c r="M40" s="569">
        <f t="shared" si="17"/>
        <v>45596</v>
      </c>
      <c r="N40" s="569">
        <f t="shared" si="18"/>
        <v>45657</v>
      </c>
      <c r="O40" s="569">
        <v>46022.0</v>
      </c>
    </row>
    <row r="41" ht="14.25" customHeight="1">
      <c r="A41" s="65">
        <v>10.0</v>
      </c>
      <c r="B41" s="66" t="s">
        <v>413</v>
      </c>
      <c r="C41" s="576" t="s">
        <v>532</v>
      </c>
      <c r="D41" s="65">
        <v>7170.0</v>
      </c>
      <c r="E41" s="66" t="s">
        <v>80</v>
      </c>
      <c r="F41" s="564">
        <v>6107.0</v>
      </c>
      <c r="G41" s="565">
        <v>43199.0</v>
      </c>
      <c r="H41" s="564">
        <v>7.0</v>
      </c>
      <c r="I41" s="565">
        <f t="shared" si="13"/>
        <v>45331</v>
      </c>
      <c r="J41" s="565">
        <f t="shared" si="14"/>
        <v>45391</v>
      </c>
      <c r="K41" s="565">
        <f t="shared" si="15"/>
        <v>45756</v>
      </c>
      <c r="L41" s="561">
        <f t="shared" si="16"/>
        <v>8.9</v>
      </c>
      <c r="M41" s="565">
        <f t="shared" si="17"/>
        <v>45596</v>
      </c>
      <c r="N41" s="565">
        <f t="shared" si="18"/>
        <v>45657</v>
      </c>
      <c r="O41" s="565">
        <v>46022.0</v>
      </c>
    </row>
  </sheetData>
  <mergeCells count="7">
    <mergeCell ref="A5:B5"/>
    <mergeCell ref="D5:E5"/>
    <mergeCell ref="F5:H5"/>
    <mergeCell ref="I5:J5"/>
    <mergeCell ref="A7:O7"/>
    <mergeCell ref="A13:O13"/>
    <mergeCell ref="A30:O30"/>
  </mergeCells>
  <printOptions/>
  <pageMargins bottom="0.7480314960629921" footer="0.0" header="0.0" left="0.7086614173228347" right="0.7086614173228347" top="0.7480314960629921"/>
  <pageSetup paperSize="14" scale="70" orientation="landscape"/>
  <drawing r:id="rId2"/>
  <legacyDrawing r:id="rId3"/>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FF00"/>
    <pageSetUpPr fitToPage="1"/>
  </sheetPr>
  <sheetViews>
    <sheetView workbookViewId="0"/>
  </sheetViews>
  <sheetFormatPr customHeight="1" defaultColWidth="12.63" defaultRowHeight="15.0"/>
  <cols>
    <col customWidth="1" min="1" max="1" width="4.38"/>
    <col customWidth="1" min="2" max="2" width="43.38"/>
    <col customWidth="1" min="3" max="3" width="51.88"/>
    <col customWidth="1" min="4" max="4" width="12.38"/>
    <col customWidth="1" min="5" max="5" width="18.75"/>
    <col customWidth="1" min="6" max="6" width="15.63"/>
    <col customWidth="1" min="7" max="7" width="12.13"/>
    <col customWidth="1" min="8" max="8" width="24.13"/>
    <col customWidth="1" min="9" max="9" width="25.0"/>
    <col customWidth="1" min="10" max="10" width="26.63"/>
  </cols>
  <sheetData>
    <row r="1" ht="12.0" customHeight="1">
      <c r="A1" s="36" t="s">
        <v>992</v>
      </c>
      <c r="H1" s="36"/>
      <c r="J1" s="34"/>
    </row>
    <row r="2" ht="12.0" customHeight="1">
      <c r="A2" s="36" t="s">
        <v>1006</v>
      </c>
      <c r="H2" s="36"/>
      <c r="J2" s="34"/>
    </row>
    <row r="3" ht="12.0" customHeight="1">
      <c r="A3" s="36" t="s">
        <v>1031</v>
      </c>
      <c r="H3" s="36"/>
      <c r="J3" s="34"/>
    </row>
    <row r="4" ht="12.0" customHeight="1">
      <c r="H4" s="36"/>
      <c r="J4" s="34"/>
    </row>
    <row r="5" ht="12.0" customHeight="1">
      <c r="A5" s="63" t="s">
        <v>965</v>
      </c>
      <c r="B5" s="63" t="s">
        <v>19</v>
      </c>
      <c r="C5" s="63" t="s">
        <v>966</v>
      </c>
      <c r="D5" s="63" t="s">
        <v>23</v>
      </c>
      <c r="E5" s="63" t="s">
        <v>62</v>
      </c>
      <c r="F5" s="63" t="s">
        <v>967</v>
      </c>
      <c r="G5" s="63" t="s">
        <v>48</v>
      </c>
      <c r="H5" s="63" t="s">
        <v>1032</v>
      </c>
      <c r="I5" s="48" t="s">
        <v>1033</v>
      </c>
      <c r="J5" s="578" t="s">
        <v>1034</v>
      </c>
    </row>
    <row r="6" ht="23.25" customHeight="1">
      <c r="A6" s="579">
        <v>1.0</v>
      </c>
      <c r="B6" s="580" t="s">
        <v>255</v>
      </c>
      <c r="C6" s="580" t="s">
        <v>260</v>
      </c>
      <c r="D6" s="581">
        <v>5268.0</v>
      </c>
      <c r="E6" s="582">
        <v>7455.0</v>
      </c>
      <c r="F6" s="583">
        <v>44316.0</v>
      </c>
      <c r="G6" s="584">
        <v>4.0</v>
      </c>
      <c r="H6" s="583">
        <f t="shared" ref="H6:H14" si="1">EDATE(F6,6)</f>
        <v>44499</v>
      </c>
      <c r="I6" s="583">
        <v>45046.0</v>
      </c>
      <c r="J6" s="585"/>
    </row>
    <row r="7" ht="23.25" customHeight="1">
      <c r="A7" s="586">
        <v>2.0</v>
      </c>
      <c r="B7" s="587" t="s">
        <v>413</v>
      </c>
      <c r="C7" s="587" t="s">
        <v>440</v>
      </c>
      <c r="D7" s="588">
        <v>3048.0</v>
      </c>
      <c r="E7" s="589">
        <v>7456.0</v>
      </c>
      <c r="F7" s="590">
        <v>44316.0</v>
      </c>
      <c r="G7" s="586">
        <v>6.0</v>
      </c>
      <c r="H7" s="590">
        <f t="shared" si="1"/>
        <v>44499</v>
      </c>
      <c r="I7" s="590">
        <v>45412.0</v>
      </c>
      <c r="J7" s="591" t="s">
        <v>1035</v>
      </c>
    </row>
    <row r="8" ht="41.25" customHeight="1">
      <c r="A8" s="586">
        <v>3.0</v>
      </c>
      <c r="B8" s="587" t="s">
        <v>695</v>
      </c>
      <c r="C8" s="587" t="s">
        <v>742</v>
      </c>
      <c r="D8" s="588">
        <v>53918.0</v>
      </c>
      <c r="E8" s="589">
        <v>16771.0</v>
      </c>
      <c r="F8" s="590">
        <v>44447.0</v>
      </c>
      <c r="G8" s="586">
        <v>6.0</v>
      </c>
      <c r="H8" s="590">
        <f t="shared" si="1"/>
        <v>44628</v>
      </c>
      <c r="I8" s="590">
        <v>45543.0</v>
      </c>
      <c r="J8" s="592" t="s">
        <v>1036</v>
      </c>
    </row>
    <row r="9" ht="34.5" customHeight="1">
      <c r="A9" s="586">
        <v>4.0</v>
      </c>
      <c r="B9" s="587" t="s">
        <v>255</v>
      </c>
      <c r="C9" s="587" t="s">
        <v>972</v>
      </c>
      <c r="D9" s="588">
        <v>55202.0</v>
      </c>
      <c r="E9" s="589">
        <v>23018.0</v>
      </c>
      <c r="F9" s="590">
        <v>44530.0</v>
      </c>
      <c r="G9" s="586">
        <v>6.0</v>
      </c>
      <c r="H9" s="590">
        <f t="shared" si="1"/>
        <v>44711</v>
      </c>
      <c r="I9" s="590">
        <v>45626.0</v>
      </c>
      <c r="J9" s="592" t="s">
        <v>1037</v>
      </c>
    </row>
    <row r="10" ht="32.25" customHeight="1">
      <c r="A10" s="586">
        <v>5.0</v>
      </c>
      <c r="B10" s="587" t="s">
        <v>413</v>
      </c>
      <c r="C10" s="587" t="s">
        <v>467</v>
      </c>
      <c r="D10" s="588">
        <v>106545.0</v>
      </c>
      <c r="E10" s="589">
        <v>2311.0</v>
      </c>
      <c r="F10" s="590">
        <v>44621.0</v>
      </c>
      <c r="G10" s="586">
        <v>4.0</v>
      </c>
      <c r="H10" s="590">
        <f t="shared" si="1"/>
        <v>44805</v>
      </c>
      <c r="I10" s="590">
        <v>45352.0</v>
      </c>
      <c r="J10" s="592" t="s">
        <v>1038</v>
      </c>
    </row>
    <row r="11" ht="23.25" customHeight="1">
      <c r="A11" s="586">
        <v>6.0</v>
      </c>
      <c r="B11" s="587" t="s">
        <v>130</v>
      </c>
      <c r="C11" s="587" t="s">
        <v>970</v>
      </c>
      <c r="D11" s="588">
        <v>7171.0</v>
      </c>
      <c r="E11" s="589">
        <v>2305.0</v>
      </c>
      <c r="F11" s="590">
        <v>44621.0</v>
      </c>
      <c r="G11" s="586">
        <v>6.0</v>
      </c>
      <c r="H11" s="590">
        <f t="shared" si="1"/>
        <v>44805</v>
      </c>
      <c r="I11" s="590">
        <v>45717.0</v>
      </c>
      <c r="J11" s="591" t="s">
        <v>1039</v>
      </c>
    </row>
    <row r="12" ht="23.25" customHeight="1">
      <c r="A12" s="586">
        <v>7.0</v>
      </c>
      <c r="B12" s="587" t="s">
        <v>413</v>
      </c>
      <c r="C12" s="587" t="s">
        <v>476</v>
      </c>
      <c r="D12" s="588">
        <v>106651.0</v>
      </c>
      <c r="E12" s="589">
        <v>2312.0</v>
      </c>
      <c r="F12" s="590">
        <v>44621.0</v>
      </c>
      <c r="G12" s="586">
        <v>4.0</v>
      </c>
      <c r="H12" s="590">
        <f t="shared" si="1"/>
        <v>44805</v>
      </c>
      <c r="I12" s="590">
        <v>45352.0</v>
      </c>
      <c r="J12" s="592" t="s">
        <v>1040</v>
      </c>
    </row>
    <row r="13" ht="23.25" customHeight="1">
      <c r="A13" s="579">
        <v>8.0</v>
      </c>
      <c r="B13" s="580" t="s">
        <v>413</v>
      </c>
      <c r="C13" s="580" t="s">
        <v>484</v>
      </c>
      <c r="D13" s="581">
        <v>106574.0</v>
      </c>
      <c r="E13" s="582">
        <v>1109.0</v>
      </c>
      <c r="F13" s="583">
        <v>44960.0</v>
      </c>
      <c r="G13" s="584">
        <v>6.0</v>
      </c>
      <c r="H13" s="583">
        <f t="shared" si="1"/>
        <v>45141</v>
      </c>
      <c r="I13" s="583">
        <v>46056.0</v>
      </c>
      <c r="J13" s="585"/>
    </row>
    <row r="14" ht="23.25" customHeight="1">
      <c r="A14" s="579">
        <v>9.0</v>
      </c>
      <c r="B14" s="580" t="s">
        <v>413</v>
      </c>
      <c r="C14" s="580" t="s">
        <v>492</v>
      </c>
      <c r="D14" s="581">
        <v>106794.0</v>
      </c>
      <c r="E14" s="582">
        <v>1110.0</v>
      </c>
      <c r="F14" s="583">
        <v>44960.0</v>
      </c>
      <c r="G14" s="584">
        <v>6.0</v>
      </c>
      <c r="H14" s="583">
        <f t="shared" si="1"/>
        <v>45141</v>
      </c>
      <c r="I14" s="583">
        <v>46056.0</v>
      </c>
      <c r="J14" s="585"/>
    </row>
    <row r="15" ht="23.25" customHeight="1">
      <c r="A15" s="586">
        <v>10.0</v>
      </c>
      <c r="B15" s="587" t="s">
        <v>74</v>
      </c>
      <c r="C15" s="587" t="s">
        <v>101</v>
      </c>
      <c r="D15" s="588">
        <v>225.0</v>
      </c>
      <c r="E15" s="589">
        <v>1042.0</v>
      </c>
      <c r="F15" s="590">
        <v>44960.0</v>
      </c>
      <c r="G15" s="586">
        <v>6.0</v>
      </c>
      <c r="H15" s="590">
        <v>45200.0</v>
      </c>
      <c r="I15" s="590">
        <v>46056.0</v>
      </c>
      <c r="J15" s="591" t="s">
        <v>1041</v>
      </c>
    </row>
    <row r="16" ht="23.25" customHeight="1">
      <c r="A16" s="586">
        <v>11.0</v>
      </c>
      <c r="B16" s="587" t="s">
        <v>74</v>
      </c>
      <c r="C16" s="587" t="s">
        <v>109</v>
      </c>
      <c r="D16" s="588">
        <v>54801.0</v>
      </c>
      <c r="E16" s="589">
        <v>1037.0</v>
      </c>
      <c r="F16" s="590">
        <v>44960.0</v>
      </c>
      <c r="G16" s="586">
        <v>6.0</v>
      </c>
      <c r="H16" s="590">
        <v>45200.0</v>
      </c>
      <c r="I16" s="590">
        <v>46056.0</v>
      </c>
      <c r="J16" s="593" t="s">
        <v>1042</v>
      </c>
    </row>
    <row r="17" ht="23.25" customHeight="1">
      <c r="A17" s="579">
        <v>12.0</v>
      </c>
      <c r="B17" s="580" t="s">
        <v>333</v>
      </c>
      <c r="C17" s="580" t="s">
        <v>975</v>
      </c>
      <c r="D17" s="581">
        <v>106575.0</v>
      </c>
      <c r="E17" s="582">
        <v>6405.0</v>
      </c>
      <c r="F17" s="583">
        <v>45036.0</v>
      </c>
      <c r="G17" s="584">
        <v>4.0</v>
      </c>
      <c r="H17" s="583">
        <f>EDATE(F17,6)</f>
        <v>45219</v>
      </c>
      <c r="I17" s="583">
        <v>45767.0</v>
      </c>
      <c r="J17" s="585"/>
    </row>
    <row r="18" ht="23.25" customHeight="1">
      <c r="A18" s="579">
        <v>13.0</v>
      </c>
      <c r="B18" s="580" t="s">
        <v>74</v>
      </c>
      <c r="C18" s="580" t="s">
        <v>117</v>
      </c>
      <c r="D18" s="581">
        <v>4963.0</v>
      </c>
      <c r="E18" s="582">
        <v>6400.0</v>
      </c>
      <c r="F18" s="583">
        <v>45036.0</v>
      </c>
      <c r="G18" s="584">
        <v>6.0</v>
      </c>
      <c r="H18" s="583">
        <v>45200.0</v>
      </c>
      <c r="I18" s="583">
        <v>46132.0</v>
      </c>
      <c r="J18" s="591" t="s">
        <v>1043</v>
      </c>
    </row>
    <row r="19" ht="23.25" customHeight="1">
      <c r="A19" s="579">
        <v>14.0</v>
      </c>
      <c r="B19" s="580" t="s">
        <v>333</v>
      </c>
      <c r="C19" s="580" t="s">
        <v>381</v>
      </c>
      <c r="D19" s="581">
        <v>13062.0</v>
      </c>
      <c r="E19" s="582">
        <v>6404.0</v>
      </c>
      <c r="F19" s="583">
        <v>45036.0</v>
      </c>
      <c r="G19" s="584">
        <v>4.0</v>
      </c>
      <c r="H19" s="583">
        <f>EDATE(F19,6)</f>
        <v>45219</v>
      </c>
      <c r="I19" s="583">
        <v>45767.0</v>
      </c>
      <c r="J19" s="585"/>
    </row>
    <row r="20" ht="23.25" customHeight="1">
      <c r="A20" s="586">
        <v>15.0</v>
      </c>
      <c r="B20" s="587" t="s">
        <v>74</v>
      </c>
      <c r="C20" s="587" t="s">
        <v>126</v>
      </c>
      <c r="D20" s="588">
        <v>11067.0</v>
      </c>
      <c r="E20" s="589">
        <v>6402.0</v>
      </c>
      <c r="F20" s="590">
        <v>45036.0</v>
      </c>
      <c r="G20" s="586">
        <v>4.0</v>
      </c>
      <c r="H20" s="590">
        <v>45200.0</v>
      </c>
      <c r="I20" s="590">
        <v>45767.0</v>
      </c>
      <c r="J20" s="591" t="s">
        <v>1044</v>
      </c>
    </row>
    <row r="21" ht="23.25" customHeight="1">
      <c r="A21" s="579">
        <v>16.0</v>
      </c>
      <c r="B21" s="580" t="s">
        <v>413</v>
      </c>
      <c r="C21" s="580" t="s">
        <v>510</v>
      </c>
      <c r="D21" s="581">
        <v>4010.0</v>
      </c>
      <c r="E21" s="582">
        <v>7568.0</v>
      </c>
      <c r="F21" s="583">
        <v>45054.0</v>
      </c>
      <c r="G21" s="584">
        <v>4.0</v>
      </c>
      <c r="H21" s="583">
        <f t="shared" ref="H21:H38" si="2">EDATE(F21,6)</f>
        <v>45238</v>
      </c>
      <c r="I21" s="583">
        <v>45785.0</v>
      </c>
      <c r="J21" s="585"/>
    </row>
    <row r="22" ht="23.25" customHeight="1">
      <c r="A22" s="579">
        <v>17.0</v>
      </c>
      <c r="B22" s="580" t="s">
        <v>827</v>
      </c>
      <c r="C22" s="580" t="s">
        <v>237</v>
      </c>
      <c r="D22" s="581">
        <v>8441.0</v>
      </c>
      <c r="E22" s="582">
        <v>8576.0</v>
      </c>
      <c r="F22" s="583">
        <v>45071.0</v>
      </c>
      <c r="G22" s="584">
        <v>4.0</v>
      </c>
      <c r="H22" s="583">
        <f t="shared" si="2"/>
        <v>45255</v>
      </c>
      <c r="I22" s="583">
        <v>45802.0</v>
      </c>
      <c r="J22" s="585"/>
    </row>
    <row r="23" ht="23.25" customHeight="1">
      <c r="A23" s="579">
        <v>18.0</v>
      </c>
      <c r="B23" s="580" t="s">
        <v>611</v>
      </c>
      <c r="C23" s="580" t="s">
        <v>648</v>
      </c>
      <c r="D23" s="581">
        <v>236.0</v>
      </c>
      <c r="E23" s="582">
        <v>8598.0</v>
      </c>
      <c r="F23" s="583">
        <v>45071.0</v>
      </c>
      <c r="G23" s="584">
        <v>6.0</v>
      </c>
      <c r="H23" s="583">
        <f t="shared" si="2"/>
        <v>45255</v>
      </c>
      <c r="I23" s="583">
        <v>46167.0</v>
      </c>
      <c r="J23" s="585"/>
    </row>
    <row r="24" ht="21.0" customHeight="1">
      <c r="A24" s="579">
        <v>19.0</v>
      </c>
      <c r="B24" s="580" t="s">
        <v>74</v>
      </c>
      <c r="C24" s="580" t="s">
        <v>126</v>
      </c>
      <c r="D24" s="581">
        <v>11067.0</v>
      </c>
      <c r="E24" s="594">
        <v>6402.0</v>
      </c>
      <c r="F24" s="583">
        <v>45036.0</v>
      </c>
      <c r="G24" s="584">
        <v>4.0</v>
      </c>
      <c r="H24" s="583">
        <f t="shared" si="2"/>
        <v>45219</v>
      </c>
      <c r="I24" s="583">
        <v>45767.0</v>
      </c>
      <c r="J24" s="585"/>
    </row>
    <row r="25" ht="18.75" customHeight="1">
      <c r="A25" s="579">
        <v>20.0</v>
      </c>
      <c r="B25" s="580" t="s">
        <v>74</v>
      </c>
      <c r="C25" s="580" t="s">
        <v>117</v>
      </c>
      <c r="D25" s="581">
        <v>4963.0</v>
      </c>
      <c r="E25" s="594">
        <v>6400.0</v>
      </c>
      <c r="F25" s="583">
        <v>45036.0</v>
      </c>
      <c r="G25" s="584">
        <v>6.0</v>
      </c>
      <c r="H25" s="583">
        <f t="shared" si="2"/>
        <v>45219</v>
      </c>
      <c r="I25" s="583">
        <v>46132.0</v>
      </c>
      <c r="J25" s="585"/>
    </row>
    <row r="26" ht="16.5" customHeight="1">
      <c r="A26" s="579">
        <v>21.0</v>
      </c>
      <c r="B26" s="580" t="s">
        <v>333</v>
      </c>
      <c r="C26" s="580" t="s">
        <v>381</v>
      </c>
      <c r="D26" s="581">
        <v>13062.0</v>
      </c>
      <c r="E26" s="594">
        <v>6404.0</v>
      </c>
      <c r="F26" s="583">
        <v>45036.0</v>
      </c>
      <c r="G26" s="584">
        <v>4.0</v>
      </c>
      <c r="H26" s="583">
        <f t="shared" si="2"/>
        <v>45219</v>
      </c>
      <c r="I26" s="583">
        <v>45767.0</v>
      </c>
      <c r="J26" s="585"/>
    </row>
    <row r="27" ht="16.5" customHeight="1">
      <c r="A27" s="579">
        <v>22.0</v>
      </c>
      <c r="B27" s="580" t="s">
        <v>333</v>
      </c>
      <c r="C27" s="580" t="s">
        <v>975</v>
      </c>
      <c r="D27" s="581">
        <v>106575.0</v>
      </c>
      <c r="E27" s="594">
        <v>6405.0</v>
      </c>
      <c r="F27" s="583">
        <v>45036.0</v>
      </c>
      <c r="G27" s="584">
        <v>4.0</v>
      </c>
      <c r="H27" s="583">
        <f t="shared" si="2"/>
        <v>45219</v>
      </c>
      <c r="I27" s="583">
        <v>45767.0</v>
      </c>
      <c r="J27" s="585"/>
    </row>
    <row r="28" ht="21.0" customHeight="1">
      <c r="A28" s="586">
        <v>23.0</v>
      </c>
      <c r="B28" s="587" t="s">
        <v>333</v>
      </c>
      <c r="C28" s="587" t="s">
        <v>408</v>
      </c>
      <c r="D28" s="588">
        <v>232.0</v>
      </c>
      <c r="E28" s="595">
        <v>10048.0</v>
      </c>
      <c r="F28" s="590">
        <v>45100.0</v>
      </c>
      <c r="G28" s="586">
        <v>8.0</v>
      </c>
      <c r="H28" s="590">
        <f t="shared" si="2"/>
        <v>45283</v>
      </c>
      <c r="I28" s="590">
        <v>46561.0</v>
      </c>
      <c r="J28" s="591" t="s">
        <v>1045</v>
      </c>
    </row>
    <row r="29" ht="15.75" customHeight="1">
      <c r="A29" s="579">
        <v>24.0</v>
      </c>
      <c r="B29" s="580" t="s">
        <v>255</v>
      </c>
      <c r="C29" s="580" t="s">
        <v>310</v>
      </c>
      <c r="D29" s="581">
        <v>5269.0</v>
      </c>
      <c r="E29" s="594">
        <v>10687.0</v>
      </c>
      <c r="F29" s="583">
        <v>45112.0</v>
      </c>
      <c r="G29" s="584">
        <v>6.0</v>
      </c>
      <c r="H29" s="583">
        <f t="shared" si="2"/>
        <v>45296</v>
      </c>
      <c r="I29" s="583">
        <v>46117.0</v>
      </c>
      <c r="J29" s="585"/>
    </row>
    <row r="30" ht="21.75" customHeight="1">
      <c r="A30" s="586">
        <v>25.0</v>
      </c>
      <c r="B30" s="587" t="s">
        <v>255</v>
      </c>
      <c r="C30" s="587" t="s">
        <v>285</v>
      </c>
      <c r="D30" s="588">
        <v>230.0</v>
      </c>
      <c r="E30" s="596">
        <v>14238.0</v>
      </c>
      <c r="F30" s="590">
        <v>45161.0</v>
      </c>
      <c r="G30" s="586">
        <v>6.0</v>
      </c>
      <c r="H30" s="590">
        <f t="shared" si="2"/>
        <v>45345</v>
      </c>
      <c r="I30" s="590">
        <v>46257.0</v>
      </c>
      <c r="J30" s="591" t="s">
        <v>1046</v>
      </c>
    </row>
    <row r="31" ht="16.5" customHeight="1">
      <c r="A31" s="579">
        <v>26.0</v>
      </c>
      <c r="B31" s="580" t="s">
        <v>333</v>
      </c>
      <c r="C31" s="580" t="s">
        <v>392</v>
      </c>
      <c r="D31" s="581">
        <v>106604.0</v>
      </c>
      <c r="E31" s="593">
        <v>14237.0</v>
      </c>
      <c r="F31" s="583">
        <v>45161.0</v>
      </c>
      <c r="G31" s="584">
        <v>4.0</v>
      </c>
      <c r="H31" s="583">
        <f t="shared" si="2"/>
        <v>45345</v>
      </c>
      <c r="I31" s="583">
        <v>45892.0</v>
      </c>
      <c r="J31" s="585"/>
    </row>
    <row r="32" ht="16.5" customHeight="1">
      <c r="A32" s="579">
        <v>27.0</v>
      </c>
      <c r="B32" s="580" t="s">
        <v>413</v>
      </c>
      <c r="C32" s="580" t="s">
        <v>532</v>
      </c>
      <c r="D32" s="581">
        <v>7170.0</v>
      </c>
      <c r="E32" s="593">
        <v>16903.0</v>
      </c>
      <c r="F32" s="583">
        <v>45189.0</v>
      </c>
      <c r="G32" s="584">
        <v>6.0</v>
      </c>
      <c r="H32" s="583">
        <f t="shared" si="2"/>
        <v>45371</v>
      </c>
      <c r="I32" s="583">
        <v>46285.0</v>
      </c>
      <c r="J32" s="585"/>
    </row>
    <row r="33" ht="15.0" customHeight="1">
      <c r="A33" s="579">
        <v>28.0</v>
      </c>
      <c r="B33" s="580" t="s">
        <v>695</v>
      </c>
      <c r="C33" s="580" t="s">
        <v>762</v>
      </c>
      <c r="D33" s="581">
        <v>20075.0</v>
      </c>
      <c r="E33" s="594">
        <v>20075.0</v>
      </c>
      <c r="F33" s="583">
        <v>45230.0</v>
      </c>
      <c r="G33" s="584">
        <v>6.0</v>
      </c>
      <c r="H33" s="583">
        <f t="shared" si="2"/>
        <v>45412</v>
      </c>
      <c r="I33" s="583">
        <v>46326.0</v>
      </c>
      <c r="J33" s="585"/>
    </row>
    <row r="34" ht="25.5" customHeight="1">
      <c r="A34" s="579">
        <v>29.0</v>
      </c>
      <c r="B34" s="580" t="s">
        <v>695</v>
      </c>
      <c r="C34" s="580" t="s">
        <v>755</v>
      </c>
      <c r="D34" s="597">
        <v>55175.0</v>
      </c>
      <c r="E34" s="593">
        <v>20074.0</v>
      </c>
      <c r="F34" s="598">
        <v>45230.0</v>
      </c>
      <c r="G34" s="584">
        <v>4.0</v>
      </c>
      <c r="H34" s="583">
        <f t="shared" si="2"/>
        <v>45412</v>
      </c>
      <c r="I34" s="583">
        <v>45961.0</v>
      </c>
      <c r="J34" s="585"/>
    </row>
    <row r="35" ht="25.5" customHeight="1">
      <c r="A35" s="579">
        <v>30.0</v>
      </c>
      <c r="B35" s="580" t="s">
        <v>695</v>
      </c>
      <c r="C35" s="580" t="s">
        <v>768</v>
      </c>
      <c r="D35" s="597">
        <v>53505.0</v>
      </c>
      <c r="E35" s="593">
        <v>20747.0</v>
      </c>
      <c r="F35" s="599">
        <v>45232.0</v>
      </c>
      <c r="G35" s="584">
        <v>6.0</v>
      </c>
      <c r="H35" s="583">
        <f t="shared" si="2"/>
        <v>45414</v>
      </c>
      <c r="I35" s="583">
        <v>46328.0</v>
      </c>
      <c r="J35" s="585"/>
    </row>
    <row r="36" ht="25.5" customHeight="1">
      <c r="A36" s="579">
        <v>31.0</v>
      </c>
      <c r="B36" s="580" t="s">
        <v>413</v>
      </c>
      <c r="C36" s="580" t="s">
        <v>548</v>
      </c>
      <c r="D36" s="581">
        <v>256.0</v>
      </c>
      <c r="E36" s="594">
        <v>22249.0</v>
      </c>
      <c r="F36" s="583">
        <v>45253.0</v>
      </c>
      <c r="G36" s="584">
        <v>6.0</v>
      </c>
      <c r="H36" s="583">
        <f t="shared" si="2"/>
        <v>45435</v>
      </c>
      <c r="I36" s="583">
        <v>46349.0</v>
      </c>
      <c r="J36" s="585"/>
    </row>
    <row r="37" ht="17.25" customHeight="1">
      <c r="A37" s="579">
        <v>32.0</v>
      </c>
      <c r="B37" s="580" t="s">
        <v>413</v>
      </c>
      <c r="C37" s="580" t="s">
        <v>559</v>
      </c>
      <c r="D37" s="581">
        <v>53943.0</v>
      </c>
      <c r="E37" s="593">
        <v>1125.0</v>
      </c>
      <c r="F37" s="583">
        <v>45335.0</v>
      </c>
      <c r="G37" s="584">
        <v>6.0</v>
      </c>
      <c r="H37" s="583">
        <f t="shared" si="2"/>
        <v>45517</v>
      </c>
      <c r="I37" s="600">
        <v>46431.0</v>
      </c>
      <c r="J37" s="585"/>
    </row>
    <row r="38" ht="18.0" customHeight="1">
      <c r="A38" s="579">
        <v>33.0</v>
      </c>
      <c r="B38" s="580" t="s">
        <v>413</v>
      </c>
      <c r="C38" s="580" t="s">
        <v>564</v>
      </c>
      <c r="D38" s="581">
        <v>229.0</v>
      </c>
      <c r="E38" s="591">
        <v>2015.0</v>
      </c>
      <c r="F38" s="601">
        <v>45350.0</v>
      </c>
      <c r="G38" s="584">
        <v>6.0</v>
      </c>
      <c r="H38" s="583">
        <f t="shared" si="2"/>
        <v>45532</v>
      </c>
      <c r="I38" s="601">
        <v>46446.0</v>
      </c>
      <c r="J38" s="585"/>
    </row>
  </sheetData>
  <autoFilter ref="$A$5:$I$37"/>
  <hyperlinks>
    <hyperlink r:id="rId1" ref="E6"/>
    <hyperlink r:id="rId2" ref="E7"/>
    <hyperlink r:id="rId3" ref="J7"/>
    <hyperlink r:id="rId4" ref="E8"/>
    <hyperlink r:id="rId5" ref="J8"/>
    <hyperlink r:id="rId6" ref="E9"/>
    <hyperlink r:id="rId7" ref="J9"/>
    <hyperlink r:id="rId8" ref="E10"/>
    <hyperlink r:id="rId9" ref="J10"/>
    <hyperlink r:id="rId10" ref="E11"/>
    <hyperlink r:id="rId11" ref="J11"/>
    <hyperlink r:id="rId12" ref="E12"/>
    <hyperlink r:id="rId13" ref="J12"/>
    <hyperlink r:id="rId14" ref="E13"/>
    <hyperlink r:id="rId15" ref="E14"/>
    <hyperlink r:id="rId16" ref="E15"/>
    <hyperlink r:id="rId17" ref="J15"/>
    <hyperlink r:id="rId18" ref="E16"/>
    <hyperlink r:id="rId19" ref="J16"/>
    <hyperlink r:id="rId20" ref="E17"/>
    <hyperlink r:id="rId21" ref="E18"/>
    <hyperlink r:id="rId22" ref="J18"/>
    <hyperlink r:id="rId23" ref="E19"/>
    <hyperlink r:id="rId24" ref="E20"/>
    <hyperlink r:id="rId25" ref="J20"/>
    <hyperlink r:id="rId26" ref="E21"/>
    <hyperlink r:id="rId27" ref="E22"/>
    <hyperlink r:id="rId28" ref="E23"/>
    <hyperlink r:id="rId29" ref="E24"/>
    <hyperlink r:id="rId30" ref="E25"/>
    <hyperlink r:id="rId31" ref="E26"/>
    <hyperlink r:id="rId32" ref="E27"/>
    <hyperlink r:id="rId33" ref="E28"/>
    <hyperlink r:id="rId34" ref="J28"/>
    <hyperlink r:id="rId35" ref="E29"/>
    <hyperlink r:id="rId36" ref="E30"/>
    <hyperlink r:id="rId37" ref="J30"/>
    <hyperlink r:id="rId38" ref="E31"/>
    <hyperlink r:id="rId39" ref="E32"/>
    <hyperlink r:id="rId40" ref="E33"/>
    <hyperlink r:id="rId41" ref="E34"/>
    <hyperlink r:id="rId42" ref="E35"/>
    <hyperlink r:id="rId43" ref="E36"/>
    <hyperlink r:id="rId44" ref="E37"/>
    <hyperlink r:id="rId45" ref="E38"/>
  </hyperlinks>
  <printOptions/>
  <pageMargins bottom="0.75" footer="0.0" header="0.0" left="0.7" right="0.7" top="0.75"/>
  <pageSetup fitToHeight="0" orientation="landscape"/>
  <drawing r:id="rId46"/>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00000"/>
    <pageSetUpPr/>
  </sheetPr>
  <sheetViews>
    <sheetView showGridLines="0" workbookViewId="0">
      <pane ySplit="6.0" topLeftCell="A7" activePane="bottomLeft" state="frozen"/>
      <selection activeCell="B8" sqref="B8" pane="bottomLeft"/>
    </sheetView>
  </sheetViews>
  <sheetFormatPr customHeight="1" defaultColWidth="12.63" defaultRowHeight="15.0"/>
  <cols>
    <col customWidth="1" min="1" max="1" width="3.38"/>
    <col customWidth="1" min="2" max="2" width="25.75"/>
    <col customWidth="1" min="3" max="3" width="33.63"/>
    <col customWidth="1" min="4" max="4" width="15.25"/>
    <col customWidth="1" min="5" max="5" width="8.25"/>
    <col customWidth="1" min="6" max="6" width="11.25"/>
    <col customWidth="1" min="7" max="7" width="13.75"/>
    <col customWidth="1" min="8" max="9" width="8.0"/>
    <col customWidth="1" min="10" max="10" width="3.0"/>
    <col customWidth="1" min="11" max="11" width="45.25"/>
    <col customWidth="1" min="12" max="12" width="8.0"/>
    <col customWidth="1" min="13" max="13" width="8.38"/>
    <col customWidth="1" min="14" max="14" width="9.75"/>
    <col customWidth="1" min="15" max="15" width="9.0"/>
    <col customWidth="1" min="16" max="16" width="13.75"/>
    <col customWidth="1" min="17" max="17" width="13.38"/>
    <col customWidth="1" min="18" max="34" width="11.38"/>
  </cols>
  <sheetData>
    <row r="1" ht="13.5" customHeight="1">
      <c r="A1" s="602"/>
      <c r="B1" s="603"/>
      <c r="C1" s="604"/>
      <c r="D1" s="390"/>
      <c r="E1" s="391"/>
      <c r="F1" s="605" t="s">
        <v>955</v>
      </c>
      <c r="G1" s="606" t="s">
        <v>1047</v>
      </c>
      <c r="H1" s="606" t="s">
        <v>1048</v>
      </c>
      <c r="I1" s="606" t="s">
        <v>1049</v>
      </c>
      <c r="J1" s="604"/>
      <c r="K1" s="604"/>
      <c r="L1" s="604"/>
      <c r="M1" s="604"/>
    </row>
    <row r="2" ht="13.5" customHeight="1">
      <c r="A2" s="602"/>
      <c r="B2" s="32" t="s">
        <v>0</v>
      </c>
      <c r="D2" s="390"/>
      <c r="E2" s="607" t="s">
        <v>84</v>
      </c>
      <c r="F2" s="608">
        <f>L16</f>
        <v>44</v>
      </c>
      <c r="G2" s="609">
        <f>$F$2*25%</f>
        <v>11</v>
      </c>
      <c r="H2" s="609">
        <f t="shared" ref="H2:H3" si="1">+F2*0.4</f>
        <v>17.6</v>
      </c>
      <c r="I2" s="609">
        <f t="shared" ref="I2:I3" si="2">+F2*0.6</f>
        <v>26.4</v>
      </c>
      <c r="J2" s="38"/>
      <c r="K2" s="38"/>
      <c r="L2" s="38"/>
      <c r="M2" s="38"/>
    </row>
    <row r="3" ht="13.5" customHeight="1">
      <c r="A3" s="602"/>
      <c r="B3" s="32" t="s">
        <v>1050</v>
      </c>
      <c r="D3" s="390"/>
      <c r="E3" s="607" t="s">
        <v>96</v>
      </c>
      <c r="F3" s="608">
        <f>M16</f>
        <v>24</v>
      </c>
      <c r="G3" s="609">
        <f>+F3*0.25</f>
        <v>6</v>
      </c>
      <c r="H3" s="609">
        <f t="shared" si="1"/>
        <v>9.6</v>
      </c>
      <c r="I3" s="610">
        <f t="shared" si="2"/>
        <v>14.4</v>
      </c>
      <c r="J3" s="38"/>
      <c r="K3" s="38"/>
      <c r="L3" s="38"/>
      <c r="M3" s="38"/>
    </row>
    <row r="4" ht="13.5" customHeight="1">
      <c r="A4" s="602"/>
      <c r="B4" s="40" t="s">
        <v>1051</v>
      </c>
      <c r="D4" s="390"/>
      <c r="E4" s="611" t="s">
        <v>811</v>
      </c>
      <c r="F4" s="612">
        <f>SUM($F$2:$F$3)</f>
        <v>68</v>
      </c>
      <c r="G4" s="613">
        <f>$F$4*25%</f>
        <v>17</v>
      </c>
      <c r="H4" s="613">
        <f>$F$4*40%</f>
        <v>27.2</v>
      </c>
      <c r="I4" s="613">
        <f>$F$4*60%</f>
        <v>40.8</v>
      </c>
      <c r="J4" s="38"/>
      <c r="K4" s="38"/>
      <c r="L4" s="38"/>
      <c r="M4" s="38"/>
    </row>
    <row r="5" ht="13.5" customHeight="1">
      <c r="A5" s="614"/>
      <c r="B5" s="603"/>
      <c r="C5" s="390"/>
      <c r="D5" s="390"/>
      <c r="E5" s="390"/>
      <c r="F5" s="390"/>
      <c r="G5" s="615"/>
      <c r="H5" s="615"/>
      <c r="I5" s="615"/>
      <c r="J5" s="390"/>
      <c r="K5" s="390"/>
      <c r="L5" s="390"/>
      <c r="M5" s="390"/>
    </row>
    <row r="6" ht="25.5" customHeight="1">
      <c r="A6" s="47" t="s">
        <v>17</v>
      </c>
      <c r="B6" s="47" t="s">
        <v>19</v>
      </c>
      <c r="C6" s="47" t="s">
        <v>1052</v>
      </c>
      <c r="D6" s="47" t="s">
        <v>34</v>
      </c>
      <c r="E6" s="47" t="s">
        <v>23</v>
      </c>
      <c r="F6" s="47" t="s">
        <v>59</v>
      </c>
      <c r="G6" s="47" t="s">
        <v>60</v>
      </c>
      <c r="H6" s="616"/>
      <c r="I6" s="616"/>
      <c r="J6" s="361" t="s">
        <v>17</v>
      </c>
      <c r="K6" s="361" t="s">
        <v>946</v>
      </c>
      <c r="L6" s="361" t="s">
        <v>84</v>
      </c>
      <c r="M6" s="361" t="s">
        <v>96</v>
      </c>
      <c r="N6" s="617" t="s">
        <v>954</v>
      </c>
    </row>
    <row r="7" ht="13.5" customHeight="1">
      <c r="A7" s="618">
        <v>1.0</v>
      </c>
      <c r="B7" s="619" t="s">
        <v>74</v>
      </c>
      <c r="C7" s="620" t="s">
        <v>75</v>
      </c>
      <c r="D7" s="620" t="s">
        <v>84</v>
      </c>
      <c r="E7" s="621">
        <v>224.0</v>
      </c>
      <c r="F7" s="621" t="s">
        <v>89</v>
      </c>
      <c r="G7" s="621"/>
      <c r="H7" s="390"/>
      <c r="I7" s="390"/>
      <c r="J7" s="363">
        <v>1.0</v>
      </c>
      <c r="K7" s="364" t="s">
        <v>74</v>
      </c>
      <c r="L7" s="365">
        <f>COUNTIF(D7:D11,"Pregrado")</f>
        <v>5</v>
      </c>
      <c r="M7" s="365">
        <f>COUNTIF(D7:D11,"posgrado")</f>
        <v>0</v>
      </c>
      <c r="N7" s="365">
        <v>4.0</v>
      </c>
    </row>
    <row r="8" ht="13.5" customHeight="1">
      <c r="A8" s="618">
        <v>2.0</v>
      </c>
      <c r="B8" s="622"/>
      <c r="C8" s="66" t="s">
        <v>1053</v>
      </c>
      <c r="D8" s="66" t="s">
        <v>84</v>
      </c>
      <c r="E8" s="88">
        <v>225.0</v>
      </c>
      <c r="F8" s="65" t="s">
        <v>89</v>
      </c>
      <c r="G8" s="65" t="s">
        <v>89</v>
      </c>
      <c r="H8" s="390"/>
      <c r="I8" s="390"/>
      <c r="J8" s="367">
        <v>2.0</v>
      </c>
      <c r="K8" s="133" t="s">
        <v>130</v>
      </c>
      <c r="L8" s="149">
        <f>COUNTIF(D12:D14,"Pregrado")</f>
        <v>3</v>
      </c>
      <c r="M8" s="149">
        <f>COUNTIF(D12:D14,"posgrado")</f>
        <v>0</v>
      </c>
      <c r="N8" s="149">
        <f>COUNTIF(G12:G14,"Si")</f>
        <v>2</v>
      </c>
    </row>
    <row r="9" ht="13.5" customHeight="1">
      <c r="A9" s="618">
        <v>3.0</v>
      </c>
      <c r="B9" s="622"/>
      <c r="C9" s="66" t="s">
        <v>1054</v>
      </c>
      <c r="D9" s="66" t="s">
        <v>84</v>
      </c>
      <c r="E9" s="65">
        <v>4963.0</v>
      </c>
      <c r="F9" s="65" t="s">
        <v>89</v>
      </c>
      <c r="G9" s="65" t="s">
        <v>179</v>
      </c>
      <c r="H9" s="390"/>
      <c r="I9" s="390"/>
      <c r="J9" s="369">
        <v>3.0</v>
      </c>
      <c r="K9" s="364" t="s">
        <v>827</v>
      </c>
      <c r="L9" s="365">
        <f>COUNTIF(D15:D19,"Pregrado")</f>
        <v>4</v>
      </c>
      <c r="M9" s="365">
        <f>COUNTIF(D15:D19,"posgrado")</f>
        <v>1</v>
      </c>
      <c r="N9" s="365">
        <f>COUNTIF(G15:G19,"si")</f>
        <v>3</v>
      </c>
    </row>
    <row r="10" ht="13.5" customHeight="1">
      <c r="A10" s="618">
        <v>4.0</v>
      </c>
      <c r="B10" s="622"/>
      <c r="C10" s="66" t="s">
        <v>1055</v>
      </c>
      <c r="D10" s="66" t="s">
        <v>84</v>
      </c>
      <c r="E10" s="65">
        <v>11067.0</v>
      </c>
      <c r="F10" s="65" t="s">
        <v>89</v>
      </c>
      <c r="G10" s="65" t="s">
        <v>540</v>
      </c>
      <c r="H10" s="390"/>
      <c r="I10" s="390"/>
      <c r="J10" s="375">
        <v>4.0</v>
      </c>
      <c r="K10" s="133" t="s">
        <v>255</v>
      </c>
      <c r="L10" s="149">
        <f>COUNTIF(D20:D29,"Pregrado")</f>
        <v>4</v>
      </c>
      <c r="M10" s="149">
        <f>COUNTIF(D20:D29,"posgrado")</f>
        <v>6</v>
      </c>
      <c r="N10" s="149">
        <v>4.0</v>
      </c>
    </row>
    <row r="11" ht="13.5" customHeight="1">
      <c r="A11" s="618">
        <v>5.0</v>
      </c>
      <c r="B11" s="623"/>
      <c r="C11" s="66" t="s">
        <v>110</v>
      </c>
      <c r="D11" s="66" t="s">
        <v>84</v>
      </c>
      <c r="E11" s="65">
        <v>54801.0</v>
      </c>
      <c r="F11" s="65" t="s">
        <v>89</v>
      </c>
      <c r="G11" s="65" t="s">
        <v>1056</v>
      </c>
      <c r="H11" s="390"/>
      <c r="I11" s="390"/>
      <c r="J11" s="373">
        <v>5.0</v>
      </c>
      <c r="K11" s="364" t="s">
        <v>333</v>
      </c>
      <c r="L11" s="365">
        <f>COUNTIF(D30:D39,"Pregrado")</f>
        <v>8</v>
      </c>
      <c r="M11" s="365">
        <f>COUNTIF(D30:D41,"posgrado")</f>
        <v>4</v>
      </c>
      <c r="N11" s="365">
        <v>4.0</v>
      </c>
    </row>
    <row r="12" ht="28.5" customHeight="1">
      <c r="A12" s="624">
        <v>6.0</v>
      </c>
      <c r="B12" s="239" t="s">
        <v>130</v>
      </c>
      <c r="C12" s="66" t="s">
        <v>131</v>
      </c>
      <c r="D12" s="66" t="s">
        <v>84</v>
      </c>
      <c r="E12" s="65">
        <v>3833.0</v>
      </c>
      <c r="F12" s="65" t="s">
        <v>89</v>
      </c>
      <c r="G12" s="65" t="s">
        <v>89</v>
      </c>
      <c r="H12" s="390"/>
      <c r="I12" s="390"/>
      <c r="J12" s="371">
        <v>6.0</v>
      </c>
      <c r="K12" s="133" t="s">
        <v>950</v>
      </c>
      <c r="L12" s="149">
        <f>COUNTIF(D42:D54,"Pregrado")</f>
        <v>9</v>
      </c>
      <c r="M12" s="149">
        <f>COUNTIF(D42:D57,"posgrado")</f>
        <v>7</v>
      </c>
      <c r="N12" s="149">
        <v>8.0</v>
      </c>
    </row>
    <row r="13" ht="14.25" customHeight="1">
      <c r="A13" s="624">
        <v>7.0</v>
      </c>
      <c r="B13" s="622"/>
      <c r="C13" s="66" t="s">
        <v>970</v>
      </c>
      <c r="D13" s="66" t="s">
        <v>84</v>
      </c>
      <c r="E13" s="65">
        <v>7171.0</v>
      </c>
      <c r="F13" s="65" t="s">
        <v>89</v>
      </c>
      <c r="G13" s="65" t="s">
        <v>89</v>
      </c>
      <c r="H13" s="102" t="s">
        <v>1057</v>
      </c>
      <c r="I13" s="102"/>
      <c r="J13" s="378">
        <v>7.0</v>
      </c>
      <c r="K13" s="364" t="s">
        <v>576</v>
      </c>
      <c r="L13" s="365">
        <f>COUNTIF(D58:D61,"Pregrado")</f>
        <v>4</v>
      </c>
      <c r="M13" s="365">
        <f>COUNTIF(D58:D60,"posgrado")</f>
        <v>0</v>
      </c>
      <c r="N13" s="365">
        <f>COUNTIF(G58:G60,"si")</f>
        <v>0</v>
      </c>
    </row>
    <row r="14" ht="18.0" customHeight="1">
      <c r="A14" s="624">
        <v>8.0</v>
      </c>
      <c r="B14" s="622"/>
      <c r="C14" s="66" t="s">
        <v>1058</v>
      </c>
      <c r="D14" s="66" t="s">
        <v>84</v>
      </c>
      <c r="E14" s="65">
        <v>9833.0</v>
      </c>
      <c r="F14" s="65" t="s">
        <v>89</v>
      </c>
      <c r="G14" s="65"/>
      <c r="H14" s="102"/>
      <c r="I14" s="102"/>
      <c r="J14" s="380">
        <v>8.0</v>
      </c>
      <c r="K14" s="133" t="s">
        <v>951</v>
      </c>
      <c r="L14" s="149">
        <f>COUNTIF(D62:D64,"Pregrado")</f>
        <v>3</v>
      </c>
      <c r="M14" s="149">
        <f>COUNTIF(D62:D64,"posgrado")</f>
        <v>0</v>
      </c>
      <c r="N14" s="149">
        <v>1.0</v>
      </c>
    </row>
    <row r="15" ht="39.75" customHeight="1">
      <c r="A15" s="625">
        <v>9.0</v>
      </c>
      <c r="B15" s="239" t="s">
        <v>182</v>
      </c>
      <c r="C15" s="66" t="s">
        <v>1059</v>
      </c>
      <c r="D15" s="66" t="s">
        <v>84</v>
      </c>
      <c r="E15" s="65">
        <v>234.0</v>
      </c>
      <c r="F15" s="65" t="s">
        <v>89</v>
      </c>
      <c r="G15" s="65" t="s">
        <v>89</v>
      </c>
      <c r="H15" s="102"/>
      <c r="I15" s="102"/>
      <c r="J15" s="382">
        <v>9.0</v>
      </c>
      <c r="K15" s="364" t="s">
        <v>952</v>
      </c>
      <c r="L15" s="365">
        <f>COUNTIF(D65:D74,"Pregrado")</f>
        <v>4</v>
      </c>
      <c r="M15" s="365">
        <f>COUNTIF(D65:D74,"posgrado")</f>
        <v>6</v>
      </c>
      <c r="N15" s="365">
        <f>COUNTIF(G65:G74,"si")</f>
        <v>9</v>
      </c>
    </row>
    <row r="16" ht="12.75" customHeight="1">
      <c r="A16" s="625">
        <v>10.0</v>
      </c>
      <c r="B16" s="622"/>
      <c r="C16" s="66" t="s">
        <v>183</v>
      </c>
      <c r="D16" s="66" t="s">
        <v>84</v>
      </c>
      <c r="E16" s="65">
        <v>235.0</v>
      </c>
      <c r="F16" s="65" t="s">
        <v>89</v>
      </c>
      <c r="G16" s="65" t="s">
        <v>89</v>
      </c>
      <c r="H16" s="102"/>
      <c r="I16" s="102"/>
      <c r="J16" s="102"/>
      <c r="K16" s="390"/>
      <c r="L16" s="361">
        <f t="shared" ref="L16:N16" si="3">SUM(L7:L15)</f>
        <v>44</v>
      </c>
      <c r="M16" s="361">
        <f t="shared" si="3"/>
        <v>24</v>
      </c>
      <c r="N16" s="361">
        <f t="shared" si="3"/>
        <v>35</v>
      </c>
    </row>
    <row r="17" ht="13.5" customHeight="1">
      <c r="A17" s="626">
        <v>11.0</v>
      </c>
      <c r="B17" s="622"/>
      <c r="C17" s="66" t="s">
        <v>1060</v>
      </c>
      <c r="D17" s="66" t="s">
        <v>84</v>
      </c>
      <c r="E17" s="65">
        <v>8441.0</v>
      </c>
      <c r="F17" s="65" t="s">
        <v>89</v>
      </c>
      <c r="G17" s="65" t="s">
        <v>89</v>
      </c>
      <c r="H17" s="102"/>
      <c r="I17" s="102"/>
      <c r="J17" s="102"/>
      <c r="K17" s="390"/>
      <c r="L17" s="627">
        <f>SUM(L16:M16)</f>
        <v>68</v>
      </c>
      <c r="M17" s="628"/>
    </row>
    <row r="18" ht="13.5" customHeight="1">
      <c r="A18" s="625">
        <v>12.0</v>
      </c>
      <c r="B18" s="622"/>
      <c r="C18" s="66" t="s">
        <v>250</v>
      </c>
      <c r="D18" s="66" t="s">
        <v>84</v>
      </c>
      <c r="E18" s="65">
        <v>18679.0</v>
      </c>
      <c r="F18" s="65" t="s">
        <v>89</v>
      </c>
      <c r="G18" s="65"/>
      <c r="H18" s="102" t="s">
        <v>1057</v>
      </c>
      <c r="I18" s="102"/>
      <c r="J18" s="102"/>
      <c r="K18" s="390"/>
      <c r="L18" s="390"/>
      <c r="M18" s="390"/>
    </row>
    <row r="19" ht="26.25" customHeight="1">
      <c r="A19" s="625">
        <v>13.0</v>
      </c>
      <c r="B19" s="623"/>
      <c r="C19" s="577" t="s">
        <v>1061</v>
      </c>
      <c r="D19" s="66" t="s">
        <v>96</v>
      </c>
      <c r="E19" s="65">
        <v>55045.0</v>
      </c>
      <c r="F19" s="65" t="s">
        <v>89</v>
      </c>
      <c r="G19" s="65"/>
      <c r="H19" s="102"/>
      <c r="I19" s="102"/>
      <c r="J19" s="102"/>
      <c r="K19" s="390"/>
      <c r="L19" s="390"/>
      <c r="M19" s="390"/>
    </row>
    <row r="20" ht="13.5" customHeight="1">
      <c r="A20" s="629">
        <v>14.0</v>
      </c>
      <c r="B20" s="239" t="s">
        <v>255</v>
      </c>
      <c r="C20" s="66" t="s">
        <v>285</v>
      </c>
      <c r="D20" s="66" t="s">
        <v>84</v>
      </c>
      <c r="E20" s="65">
        <v>230.0</v>
      </c>
      <c r="F20" s="65" t="s">
        <v>89</v>
      </c>
      <c r="G20" s="65" t="s">
        <v>540</v>
      </c>
      <c r="H20" s="102"/>
      <c r="I20" s="102"/>
      <c r="J20" s="102"/>
      <c r="K20" s="390"/>
      <c r="L20" s="390"/>
      <c r="M20" s="390"/>
    </row>
    <row r="21" ht="13.5" customHeight="1">
      <c r="A21" s="629">
        <v>15.0</v>
      </c>
      <c r="B21" s="622"/>
      <c r="C21" s="66" t="s">
        <v>260</v>
      </c>
      <c r="D21" s="66" t="s">
        <v>84</v>
      </c>
      <c r="E21" s="65">
        <v>5268.0</v>
      </c>
      <c r="F21" s="65" t="s">
        <v>89</v>
      </c>
      <c r="G21" s="65" t="s">
        <v>89</v>
      </c>
      <c r="H21" s="102"/>
      <c r="I21" s="102"/>
      <c r="J21" s="102"/>
      <c r="K21" s="390"/>
      <c r="L21" s="390"/>
      <c r="M21" s="390"/>
    </row>
    <row r="22" ht="13.5" customHeight="1">
      <c r="A22" s="629">
        <v>16.0</v>
      </c>
      <c r="B22" s="622"/>
      <c r="C22" s="66" t="s">
        <v>310</v>
      </c>
      <c r="D22" s="66" t="s">
        <v>84</v>
      </c>
      <c r="E22" s="65">
        <v>5269.0</v>
      </c>
      <c r="F22" s="65" t="s">
        <v>89</v>
      </c>
      <c r="G22" s="65" t="s">
        <v>89</v>
      </c>
      <c r="H22" s="102"/>
      <c r="I22" s="102"/>
      <c r="J22" s="102"/>
      <c r="K22" s="390"/>
      <c r="L22" s="390"/>
      <c r="M22" s="390"/>
    </row>
    <row r="23" ht="13.5" customHeight="1">
      <c r="A23" s="629">
        <v>17.0</v>
      </c>
      <c r="B23" s="622"/>
      <c r="C23" s="66" t="s">
        <v>972</v>
      </c>
      <c r="D23" s="66" t="s">
        <v>84</v>
      </c>
      <c r="E23" s="65">
        <v>55202.0</v>
      </c>
      <c r="F23" s="65" t="s">
        <v>89</v>
      </c>
      <c r="G23" s="65" t="s">
        <v>89</v>
      </c>
      <c r="H23" s="102"/>
      <c r="I23" s="102"/>
      <c r="J23" s="102"/>
      <c r="K23" s="390"/>
      <c r="L23" s="390"/>
      <c r="M23" s="390"/>
    </row>
    <row r="24" ht="15.75" customHeight="1">
      <c r="A24" s="629">
        <v>18.0</v>
      </c>
      <c r="B24" s="622"/>
      <c r="C24" s="577" t="s">
        <v>1062</v>
      </c>
      <c r="D24" s="66" t="s">
        <v>96</v>
      </c>
      <c r="E24" s="65">
        <v>239.0</v>
      </c>
      <c r="F24" s="65" t="s">
        <v>89</v>
      </c>
      <c r="G24" s="65"/>
      <c r="H24" s="102" t="s">
        <v>1057</v>
      </c>
      <c r="I24" s="102"/>
      <c r="J24" s="102"/>
      <c r="K24" s="390"/>
      <c r="L24" s="390"/>
      <c r="M24" s="390"/>
    </row>
    <row r="25" ht="13.5" customHeight="1">
      <c r="A25" s="629">
        <v>19.0</v>
      </c>
      <c r="B25" s="622"/>
      <c r="C25" s="577" t="s">
        <v>266</v>
      </c>
      <c r="D25" s="66" t="s">
        <v>96</v>
      </c>
      <c r="E25" s="65">
        <v>240.0</v>
      </c>
      <c r="F25" s="65" t="s">
        <v>89</v>
      </c>
      <c r="G25" s="65"/>
      <c r="H25" s="102"/>
      <c r="I25" s="102"/>
      <c r="J25" s="102"/>
      <c r="K25" s="390"/>
      <c r="L25" s="390"/>
      <c r="M25" s="390"/>
    </row>
    <row r="26" ht="13.5" customHeight="1">
      <c r="A26" s="629">
        <v>20.0</v>
      </c>
      <c r="B26" s="622"/>
      <c r="C26" s="577" t="s">
        <v>280</v>
      </c>
      <c r="D26" s="66" t="s">
        <v>96</v>
      </c>
      <c r="E26" s="65">
        <v>241.0</v>
      </c>
      <c r="F26" s="65" t="s">
        <v>89</v>
      </c>
      <c r="G26" s="65"/>
      <c r="H26" s="102"/>
      <c r="I26" s="102"/>
      <c r="J26" s="102"/>
      <c r="K26" s="390"/>
      <c r="L26" s="390"/>
      <c r="M26" s="390"/>
    </row>
    <row r="27">
      <c r="A27" s="629">
        <v>21.0</v>
      </c>
      <c r="B27" s="622"/>
      <c r="C27" s="577" t="s">
        <v>275</v>
      </c>
      <c r="D27" s="66" t="s">
        <v>96</v>
      </c>
      <c r="E27" s="65">
        <v>242.0</v>
      </c>
      <c r="F27" s="65" t="s">
        <v>89</v>
      </c>
      <c r="G27" s="65"/>
      <c r="H27" s="102"/>
      <c r="I27" s="102"/>
      <c r="J27" s="102"/>
      <c r="K27" s="390"/>
      <c r="L27" s="390"/>
      <c r="M27" s="390"/>
    </row>
    <row r="28" ht="13.5" customHeight="1">
      <c r="A28" s="629">
        <v>22.0</v>
      </c>
      <c r="B28" s="622"/>
      <c r="C28" s="577" t="s">
        <v>296</v>
      </c>
      <c r="D28" s="66" t="s">
        <v>96</v>
      </c>
      <c r="E28" s="65">
        <v>243.0</v>
      </c>
      <c r="F28" s="65" t="s">
        <v>89</v>
      </c>
      <c r="G28" s="65"/>
      <c r="H28" s="102"/>
      <c r="I28" s="102"/>
      <c r="J28" s="102"/>
      <c r="K28" s="390"/>
      <c r="L28" s="390"/>
      <c r="M28" s="390"/>
    </row>
    <row r="29" ht="13.5" customHeight="1">
      <c r="A29" s="629">
        <v>23.0</v>
      </c>
      <c r="B29" s="622"/>
      <c r="C29" s="577" t="s">
        <v>271</v>
      </c>
      <c r="D29" s="66" t="s">
        <v>96</v>
      </c>
      <c r="E29" s="65">
        <v>244.0</v>
      </c>
      <c r="F29" s="65" t="s">
        <v>89</v>
      </c>
      <c r="G29" s="65"/>
      <c r="H29" s="102" t="s">
        <v>1057</v>
      </c>
      <c r="I29" s="102"/>
      <c r="J29" s="102"/>
      <c r="K29" s="390"/>
      <c r="L29" s="390"/>
      <c r="M29" s="390"/>
    </row>
    <row r="30" ht="24.0" customHeight="1">
      <c r="A30" s="630">
        <v>24.0</v>
      </c>
      <c r="B30" s="239" t="s">
        <v>333</v>
      </c>
      <c r="C30" s="66" t="s">
        <v>408</v>
      </c>
      <c r="D30" s="66" t="s">
        <v>84</v>
      </c>
      <c r="E30" s="65">
        <v>232.0</v>
      </c>
      <c r="F30" s="65" t="s">
        <v>89</v>
      </c>
      <c r="G30" s="65" t="s">
        <v>89</v>
      </c>
      <c r="H30" s="102"/>
      <c r="I30" s="102"/>
      <c r="J30" s="102"/>
      <c r="K30" s="390"/>
      <c r="L30" s="390"/>
      <c r="M30" s="390"/>
    </row>
    <row r="31" ht="20.25" customHeight="1">
      <c r="A31" s="630">
        <v>25.0</v>
      </c>
      <c r="B31" s="622"/>
      <c r="C31" s="577" t="s">
        <v>1063</v>
      </c>
      <c r="D31" s="66" t="s">
        <v>84</v>
      </c>
      <c r="E31" s="65">
        <v>4493.0</v>
      </c>
      <c r="F31" s="65" t="s">
        <v>89</v>
      </c>
      <c r="G31" s="65"/>
      <c r="H31" s="102"/>
      <c r="I31" s="102"/>
      <c r="J31" s="102"/>
      <c r="K31" s="390"/>
      <c r="L31" s="390"/>
      <c r="M31" s="390"/>
    </row>
    <row r="32" ht="13.5" customHeight="1">
      <c r="A32" s="630">
        <v>26.0</v>
      </c>
      <c r="B32" s="622"/>
      <c r="C32" s="577" t="s">
        <v>1064</v>
      </c>
      <c r="D32" s="66" t="s">
        <v>84</v>
      </c>
      <c r="E32" s="65">
        <v>11967.0</v>
      </c>
      <c r="F32" s="65" t="s">
        <v>89</v>
      </c>
      <c r="G32" s="65"/>
      <c r="H32" s="102"/>
      <c r="I32" s="102"/>
      <c r="J32" s="102"/>
      <c r="K32" s="390"/>
      <c r="L32" s="390"/>
      <c r="M32" s="390"/>
    </row>
    <row r="33" ht="25.5" customHeight="1">
      <c r="A33" s="630">
        <v>27.0</v>
      </c>
      <c r="B33" s="622"/>
      <c r="C33" s="66" t="s">
        <v>372</v>
      </c>
      <c r="D33" s="66" t="s">
        <v>84</v>
      </c>
      <c r="E33" s="65">
        <v>106575.0</v>
      </c>
      <c r="F33" s="65" t="s">
        <v>89</v>
      </c>
      <c r="G33" s="65" t="s">
        <v>89</v>
      </c>
    </row>
    <row r="34" ht="21.75" customHeight="1">
      <c r="A34" s="630">
        <v>28.0</v>
      </c>
      <c r="B34" s="622"/>
      <c r="C34" s="577" t="s">
        <v>1065</v>
      </c>
      <c r="D34" s="66" t="s">
        <v>84</v>
      </c>
      <c r="E34" s="65">
        <v>108963.0</v>
      </c>
      <c r="F34" s="65" t="s">
        <v>89</v>
      </c>
      <c r="G34" s="65"/>
    </row>
    <row r="35" ht="13.5" customHeight="1">
      <c r="A35" s="630">
        <v>29.0</v>
      </c>
      <c r="B35" s="622"/>
      <c r="C35" s="66" t="s">
        <v>381</v>
      </c>
      <c r="D35" s="66" t="s">
        <v>84</v>
      </c>
      <c r="E35" s="65">
        <v>13062.0</v>
      </c>
      <c r="F35" s="65" t="s">
        <v>89</v>
      </c>
      <c r="G35" s="65" t="s">
        <v>540</v>
      </c>
    </row>
    <row r="36" ht="13.5" customHeight="1">
      <c r="A36" s="630">
        <v>30.0</v>
      </c>
      <c r="B36" s="622"/>
      <c r="C36" s="577" t="s">
        <v>998</v>
      </c>
      <c r="D36" s="66" t="s">
        <v>84</v>
      </c>
      <c r="E36" s="65">
        <v>15440.0</v>
      </c>
      <c r="F36" s="65" t="s">
        <v>89</v>
      </c>
      <c r="G36" s="65"/>
      <c r="H36" s="622" t="s">
        <v>1057</v>
      </c>
    </row>
    <row r="37" ht="30.75" customHeight="1">
      <c r="A37" s="630">
        <v>31.0</v>
      </c>
      <c r="B37" s="622"/>
      <c r="C37" s="66" t="s">
        <v>392</v>
      </c>
      <c r="D37" s="66" t="s">
        <v>84</v>
      </c>
      <c r="E37" s="65">
        <v>106604.0</v>
      </c>
      <c r="F37" s="65" t="s">
        <v>89</v>
      </c>
      <c r="G37" s="65" t="s">
        <v>89</v>
      </c>
    </row>
    <row r="38" ht="13.5" customHeight="1">
      <c r="A38" s="630">
        <v>32.0</v>
      </c>
      <c r="B38" s="622"/>
      <c r="C38" s="577" t="s">
        <v>1018</v>
      </c>
      <c r="D38" s="66" t="s">
        <v>96</v>
      </c>
      <c r="E38" s="65">
        <v>90695.0</v>
      </c>
      <c r="F38" s="65" t="s">
        <v>89</v>
      </c>
      <c r="G38" s="65"/>
      <c r="H38" s="622" t="s">
        <v>1057</v>
      </c>
    </row>
    <row r="39" ht="13.5" customHeight="1">
      <c r="A39" s="630">
        <v>33.0</v>
      </c>
      <c r="B39" s="622"/>
      <c r="C39" s="577" t="s">
        <v>351</v>
      </c>
      <c r="D39" s="66" t="s">
        <v>96</v>
      </c>
      <c r="E39" s="65">
        <v>51767.0</v>
      </c>
      <c r="F39" s="65" t="s">
        <v>89</v>
      </c>
      <c r="G39" s="65"/>
    </row>
    <row r="40" ht="14.25" customHeight="1">
      <c r="A40" s="630">
        <v>34.0</v>
      </c>
      <c r="B40" s="622"/>
      <c r="C40" s="577" t="s">
        <v>357</v>
      </c>
      <c r="D40" s="66" t="s">
        <v>96</v>
      </c>
      <c r="E40" s="65">
        <v>54866.0</v>
      </c>
      <c r="F40" s="65" t="s">
        <v>89</v>
      </c>
      <c r="G40" s="65"/>
    </row>
    <row r="41" ht="13.5" customHeight="1">
      <c r="A41" s="630">
        <v>35.0</v>
      </c>
      <c r="B41" s="623"/>
      <c r="C41" s="577" t="s">
        <v>1021</v>
      </c>
      <c r="D41" s="66" t="s">
        <v>96</v>
      </c>
      <c r="E41" s="65">
        <v>90694.0</v>
      </c>
      <c r="F41" s="65" t="s">
        <v>89</v>
      </c>
      <c r="G41" s="65"/>
      <c r="H41" s="622" t="s">
        <v>1057</v>
      </c>
    </row>
    <row r="42" ht="27.75" customHeight="1">
      <c r="A42" s="631">
        <v>36.0</v>
      </c>
      <c r="B42" s="239" t="s">
        <v>413</v>
      </c>
      <c r="C42" s="577" t="s">
        <v>564</v>
      </c>
      <c r="D42" s="66" t="s">
        <v>84</v>
      </c>
      <c r="E42" s="65">
        <v>229.0</v>
      </c>
      <c r="F42" s="65" t="s">
        <v>89</v>
      </c>
      <c r="G42" s="65"/>
    </row>
    <row r="43" ht="13.5" customHeight="1">
      <c r="A43" s="631">
        <v>37.0</v>
      </c>
      <c r="B43" s="622"/>
      <c r="C43" s="66" t="s">
        <v>1022</v>
      </c>
      <c r="D43" s="66" t="s">
        <v>84</v>
      </c>
      <c r="E43" s="65">
        <v>2130.0</v>
      </c>
      <c r="F43" s="65" t="s">
        <v>89</v>
      </c>
      <c r="G43" s="65" t="s">
        <v>89</v>
      </c>
    </row>
    <row r="44" ht="13.5" customHeight="1">
      <c r="A44" s="631">
        <v>38.0</v>
      </c>
      <c r="B44" s="622"/>
      <c r="C44" s="66" t="s">
        <v>440</v>
      </c>
      <c r="D44" s="66" t="s">
        <v>84</v>
      </c>
      <c r="E44" s="65">
        <v>3048.0</v>
      </c>
      <c r="F44" s="65" t="s">
        <v>89</v>
      </c>
      <c r="G44" s="65" t="s">
        <v>89</v>
      </c>
    </row>
    <row r="45" ht="13.5" customHeight="1">
      <c r="A45" s="631">
        <v>39.0</v>
      </c>
      <c r="B45" s="622"/>
      <c r="C45" s="577" t="s">
        <v>1066</v>
      </c>
      <c r="D45" s="66" t="s">
        <v>84</v>
      </c>
      <c r="E45" s="65">
        <v>3636.0</v>
      </c>
      <c r="F45" s="65" t="s">
        <v>89</v>
      </c>
      <c r="G45" s="65"/>
    </row>
    <row r="46" ht="13.5" customHeight="1">
      <c r="A46" s="631">
        <v>40.0</v>
      </c>
      <c r="B46" s="622"/>
      <c r="C46" s="66" t="s">
        <v>1067</v>
      </c>
      <c r="D46" s="66" t="s">
        <v>84</v>
      </c>
      <c r="E46" s="65">
        <v>106574.0</v>
      </c>
      <c r="F46" s="65" t="s">
        <v>89</v>
      </c>
      <c r="G46" s="65" t="s">
        <v>89</v>
      </c>
    </row>
    <row r="47" ht="35.25" customHeight="1">
      <c r="A47" s="631">
        <v>41.0</v>
      </c>
      <c r="B47" s="622"/>
      <c r="C47" s="66" t="s">
        <v>1023</v>
      </c>
      <c r="D47" s="66" t="s">
        <v>84</v>
      </c>
      <c r="E47" s="65">
        <v>4010.0</v>
      </c>
      <c r="F47" s="65" t="s">
        <v>89</v>
      </c>
      <c r="G47" s="65" t="s">
        <v>89</v>
      </c>
    </row>
    <row r="48">
      <c r="A48" s="631">
        <v>42.0</v>
      </c>
      <c r="B48" s="622"/>
      <c r="C48" s="66" t="s">
        <v>467</v>
      </c>
      <c r="D48" s="66" t="s">
        <v>84</v>
      </c>
      <c r="E48" s="65">
        <v>106545.0</v>
      </c>
      <c r="F48" s="65" t="s">
        <v>89</v>
      </c>
      <c r="G48" s="65" t="s">
        <v>89</v>
      </c>
    </row>
    <row r="49">
      <c r="A49" s="631">
        <v>43.0</v>
      </c>
      <c r="B49" s="622"/>
      <c r="C49" s="66" t="s">
        <v>492</v>
      </c>
      <c r="D49" s="66" t="s">
        <v>84</v>
      </c>
      <c r="E49" s="65">
        <v>106794.0</v>
      </c>
      <c r="F49" s="65" t="s">
        <v>89</v>
      </c>
      <c r="G49" s="65" t="s">
        <v>89</v>
      </c>
    </row>
    <row r="50" ht="13.5" customHeight="1">
      <c r="A50" s="631">
        <v>44.0</v>
      </c>
      <c r="B50" s="622"/>
      <c r="C50" s="66" t="s">
        <v>476</v>
      </c>
      <c r="D50" s="66" t="s">
        <v>84</v>
      </c>
      <c r="E50" s="65">
        <v>106651.0</v>
      </c>
      <c r="F50" s="65" t="s">
        <v>89</v>
      </c>
      <c r="G50" s="65" t="s">
        <v>540</v>
      </c>
    </row>
    <row r="51" ht="16.5" customHeight="1">
      <c r="A51" s="631">
        <v>45.0</v>
      </c>
      <c r="B51" s="622"/>
      <c r="C51" s="577" t="s">
        <v>559</v>
      </c>
      <c r="D51" s="66" t="s">
        <v>96</v>
      </c>
      <c r="E51" s="65">
        <v>53943.0</v>
      </c>
      <c r="F51" s="65" t="s">
        <v>89</v>
      </c>
      <c r="G51" s="65" t="s">
        <v>89</v>
      </c>
      <c r="H51" s="622"/>
    </row>
    <row r="52" ht="26.25" customHeight="1">
      <c r="A52" s="631">
        <v>46.0</v>
      </c>
      <c r="B52" s="622"/>
      <c r="C52" s="577" t="s">
        <v>548</v>
      </c>
      <c r="D52" s="66" t="s">
        <v>96</v>
      </c>
      <c r="E52" s="65">
        <v>256.0</v>
      </c>
      <c r="F52" s="65" t="s">
        <v>89</v>
      </c>
      <c r="G52" s="65" t="s">
        <v>89</v>
      </c>
      <c r="H52" s="622" t="s">
        <v>1057</v>
      </c>
    </row>
    <row r="53" ht="13.5" customHeight="1">
      <c r="A53" s="631">
        <v>47.0</v>
      </c>
      <c r="B53" s="622"/>
      <c r="C53" s="577" t="s">
        <v>435</v>
      </c>
      <c r="D53" s="66" t="s">
        <v>96</v>
      </c>
      <c r="E53" s="65">
        <v>53791.0</v>
      </c>
      <c r="F53" s="65" t="s">
        <v>89</v>
      </c>
      <c r="G53" s="65"/>
      <c r="H53" s="622" t="s">
        <v>1057</v>
      </c>
    </row>
    <row r="54">
      <c r="A54" s="631">
        <v>48.0</v>
      </c>
      <c r="B54" s="622"/>
      <c r="C54" s="577" t="s">
        <v>532</v>
      </c>
      <c r="D54" s="66" t="s">
        <v>96</v>
      </c>
      <c r="E54" s="65">
        <v>7172.0</v>
      </c>
      <c r="F54" s="65" t="s">
        <v>89</v>
      </c>
      <c r="G54" s="65" t="s">
        <v>540</v>
      </c>
    </row>
    <row r="55" ht="13.5" customHeight="1">
      <c r="A55" s="631">
        <v>49.0</v>
      </c>
      <c r="B55" s="622"/>
      <c r="C55" s="577" t="s">
        <v>527</v>
      </c>
      <c r="D55" s="66" t="s">
        <v>96</v>
      </c>
      <c r="E55" s="65">
        <v>90576.0</v>
      </c>
      <c r="F55" s="65" t="s">
        <v>89</v>
      </c>
      <c r="G55" s="65"/>
      <c r="H55" s="622" t="s">
        <v>1057</v>
      </c>
    </row>
    <row r="56" ht="13.5" customHeight="1">
      <c r="A56" s="631">
        <v>50.0</v>
      </c>
      <c r="B56" s="622"/>
      <c r="C56" s="577" t="s">
        <v>554</v>
      </c>
      <c r="D56" s="66" t="s">
        <v>96</v>
      </c>
      <c r="E56" s="65">
        <v>90909.0</v>
      </c>
      <c r="F56" s="65" t="s">
        <v>89</v>
      </c>
      <c r="G56" s="65"/>
      <c r="H56" s="632" t="s">
        <v>1057</v>
      </c>
    </row>
    <row r="57" ht="13.5" customHeight="1">
      <c r="A57" s="631">
        <v>51.0</v>
      </c>
      <c r="B57" s="623"/>
      <c r="C57" s="577" t="s">
        <v>448</v>
      </c>
      <c r="D57" s="66" t="s">
        <v>96</v>
      </c>
      <c r="E57" s="65">
        <v>53504.0</v>
      </c>
      <c r="F57" s="65" t="s">
        <v>89</v>
      </c>
      <c r="G57" s="65"/>
      <c r="H57" s="632" t="s">
        <v>1057</v>
      </c>
    </row>
    <row r="58" ht="40.5" customHeight="1">
      <c r="A58" s="633">
        <v>52.0</v>
      </c>
      <c r="B58" s="239" t="s">
        <v>576</v>
      </c>
      <c r="C58" s="577" t="s">
        <v>593</v>
      </c>
      <c r="D58" s="66" t="s">
        <v>84</v>
      </c>
      <c r="E58" s="65">
        <v>4080.0</v>
      </c>
      <c r="F58" s="65" t="s">
        <v>89</v>
      </c>
      <c r="G58" s="65"/>
    </row>
    <row r="59" ht="13.5" customHeight="1">
      <c r="A59" s="633">
        <v>53.0</v>
      </c>
      <c r="B59" s="622"/>
      <c r="C59" s="577" t="s">
        <v>1068</v>
      </c>
      <c r="D59" s="66" t="s">
        <v>84</v>
      </c>
      <c r="E59" s="65">
        <v>8170.0</v>
      </c>
      <c r="F59" s="65" t="s">
        <v>89</v>
      </c>
      <c r="G59" s="65"/>
    </row>
    <row r="60" ht="13.5" customHeight="1">
      <c r="A60" s="633">
        <v>54.0</v>
      </c>
      <c r="B60" s="622"/>
      <c r="C60" s="577" t="s">
        <v>1069</v>
      </c>
      <c r="D60" s="66" t="s">
        <v>84</v>
      </c>
      <c r="E60" s="65">
        <v>233.0</v>
      </c>
      <c r="F60" s="65" t="s">
        <v>89</v>
      </c>
      <c r="G60" s="65"/>
    </row>
    <row r="61" ht="13.5" customHeight="1">
      <c r="A61" s="633">
        <v>55.0</v>
      </c>
      <c r="B61" s="622"/>
      <c r="C61" s="577" t="s">
        <v>1070</v>
      </c>
      <c r="D61" s="66" t="s">
        <v>84</v>
      </c>
      <c r="E61" s="65">
        <v>102182.0</v>
      </c>
      <c r="F61" s="65" t="s">
        <v>89</v>
      </c>
      <c r="G61" s="65"/>
    </row>
    <row r="62" ht="13.5" customHeight="1">
      <c r="A62" s="634">
        <v>56.0</v>
      </c>
      <c r="B62" s="239" t="s">
        <v>611</v>
      </c>
      <c r="C62" s="577" t="s">
        <v>661</v>
      </c>
      <c r="D62" s="66" t="s">
        <v>84</v>
      </c>
      <c r="E62" s="65">
        <v>222.0</v>
      </c>
      <c r="F62" s="65" t="s">
        <v>89</v>
      </c>
      <c r="G62" s="65"/>
    </row>
    <row r="63" ht="13.5" customHeight="1">
      <c r="A63" s="634">
        <v>57.0</v>
      </c>
      <c r="B63" s="622"/>
      <c r="C63" s="66" t="s">
        <v>648</v>
      </c>
      <c r="D63" s="66" t="s">
        <v>84</v>
      </c>
      <c r="E63" s="65">
        <v>236.0</v>
      </c>
      <c r="F63" s="65" t="s">
        <v>89</v>
      </c>
      <c r="G63" s="65" t="s">
        <v>540</v>
      </c>
    </row>
    <row r="64" ht="13.5" customHeight="1">
      <c r="A64" s="634">
        <v>58.0</v>
      </c>
      <c r="B64" s="623"/>
      <c r="C64" s="577" t="s">
        <v>629</v>
      </c>
      <c r="D64" s="66" t="s">
        <v>84</v>
      </c>
      <c r="E64" s="65">
        <v>8704.0</v>
      </c>
      <c r="F64" s="65" t="s">
        <v>89</v>
      </c>
      <c r="G64" s="65"/>
    </row>
    <row r="65" ht="36.0" customHeight="1">
      <c r="A65" s="635">
        <v>59.0</v>
      </c>
      <c r="B65" s="239" t="s">
        <v>695</v>
      </c>
      <c r="C65" s="66" t="s">
        <v>724</v>
      </c>
      <c r="D65" s="66" t="s">
        <v>84</v>
      </c>
      <c r="E65" s="65">
        <v>223.0</v>
      </c>
      <c r="F65" s="65" t="s">
        <v>89</v>
      </c>
      <c r="G65" s="65" t="s">
        <v>89</v>
      </c>
    </row>
    <row r="66" ht="15.75" customHeight="1">
      <c r="A66" s="635">
        <v>60.0</v>
      </c>
      <c r="B66" s="622"/>
      <c r="C66" s="66" t="s">
        <v>706</v>
      </c>
      <c r="D66" s="66" t="s">
        <v>84</v>
      </c>
      <c r="E66" s="65">
        <v>238.0</v>
      </c>
      <c r="F66" s="65" t="s">
        <v>89</v>
      </c>
      <c r="G66" s="65" t="s">
        <v>89</v>
      </c>
    </row>
    <row r="67">
      <c r="A67" s="635">
        <v>61.0</v>
      </c>
      <c r="B67" s="622"/>
      <c r="C67" s="66" t="s">
        <v>774</v>
      </c>
      <c r="D67" s="66" t="s">
        <v>84</v>
      </c>
      <c r="E67" s="65">
        <v>7519.0</v>
      </c>
      <c r="F67" s="65" t="s">
        <v>89</v>
      </c>
      <c r="G67" s="65" t="s">
        <v>89</v>
      </c>
    </row>
    <row r="68" ht="25.5" customHeight="1">
      <c r="A68" s="635">
        <v>62.0</v>
      </c>
      <c r="B68" s="622"/>
      <c r="C68" s="66" t="s">
        <v>731</v>
      </c>
      <c r="D68" s="66" t="s">
        <v>84</v>
      </c>
      <c r="E68" s="65">
        <v>7520.0</v>
      </c>
      <c r="F68" s="65" t="s">
        <v>89</v>
      </c>
      <c r="G68" s="65" t="s">
        <v>89</v>
      </c>
    </row>
    <row r="69" ht="24.0" customHeight="1">
      <c r="A69" s="635">
        <v>63.0</v>
      </c>
      <c r="B69" s="622"/>
      <c r="C69" s="636" t="s">
        <v>737</v>
      </c>
      <c r="D69" s="66" t="s">
        <v>96</v>
      </c>
      <c r="E69" s="65">
        <v>252.0</v>
      </c>
      <c r="F69" s="65" t="s">
        <v>89</v>
      </c>
      <c r="G69" s="65"/>
      <c r="H69" s="622" t="s">
        <v>1057</v>
      </c>
    </row>
    <row r="70" ht="13.5" customHeight="1">
      <c r="A70" s="635">
        <v>64.0</v>
      </c>
      <c r="B70" s="622"/>
      <c r="C70" s="637" t="s">
        <v>768</v>
      </c>
      <c r="D70" s="66" t="s">
        <v>96</v>
      </c>
      <c r="E70" s="65">
        <v>53505.0</v>
      </c>
      <c r="F70" s="65" t="s">
        <v>89</v>
      </c>
      <c r="G70" s="65" t="s">
        <v>89</v>
      </c>
    </row>
    <row r="71" ht="13.5" customHeight="1">
      <c r="A71" s="635">
        <v>65.0</v>
      </c>
      <c r="B71" s="622"/>
      <c r="C71" s="637" t="s">
        <v>742</v>
      </c>
      <c r="D71" s="66" t="s">
        <v>96</v>
      </c>
      <c r="E71" s="65">
        <v>53918.0</v>
      </c>
      <c r="F71" s="65" t="s">
        <v>89</v>
      </c>
      <c r="G71" s="65" t="s">
        <v>89</v>
      </c>
    </row>
    <row r="72" ht="25.5" customHeight="1">
      <c r="A72" s="635">
        <v>66.0</v>
      </c>
      <c r="B72" s="622"/>
      <c r="C72" s="637" t="s">
        <v>762</v>
      </c>
      <c r="D72" s="66" t="s">
        <v>96</v>
      </c>
      <c r="E72" s="65">
        <v>54103.0</v>
      </c>
      <c r="F72" s="65" t="s">
        <v>89</v>
      </c>
      <c r="G72" s="65" t="s">
        <v>89</v>
      </c>
    </row>
    <row r="73" ht="13.5" customHeight="1">
      <c r="A73" s="635">
        <v>67.0</v>
      </c>
      <c r="B73" s="622"/>
      <c r="C73" s="637" t="s">
        <v>755</v>
      </c>
      <c r="D73" s="66" t="s">
        <v>96</v>
      </c>
      <c r="E73" s="65">
        <v>55175.0</v>
      </c>
      <c r="F73" s="65" t="s">
        <v>89</v>
      </c>
      <c r="G73" s="65" t="s">
        <v>89</v>
      </c>
    </row>
    <row r="74" ht="13.5" customHeight="1">
      <c r="A74" s="635">
        <v>68.0</v>
      </c>
      <c r="B74" s="623"/>
      <c r="C74" s="637" t="s">
        <v>714</v>
      </c>
      <c r="D74" s="66" t="s">
        <v>96</v>
      </c>
      <c r="E74" s="65">
        <v>90930.0</v>
      </c>
      <c r="F74" s="65" t="s">
        <v>89</v>
      </c>
      <c r="G74" s="65" t="s">
        <v>89</v>
      </c>
    </row>
  </sheetData>
  <autoFilter ref="$A$6:$G$74">
    <sortState ref="A6:G74">
      <sortCondition ref="A6:A74"/>
    </sortState>
  </autoFilter>
  <mergeCells count="4">
    <mergeCell ref="B2:C2"/>
    <mergeCell ref="B3:C3"/>
    <mergeCell ref="B4:C4"/>
    <mergeCell ref="L17:M17"/>
  </mergeCells>
  <dataValidations>
    <dataValidation type="list" allowBlank="1" showErrorMessage="1" sqref="D7:D74">
      <formula1>NivelPrePos</formula1>
    </dataValidation>
  </dataValidations>
  <printOptions/>
  <pageMargins bottom="0.75" footer="0.0" header="0.0" left="0.7" right="0.7" top="0.75"/>
  <pageSetup orientation="landscape"/>
  <drawing r:id="rId2"/>
  <legacyDrawing r:id="rId3"/>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00000"/>
    <pageSetUpPr/>
  </sheetPr>
  <sheetViews>
    <sheetView workbookViewId="0"/>
  </sheetViews>
  <sheetFormatPr customHeight="1" defaultColWidth="12.63" defaultRowHeight="15.0"/>
  <cols>
    <col customWidth="1" min="1" max="3" width="10.63"/>
    <col customWidth="1" min="4" max="4" width="23.38"/>
    <col customWidth="1" min="5" max="5" width="47.63"/>
    <col customWidth="1" min="6" max="6" width="19.63"/>
    <col customWidth="1" min="7" max="8" width="27.13"/>
    <col customWidth="1" min="9" max="9" width="21.63"/>
    <col customWidth="1" min="10" max="10" width="10.38"/>
    <col customWidth="1" min="11" max="11" width="21.25"/>
    <col customWidth="1" min="12" max="12" width="24.13"/>
    <col customWidth="1" min="13" max="26" width="10.63"/>
  </cols>
  <sheetData>
    <row r="1" ht="12.75" customHeight="1">
      <c r="C1" s="638"/>
      <c r="D1" s="639"/>
      <c r="E1" s="640"/>
      <c r="F1" s="640"/>
      <c r="G1" s="641"/>
      <c r="H1" s="641"/>
      <c r="I1" s="642"/>
    </row>
    <row r="2" ht="12.75" customHeight="1">
      <c r="C2" s="643"/>
      <c r="D2" s="644"/>
      <c r="E2" s="645" t="s">
        <v>0</v>
      </c>
      <c r="F2" s="640"/>
      <c r="G2" s="641"/>
      <c r="H2" s="641"/>
      <c r="I2" s="646"/>
      <c r="L2" s="605" t="s">
        <v>955</v>
      </c>
      <c r="M2" s="606" t="s">
        <v>1047</v>
      </c>
      <c r="N2" s="606" t="s">
        <v>1048</v>
      </c>
      <c r="O2" s="606" t="s">
        <v>1049</v>
      </c>
    </row>
    <row r="3" ht="12.75" customHeight="1">
      <c r="C3" s="643"/>
      <c r="D3" s="644"/>
      <c r="E3" s="645" t="s">
        <v>1071</v>
      </c>
      <c r="F3" s="640"/>
      <c r="G3" s="641"/>
      <c r="H3" s="641"/>
      <c r="I3" s="646"/>
      <c r="K3" s="647" t="s">
        <v>84</v>
      </c>
      <c r="L3" s="608">
        <f>COUNTIF(H7:H90,"pregrado")</f>
        <v>39</v>
      </c>
      <c r="M3" s="609">
        <f t="shared" ref="M3:M4" si="1">L3*25%</f>
        <v>9.75</v>
      </c>
      <c r="N3" s="609">
        <f t="shared" ref="N3:N4" si="2">+L3*0.4</f>
        <v>15.6</v>
      </c>
      <c r="O3" s="609">
        <f t="shared" ref="O3:O4" si="3">+L3*0.6</f>
        <v>23.4</v>
      </c>
    </row>
    <row r="4" ht="12.75" customHeight="1">
      <c r="C4" s="643"/>
      <c r="D4" s="644"/>
      <c r="E4" s="648" t="s">
        <v>1072</v>
      </c>
      <c r="F4" s="640"/>
      <c r="G4" s="641"/>
      <c r="H4" s="641"/>
      <c r="I4" s="646"/>
      <c r="K4" s="647" t="s">
        <v>96</v>
      </c>
      <c r="L4" s="608">
        <f>COUNTIF(H7:H90,"posgrado")</f>
        <v>41</v>
      </c>
      <c r="M4" s="609">
        <f t="shared" si="1"/>
        <v>10.25</v>
      </c>
      <c r="N4" s="609">
        <f t="shared" si="2"/>
        <v>16.4</v>
      </c>
      <c r="O4" s="610">
        <f t="shared" si="3"/>
        <v>24.6</v>
      </c>
    </row>
    <row r="5" ht="12.75" customHeight="1">
      <c r="K5" s="649" t="s">
        <v>811</v>
      </c>
      <c r="L5" s="612">
        <f>+C90</f>
        <v>83</v>
      </c>
      <c r="M5" s="613">
        <f t="shared" ref="M5:O5" si="4">SUM(M3:M4)</f>
        <v>20</v>
      </c>
      <c r="N5" s="613">
        <f t="shared" si="4"/>
        <v>32</v>
      </c>
      <c r="O5" s="613">
        <f t="shared" si="4"/>
        <v>48</v>
      </c>
    </row>
    <row r="6" ht="26.25" customHeight="1">
      <c r="C6" s="650" t="s">
        <v>1073</v>
      </c>
      <c r="D6" s="423"/>
      <c r="E6" s="423"/>
      <c r="F6" s="423"/>
      <c r="G6" s="423"/>
      <c r="H6" s="423"/>
      <c r="I6" s="424"/>
    </row>
    <row r="7" ht="12.75" customHeight="1">
      <c r="C7" s="651" t="s">
        <v>965</v>
      </c>
      <c r="D7" s="651" t="s">
        <v>19</v>
      </c>
      <c r="E7" s="651" t="s">
        <v>966</v>
      </c>
      <c r="F7" s="651" t="s">
        <v>23</v>
      </c>
      <c r="G7" s="652" t="s">
        <v>30</v>
      </c>
      <c r="H7" s="652" t="s">
        <v>1074</v>
      </c>
      <c r="I7" s="652" t="s">
        <v>1075</v>
      </c>
    </row>
    <row r="8" ht="12.75" customHeight="1">
      <c r="C8" s="653">
        <v>1.0</v>
      </c>
      <c r="D8" s="654" t="s">
        <v>74</v>
      </c>
      <c r="E8" s="654" t="s">
        <v>75</v>
      </c>
      <c r="F8" s="654">
        <v>224.0</v>
      </c>
      <c r="G8" s="654" t="str">
        <f t="array" ref="G8">INDEX(Consolidado!N:N,MATCH(F8,Consolidado!G:G,0))</f>
        <v>Popayán</v>
      </c>
      <c r="H8" s="654" t="str">
        <f t="array" ref="H8">INDEX(Consolidado!R:R,MATCH(F8,Consolidado!G:G,0))</f>
        <v>Pregrado</v>
      </c>
      <c r="I8" s="655" t="s">
        <v>1076</v>
      </c>
      <c r="L8" s="656" t="s">
        <v>1077</v>
      </c>
    </row>
    <row r="9" ht="12.75" customHeight="1">
      <c r="C9" s="653">
        <v>2.0</v>
      </c>
      <c r="D9" s="654" t="s">
        <v>74</v>
      </c>
      <c r="E9" s="654" t="s">
        <v>126</v>
      </c>
      <c r="F9" s="654">
        <v>11067.0</v>
      </c>
      <c r="G9" s="654" t="str">
        <f t="array" ref="G9">INDEX(Consolidado!N:N,MATCH(F9,Consolidado!G:G,0))</f>
        <v>Popayán</v>
      </c>
      <c r="H9" s="654" t="str">
        <f t="array" ref="H9">INDEX(Consolidado!R:R,MATCH(F9,Consolidado!G:G,0))</f>
        <v>Pregrado</v>
      </c>
      <c r="I9" s="655" t="s">
        <v>1078</v>
      </c>
      <c r="L9" s="657" t="s">
        <v>1079</v>
      </c>
    </row>
    <row r="10" ht="12.75" customHeight="1">
      <c r="C10" s="653">
        <v>3.0</v>
      </c>
      <c r="D10" s="654" t="s">
        <v>74</v>
      </c>
      <c r="E10" s="654" t="s">
        <v>117</v>
      </c>
      <c r="F10" s="654">
        <v>4963.0</v>
      </c>
      <c r="G10" s="654" t="str">
        <f t="array" ref="G10">INDEX(Consolidado!N:N,MATCH(F10,Consolidado!G:G,0))</f>
        <v>Popayán</v>
      </c>
      <c r="H10" s="654" t="str">
        <f t="array" ref="H10">INDEX(Consolidado!R:R,MATCH(F10,Consolidado!G:G,0))</f>
        <v>Pregrado</v>
      </c>
      <c r="I10" s="655" t="s">
        <v>1080</v>
      </c>
      <c r="L10" s="658" t="s">
        <v>1078</v>
      </c>
    </row>
    <row r="11" ht="12.75" customHeight="1">
      <c r="C11" s="653">
        <v>4.0</v>
      </c>
      <c r="D11" s="654" t="s">
        <v>74</v>
      </c>
      <c r="E11" s="654" t="s">
        <v>101</v>
      </c>
      <c r="F11" s="659">
        <v>225.0</v>
      </c>
      <c r="G11" s="654" t="str">
        <f t="array" ref="G11">INDEX(Consolidado!N:N,MATCH(F11,Consolidado!G:G,0))</f>
        <v>Popayán</v>
      </c>
      <c r="H11" s="654" t="str">
        <f t="array" ref="H11">INDEX(Consolidado!R:R,MATCH(F11,Consolidado!G:G,0))</f>
        <v>Pregrado</v>
      </c>
      <c r="I11" s="655" t="s">
        <v>1080</v>
      </c>
      <c r="L11" s="660" t="s">
        <v>1076</v>
      </c>
    </row>
    <row r="12" ht="12.75" customHeight="1">
      <c r="C12" s="653">
        <v>5.0</v>
      </c>
      <c r="D12" s="654" t="s">
        <v>74</v>
      </c>
      <c r="E12" s="654" t="s">
        <v>90</v>
      </c>
      <c r="F12" s="654">
        <v>104526.0</v>
      </c>
      <c r="G12" s="654" t="str">
        <f t="array" ref="G12">INDEX(Consolidado!N:N,MATCH(F12,Consolidado!G:G,0))</f>
        <v>Popayán</v>
      </c>
      <c r="H12" s="654" t="str">
        <f t="array" ref="H12">INDEX(Consolidado!R:R,MATCH(F12,Consolidado!G:G,0))</f>
        <v>Posgrado</v>
      </c>
      <c r="I12" s="655"/>
      <c r="L12" s="661" t="s">
        <v>1080</v>
      </c>
    </row>
    <row r="13" ht="12.75" customHeight="1">
      <c r="C13" s="653">
        <v>6.0</v>
      </c>
      <c r="D13" s="654" t="s">
        <v>74</v>
      </c>
      <c r="E13" s="654" t="s">
        <v>109</v>
      </c>
      <c r="F13" s="654">
        <v>54801.0</v>
      </c>
      <c r="G13" s="654" t="str">
        <f t="array" ref="G13">INDEX(Consolidado!N:N,MATCH(F13,Consolidado!G:G,0))</f>
        <v>Popayán</v>
      </c>
      <c r="H13" s="654" t="str">
        <f t="array" ref="H13">INDEX(Consolidado!R:R,MATCH(F13,Consolidado!G:G,0))</f>
        <v>Pregrado</v>
      </c>
      <c r="I13" s="655" t="s">
        <v>1080</v>
      </c>
    </row>
    <row r="14" ht="12.75" customHeight="1">
      <c r="C14" s="662">
        <v>7.0</v>
      </c>
      <c r="D14" s="654" t="s">
        <v>130</v>
      </c>
      <c r="E14" s="654" t="s">
        <v>165</v>
      </c>
      <c r="F14" s="654">
        <v>103231.0</v>
      </c>
      <c r="G14" s="654" t="str">
        <f t="array" ref="G14">INDEX(Consolidado!N:N,MATCH(F14,Consolidado!G:G,0))</f>
        <v>Popayán</v>
      </c>
      <c r="H14" s="654" t="str">
        <f t="array" ref="H14">INDEX(Consolidado!R:R,MATCH(F14,Consolidado!G:G,0))</f>
        <v>Posgrado</v>
      </c>
      <c r="I14" s="655" t="s">
        <v>1078</v>
      </c>
    </row>
    <row r="15" ht="12.75" customHeight="1">
      <c r="C15" s="662">
        <v>8.0</v>
      </c>
      <c r="D15" s="654" t="s">
        <v>130</v>
      </c>
      <c r="E15" s="654" t="s">
        <v>131</v>
      </c>
      <c r="F15" s="654">
        <v>3833.0</v>
      </c>
      <c r="G15" s="663" t="str">
        <f t="array" ref="G15">INDEX(Consolidado!N:N,MATCH(F15,Consolidado!G:G,0))</f>
        <v>Popayán
Patía (El Bordo) Santander de Quilichao</v>
      </c>
      <c r="H15" s="654" t="str">
        <f t="array" ref="H15">INDEX(Consolidado!R:R,MATCH(F15,Consolidado!G:G,0))</f>
        <v>Pregrado</v>
      </c>
      <c r="I15" s="655" t="s">
        <v>1079</v>
      </c>
    </row>
    <row r="16" ht="12.75" customHeight="1">
      <c r="C16" s="662">
        <v>9.0</v>
      </c>
      <c r="D16" s="654" t="s">
        <v>130</v>
      </c>
      <c r="E16" s="654" t="s">
        <v>970</v>
      </c>
      <c r="F16" s="654">
        <v>7171.0</v>
      </c>
      <c r="G16" s="654" t="str">
        <f t="array" ref="G16">INDEX(Consolidado!N:N,MATCH(F16,Consolidado!G:G,0))</f>
        <v>#N/A</v>
      </c>
      <c r="H16" s="654" t="str">
        <f t="array" ref="H16">INDEX(Consolidado!R:R,MATCH(F16,Consolidado!G:G,0))</f>
        <v>#N/A</v>
      </c>
      <c r="I16" s="655" t="s">
        <v>1080</v>
      </c>
    </row>
    <row r="17" ht="12.75" customHeight="1">
      <c r="C17" s="662">
        <v>10.0</v>
      </c>
      <c r="D17" s="654" t="s">
        <v>130</v>
      </c>
      <c r="E17" s="654" t="s">
        <v>1058</v>
      </c>
      <c r="F17" s="654">
        <v>9833.0</v>
      </c>
      <c r="G17" s="654" t="str">
        <f t="array" ref="G17">INDEX(Consolidado!N:N,MATCH(F17,Consolidado!G:G,0))</f>
        <v>Popayán</v>
      </c>
      <c r="H17" s="654" t="str">
        <f t="array" ref="H17">INDEX(Consolidado!R:R,MATCH(F17,Consolidado!G:G,0))</f>
        <v>Pregrado</v>
      </c>
      <c r="I17" s="655" t="s">
        <v>1080</v>
      </c>
    </row>
    <row r="18" ht="12.75" customHeight="1">
      <c r="C18" s="662">
        <v>11.0</v>
      </c>
      <c r="D18" s="654" t="s">
        <v>130</v>
      </c>
      <c r="E18" s="654" t="s">
        <v>158</v>
      </c>
      <c r="F18" s="654">
        <v>104677.0</v>
      </c>
      <c r="G18" s="654" t="str">
        <f t="array" ref="G18">INDEX(Consolidado!N:N,MATCH(F18,Consolidado!G:G,0))</f>
        <v>Popayán</v>
      </c>
      <c r="H18" s="654" t="str">
        <f t="array" ref="H18">INDEX(Consolidado!R:R,MATCH(F18,Consolidado!G:G,0))</f>
        <v>Posgrado</v>
      </c>
      <c r="I18" s="655"/>
    </row>
    <row r="19" ht="12.75" customHeight="1">
      <c r="C19" s="664">
        <v>12.0</v>
      </c>
      <c r="D19" s="654" t="s">
        <v>827</v>
      </c>
      <c r="E19" s="654" t="s">
        <v>217</v>
      </c>
      <c r="F19" s="654">
        <v>234.0</v>
      </c>
      <c r="G19" s="654" t="str">
        <f t="array" ref="G19">INDEX(Consolidado!N:N,MATCH(F19,Consolidado!G:G,0))</f>
        <v>Popayán</v>
      </c>
      <c r="H19" s="654" t="str">
        <f t="array" ref="H19">INDEX(Consolidado!R:R,MATCH(F19,Consolidado!G:G,0))</f>
        <v>Pregrado</v>
      </c>
      <c r="I19" s="655" t="s">
        <v>1079</v>
      </c>
    </row>
    <row r="20" ht="12.75" customHeight="1">
      <c r="C20" s="664">
        <v>13.0</v>
      </c>
      <c r="D20" s="654" t="s">
        <v>827</v>
      </c>
      <c r="E20" s="654" t="s">
        <v>989</v>
      </c>
      <c r="F20" s="654">
        <v>235.0</v>
      </c>
      <c r="G20" s="654" t="str">
        <f t="array" ref="G20">INDEX(Consolidado!N:N,MATCH(F20,Consolidado!G:G,0))</f>
        <v>Popayán</v>
      </c>
      <c r="H20" s="654" t="str">
        <f t="array" ref="H20">INDEX(Consolidado!R:R,MATCH(F20,Consolidado!G:G,0))</f>
        <v>Pregrado</v>
      </c>
      <c r="I20" s="655" t="s">
        <v>1079</v>
      </c>
    </row>
    <row r="21" ht="12.75" customHeight="1">
      <c r="C21" s="664">
        <v>14.0</v>
      </c>
      <c r="D21" s="654" t="s">
        <v>182</v>
      </c>
      <c r="E21" s="654" t="s">
        <v>237</v>
      </c>
      <c r="F21" s="654">
        <v>8441.0</v>
      </c>
      <c r="G21" s="654" t="str">
        <f t="array" ref="G21">INDEX(Consolidado!N:N,MATCH(F21,Consolidado!G:G,0))</f>
        <v>Popayán</v>
      </c>
      <c r="H21" s="654" t="str">
        <f t="array" ref="H21">INDEX(Consolidado!R:R,MATCH(F21,Consolidado!G:G,0))</f>
        <v>Pregrado</v>
      </c>
      <c r="I21" s="655" t="s">
        <v>1078</v>
      </c>
    </row>
    <row r="22" ht="12.75" customHeight="1">
      <c r="C22" s="664">
        <v>15.0</v>
      </c>
      <c r="D22" s="654" t="s">
        <v>182</v>
      </c>
      <c r="E22" s="654" t="s">
        <v>244</v>
      </c>
      <c r="F22" s="654">
        <v>55045.0</v>
      </c>
      <c r="G22" s="654" t="str">
        <f t="array" ref="G22">INDEX(Consolidado!N:N,MATCH(F22,Consolidado!G:G,0))</f>
        <v>Popayán</v>
      </c>
      <c r="H22" s="654" t="str">
        <f t="array" ref="H22">INDEX(Consolidado!R:R,MATCH(F22,Consolidado!G:G,0))</f>
        <v>Posgrado</v>
      </c>
      <c r="I22" s="655"/>
    </row>
    <row r="23" ht="12.75" customHeight="1">
      <c r="C23" s="664">
        <v>16.0</v>
      </c>
      <c r="D23" s="654" t="s">
        <v>182</v>
      </c>
      <c r="E23" s="654" t="s">
        <v>225</v>
      </c>
      <c r="F23" s="654">
        <v>103477.0</v>
      </c>
      <c r="G23" s="654" t="str">
        <f t="array" ref="G23">INDEX(Consolidado!N:N,MATCH(F23,Consolidado!G:G,0))</f>
        <v>Popayán</v>
      </c>
      <c r="H23" s="654" t="str">
        <f t="array" ref="H23">INDEX(Consolidado!R:R,MATCH(F23,Consolidado!G:G,0))</f>
        <v>Posgrado</v>
      </c>
      <c r="I23" s="655"/>
    </row>
    <row r="24" ht="12.75" customHeight="1">
      <c r="C24" s="664">
        <v>17.0</v>
      </c>
      <c r="D24" s="654" t="s">
        <v>182</v>
      </c>
      <c r="E24" s="654" t="s">
        <v>250</v>
      </c>
      <c r="F24" s="654">
        <v>18679.0</v>
      </c>
      <c r="G24" s="654" t="str">
        <f t="array" ref="G24">INDEX(Consolidado!N:N,MATCH(F24,Consolidado!G:G,0))</f>
        <v>Popayán</v>
      </c>
      <c r="H24" s="654" t="str">
        <f t="array" ref="H24">INDEX(Consolidado!R:R,MATCH(F24,Consolidado!G:G,0))</f>
        <v>Pregrado</v>
      </c>
      <c r="I24" s="655" t="s">
        <v>1078</v>
      </c>
    </row>
    <row r="25" ht="12.75" customHeight="1">
      <c r="C25" s="665">
        <v>18.0</v>
      </c>
      <c r="D25" s="654" t="s">
        <v>255</v>
      </c>
      <c r="E25" s="654" t="s">
        <v>285</v>
      </c>
      <c r="F25" s="654">
        <v>230.0</v>
      </c>
      <c r="G25" s="654" t="str">
        <f t="array" ref="G25">INDEX(Consolidado!N:N,MATCH(F25,Consolidado!G:G,0))</f>
        <v>Popayán</v>
      </c>
      <c r="H25" s="654" t="str">
        <f t="array" ref="H25">INDEX(Consolidado!R:R,MATCH(F25,Consolidado!G:G,0))</f>
        <v>Pregrado</v>
      </c>
      <c r="I25" s="655" t="s">
        <v>1080</v>
      </c>
    </row>
    <row r="26" ht="12.75" customHeight="1">
      <c r="C26" s="665">
        <v>19.0</v>
      </c>
      <c r="D26" s="654" t="s">
        <v>255</v>
      </c>
      <c r="E26" s="654" t="s">
        <v>266</v>
      </c>
      <c r="F26" s="654">
        <v>240.0</v>
      </c>
      <c r="G26" s="654" t="str">
        <f t="array" ref="G26">INDEX(Consolidado!N:N,MATCH(F26,Consolidado!G:G,0))</f>
        <v>Popayán</v>
      </c>
      <c r="H26" s="654" t="str">
        <f t="array" ref="H26">INDEX(Consolidado!R:R,MATCH(F26,Consolidado!G:G,0))</f>
        <v>Posgrado</v>
      </c>
      <c r="I26" s="655"/>
    </row>
    <row r="27" ht="12.75" customHeight="1">
      <c r="C27" s="665">
        <v>20.0</v>
      </c>
      <c r="D27" s="654" t="s">
        <v>255</v>
      </c>
      <c r="E27" s="654" t="s">
        <v>280</v>
      </c>
      <c r="F27" s="654">
        <v>241.0</v>
      </c>
      <c r="G27" s="654" t="str">
        <f t="array" ref="G27">INDEX(Consolidado!N:N,MATCH(F27,Consolidado!G:G,0))</f>
        <v>Popayán</v>
      </c>
      <c r="H27" s="654" t="str">
        <f t="array" ref="H27">INDEX(Consolidado!R:R,MATCH(F27,Consolidado!G:G,0))</f>
        <v>Posgrado</v>
      </c>
      <c r="I27" s="655"/>
    </row>
    <row r="28" ht="12.75" customHeight="1">
      <c r="C28" s="665">
        <v>21.0</v>
      </c>
      <c r="D28" s="654" t="s">
        <v>255</v>
      </c>
      <c r="E28" s="654" t="s">
        <v>275</v>
      </c>
      <c r="F28" s="654">
        <v>242.0</v>
      </c>
      <c r="G28" s="654" t="str">
        <f t="array" ref="G28">INDEX(Consolidado!N:N,MATCH(F28,Consolidado!G:G,0))</f>
        <v>Popayán</v>
      </c>
      <c r="H28" s="654" t="str">
        <f t="array" ref="H28">INDEX(Consolidado!R:R,MATCH(F28,Consolidado!G:G,0))</f>
        <v>Posgrado</v>
      </c>
      <c r="I28" s="655"/>
    </row>
    <row r="29" ht="12.75" customHeight="1">
      <c r="C29" s="665">
        <v>22.0</v>
      </c>
      <c r="D29" s="654" t="s">
        <v>255</v>
      </c>
      <c r="E29" s="654" t="s">
        <v>303</v>
      </c>
      <c r="F29" s="654">
        <v>11546.0</v>
      </c>
      <c r="G29" s="654" t="str">
        <f t="array" ref="G29">INDEX(Consolidado!N:N,MATCH(F29,Consolidado!G:G,0))</f>
        <v>Popayán</v>
      </c>
      <c r="H29" s="654" t="str">
        <f t="array" ref="H29">INDEX(Consolidado!R:R,MATCH(F29,Consolidado!G:G,0))</f>
        <v>Posgrado</v>
      </c>
      <c r="I29" s="655"/>
    </row>
    <row r="30" ht="12.75" customHeight="1">
      <c r="C30" s="665">
        <v>23.0</v>
      </c>
      <c r="D30" s="654" t="s">
        <v>255</v>
      </c>
      <c r="E30" s="654" t="s">
        <v>296</v>
      </c>
      <c r="F30" s="654">
        <v>243.0</v>
      </c>
      <c r="G30" s="654" t="str">
        <f t="array" ref="G30">INDEX(Consolidado!N:N,MATCH(F30,Consolidado!G:G,0))</f>
        <v>Popayán</v>
      </c>
      <c r="H30" s="654" t="str">
        <f t="array" ref="H30">INDEX(Consolidado!R:R,MATCH(F30,Consolidado!G:G,0))</f>
        <v>Posgrado</v>
      </c>
      <c r="I30" s="655"/>
    </row>
    <row r="31" ht="12.75" customHeight="1">
      <c r="C31" s="665">
        <v>24.0</v>
      </c>
      <c r="D31" s="654" t="s">
        <v>255</v>
      </c>
      <c r="E31" s="654" t="s">
        <v>271</v>
      </c>
      <c r="F31" s="654">
        <v>244.0</v>
      </c>
      <c r="G31" s="654" t="str">
        <f t="array" ref="G31">INDEX(Consolidado!N:N,MATCH(F31,Consolidado!G:G,0))</f>
        <v>Popayán</v>
      </c>
      <c r="H31" s="654" t="str">
        <f t="array" ref="H31">INDEX(Consolidado!R:R,MATCH(F31,Consolidado!G:G,0))</f>
        <v>Posgrado</v>
      </c>
      <c r="I31" s="655"/>
    </row>
    <row r="32" ht="12.75" customHeight="1">
      <c r="C32" s="665">
        <v>25.0</v>
      </c>
      <c r="D32" s="654" t="s">
        <v>255</v>
      </c>
      <c r="E32" s="654" t="s">
        <v>310</v>
      </c>
      <c r="F32" s="654">
        <v>5269.0</v>
      </c>
      <c r="G32" s="654" t="str">
        <f t="array" ref="G32">INDEX(Consolidado!N:N,MATCH(F32,Consolidado!G:G,0))</f>
        <v>Popayán</v>
      </c>
      <c r="H32" s="654" t="str">
        <f t="array" ref="H32">INDEX(Consolidado!R:R,MATCH(F32,Consolidado!G:G,0))</f>
        <v>Pregrado</v>
      </c>
      <c r="I32" s="655" t="s">
        <v>1080</v>
      </c>
    </row>
    <row r="33" ht="12.75" customHeight="1">
      <c r="C33" s="665">
        <v>26.0</v>
      </c>
      <c r="D33" s="654" t="s">
        <v>255</v>
      </c>
      <c r="E33" s="654" t="s">
        <v>260</v>
      </c>
      <c r="F33" s="654">
        <v>5268.0</v>
      </c>
      <c r="G33" s="654" t="str">
        <f t="array" ref="G33">INDEX(Consolidado!N:N,MATCH(F33,Consolidado!G:G,0))</f>
        <v>Popayán</v>
      </c>
      <c r="H33" s="654" t="str">
        <f t="array" ref="H33">INDEX(Consolidado!R:R,MATCH(F33,Consolidado!G:G,0))</f>
        <v>Pregrado</v>
      </c>
      <c r="I33" s="655" t="s">
        <v>1079</v>
      </c>
    </row>
    <row r="34" ht="12.75" customHeight="1">
      <c r="C34" s="665">
        <v>27.0</v>
      </c>
      <c r="D34" s="654" t="s">
        <v>255</v>
      </c>
      <c r="E34" s="654" t="s">
        <v>972</v>
      </c>
      <c r="F34" s="654">
        <v>55202.0</v>
      </c>
      <c r="G34" s="654" t="str">
        <f t="array" ref="G34">INDEX(Consolidado!N:N,MATCH(F34,Consolidado!G:G,0))</f>
        <v>#N/A</v>
      </c>
      <c r="H34" s="654" t="str">
        <f t="array" ref="H34">INDEX(Consolidado!R:R,MATCH(F34,Consolidado!G:G,0))</f>
        <v>#N/A</v>
      </c>
      <c r="I34" s="655"/>
    </row>
    <row r="35" ht="12.75" customHeight="1">
      <c r="C35" s="666">
        <v>28.0</v>
      </c>
      <c r="D35" s="654" t="s">
        <v>333</v>
      </c>
      <c r="E35" s="654" t="s">
        <v>998</v>
      </c>
      <c r="F35" s="654">
        <v>55202.0</v>
      </c>
      <c r="G35" s="654" t="str">
        <f t="array" ref="G35">INDEX(Consolidado!N:N,MATCH(F35,Consolidado!G:G,0))</f>
        <v>#N/A</v>
      </c>
      <c r="H35" s="654" t="str">
        <f t="array" ref="H35">INDEX(Consolidado!R:R,MATCH(F35,Consolidado!G:G,0))</f>
        <v>#N/A</v>
      </c>
      <c r="I35" s="655"/>
    </row>
    <row r="36" ht="12.75" customHeight="1">
      <c r="C36" s="666">
        <v>29.0</v>
      </c>
      <c r="D36" s="654" t="s">
        <v>333</v>
      </c>
      <c r="E36" s="654" t="s">
        <v>408</v>
      </c>
      <c r="F36" s="654">
        <v>232.0</v>
      </c>
      <c r="G36" s="654" t="str">
        <f t="array" ref="G36">INDEX(Consolidado!N:N,MATCH(F36,Consolidado!G:G,0))</f>
        <v>Popayán</v>
      </c>
      <c r="H36" s="654" t="str">
        <f t="array" ref="H36">INDEX(Consolidado!R:R,MATCH(F36,Consolidado!G:G,0))</f>
        <v>Pregrado</v>
      </c>
      <c r="I36" s="655"/>
    </row>
    <row r="37" ht="12.75" customHeight="1">
      <c r="C37" s="666">
        <v>30.0</v>
      </c>
      <c r="D37" s="654" t="s">
        <v>333</v>
      </c>
      <c r="E37" s="654" t="s">
        <v>351</v>
      </c>
      <c r="F37" s="654">
        <v>51767.0</v>
      </c>
      <c r="G37" s="654" t="str">
        <f t="array" ref="G37">INDEX(Consolidado!N:N,MATCH(F37,Consolidado!G:G,0))</f>
        <v>Popayán</v>
      </c>
      <c r="H37" s="654" t="str">
        <f t="array" ref="H37">INDEX(Consolidado!R:R,MATCH(F37,Consolidado!G:G,0))</f>
        <v>Posgrado</v>
      </c>
      <c r="I37" s="655"/>
    </row>
    <row r="38" ht="12.75" customHeight="1">
      <c r="C38" s="666">
        <v>31.0</v>
      </c>
      <c r="D38" s="654" t="s">
        <v>333</v>
      </c>
      <c r="E38" s="654" t="s">
        <v>367</v>
      </c>
      <c r="F38" s="654">
        <v>105733.0</v>
      </c>
      <c r="G38" s="654" t="str">
        <f t="array" ref="G38">INDEX(Consolidado!N:N,MATCH(F38,Consolidado!G:G,0))</f>
        <v>Popayán</v>
      </c>
      <c r="H38" s="654" t="str">
        <f t="array" ref="H38">INDEX(Consolidado!R:R,MATCH(F38,Consolidado!G:G,0))</f>
        <v>Posgrado</v>
      </c>
      <c r="I38" s="655"/>
    </row>
    <row r="39" ht="12.75" customHeight="1">
      <c r="C39" s="666">
        <v>32.0</v>
      </c>
      <c r="D39" s="654" t="s">
        <v>333</v>
      </c>
      <c r="E39" s="654" t="s">
        <v>1064</v>
      </c>
      <c r="F39" s="654">
        <v>11967.0</v>
      </c>
      <c r="G39" s="654" t="str">
        <f t="array" ref="G39">INDEX(Consolidado!N:N,MATCH(F39,Consolidado!G:G,0))</f>
        <v>Popayán</v>
      </c>
      <c r="H39" s="654" t="str">
        <f t="array" ref="H39">INDEX(Consolidado!R:R,MATCH(F39,Consolidado!G:G,0))</f>
        <v>Pregrado</v>
      </c>
      <c r="I39" s="655" t="s">
        <v>1078</v>
      </c>
    </row>
    <row r="40" ht="12.75" customHeight="1">
      <c r="C40" s="666">
        <v>33.0</v>
      </c>
      <c r="D40" s="654" t="s">
        <v>333</v>
      </c>
      <c r="E40" s="654" t="s">
        <v>1063</v>
      </c>
      <c r="F40" s="654">
        <v>4493.0</v>
      </c>
      <c r="G40" s="654" t="str">
        <f t="array" ref="G40">INDEX(Consolidado!N:N,MATCH(F40,Consolidado!G:G,0))</f>
        <v>Popayán</v>
      </c>
      <c r="H40" s="654" t="str">
        <f t="array" ref="H40">INDEX(Consolidado!R:R,MATCH(F40,Consolidado!G:G,0))</f>
        <v>Pregrado</v>
      </c>
      <c r="I40" s="655" t="s">
        <v>1078</v>
      </c>
    </row>
    <row r="41" ht="12.75" customHeight="1">
      <c r="C41" s="666">
        <v>34.0</v>
      </c>
      <c r="D41" s="654" t="s">
        <v>333</v>
      </c>
      <c r="E41" s="654" t="s">
        <v>381</v>
      </c>
      <c r="F41" s="654">
        <v>13062.0</v>
      </c>
      <c r="G41" s="654" t="str">
        <f t="array" ref="G41">INDEX(Consolidado!N:N,MATCH(F41,Consolidado!G:G,0))</f>
        <v>Popayán</v>
      </c>
      <c r="H41" s="654" t="str">
        <f t="array" ref="H41">INDEX(Consolidado!R:R,MATCH(F41,Consolidado!G:G,0))</f>
        <v>Pregrado</v>
      </c>
      <c r="I41" s="655"/>
    </row>
    <row r="42" ht="12.75" customHeight="1">
      <c r="C42" s="666">
        <v>35.0</v>
      </c>
      <c r="D42" s="654" t="s">
        <v>333</v>
      </c>
      <c r="E42" s="654" t="s">
        <v>975</v>
      </c>
      <c r="F42" s="654">
        <v>106575.0</v>
      </c>
      <c r="G42" s="654" t="str">
        <f t="array" ref="G42">INDEX(Consolidado!N:N,MATCH(F42,Consolidado!G:G,0))</f>
        <v>Popayán</v>
      </c>
      <c r="H42" s="654" t="str">
        <f t="array" ref="H42">INDEX(Consolidado!R:R,MATCH(F42,Consolidado!G:G,0))</f>
        <v>Pregrado</v>
      </c>
      <c r="I42" s="655" t="s">
        <v>1078</v>
      </c>
    </row>
    <row r="43" ht="12.75" customHeight="1">
      <c r="C43" s="666">
        <v>36.0</v>
      </c>
      <c r="D43" s="654" t="s">
        <v>333</v>
      </c>
      <c r="E43" s="654" t="s">
        <v>392</v>
      </c>
      <c r="F43" s="654">
        <v>106604.0</v>
      </c>
      <c r="G43" s="654" t="str">
        <f t="array" ref="G43">INDEX(Consolidado!N:N,MATCH(F43,Consolidado!G:G,0))</f>
        <v>Popayán</v>
      </c>
      <c r="H43" s="654" t="str">
        <f t="array" ref="H43">INDEX(Consolidado!R:R,MATCH(F43,Consolidado!G:G,0))</f>
        <v>Pregrado</v>
      </c>
      <c r="I43" s="655" t="s">
        <v>1078</v>
      </c>
    </row>
    <row r="44" ht="12.75" customHeight="1">
      <c r="C44" s="666">
        <v>37.0</v>
      </c>
      <c r="D44" s="654" t="s">
        <v>333</v>
      </c>
      <c r="E44" s="654" t="s">
        <v>357</v>
      </c>
      <c r="F44" s="654">
        <v>54866.0</v>
      </c>
      <c r="G44" s="654" t="str">
        <f t="array" ref="G44">INDEX(Consolidado!N:N,MATCH(F44,Consolidado!G:G,0))</f>
        <v>Popayán</v>
      </c>
      <c r="H44" s="654" t="str">
        <f t="array" ref="H44">INDEX(Consolidado!R:R,MATCH(F44,Consolidado!G:G,0))</f>
        <v>Posgrado</v>
      </c>
      <c r="I44" s="655"/>
    </row>
    <row r="45" ht="12.75" customHeight="1">
      <c r="C45" s="666">
        <v>38.0</v>
      </c>
      <c r="D45" s="654" t="s">
        <v>333</v>
      </c>
      <c r="E45" s="654" t="s">
        <v>387</v>
      </c>
      <c r="F45" s="654">
        <v>104456.0</v>
      </c>
      <c r="G45" s="654" t="str">
        <f t="array" ref="G45">INDEX(Consolidado!N:N,MATCH(F45,Consolidado!G:G,0))</f>
        <v>Popayán</v>
      </c>
      <c r="H45" s="654" t="str">
        <f t="array" ref="H45">INDEX(Consolidado!R:R,MATCH(F45,Consolidado!G:G,0))</f>
        <v>Posgrado</v>
      </c>
      <c r="I45" s="655"/>
    </row>
    <row r="46" ht="12.75" customHeight="1">
      <c r="C46" s="666">
        <v>39.0</v>
      </c>
      <c r="D46" s="654" t="s">
        <v>333</v>
      </c>
      <c r="E46" s="654" t="s">
        <v>362</v>
      </c>
      <c r="F46" s="654">
        <v>104296.0</v>
      </c>
      <c r="G46" s="654" t="str">
        <f t="array" ref="G46">INDEX(Consolidado!N:N,MATCH(F46,Consolidado!G:G,0))</f>
        <v>Popayán</v>
      </c>
      <c r="H46" s="654" t="str">
        <f t="array" ref="H46">INDEX(Consolidado!R:R,MATCH(F46,Consolidado!G:G,0))</f>
        <v>Posgrado</v>
      </c>
      <c r="I46" s="655"/>
    </row>
    <row r="47" ht="12.75" customHeight="1">
      <c r="C47" s="666">
        <v>40.0</v>
      </c>
      <c r="D47" s="654" t="s">
        <v>413</v>
      </c>
      <c r="E47" s="654" t="s">
        <v>532</v>
      </c>
      <c r="F47" s="654">
        <v>7170.0</v>
      </c>
      <c r="G47" s="654" t="str">
        <f t="array" ref="G47">INDEX(Consolidado!N:N,MATCH(F47,Consolidado!G:G,0))</f>
        <v>Popayán</v>
      </c>
      <c r="H47" s="654" t="str">
        <f t="array" ref="H47">INDEX(Consolidado!R:R,MATCH(F47,Consolidado!G:G,0))</f>
        <v>Posgrado</v>
      </c>
      <c r="I47" s="655"/>
    </row>
    <row r="48" ht="12.75" customHeight="1">
      <c r="C48" s="666">
        <v>41.0</v>
      </c>
      <c r="D48" s="654" t="s">
        <v>413</v>
      </c>
      <c r="E48" s="654" t="s">
        <v>440</v>
      </c>
      <c r="F48" s="654">
        <v>3048.0</v>
      </c>
      <c r="G48" s="654" t="str">
        <f t="array" ref="G48">INDEX(Consolidado!N:N,MATCH(F48,Consolidado!G:G,0))</f>
        <v>Popayán</v>
      </c>
      <c r="H48" s="654" t="str">
        <f t="array" ref="H48">INDEX(Consolidado!R:R,MATCH(F48,Consolidado!G:G,0))</f>
        <v>Pregrado</v>
      </c>
      <c r="I48" s="655"/>
    </row>
    <row r="49" ht="12.75" customHeight="1">
      <c r="C49" s="666">
        <v>42.0</v>
      </c>
      <c r="D49" s="654" t="s">
        <v>413</v>
      </c>
      <c r="E49" s="654" t="s">
        <v>559</v>
      </c>
      <c r="F49" s="654">
        <v>53943.0</v>
      </c>
      <c r="G49" s="654" t="str">
        <f t="array" ref="G49">INDEX(Consolidado!N:N,MATCH(F49,Consolidado!G:G,0))</f>
        <v>Popayán</v>
      </c>
      <c r="H49" s="654" t="str">
        <f t="array" ref="H49">INDEX(Consolidado!R:R,MATCH(F49,Consolidado!G:G,0))</f>
        <v>Posgrado</v>
      </c>
      <c r="I49" s="655"/>
    </row>
    <row r="50" ht="12.75" customHeight="1">
      <c r="C50" s="666">
        <v>43.0</v>
      </c>
      <c r="D50" s="654" t="s">
        <v>413</v>
      </c>
      <c r="E50" s="654" t="s">
        <v>504</v>
      </c>
      <c r="F50" s="654">
        <v>105772.0</v>
      </c>
      <c r="G50" s="654" t="str">
        <f t="array" ref="G50">INDEX(Consolidado!N:N,MATCH(F50,Consolidado!G:G,0))</f>
        <v>Popayán</v>
      </c>
      <c r="H50" s="654" t="str">
        <f t="array" ref="H50">INDEX(Consolidado!R:R,MATCH(F50,Consolidado!G:G,0))</f>
        <v>Posgrado</v>
      </c>
      <c r="I50" s="655"/>
    </row>
    <row r="51" ht="12.75" customHeight="1">
      <c r="C51" s="666">
        <v>44.0</v>
      </c>
      <c r="D51" s="654" t="s">
        <v>413</v>
      </c>
      <c r="E51" s="654" t="s">
        <v>542</v>
      </c>
      <c r="F51" s="654">
        <v>105661.0</v>
      </c>
      <c r="G51" s="654" t="str">
        <f t="array" ref="G51">INDEX(Consolidado!N:N,MATCH(F51,Consolidado!G:G,0))</f>
        <v>Popayán</v>
      </c>
      <c r="H51" s="654" t="str">
        <f t="array" ref="H51">INDEX(Consolidado!R:R,MATCH(F51,Consolidado!G:G,0))</f>
        <v>Posgrado</v>
      </c>
      <c r="I51" s="655"/>
    </row>
    <row r="52" ht="12.75" customHeight="1">
      <c r="C52" s="666">
        <v>45.0</v>
      </c>
      <c r="D52" s="654" t="s">
        <v>413</v>
      </c>
      <c r="E52" s="654" t="s">
        <v>537</v>
      </c>
      <c r="F52" s="654">
        <v>105656.0</v>
      </c>
      <c r="G52" s="654" t="str">
        <f t="array" ref="G52">INDEX(Consolidado!N:N,MATCH(F52,Consolidado!G:G,0))</f>
        <v>Popayán</v>
      </c>
      <c r="H52" s="654" t="str">
        <f t="array" ref="H52">INDEX(Consolidado!R:R,MATCH(F52,Consolidado!G:G,0))</f>
        <v>Posgrado</v>
      </c>
      <c r="I52" s="655"/>
    </row>
    <row r="53" ht="12.75" customHeight="1">
      <c r="C53" s="666">
        <v>46.0</v>
      </c>
      <c r="D53" s="654" t="s">
        <v>413</v>
      </c>
      <c r="E53" s="654" t="s">
        <v>1066</v>
      </c>
      <c r="F53" s="654">
        <v>3636.0</v>
      </c>
      <c r="G53" s="654" t="str">
        <f t="array" ref="G53">INDEX(Consolidado!N:N,MATCH(F53,Consolidado!G:G,0))</f>
        <v>Popayán</v>
      </c>
      <c r="H53" s="654" t="str">
        <f t="array" ref="H53">INDEX(Consolidado!R:R,MATCH(F53,Consolidado!G:G,0))</f>
        <v>Pregrado</v>
      </c>
      <c r="I53" s="655"/>
    </row>
    <row r="54" ht="12.75" customHeight="1">
      <c r="C54" s="666">
        <v>47.0</v>
      </c>
      <c r="D54" s="654" t="s">
        <v>413</v>
      </c>
      <c r="E54" s="654" t="s">
        <v>484</v>
      </c>
      <c r="F54" s="654">
        <v>106574.0</v>
      </c>
      <c r="G54" s="654" t="str">
        <f t="array" ref="G54">INDEX(Consolidado!N:N,MATCH(F54,Consolidado!G:G,0))</f>
        <v>Popayán</v>
      </c>
      <c r="H54" s="654" t="str">
        <f t="array" ref="H54">INDEX(Consolidado!R:R,MATCH(F54,Consolidado!G:G,0))</f>
        <v>Pregrado</v>
      </c>
      <c r="I54" s="655"/>
    </row>
    <row r="55" ht="12.75" customHeight="1">
      <c r="C55" s="666">
        <v>48.0</v>
      </c>
      <c r="D55" s="654" t="s">
        <v>413</v>
      </c>
      <c r="E55" s="654" t="s">
        <v>476</v>
      </c>
      <c r="F55" s="654">
        <v>106651.0</v>
      </c>
      <c r="G55" s="654" t="str">
        <f t="array" ref="G55">INDEX(Consolidado!N:N,MATCH(F55,Consolidado!G:G,0))</f>
        <v>Popayán</v>
      </c>
      <c r="H55" s="654" t="str">
        <f t="array" ref="H55">INDEX(Consolidado!R:R,MATCH(F55,Consolidado!G:G,0))</f>
        <v>Pregrado</v>
      </c>
      <c r="I55" s="655" t="s">
        <v>1077</v>
      </c>
    </row>
    <row r="56" ht="12.75" customHeight="1">
      <c r="C56" s="666">
        <v>49.0</v>
      </c>
      <c r="D56" s="654" t="s">
        <v>413</v>
      </c>
      <c r="E56" s="654" t="s">
        <v>492</v>
      </c>
      <c r="F56" s="654">
        <v>106794.0</v>
      </c>
      <c r="G56" s="654" t="str">
        <f t="array" ref="G56">INDEX(Consolidado!N:N,MATCH(F56,Consolidado!G:G,0))</f>
        <v>Popayán</v>
      </c>
      <c r="H56" s="654" t="str">
        <f t="array" ref="H56">INDEX(Consolidado!R:R,MATCH(F56,Consolidado!G:G,0))</f>
        <v>Pregrado</v>
      </c>
      <c r="I56" s="655"/>
    </row>
    <row r="57" ht="12.75" customHeight="1">
      <c r="C57" s="666">
        <v>50.0</v>
      </c>
      <c r="D57" s="654" t="s">
        <v>413</v>
      </c>
      <c r="E57" s="654" t="s">
        <v>467</v>
      </c>
      <c r="F57" s="654">
        <v>106545.0</v>
      </c>
      <c r="G57" s="654" t="str">
        <f t="array" ref="G57">INDEX(Consolidado!N:N,MATCH(F57,Consolidado!G:G,0))</f>
        <v>Popayán</v>
      </c>
      <c r="H57" s="654" t="str">
        <f t="array" ref="H57">INDEX(Consolidado!R:R,MATCH(F57,Consolidado!G:G,0))</f>
        <v>Pregrado</v>
      </c>
      <c r="I57" s="655" t="s">
        <v>1077</v>
      </c>
    </row>
    <row r="58" ht="12.75" customHeight="1">
      <c r="C58" s="666">
        <v>51.0</v>
      </c>
      <c r="D58" s="654" t="s">
        <v>413</v>
      </c>
      <c r="E58" s="654" t="s">
        <v>564</v>
      </c>
      <c r="F58" s="654">
        <v>229.0</v>
      </c>
      <c r="G58" s="654" t="str">
        <f t="array" ref="G58">INDEX(Consolidado!N:N,MATCH(F58,Consolidado!G:G,0))</f>
        <v>Popayán</v>
      </c>
      <c r="H58" s="654" t="str">
        <f t="array" ref="H58">INDEX(Consolidado!R:R,MATCH(F58,Consolidado!G:G,0))</f>
        <v>Pregrado</v>
      </c>
      <c r="I58" s="655" t="s">
        <v>1077</v>
      </c>
    </row>
    <row r="59" ht="12.75" customHeight="1">
      <c r="C59" s="666">
        <v>52.0</v>
      </c>
      <c r="D59" s="654" t="s">
        <v>413</v>
      </c>
      <c r="E59" s="654" t="s">
        <v>1081</v>
      </c>
      <c r="F59" s="654">
        <v>104621.0</v>
      </c>
      <c r="G59" s="654" t="str">
        <f t="array" ref="G59">INDEX(Consolidado!N:N,MATCH(F59,Consolidado!G:G,0))</f>
        <v>Popayán</v>
      </c>
      <c r="H59" s="654" t="str">
        <f t="array" ref="H59">INDEX(Consolidado!R:R,MATCH(F59,Consolidado!G:G,0))</f>
        <v>Posgrado</v>
      </c>
      <c r="I59" s="655"/>
    </row>
    <row r="60" ht="12.75" customHeight="1">
      <c r="C60" s="666">
        <v>53.0</v>
      </c>
      <c r="D60" s="654" t="s">
        <v>413</v>
      </c>
      <c r="E60" s="654" t="s">
        <v>527</v>
      </c>
      <c r="F60" s="654">
        <v>105772.0</v>
      </c>
      <c r="G60" s="654" t="str">
        <f t="array" ref="G60">INDEX(Consolidado!N:N,MATCH(F60,Consolidado!G:G,0))</f>
        <v>Popayán</v>
      </c>
      <c r="H60" s="654" t="str">
        <f t="array" ref="H60">INDEX(Consolidado!R:R,MATCH(F60,Consolidado!G:G,0))</f>
        <v>Posgrado</v>
      </c>
      <c r="I60" s="655"/>
    </row>
    <row r="61" ht="12.75" customHeight="1">
      <c r="C61" s="666">
        <v>54.0</v>
      </c>
      <c r="D61" s="654" t="s">
        <v>413</v>
      </c>
      <c r="E61" s="654" t="s">
        <v>554</v>
      </c>
      <c r="F61" s="654">
        <v>105661.0</v>
      </c>
      <c r="G61" s="654" t="str">
        <f t="array" ref="G61">INDEX(Consolidado!N:N,MATCH(F61,Consolidado!G:G,0))</f>
        <v>Popayán</v>
      </c>
      <c r="H61" s="654" t="str">
        <f t="array" ref="H61">INDEX(Consolidado!R:R,MATCH(F61,Consolidado!G:G,0))</f>
        <v>Posgrado</v>
      </c>
      <c r="I61" s="655"/>
    </row>
    <row r="62" ht="12.75" customHeight="1">
      <c r="C62" s="666">
        <v>55.0</v>
      </c>
      <c r="D62" s="654" t="s">
        <v>413</v>
      </c>
      <c r="E62" s="654" t="s">
        <v>500</v>
      </c>
      <c r="F62" s="654">
        <v>105533.0</v>
      </c>
      <c r="G62" s="654" t="str">
        <f t="array" ref="G62">INDEX(Consolidado!N:N,MATCH(F62,Consolidado!G:G,0))</f>
        <v>Popayán</v>
      </c>
      <c r="H62" s="654" t="str">
        <f t="array" ref="H62">INDEX(Consolidado!R:R,MATCH(F62,Consolidado!G:G,0))</f>
        <v>Posgrado</v>
      </c>
      <c r="I62" s="655"/>
    </row>
    <row r="63" ht="12.75" customHeight="1">
      <c r="C63" s="666">
        <v>56.0</v>
      </c>
      <c r="D63" s="654" t="s">
        <v>413</v>
      </c>
      <c r="E63" s="654" t="s">
        <v>435</v>
      </c>
      <c r="F63" s="654">
        <v>53791.0</v>
      </c>
      <c r="G63" s="654" t="str">
        <f t="array" ref="G63">INDEX(Consolidado!N:N,MATCH(F63,Consolidado!G:G,0))</f>
        <v>Popayán</v>
      </c>
      <c r="H63" s="654" t="str">
        <f t="array" ref="H63">INDEX(Consolidado!R:R,MATCH(F63,Consolidado!G:G,0))</f>
        <v>Posgrado</v>
      </c>
      <c r="I63" s="655"/>
    </row>
    <row r="64" ht="12.75" customHeight="1">
      <c r="C64" s="666">
        <v>57.0</v>
      </c>
      <c r="D64" s="654" t="s">
        <v>413</v>
      </c>
      <c r="E64" s="654" t="s">
        <v>429</v>
      </c>
      <c r="F64" s="654">
        <v>103476.0</v>
      </c>
      <c r="G64" s="654" t="str">
        <f t="array" ref="G64">INDEX(Consolidado!N:N,MATCH(F64,Consolidado!G:G,0))</f>
        <v>Popayán</v>
      </c>
      <c r="H64" s="654" t="str">
        <f t="array" ref="H64">INDEX(Consolidado!R:R,MATCH(F64,Consolidado!G:G,0))</f>
        <v>Posgrado</v>
      </c>
      <c r="I64" s="655"/>
    </row>
    <row r="65" ht="12.75" customHeight="1">
      <c r="C65" s="666">
        <v>58.0</v>
      </c>
      <c r="D65" s="654" t="s">
        <v>413</v>
      </c>
      <c r="E65" s="654" t="s">
        <v>458</v>
      </c>
      <c r="F65" s="654">
        <v>104303.0</v>
      </c>
      <c r="G65" s="654" t="str">
        <f t="array" ref="G65">INDEX(Consolidado!N:N,MATCH(F65,Consolidado!G:G,0))</f>
        <v>Popayán</v>
      </c>
      <c r="H65" s="654" t="str">
        <f t="array" ref="H65">INDEX(Consolidado!R:R,MATCH(F65,Consolidado!G:G,0))</f>
        <v>Posgrado</v>
      </c>
      <c r="I65" s="655"/>
    </row>
    <row r="66" ht="12.75" customHeight="1">
      <c r="C66" s="666">
        <v>59.0</v>
      </c>
      <c r="D66" s="654" t="s">
        <v>413</v>
      </c>
      <c r="E66" s="654" t="s">
        <v>448</v>
      </c>
      <c r="F66" s="654">
        <v>53504.0</v>
      </c>
      <c r="G66" s="654" t="str">
        <f t="array" ref="G66">INDEX(Consolidado!N:N,MATCH(F66,Consolidado!G:G,0))</f>
        <v>Popayán</v>
      </c>
      <c r="H66" s="654" t="str">
        <f t="array" ref="H66">INDEX(Consolidado!R:R,MATCH(F66,Consolidado!G:G,0))</f>
        <v>Posgrado</v>
      </c>
      <c r="I66" s="655"/>
    </row>
    <row r="67" ht="12.75" customHeight="1">
      <c r="C67" s="666">
        <v>60.0</v>
      </c>
      <c r="D67" s="654" t="s">
        <v>413</v>
      </c>
      <c r="E67" s="654" t="s">
        <v>548</v>
      </c>
      <c r="F67" s="654">
        <v>256.0</v>
      </c>
      <c r="G67" s="654" t="str">
        <f t="array" ref="G67">INDEX(Consolidado!N:N,MATCH(F67,Consolidado!G:G,0))</f>
        <v>Popayán</v>
      </c>
      <c r="H67" s="654" t="str">
        <f t="array" ref="H67">INDEX(Consolidado!R:R,MATCH(F67,Consolidado!G:G,0))</f>
        <v>Posgrado</v>
      </c>
      <c r="I67" s="655"/>
    </row>
    <row r="68" ht="12.75" customHeight="1">
      <c r="C68" s="666">
        <v>61.0</v>
      </c>
      <c r="D68" s="654" t="s">
        <v>413</v>
      </c>
      <c r="E68" s="654" t="s">
        <v>510</v>
      </c>
      <c r="F68" s="654">
        <v>4010.0</v>
      </c>
      <c r="G68" s="654" t="str">
        <f t="array" ref="G68">INDEX(Consolidado!N:N,MATCH(F68,Consolidado!G:G,0))</f>
        <v>Popayán</v>
      </c>
      <c r="H68" s="654" t="str">
        <f t="array" ref="H68">INDEX(Consolidado!R:R,MATCH(F68,Consolidado!G:G,0))</f>
        <v>Pregrado</v>
      </c>
      <c r="I68" s="655"/>
    </row>
    <row r="69" ht="12.75" customHeight="1">
      <c r="C69" s="666">
        <v>62.0</v>
      </c>
      <c r="D69" s="654" t="s">
        <v>413</v>
      </c>
      <c r="E69" s="654" t="s">
        <v>517</v>
      </c>
      <c r="F69" s="654">
        <v>2130.0</v>
      </c>
      <c r="G69" s="654" t="str">
        <f t="array" ref="G69">INDEX(Consolidado!N:N,MATCH(F69,Consolidado!G:G,0))</f>
        <v>Popayán</v>
      </c>
      <c r="H69" s="654" t="str">
        <f t="array" ref="H69">INDEX(Consolidado!R:R,MATCH(F69,Consolidado!G:G,0))</f>
        <v>Pregrado</v>
      </c>
      <c r="I69" s="655"/>
    </row>
    <row r="70" ht="12.75" customHeight="1">
      <c r="C70" s="666">
        <v>63.0</v>
      </c>
      <c r="D70" s="654" t="s">
        <v>576</v>
      </c>
      <c r="E70" s="654" t="s">
        <v>593</v>
      </c>
      <c r="F70" s="654">
        <v>4080.0</v>
      </c>
      <c r="G70" s="654" t="str">
        <f t="array" ref="G70">INDEX(Consolidado!N:N,MATCH(F70,Consolidado!G:G,0))</f>
        <v>Popayán</v>
      </c>
      <c r="H70" s="654" t="str">
        <f t="array" ref="H70">INDEX(Consolidado!R:R,MATCH(F70,Consolidado!G:G,0))</f>
        <v>Pregrado</v>
      </c>
      <c r="I70" s="655" t="s">
        <v>1078</v>
      </c>
    </row>
    <row r="71" ht="12.75" customHeight="1">
      <c r="C71" s="666">
        <v>64.0</v>
      </c>
      <c r="D71" s="654" t="s">
        <v>576</v>
      </c>
      <c r="E71" s="654" t="s">
        <v>1068</v>
      </c>
      <c r="F71" s="654">
        <v>8170.0</v>
      </c>
      <c r="G71" s="654" t="str">
        <f t="array" ref="G71">INDEX(Consolidado!N:N,MATCH(F71,Consolidado!G:G,0))</f>
        <v>Popayán</v>
      </c>
      <c r="H71" s="654" t="str">
        <f t="array" ref="H71">INDEX(Consolidado!R:R,MATCH(F71,Consolidado!G:G,0))</f>
        <v>Pregrado</v>
      </c>
      <c r="I71" s="655"/>
    </row>
    <row r="72" ht="12.75" customHeight="1">
      <c r="C72" s="666">
        <v>65.0</v>
      </c>
      <c r="D72" s="654" t="s">
        <v>576</v>
      </c>
      <c r="E72" s="654" t="s">
        <v>577</v>
      </c>
      <c r="F72" s="654">
        <v>233.0</v>
      </c>
      <c r="G72" s="654" t="str">
        <f t="array" ref="G72">INDEX(Consolidado!N:N,MATCH(F72,Consolidado!G:G,0))</f>
        <v>Popayán</v>
      </c>
      <c r="H72" s="654" t="str">
        <f t="array" ref="H72">INDEX(Consolidado!R:R,MATCH(F72,Consolidado!G:G,0))</f>
        <v>Pregrado</v>
      </c>
      <c r="I72" s="655"/>
    </row>
    <row r="73" ht="12.75" customHeight="1">
      <c r="C73" s="666">
        <v>66.0</v>
      </c>
      <c r="D73" s="654" t="s">
        <v>611</v>
      </c>
      <c r="E73" s="654" t="s">
        <v>661</v>
      </c>
      <c r="F73" s="654">
        <v>222.0</v>
      </c>
      <c r="G73" s="654" t="str">
        <f t="array" ref="G73">INDEX(Consolidado!N:N,MATCH(F73,Consolidado!G:G,0))</f>
        <v>Popayán</v>
      </c>
      <c r="H73" s="654" t="str">
        <f t="array" ref="H73">INDEX(Consolidado!R:R,MATCH(F73,Consolidado!G:G,0))</f>
        <v>Pregrado</v>
      </c>
      <c r="I73" s="655"/>
    </row>
    <row r="74" ht="12.75" customHeight="1">
      <c r="C74" s="666">
        <v>67.0</v>
      </c>
      <c r="D74" s="654" t="s">
        <v>611</v>
      </c>
      <c r="E74" s="654" t="s">
        <v>629</v>
      </c>
      <c r="F74" s="654">
        <v>8704.0</v>
      </c>
      <c r="G74" s="654" t="str">
        <f t="array" ref="G74">INDEX(Consolidado!N:N,MATCH(F74,Consolidado!G:G,0))</f>
        <v>Popayán</v>
      </c>
      <c r="H74" s="654" t="str">
        <f t="array" ref="H74">INDEX(Consolidado!R:R,MATCH(F74,Consolidado!G:G,0))</f>
        <v>Pregrado</v>
      </c>
      <c r="I74" s="655"/>
    </row>
    <row r="75" ht="12.75" customHeight="1">
      <c r="C75" s="666">
        <v>68.0</v>
      </c>
      <c r="D75" s="654" t="s">
        <v>611</v>
      </c>
      <c r="E75" s="654" t="s">
        <v>648</v>
      </c>
      <c r="F75" s="654">
        <v>236.0</v>
      </c>
      <c r="G75" s="654" t="str">
        <f t="array" ref="G75">INDEX(Consolidado!N:N,MATCH(F75,Consolidado!G:G,0))</f>
        <v>Popayán</v>
      </c>
      <c r="H75" s="654" t="str">
        <f t="array" ref="H75">INDEX(Consolidado!R:R,MATCH(F75,Consolidado!G:G,0))</f>
        <v>Pregrado</v>
      </c>
      <c r="I75" s="655" t="s">
        <v>1078</v>
      </c>
    </row>
    <row r="76" ht="12.75" customHeight="1">
      <c r="C76" s="666">
        <v>69.0</v>
      </c>
      <c r="D76" s="654" t="s">
        <v>611</v>
      </c>
      <c r="E76" s="654" t="s">
        <v>677</v>
      </c>
      <c r="F76" s="654">
        <v>105455.0</v>
      </c>
      <c r="G76" s="654" t="str">
        <f t="array" ref="G76">INDEX(Consolidado!N:N,MATCH(F76,Consolidado!G:G,0))</f>
        <v>Popayán</v>
      </c>
      <c r="H76" s="654" t="str">
        <f t="array" ref="H76">INDEX(Consolidado!R:R,MATCH(F76,Consolidado!G:G,0))</f>
        <v>Posgrado</v>
      </c>
      <c r="I76" s="655"/>
    </row>
    <row r="77" ht="12.75" customHeight="1">
      <c r="C77" s="666">
        <v>70.0</v>
      </c>
      <c r="D77" s="654" t="s">
        <v>611</v>
      </c>
      <c r="E77" s="654" t="s">
        <v>652</v>
      </c>
      <c r="F77" s="654">
        <v>104528.0</v>
      </c>
      <c r="G77" s="654" t="str">
        <f t="array" ref="G77">INDEX(Consolidado!N:N,MATCH(F77,Consolidado!G:G,0))</f>
        <v>Popayán</v>
      </c>
      <c r="H77" s="654" t="str">
        <f t="array" ref="H77">INDEX(Consolidado!R:R,MATCH(F77,Consolidado!G:G,0))</f>
        <v>Posgrado</v>
      </c>
      <c r="I77" s="655"/>
    </row>
    <row r="78" ht="12.75" customHeight="1">
      <c r="C78" s="666">
        <v>71.0</v>
      </c>
      <c r="D78" s="654" t="s">
        <v>611</v>
      </c>
      <c r="E78" s="654" t="s">
        <v>1082</v>
      </c>
      <c r="F78" s="659">
        <v>104611.0</v>
      </c>
      <c r="G78" s="654" t="str">
        <f t="array" ref="G78">INDEX(Consolidado!N:N,MATCH(F78,Consolidado!G:G,0))</f>
        <v>Popayán</v>
      </c>
      <c r="H78" s="654" t="str">
        <f t="array" ref="H78">INDEX(Consolidado!R:R,MATCH(F78,Consolidado!G:G,0))</f>
        <v>Posgrado</v>
      </c>
      <c r="I78" s="655"/>
    </row>
    <row r="79" ht="12.75" customHeight="1">
      <c r="C79" s="666">
        <v>72.0</v>
      </c>
      <c r="D79" s="654" t="s">
        <v>611</v>
      </c>
      <c r="E79" s="654" t="s">
        <v>669</v>
      </c>
      <c r="F79" s="654" t="s">
        <v>672</v>
      </c>
      <c r="G79" s="654" t="str">
        <f t="array" ref="G79">INDEX(Consolidado!N:N,MATCH(F79,Consolidado!G:G,0))</f>
        <v>Popayán</v>
      </c>
      <c r="H79" s="654" t="str">
        <f t="array" ref="H79">INDEX(Consolidado!R:R,MATCH(F79,Consolidado!G:G,0))</f>
        <v>Posgrado</v>
      </c>
      <c r="I79" s="655"/>
    </row>
    <row r="80" ht="12.75" customHeight="1">
      <c r="C80" s="666">
        <v>73.0</v>
      </c>
      <c r="D80" s="654" t="s">
        <v>695</v>
      </c>
      <c r="E80" s="654" t="s">
        <v>762</v>
      </c>
      <c r="F80" s="654">
        <v>54103.0</v>
      </c>
      <c r="G80" s="654" t="str">
        <f t="array" ref="G80">INDEX(Consolidado!N:N,MATCH(F80,Consolidado!G:G,0))</f>
        <v>Popayán</v>
      </c>
      <c r="H80" s="654" t="str">
        <f t="array" ref="H80">INDEX(Consolidado!R:R,MATCH(F80,Consolidado!G:G,0))</f>
        <v>Posgrado</v>
      </c>
      <c r="I80" s="655"/>
    </row>
    <row r="81" ht="12.75" customHeight="1">
      <c r="C81" s="666">
        <v>74.0</v>
      </c>
      <c r="D81" s="654" t="s">
        <v>695</v>
      </c>
      <c r="E81" s="654" t="s">
        <v>742</v>
      </c>
      <c r="F81" s="654">
        <v>90930.0</v>
      </c>
      <c r="G81" s="654" t="str">
        <f t="array" ref="G81">INDEX(Consolidado!N:N,MATCH(F81,Consolidado!G:G,0))</f>
        <v>Popayán</v>
      </c>
      <c r="H81" s="654" t="str">
        <f t="array" ref="H81">INDEX(Consolidado!R:R,MATCH(F81,Consolidado!G:G,0))</f>
        <v>Posgrado</v>
      </c>
      <c r="I81" s="655"/>
    </row>
    <row r="82" ht="12.75" customHeight="1">
      <c r="C82" s="666">
        <v>75.0</v>
      </c>
      <c r="D82" s="654" t="s">
        <v>695</v>
      </c>
      <c r="E82" s="654" t="s">
        <v>731</v>
      </c>
      <c r="F82" s="654">
        <v>7520.0</v>
      </c>
      <c r="G82" s="654" t="str">
        <f t="array" ref="G82">INDEX(Consolidado!N:N,MATCH(F82,Consolidado!G:G,0))</f>
        <v>Popayán</v>
      </c>
      <c r="H82" s="654" t="str">
        <f t="array" ref="H82">INDEX(Consolidado!R:R,MATCH(F82,Consolidado!G:G,0))</f>
        <v>Pregrado</v>
      </c>
      <c r="I82" s="655"/>
    </row>
    <row r="83" ht="12.75" customHeight="1">
      <c r="C83" s="666">
        <v>76.0</v>
      </c>
      <c r="D83" s="654" t="s">
        <v>695</v>
      </c>
      <c r="E83" s="654" t="s">
        <v>706</v>
      </c>
      <c r="F83" s="654">
        <v>238.0</v>
      </c>
      <c r="G83" s="654" t="str">
        <f t="array" ref="G83">INDEX(Consolidado!N:N,MATCH(F83,Consolidado!G:G,0))</f>
        <v>Popayán</v>
      </c>
      <c r="H83" s="654" t="str">
        <f t="array" ref="H83">INDEX(Consolidado!R:R,MATCH(F83,Consolidado!G:G,0))</f>
        <v>Pregrado</v>
      </c>
      <c r="I83" s="655"/>
    </row>
    <row r="84" ht="12.75" customHeight="1">
      <c r="C84" s="666">
        <v>77.0</v>
      </c>
      <c r="D84" s="654" t="s">
        <v>695</v>
      </c>
      <c r="E84" s="654" t="s">
        <v>774</v>
      </c>
      <c r="F84" s="654">
        <v>7519.0</v>
      </c>
      <c r="G84" s="654" t="str">
        <f t="array" ref="G84">INDEX(Consolidado!N:N,MATCH(F84,Consolidado!G:G,0))</f>
        <v>Popayán</v>
      </c>
      <c r="H84" s="654" t="str">
        <f t="array" ref="H84">INDEX(Consolidado!R:R,MATCH(F84,Consolidado!G:G,0))</f>
        <v>Pregrado</v>
      </c>
      <c r="I84" s="655"/>
    </row>
    <row r="85" ht="12.75" customHeight="1">
      <c r="C85" s="666">
        <v>78.0</v>
      </c>
      <c r="D85" s="654" t="s">
        <v>695</v>
      </c>
      <c r="E85" s="654" t="s">
        <v>755</v>
      </c>
      <c r="F85" s="654">
        <v>55175.0</v>
      </c>
      <c r="G85" s="654" t="str">
        <f t="array" ref="G85">INDEX(Consolidado!N:N,MATCH(F85,Consolidado!G:G,0))</f>
        <v>Popayán</v>
      </c>
      <c r="H85" s="654" t="str">
        <f t="array" ref="H85">INDEX(Consolidado!R:R,MATCH(F85,Consolidado!G:G,0))</f>
        <v>Posgrado</v>
      </c>
      <c r="I85" s="655"/>
    </row>
    <row r="86" ht="12.75" customHeight="1">
      <c r="C86" s="666">
        <v>79.0</v>
      </c>
      <c r="D86" s="654" t="s">
        <v>695</v>
      </c>
      <c r="E86" s="654" t="s">
        <v>768</v>
      </c>
      <c r="F86" s="654">
        <v>53505.0</v>
      </c>
      <c r="G86" s="654" t="str">
        <f t="array" ref="G86">INDEX(Consolidado!N:N,MATCH(F86,Consolidado!G:G,0))</f>
        <v>Popayán</v>
      </c>
      <c r="H86" s="654" t="str">
        <f t="array" ref="H86">INDEX(Consolidado!R:R,MATCH(F86,Consolidado!G:G,0))</f>
        <v>Posgrado</v>
      </c>
      <c r="I86" s="655"/>
    </row>
    <row r="87" ht="12.75" customHeight="1">
      <c r="C87" s="666">
        <v>80.0</v>
      </c>
      <c r="D87" s="654" t="s">
        <v>695</v>
      </c>
      <c r="E87" s="654" t="s">
        <v>737</v>
      </c>
      <c r="F87" s="654">
        <v>252.0</v>
      </c>
      <c r="G87" s="654" t="str">
        <f t="array" ref="G87">INDEX(Consolidado!N:N,MATCH(F87,Consolidado!G:G,0))</f>
        <v>Popayán</v>
      </c>
      <c r="H87" s="654" t="str">
        <f t="array" ref="H87">INDEX(Consolidado!R:R,MATCH(F87,Consolidado!G:G,0))</f>
        <v>Posgrado</v>
      </c>
      <c r="I87" s="655"/>
    </row>
    <row r="88" ht="12.75" customHeight="1">
      <c r="C88" s="666">
        <v>81.0</v>
      </c>
      <c r="D88" s="654" t="s">
        <v>695</v>
      </c>
      <c r="E88" s="654" t="s">
        <v>714</v>
      </c>
      <c r="F88" s="654">
        <v>90930.0</v>
      </c>
      <c r="G88" s="654" t="str">
        <f t="array" ref="G88">INDEX(Consolidado!N:N,MATCH(F88,Consolidado!G:G,0))</f>
        <v>Popayán</v>
      </c>
      <c r="H88" s="654" t="str">
        <f t="array" ref="H88">INDEX(Consolidado!R:R,MATCH(F88,Consolidado!G:G,0))</f>
        <v>Posgrado</v>
      </c>
      <c r="I88" s="655"/>
    </row>
    <row r="89" ht="12.75" customHeight="1">
      <c r="C89" s="666">
        <v>82.0</v>
      </c>
      <c r="D89" s="654" t="s">
        <v>695</v>
      </c>
      <c r="E89" s="654" t="s">
        <v>747</v>
      </c>
      <c r="F89" s="654">
        <v>104646.0</v>
      </c>
      <c r="G89" s="654" t="str">
        <f t="array" ref="G89">INDEX(Consolidado!N:N,MATCH(F89,Consolidado!G:G,0))</f>
        <v>Popayán</v>
      </c>
      <c r="H89" s="654" t="str">
        <f t="array" ref="H89">INDEX(Consolidado!R:R,MATCH(F89,Consolidado!G:G,0))</f>
        <v>Posgrado</v>
      </c>
      <c r="I89" s="655"/>
    </row>
    <row r="90" ht="12.75" customHeight="1">
      <c r="C90" s="666">
        <v>83.0</v>
      </c>
      <c r="D90" s="654" t="s">
        <v>695</v>
      </c>
      <c r="E90" s="654" t="s">
        <v>724</v>
      </c>
      <c r="F90" s="654">
        <v>223.0</v>
      </c>
      <c r="G90" s="654" t="str">
        <f t="array" ref="G90">INDEX(Consolidado!N:N,MATCH(F90,Consolidado!G:G,0))</f>
        <v>Popayán</v>
      </c>
      <c r="H90" s="654" t="str">
        <f t="array" ref="H90">INDEX(Consolidado!R:R,MATCH(F90,Consolidado!G:G,0))</f>
        <v>Pregrado</v>
      </c>
      <c r="I90" s="655" t="s">
        <v>1077</v>
      </c>
    </row>
  </sheetData>
  <mergeCells count="3">
    <mergeCell ref="C1:C4"/>
    <mergeCell ref="I1:I4"/>
    <mergeCell ref="C6:I6"/>
  </mergeCells>
  <conditionalFormatting sqref="D8:I90">
    <cfRule type="expression" dxfId="3" priority="1">
      <formula>$I8="Acreditado a 2026"</formula>
    </cfRule>
  </conditionalFormatting>
  <conditionalFormatting sqref="D8:I90">
    <cfRule type="expression" dxfId="4" priority="2">
      <formula>$I8="En proceso de AAC"</formula>
    </cfRule>
  </conditionalFormatting>
  <conditionalFormatting sqref="D8:I90">
    <cfRule type="expression" dxfId="5" priority="3">
      <formula>$I8="Nuevos"</formula>
    </cfRule>
  </conditionalFormatting>
  <conditionalFormatting sqref="D8:I90">
    <cfRule type="expression" dxfId="6" priority="4">
      <formula>$I8="En proceso renovación"</formula>
    </cfRule>
  </conditionalFormatting>
  <conditionalFormatting sqref="D8:I90">
    <cfRule type="expression" dxfId="7" priority="5">
      <formula>$I8="Renovaciones"</formula>
    </cfRule>
  </conditionalFormatting>
  <dataValidations>
    <dataValidation type="list" allowBlank="1" showErrorMessage="1" sqref="I8:I90">
      <formula1>$L$8:$L$12</formula1>
    </dataValidation>
  </dataValidations>
  <printOptions/>
  <pageMargins bottom="0.75" footer="0.0" header="0.0" left="0.7" right="0.7" top="0.75"/>
  <pageSetup orientation="portrait"/>
  <drawing r:id="rId2"/>
  <legacyDrawing r:id="rId3"/>
  <tableParts count="1">
    <tablePart r:id="rId5"/>
  </tableParts>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00000"/>
    <pageSetUpPr/>
  </sheetPr>
  <sheetViews>
    <sheetView workbookViewId="0">
      <pane xSplit="4.0" ySplit="6.0" topLeftCell="E7" activePane="bottomRight" state="frozen"/>
      <selection activeCell="E1" sqref="E1" pane="topRight"/>
      <selection activeCell="A7" sqref="A7" pane="bottomLeft"/>
      <selection activeCell="E7" sqref="E7" pane="bottomRight"/>
    </sheetView>
  </sheetViews>
  <sheetFormatPr customHeight="1" defaultColWidth="12.63" defaultRowHeight="15.0"/>
  <cols>
    <col customWidth="1" min="1" max="1" width="8.38"/>
    <col customWidth="1" min="2" max="2" width="31.25"/>
    <col customWidth="1" min="3" max="3" width="35.0"/>
    <col customWidth="1" min="4" max="4" width="9.13"/>
    <col customWidth="1" min="5" max="5" width="13.0"/>
    <col customWidth="1" min="6" max="6" width="12.25"/>
    <col customWidth="1" min="7" max="7" width="11.38"/>
    <col customWidth="1" min="8" max="8" width="16.38"/>
    <col customWidth="1" min="9" max="9" width="21.38"/>
    <col customWidth="1" min="10" max="10" width="14.38"/>
    <col customWidth="1" min="11" max="11" width="10.0"/>
    <col customWidth="1" min="12" max="29" width="11.38"/>
    <col customWidth="1" min="30" max="30" width="13.25"/>
    <col customWidth="1" min="31" max="31" width="11.38"/>
  </cols>
  <sheetData>
    <row r="1" ht="42.0" customHeight="1">
      <c r="A1" s="603"/>
      <c r="K1" s="667"/>
      <c r="L1" s="667"/>
      <c r="M1" s="667"/>
      <c r="N1" s="667"/>
      <c r="O1" s="667"/>
      <c r="P1" s="667"/>
      <c r="Q1" s="667"/>
      <c r="R1" s="667"/>
      <c r="S1" s="667"/>
      <c r="T1" s="667"/>
      <c r="U1" s="667"/>
      <c r="V1" s="667"/>
      <c r="W1" s="667"/>
      <c r="X1" s="667"/>
      <c r="Y1" s="667"/>
      <c r="Z1" s="667"/>
      <c r="AA1" s="667"/>
      <c r="AB1" s="667"/>
      <c r="AC1" s="667"/>
      <c r="AD1" s="603"/>
      <c r="AE1" s="667"/>
    </row>
    <row r="2" ht="42.0" customHeight="1">
      <c r="A2" s="32" t="s">
        <v>0</v>
      </c>
      <c r="K2" s="667"/>
      <c r="L2" s="667"/>
      <c r="M2" s="667"/>
      <c r="N2" s="667"/>
      <c r="O2" s="667"/>
      <c r="P2" s="667"/>
      <c r="Q2" s="667"/>
      <c r="R2" s="667"/>
      <c r="S2" s="667"/>
      <c r="T2" s="667"/>
      <c r="U2" s="667"/>
      <c r="V2" s="667"/>
      <c r="W2" s="667"/>
      <c r="X2" s="667"/>
      <c r="Y2" s="667"/>
      <c r="Z2" s="667"/>
      <c r="AA2" s="667"/>
      <c r="AB2" s="667"/>
      <c r="AC2" s="667"/>
      <c r="AD2" s="603"/>
      <c r="AE2" s="667"/>
    </row>
    <row r="3" ht="42.0" customHeight="1">
      <c r="A3" s="32" t="s">
        <v>1083</v>
      </c>
      <c r="K3" s="667"/>
      <c r="L3" s="667"/>
      <c r="M3" s="667"/>
      <c r="N3" s="667"/>
      <c r="O3" s="667"/>
      <c r="P3" s="667"/>
      <c r="Q3" s="667"/>
      <c r="R3" s="667"/>
      <c r="S3" s="667"/>
      <c r="T3" s="667"/>
      <c r="U3" s="667"/>
      <c r="V3" s="667"/>
      <c r="W3" s="667"/>
      <c r="X3" s="667"/>
      <c r="Y3" s="667"/>
      <c r="Z3" s="667"/>
      <c r="AA3" s="667"/>
      <c r="AB3" s="667"/>
      <c r="AC3" s="667"/>
      <c r="AD3" s="603"/>
      <c r="AE3" s="667"/>
    </row>
    <row r="4" ht="42.0" customHeight="1">
      <c r="A4" s="40" t="s">
        <v>1084</v>
      </c>
      <c r="E4" s="38"/>
      <c r="F4" s="38"/>
      <c r="G4" s="38"/>
      <c r="H4" s="38"/>
      <c r="I4" s="38"/>
      <c r="J4" s="38"/>
      <c r="K4" s="667"/>
      <c r="L4" s="667"/>
      <c r="M4" s="667"/>
      <c r="N4" s="667"/>
      <c r="O4" s="667"/>
      <c r="P4" s="667"/>
      <c r="Q4" s="667"/>
      <c r="R4" s="667"/>
      <c r="S4" s="667"/>
      <c r="T4" s="667"/>
      <c r="U4" s="667"/>
      <c r="V4" s="667"/>
      <c r="W4" s="667"/>
      <c r="X4" s="667"/>
      <c r="Y4" s="667"/>
      <c r="Z4" s="667"/>
      <c r="AA4" s="667"/>
      <c r="AB4" s="667"/>
      <c r="AC4" s="667"/>
      <c r="AD4" s="603"/>
      <c r="AE4" s="667"/>
    </row>
    <row r="5" ht="42.0" customHeight="1">
      <c r="A5" s="38"/>
      <c r="B5" s="43"/>
      <c r="C5" s="43"/>
      <c r="D5" s="43"/>
      <c r="E5" s="43"/>
      <c r="F5" s="43"/>
      <c r="G5" s="43"/>
      <c r="H5" s="43"/>
      <c r="I5" s="43"/>
      <c r="J5" s="43"/>
      <c r="K5" s="667"/>
      <c r="L5" s="667"/>
      <c r="M5" s="667"/>
      <c r="N5" s="667"/>
      <c r="O5" s="667"/>
      <c r="P5" s="667"/>
      <c r="Q5" s="667"/>
      <c r="R5" s="667"/>
      <c r="S5" s="667"/>
      <c r="T5" s="667"/>
      <c r="U5" s="667"/>
      <c r="V5" s="667"/>
      <c r="W5" s="667"/>
      <c r="X5" s="667"/>
      <c r="Y5" s="667"/>
      <c r="Z5" s="667"/>
      <c r="AA5" s="667"/>
      <c r="AB5" s="667"/>
      <c r="AC5" s="667"/>
      <c r="AD5" s="603"/>
      <c r="AE5" s="667"/>
    </row>
    <row r="6" ht="42.0" customHeight="1">
      <c r="A6" s="668" t="s">
        <v>17</v>
      </c>
      <c r="B6" s="669" t="s">
        <v>19</v>
      </c>
      <c r="C6" s="669" t="s">
        <v>20</v>
      </c>
      <c r="D6" s="669" t="s">
        <v>23</v>
      </c>
      <c r="E6" s="670" t="s">
        <v>1085</v>
      </c>
      <c r="F6" s="670" t="s">
        <v>63</v>
      </c>
      <c r="G6" s="670" t="s">
        <v>48</v>
      </c>
      <c r="H6" s="671" t="s">
        <v>1086</v>
      </c>
      <c r="I6" s="672" t="s">
        <v>1087</v>
      </c>
      <c r="J6" s="670" t="s">
        <v>66</v>
      </c>
      <c r="K6" s="669" t="s">
        <v>1088</v>
      </c>
      <c r="L6" s="669" t="s">
        <v>1089</v>
      </c>
      <c r="M6" s="669" t="s">
        <v>1090</v>
      </c>
      <c r="N6" s="669" t="s">
        <v>1091</v>
      </c>
      <c r="O6" s="669" t="s">
        <v>1092</v>
      </c>
      <c r="P6" s="669" t="s">
        <v>1093</v>
      </c>
      <c r="Q6" s="669" t="s">
        <v>1094</v>
      </c>
      <c r="R6" s="669" t="s">
        <v>1095</v>
      </c>
      <c r="S6" s="669" t="s">
        <v>1096</v>
      </c>
      <c r="T6" s="669" t="s">
        <v>1097</v>
      </c>
      <c r="U6" s="669" t="s">
        <v>1098</v>
      </c>
      <c r="V6" s="669" t="s">
        <v>1099</v>
      </c>
      <c r="W6" s="669" t="s">
        <v>1100</v>
      </c>
      <c r="X6" s="669" t="s">
        <v>1101</v>
      </c>
      <c r="Y6" s="669" t="s">
        <v>1102</v>
      </c>
      <c r="Z6" s="669" t="s">
        <v>1103</v>
      </c>
      <c r="AA6" s="669" t="s">
        <v>1104</v>
      </c>
      <c r="AB6" s="669" t="s">
        <v>1105</v>
      </c>
      <c r="AC6" s="673" t="s">
        <v>1106</v>
      </c>
      <c r="AD6" s="673" t="s">
        <v>1075</v>
      </c>
      <c r="AE6" s="674" t="s">
        <v>1107</v>
      </c>
    </row>
    <row r="7" ht="36.0" customHeight="1">
      <c r="A7" s="675">
        <v>1.0</v>
      </c>
      <c r="B7" s="620" t="s">
        <v>74</v>
      </c>
      <c r="C7" s="620" t="s">
        <v>75</v>
      </c>
      <c r="D7" s="621">
        <v>224.0</v>
      </c>
      <c r="E7" s="676" t="str">
        <f>Consolidado!$AU$7</f>
        <v/>
      </c>
      <c r="F7" s="677" t="str">
        <f>Consolidado!$AV$7</f>
        <v/>
      </c>
      <c r="G7" s="676" t="str">
        <f>Consolidado!$AW$7</f>
        <v/>
      </c>
      <c r="H7" s="80" t="str">
        <f t="shared" ref="H7:H175" si="1">EDATE(F7,(G7*12)-14)</f>
        <v>#NUM!</v>
      </c>
      <c r="I7" s="84" t="str">
        <f t="shared" ref="I7:I175" si="2">EDATE(F7,(G7*12)-12)</f>
        <v>#NUM!</v>
      </c>
      <c r="J7" s="84">
        <f t="shared" ref="J7:J175" si="3">EDATE(F7,(G7*12))</f>
        <v>0</v>
      </c>
      <c r="K7" s="678"/>
      <c r="L7" s="678"/>
      <c r="M7" s="678"/>
      <c r="N7" s="678"/>
      <c r="O7" s="678"/>
      <c r="P7" s="678"/>
      <c r="Q7" s="678"/>
      <c r="R7" s="678"/>
      <c r="S7" s="678"/>
      <c r="T7" s="678"/>
      <c r="U7" s="678"/>
      <c r="V7" s="678"/>
      <c r="W7" s="678"/>
      <c r="X7" s="678"/>
      <c r="Y7" s="679"/>
      <c r="Z7" s="678"/>
      <c r="AA7" s="678"/>
      <c r="AB7" s="678"/>
      <c r="AC7" s="678"/>
      <c r="AD7" s="67" t="str">
        <f t="shared" ref="AD7:AD155" si="4">IF(J7="N/A","N/A",IF(J7&gt;TODAY(),"Vigente","En proceso"))</f>
        <v>En proceso</v>
      </c>
      <c r="AE7" s="680" t="str">
        <f t="shared" ref="AE7:AE155" si="5">IF(K7="X",1,IF(L7="X",2,IF(M7="X",3,IF(N7="X",4,IF(O7="X",5,IF(P7="X",6,IF(Q7="X",7,IF(R7="X",8,IF(S7="X",9,IF(T7="X",10,IF(U7="X",11,IF(V7="X",12,IF(W7="X",13,IF(X7="X",14,IF(Y7="X",15,IF(Z7="X",16,IF(AA7="X",17,IF(AB7="X",18,IF(AC7="X",19," ")))))))))))))))))))</f>
        <v> </v>
      </c>
    </row>
    <row r="8" ht="42.0" customHeight="1">
      <c r="A8" s="675">
        <v>2.0</v>
      </c>
      <c r="B8" s="66" t="s">
        <v>74</v>
      </c>
      <c r="C8" s="66" t="s">
        <v>1053</v>
      </c>
      <c r="D8" s="88">
        <v>225.0</v>
      </c>
      <c r="E8" s="433" t="str">
        <f>Consolidado!$AU$8</f>
        <v/>
      </c>
      <c r="F8" s="84" t="str">
        <f>Consolidado!$AV$8</f>
        <v/>
      </c>
      <c r="G8" s="91" t="str">
        <f>Consolidado!$AW$8</f>
        <v/>
      </c>
      <c r="H8" s="80" t="str">
        <f t="shared" si="1"/>
        <v>#NUM!</v>
      </c>
      <c r="I8" s="84" t="str">
        <f t="shared" si="2"/>
        <v>#NUM!</v>
      </c>
      <c r="J8" s="84">
        <f t="shared" si="3"/>
        <v>0</v>
      </c>
      <c r="K8" s="681"/>
      <c r="L8" s="681"/>
      <c r="M8" s="681"/>
      <c r="N8" s="681"/>
      <c r="O8" s="681"/>
      <c r="P8" s="681"/>
      <c r="Q8" s="681"/>
      <c r="R8" s="681"/>
      <c r="S8" s="681"/>
      <c r="T8" s="681"/>
      <c r="U8" s="681"/>
      <c r="V8" s="681"/>
      <c r="W8" s="681"/>
      <c r="X8" s="681"/>
      <c r="Y8" s="681"/>
      <c r="Z8" s="681"/>
      <c r="AA8" s="681"/>
      <c r="AB8" s="681"/>
      <c r="AC8" s="681"/>
      <c r="AD8" s="67" t="str">
        <f t="shared" si="4"/>
        <v>En proceso</v>
      </c>
      <c r="AE8" s="682" t="str">
        <f t="shared" si="5"/>
        <v> </v>
      </c>
    </row>
    <row r="9" ht="42.0" customHeight="1">
      <c r="A9" s="675">
        <v>3.0</v>
      </c>
      <c r="B9" s="683" t="s">
        <v>74</v>
      </c>
      <c r="C9" s="66" t="s">
        <v>1054</v>
      </c>
      <c r="D9" s="65">
        <v>4963.0</v>
      </c>
      <c r="E9" s="433">
        <f>Consolidado!$AU$9</f>
        <v>1042</v>
      </c>
      <c r="F9" s="74">
        <f>Consolidado!$AV$9</f>
        <v>44960</v>
      </c>
      <c r="G9" s="91">
        <f>Consolidado!$AW$9</f>
        <v>6</v>
      </c>
      <c r="H9" s="80">
        <f t="shared" si="1"/>
        <v>46724</v>
      </c>
      <c r="I9" s="84">
        <f t="shared" si="2"/>
        <v>46786</v>
      </c>
      <c r="J9" s="84">
        <f t="shared" si="3"/>
        <v>47152</v>
      </c>
      <c r="K9" s="681"/>
      <c r="L9" s="681"/>
      <c r="M9" s="681"/>
      <c r="N9" s="681"/>
      <c r="O9" s="681"/>
      <c r="P9" s="681"/>
      <c r="Q9" s="681"/>
      <c r="R9" s="681"/>
      <c r="S9" s="681"/>
      <c r="T9" s="681"/>
      <c r="U9" s="681"/>
      <c r="V9" s="681"/>
      <c r="W9" s="681"/>
      <c r="X9" s="681"/>
      <c r="Y9" s="679"/>
      <c r="Z9" s="681"/>
      <c r="AA9" s="681"/>
      <c r="AB9" s="681"/>
      <c r="AC9" s="681"/>
      <c r="AD9" s="67" t="str">
        <f t="shared" si="4"/>
        <v>Vigente</v>
      </c>
      <c r="AE9" s="682" t="str">
        <f t="shared" si="5"/>
        <v> </v>
      </c>
    </row>
    <row r="10" ht="42.0" customHeight="1">
      <c r="A10" s="675">
        <v>4.0</v>
      </c>
      <c r="B10" s="66" t="s">
        <v>74</v>
      </c>
      <c r="C10" s="66" t="s">
        <v>1055</v>
      </c>
      <c r="D10" s="65">
        <v>11067.0</v>
      </c>
      <c r="E10" s="433">
        <f>Consolidado!$AU$10</f>
        <v>1037</v>
      </c>
      <c r="F10" s="74">
        <f>Consolidado!$AV$10</f>
        <v>44960</v>
      </c>
      <c r="G10" s="91">
        <f>Consolidado!$AW$10</f>
        <v>6</v>
      </c>
      <c r="H10" s="80">
        <f t="shared" si="1"/>
        <v>46724</v>
      </c>
      <c r="I10" s="84">
        <f t="shared" si="2"/>
        <v>46786</v>
      </c>
      <c r="J10" s="84">
        <f t="shared" si="3"/>
        <v>47152</v>
      </c>
      <c r="K10" s="681"/>
      <c r="L10" s="681"/>
      <c r="M10" s="667"/>
      <c r="N10" s="681"/>
      <c r="O10" s="681"/>
      <c r="P10" s="681"/>
      <c r="Q10" s="667"/>
      <c r="R10" s="681"/>
      <c r="S10" s="681"/>
      <c r="T10" s="681"/>
      <c r="U10" s="681"/>
      <c r="V10" s="681"/>
      <c r="W10" s="681"/>
      <c r="X10" s="681"/>
      <c r="Y10" s="681"/>
      <c r="Z10" s="681"/>
      <c r="AA10" s="681"/>
      <c r="AB10" s="681"/>
      <c r="AC10" s="681"/>
      <c r="AD10" s="67" t="str">
        <f t="shared" si="4"/>
        <v>Vigente</v>
      </c>
      <c r="AE10" s="682" t="str">
        <f t="shared" si="5"/>
        <v> </v>
      </c>
    </row>
    <row r="11" ht="42.0" customHeight="1">
      <c r="A11" s="675">
        <v>5.0</v>
      </c>
      <c r="B11" s="66" t="s">
        <v>74</v>
      </c>
      <c r="C11" s="66" t="s">
        <v>110</v>
      </c>
      <c r="D11" s="65">
        <v>54801.0</v>
      </c>
      <c r="E11" s="433">
        <f>Consolidado!$AU$11</f>
        <v>6400</v>
      </c>
      <c r="F11" s="74">
        <f>Consolidado!$AV$11</f>
        <v>45036</v>
      </c>
      <c r="G11" s="91">
        <f>Consolidado!$AW$11</f>
        <v>6</v>
      </c>
      <c r="H11" s="80">
        <f t="shared" si="1"/>
        <v>46803</v>
      </c>
      <c r="I11" s="84">
        <f t="shared" si="2"/>
        <v>46863</v>
      </c>
      <c r="J11" s="84">
        <f t="shared" si="3"/>
        <v>47228</v>
      </c>
      <c r="K11" s="681"/>
      <c r="L11" s="681"/>
      <c r="M11" s="667"/>
      <c r="N11" s="681"/>
      <c r="O11" s="681"/>
      <c r="P11" s="681"/>
      <c r="Q11" s="667"/>
      <c r="R11" s="681"/>
      <c r="S11" s="681"/>
      <c r="T11" s="681"/>
      <c r="U11" s="681"/>
      <c r="V11" s="681"/>
      <c r="W11" s="681"/>
      <c r="X11" s="681"/>
      <c r="Y11" s="681"/>
      <c r="Z11" s="681"/>
      <c r="AA11" s="681"/>
      <c r="AB11" s="681"/>
      <c r="AC11" s="681"/>
      <c r="AD11" s="67" t="str">
        <f t="shared" si="4"/>
        <v>Vigente</v>
      </c>
      <c r="AE11" s="682" t="str">
        <f t="shared" si="5"/>
        <v> </v>
      </c>
    </row>
    <row r="12" ht="42.0" customHeight="1">
      <c r="A12" s="675">
        <v>6.0</v>
      </c>
      <c r="B12" s="66" t="s">
        <v>74</v>
      </c>
      <c r="C12" s="66" t="s">
        <v>90</v>
      </c>
      <c r="D12" s="65">
        <v>104526.0</v>
      </c>
      <c r="E12" s="433">
        <f>Consolidado!$AU$12</f>
        <v>6402</v>
      </c>
      <c r="F12" s="90">
        <f>Consolidado!$AV$12</f>
        <v>45036</v>
      </c>
      <c r="G12" s="91">
        <f>Consolidado!$AW$12</f>
        <v>4</v>
      </c>
      <c r="H12" s="80">
        <f t="shared" si="1"/>
        <v>46073</v>
      </c>
      <c r="I12" s="84">
        <f t="shared" si="2"/>
        <v>46132</v>
      </c>
      <c r="J12" s="84">
        <f t="shared" si="3"/>
        <v>46497</v>
      </c>
      <c r="K12" s="681"/>
      <c r="L12" s="681"/>
      <c r="M12" s="681"/>
      <c r="N12" s="681"/>
      <c r="O12" s="681"/>
      <c r="P12" s="681"/>
      <c r="Q12" s="681"/>
      <c r="R12" s="681"/>
      <c r="S12" s="681"/>
      <c r="T12" s="681"/>
      <c r="U12" s="681"/>
      <c r="V12" s="681"/>
      <c r="W12" s="681"/>
      <c r="X12" s="681"/>
      <c r="Y12" s="681"/>
      <c r="Z12" s="681"/>
      <c r="AA12" s="681"/>
      <c r="AB12" s="681"/>
      <c r="AC12" s="681"/>
      <c r="AD12" s="67" t="str">
        <f t="shared" si="4"/>
        <v>Vigente</v>
      </c>
      <c r="AE12" s="682" t="str">
        <f t="shared" si="5"/>
        <v> </v>
      </c>
    </row>
    <row r="13" ht="42.0" customHeight="1">
      <c r="A13" s="675">
        <v>7.0</v>
      </c>
      <c r="B13" s="66" t="s">
        <v>74</v>
      </c>
      <c r="C13" s="66" t="s">
        <v>101</v>
      </c>
      <c r="D13" s="88">
        <v>106085.0</v>
      </c>
      <c r="E13" s="91" t="str">
        <f>Consolidado!#REF!</f>
        <v>#ERROR!</v>
      </c>
      <c r="F13" s="91" t="str">
        <f>Consolidado!#REF!</f>
        <v>#ERROR!</v>
      </c>
      <c r="G13" s="91" t="str">
        <f>Consolidado!#REF!</f>
        <v>#ERROR!</v>
      </c>
      <c r="H13" s="80" t="str">
        <f t="shared" si="1"/>
        <v>#ERROR!</v>
      </c>
      <c r="I13" s="84" t="str">
        <f t="shared" si="2"/>
        <v>#ERROR!</v>
      </c>
      <c r="J13" s="84" t="str">
        <f t="shared" si="3"/>
        <v>#ERROR!</v>
      </c>
      <c r="K13" s="681"/>
      <c r="L13" s="681"/>
      <c r="M13" s="681"/>
      <c r="N13" s="681"/>
      <c r="O13" s="681"/>
      <c r="P13" s="681"/>
      <c r="Q13" s="681"/>
      <c r="R13" s="681"/>
      <c r="S13" s="681"/>
      <c r="T13" s="681"/>
      <c r="U13" s="681"/>
      <c r="V13" s="681"/>
      <c r="W13" s="681"/>
      <c r="X13" s="681"/>
      <c r="Y13" s="681"/>
      <c r="Z13" s="681"/>
      <c r="AA13" s="681"/>
      <c r="AB13" s="681"/>
      <c r="AC13" s="681"/>
      <c r="AD13" s="67" t="str">
        <f t="shared" si="4"/>
        <v>#ERROR!</v>
      </c>
      <c r="AE13" s="682" t="str">
        <f t="shared" si="5"/>
        <v> </v>
      </c>
    </row>
    <row r="14" ht="42.0" customHeight="1">
      <c r="A14" s="684">
        <v>8.0</v>
      </c>
      <c r="B14" s="66" t="s">
        <v>130</v>
      </c>
      <c r="C14" s="66" t="s">
        <v>131</v>
      </c>
      <c r="D14" s="65">
        <v>3833.0</v>
      </c>
      <c r="E14" s="433" t="str">
        <f t="shared" ref="E14:G14" si="6">#REF!</f>
        <v>#REF!</v>
      </c>
      <c r="F14" s="84" t="str">
        <f t="shared" si="6"/>
        <v>#REF!</v>
      </c>
      <c r="G14" s="91" t="str">
        <f t="shared" si="6"/>
        <v>#REF!</v>
      </c>
      <c r="H14" s="80" t="str">
        <f t="shared" si="1"/>
        <v>#REF!</v>
      </c>
      <c r="I14" s="84" t="str">
        <f t="shared" si="2"/>
        <v>#REF!</v>
      </c>
      <c r="J14" s="84" t="str">
        <f t="shared" si="3"/>
        <v>#REF!</v>
      </c>
      <c r="K14" s="681"/>
      <c r="L14" s="681"/>
      <c r="M14" s="681"/>
      <c r="N14" s="681"/>
      <c r="O14" s="681"/>
      <c r="P14" s="681"/>
      <c r="Q14" s="681"/>
      <c r="R14" s="681"/>
      <c r="S14" s="681"/>
      <c r="T14" s="681"/>
      <c r="U14" s="681"/>
      <c r="V14" s="681"/>
      <c r="W14" s="681"/>
      <c r="X14" s="681"/>
      <c r="Y14" s="681"/>
      <c r="Z14" s="681"/>
      <c r="AA14" s="681"/>
      <c r="AB14" s="681"/>
      <c r="AC14" s="681"/>
      <c r="AD14" s="67" t="str">
        <f t="shared" si="4"/>
        <v>#REF!</v>
      </c>
      <c r="AE14" s="682" t="str">
        <f t="shared" si="5"/>
        <v> </v>
      </c>
    </row>
    <row r="15" ht="42.0" customHeight="1">
      <c r="A15" s="684">
        <v>9.0</v>
      </c>
      <c r="B15" s="66" t="s">
        <v>130</v>
      </c>
      <c r="C15" s="66" t="s">
        <v>970</v>
      </c>
      <c r="D15" s="65">
        <v>7171.0</v>
      </c>
      <c r="E15" s="433" t="str">
        <f t="shared" ref="E15:G15" si="7">#REF!</f>
        <v>#REF!</v>
      </c>
      <c r="F15" s="74" t="str">
        <f t="shared" si="7"/>
        <v>#REF!</v>
      </c>
      <c r="G15" s="91" t="str">
        <f t="shared" si="7"/>
        <v>#REF!</v>
      </c>
      <c r="H15" s="80" t="str">
        <f t="shared" si="1"/>
        <v>#REF!</v>
      </c>
      <c r="I15" s="84" t="str">
        <f t="shared" si="2"/>
        <v>#REF!</v>
      </c>
      <c r="J15" s="84" t="str">
        <f t="shared" si="3"/>
        <v>#REF!</v>
      </c>
      <c r="K15" s="681"/>
      <c r="L15" s="681"/>
      <c r="M15" s="681"/>
      <c r="N15" s="681"/>
      <c r="O15" s="681"/>
      <c r="P15" s="681"/>
      <c r="Q15" s="681"/>
      <c r="R15" s="681"/>
      <c r="S15" s="681"/>
      <c r="T15" s="681"/>
      <c r="U15" s="681"/>
      <c r="V15" s="681"/>
      <c r="W15" s="681" t="s">
        <v>1108</v>
      </c>
      <c r="X15" s="681"/>
      <c r="Y15" s="681"/>
      <c r="Z15" s="681"/>
      <c r="AA15" s="681"/>
      <c r="AB15" s="681"/>
      <c r="AC15" s="681"/>
      <c r="AD15" s="67" t="str">
        <f t="shared" si="4"/>
        <v>#REF!</v>
      </c>
      <c r="AE15" s="682">
        <f t="shared" si="5"/>
        <v>13</v>
      </c>
    </row>
    <row r="16" ht="42.0" customHeight="1">
      <c r="A16" s="684">
        <v>10.0</v>
      </c>
      <c r="B16" s="66" t="s">
        <v>130</v>
      </c>
      <c r="C16" s="66" t="s">
        <v>1058</v>
      </c>
      <c r="D16" s="65">
        <v>9833.0</v>
      </c>
      <c r="E16" s="433">
        <f>Consolidado!$AU$13</f>
        <v>13200</v>
      </c>
      <c r="F16" s="90">
        <f>Consolidado!$AV$13</f>
        <v>44029</v>
      </c>
      <c r="G16" s="91">
        <f>Consolidado!$AW$13</f>
        <v>6</v>
      </c>
      <c r="H16" s="80">
        <f t="shared" si="1"/>
        <v>45794</v>
      </c>
      <c r="I16" s="84">
        <f t="shared" si="2"/>
        <v>45855</v>
      </c>
      <c r="J16" s="84">
        <f t="shared" si="3"/>
        <v>46220</v>
      </c>
      <c r="K16" s="681"/>
      <c r="L16" s="681"/>
      <c r="M16" s="681"/>
      <c r="N16" s="681"/>
      <c r="O16" s="681"/>
      <c r="P16" s="681"/>
      <c r="Q16" s="681"/>
      <c r="R16" s="681"/>
      <c r="S16" s="681"/>
      <c r="T16" s="681"/>
      <c r="U16" s="681"/>
      <c r="V16" s="681"/>
      <c r="W16" s="681"/>
      <c r="X16" s="681"/>
      <c r="Y16" s="681"/>
      <c r="Z16" s="681"/>
      <c r="AA16" s="681"/>
      <c r="AB16" s="681"/>
      <c r="AC16" s="681"/>
      <c r="AD16" s="67" t="str">
        <f t="shared" si="4"/>
        <v>Vigente</v>
      </c>
      <c r="AE16" s="682" t="str">
        <f t="shared" si="5"/>
        <v> </v>
      </c>
    </row>
    <row r="17" ht="42.0" customHeight="1">
      <c r="A17" s="684">
        <v>11.0</v>
      </c>
      <c r="B17" s="66" t="s">
        <v>130</v>
      </c>
      <c r="C17" s="66" t="s">
        <v>1109</v>
      </c>
      <c r="D17" s="65">
        <v>17387.0</v>
      </c>
      <c r="E17" s="91" t="str">
        <f>Consolidado!#REF!</f>
        <v>#ERROR!</v>
      </c>
      <c r="F17" s="91" t="str">
        <f>Consolidado!#REF!</f>
        <v>#ERROR!</v>
      </c>
      <c r="G17" s="91" t="str">
        <f>Consolidado!#REF!</f>
        <v>#ERROR!</v>
      </c>
      <c r="H17" s="80" t="str">
        <f t="shared" si="1"/>
        <v>#ERROR!</v>
      </c>
      <c r="I17" s="84" t="str">
        <f t="shared" si="2"/>
        <v>#ERROR!</v>
      </c>
      <c r="J17" s="84" t="str">
        <f t="shared" si="3"/>
        <v>#ERROR!</v>
      </c>
      <c r="K17" s="681"/>
      <c r="L17" s="681"/>
      <c r="M17" s="681"/>
      <c r="N17" s="681"/>
      <c r="O17" s="681"/>
      <c r="P17" s="681"/>
      <c r="Q17" s="681"/>
      <c r="R17" s="681"/>
      <c r="S17" s="681"/>
      <c r="T17" s="681"/>
      <c r="U17" s="681"/>
      <c r="V17" s="681"/>
      <c r="W17" s="681"/>
      <c r="X17" s="681"/>
      <c r="Y17" s="681"/>
      <c r="Z17" s="681"/>
      <c r="AA17" s="681"/>
      <c r="AB17" s="681"/>
      <c r="AC17" s="681"/>
      <c r="AD17" s="67" t="str">
        <f t="shared" si="4"/>
        <v>#ERROR!</v>
      </c>
      <c r="AE17" s="682" t="str">
        <f t="shared" si="5"/>
        <v> </v>
      </c>
    </row>
    <row r="18" ht="42.0" customHeight="1">
      <c r="A18" s="684">
        <v>12.0</v>
      </c>
      <c r="B18" s="66" t="s">
        <v>130</v>
      </c>
      <c r="C18" s="66" t="s">
        <v>165</v>
      </c>
      <c r="D18" s="65">
        <v>103231.0</v>
      </c>
      <c r="E18" s="91" t="str">
        <f>Consolidado!$AU$14</f>
        <v>N/A</v>
      </c>
      <c r="F18" s="90" t="str">
        <f>Consolidado!$AV$14</f>
        <v>N/A</v>
      </c>
      <c r="G18" s="91" t="str">
        <f>Consolidado!$AW$14</f>
        <v>N/A</v>
      </c>
      <c r="H18" s="80" t="str">
        <f t="shared" si="1"/>
        <v>#VALUE!</v>
      </c>
      <c r="I18" s="84" t="str">
        <f t="shared" si="2"/>
        <v>#VALUE!</v>
      </c>
      <c r="J18" s="84" t="str">
        <f t="shared" si="3"/>
        <v>#VALUE!</v>
      </c>
      <c r="K18" s="681"/>
      <c r="L18" s="681"/>
      <c r="M18" s="681"/>
      <c r="N18" s="681"/>
      <c r="O18" s="681"/>
      <c r="P18" s="681"/>
      <c r="Q18" s="681"/>
      <c r="R18" s="681"/>
      <c r="S18" s="681"/>
      <c r="T18" s="681"/>
      <c r="U18" s="681"/>
      <c r="V18" s="681"/>
      <c r="W18" s="681"/>
      <c r="X18" s="681"/>
      <c r="Y18" s="681"/>
      <c r="Z18" s="681"/>
      <c r="AA18" s="681"/>
      <c r="AB18" s="681"/>
      <c r="AC18" s="681"/>
      <c r="AD18" s="67" t="str">
        <f t="shared" si="4"/>
        <v>#VALUE!</v>
      </c>
      <c r="AE18" s="682" t="str">
        <f t="shared" si="5"/>
        <v> </v>
      </c>
    </row>
    <row r="19" ht="42.0" customHeight="1">
      <c r="A19" s="684">
        <v>13.0</v>
      </c>
      <c r="B19" s="66" t="s">
        <v>130</v>
      </c>
      <c r="C19" s="66" t="s">
        <v>143</v>
      </c>
      <c r="D19" s="65">
        <v>103292.0</v>
      </c>
      <c r="E19" s="79" t="str">
        <f>Consolidado!$AU$15</f>
        <v>N/A</v>
      </c>
      <c r="F19" s="78" t="str">
        <f>Consolidado!$AV$15</f>
        <v>N/A</v>
      </c>
      <c r="G19" s="79" t="str">
        <f>Consolidado!$AW$15</f>
        <v>N/A</v>
      </c>
      <c r="H19" s="80" t="str">
        <f t="shared" si="1"/>
        <v>#VALUE!</v>
      </c>
      <c r="I19" s="84" t="str">
        <f t="shared" si="2"/>
        <v>#VALUE!</v>
      </c>
      <c r="J19" s="84" t="str">
        <f t="shared" si="3"/>
        <v>#VALUE!</v>
      </c>
      <c r="K19" s="681"/>
      <c r="L19" s="681"/>
      <c r="M19" s="681"/>
      <c r="N19" s="681"/>
      <c r="O19" s="681"/>
      <c r="P19" s="681"/>
      <c r="Q19" s="681"/>
      <c r="R19" s="681"/>
      <c r="S19" s="681"/>
      <c r="T19" s="681"/>
      <c r="U19" s="681"/>
      <c r="V19" s="681"/>
      <c r="W19" s="681"/>
      <c r="X19" s="681"/>
      <c r="Y19" s="681"/>
      <c r="Z19" s="681"/>
      <c r="AA19" s="681"/>
      <c r="AB19" s="681"/>
      <c r="AC19" s="681"/>
      <c r="AD19" s="67" t="str">
        <f t="shared" si="4"/>
        <v>#VALUE!</v>
      </c>
      <c r="AE19" s="682" t="str">
        <f t="shared" si="5"/>
        <v> </v>
      </c>
    </row>
    <row r="20" ht="42.0" customHeight="1">
      <c r="A20" s="684">
        <v>14.0</v>
      </c>
      <c r="B20" s="66" t="s">
        <v>130</v>
      </c>
      <c r="C20" s="66" t="s">
        <v>131</v>
      </c>
      <c r="D20" s="65">
        <v>103303.0</v>
      </c>
      <c r="E20" s="91" t="str">
        <f>Consolidado!#REF!</f>
        <v>#ERROR!</v>
      </c>
      <c r="F20" s="91" t="str">
        <f>Consolidado!#REF!</f>
        <v>#ERROR!</v>
      </c>
      <c r="G20" s="91" t="str">
        <f>Consolidado!#REF!</f>
        <v>#ERROR!</v>
      </c>
      <c r="H20" s="80" t="str">
        <f t="shared" si="1"/>
        <v>#ERROR!</v>
      </c>
      <c r="I20" s="84" t="str">
        <f t="shared" si="2"/>
        <v>#ERROR!</v>
      </c>
      <c r="J20" s="84" t="str">
        <f t="shared" si="3"/>
        <v>#ERROR!</v>
      </c>
      <c r="K20" s="681"/>
      <c r="L20" s="681"/>
      <c r="M20" s="681"/>
      <c r="N20" s="681"/>
      <c r="O20" s="681"/>
      <c r="P20" s="681"/>
      <c r="Q20" s="681"/>
      <c r="R20" s="681"/>
      <c r="S20" s="681"/>
      <c r="T20" s="681"/>
      <c r="U20" s="681"/>
      <c r="V20" s="681"/>
      <c r="W20" s="681"/>
      <c r="X20" s="681"/>
      <c r="Y20" s="681"/>
      <c r="Z20" s="681"/>
      <c r="AA20" s="681"/>
      <c r="AB20" s="681"/>
      <c r="AC20" s="681"/>
      <c r="AD20" s="67" t="str">
        <f t="shared" si="4"/>
        <v>#ERROR!</v>
      </c>
      <c r="AE20" s="682" t="str">
        <f t="shared" si="5"/>
        <v> </v>
      </c>
    </row>
    <row r="21" ht="42.0" customHeight="1">
      <c r="A21" s="684">
        <v>15.0</v>
      </c>
      <c r="B21" s="66" t="s">
        <v>130</v>
      </c>
      <c r="C21" s="66" t="s">
        <v>143</v>
      </c>
      <c r="D21" s="65">
        <v>103386.0</v>
      </c>
      <c r="E21" s="79" t="str">
        <f>Consolidado!#REF!</f>
        <v>#ERROR!</v>
      </c>
      <c r="F21" s="79" t="str">
        <f>Consolidado!#REF!</f>
        <v>#ERROR!</v>
      </c>
      <c r="G21" s="79" t="str">
        <f>Consolidado!#REF!</f>
        <v>#ERROR!</v>
      </c>
      <c r="H21" s="80" t="str">
        <f t="shared" si="1"/>
        <v>#ERROR!</v>
      </c>
      <c r="I21" s="84" t="str">
        <f t="shared" si="2"/>
        <v>#ERROR!</v>
      </c>
      <c r="J21" s="84" t="str">
        <f t="shared" si="3"/>
        <v>#ERROR!</v>
      </c>
      <c r="K21" s="681"/>
      <c r="L21" s="681"/>
      <c r="M21" s="681"/>
      <c r="N21" s="681"/>
      <c r="O21" s="681"/>
      <c r="P21" s="681"/>
      <c r="Q21" s="681"/>
      <c r="R21" s="681"/>
      <c r="S21" s="681"/>
      <c r="T21" s="681"/>
      <c r="U21" s="681"/>
      <c r="V21" s="681"/>
      <c r="W21" s="681"/>
      <c r="X21" s="681"/>
      <c r="Y21" s="681"/>
      <c r="Z21" s="681"/>
      <c r="AA21" s="681"/>
      <c r="AB21" s="681"/>
      <c r="AC21" s="681"/>
      <c r="AD21" s="67" t="str">
        <f t="shared" si="4"/>
        <v>#ERROR!</v>
      </c>
      <c r="AE21" s="682" t="str">
        <f t="shared" si="5"/>
        <v> </v>
      </c>
    </row>
    <row r="22" ht="42.0" customHeight="1">
      <c r="A22" s="684">
        <v>16.0</v>
      </c>
      <c r="B22" s="66" t="s">
        <v>130</v>
      </c>
      <c r="C22" s="66" t="s">
        <v>1110</v>
      </c>
      <c r="D22" s="65">
        <v>104369.0</v>
      </c>
      <c r="E22" s="91" t="str">
        <f>Consolidado!#REF!</f>
        <v>#ERROR!</v>
      </c>
      <c r="F22" s="91" t="str">
        <f>Consolidado!#REF!</f>
        <v>#ERROR!</v>
      </c>
      <c r="G22" s="91" t="str">
        <f>Consolidado!#REF!</f>
        <v>#ERROR!</v>
      </c>
      <c r="H22" s="80" t="str">
        <f t="shared" si="1"/>
        <v>#ERROR!</v>
      </c>
      <c r="I22" s="84" t="str">
        <f t="shared" si="2"/>
        <v>#ERROR!</v>
      </c>
      <c r="J22" s="84" t="str">
        <f t="shared" si="3"/>
        <v>#ERROR!</v>
      </c>
      <c r="K22" s="681"/>
      <c r="L22" s="681"/>
      <c r="M22" s="681"/>
      <c r="N22" s="681"/>
      <c r="O22" s="681"/>
      <c r="P22" s="681"/>
      <c r="Q22" s="681"/>
      <c r="R22" s="681"/>
      <c r="S22" s="681"/>
      <c r="T22" s="681"/>
      <c r="U22" s="681"/>
      <c r="V22" s="681"/>
      <c r="W22" s="681"/>
      <c r="X22" s="681"/>
      <c r="Y22" s="681"/>
      <c r="Z22" s="681"/>
      <c r="AA22" s="681"/>
      <c r="AB22" s="681"/>
      <c r="AC22" s="681"/>
      <c r="AD22" s="67" t="str">
        <f t="shared" si="4"/>
        <v>#ERROR!</v>
      </c>
      <c r="AE22" s="682" t="str">
        <f t="shared" si="5"/>
        <v> </v>
      </c>
    </row>
    <row r="23" ht="42.0" customHeight="1">
      <c r="A23" s="684">
        <v>17.0</v>
      </c>
      <c r="B23" s="66" t="s">
        <v>130</v>
      </c>
      <c r="C23" s="66" t="s">
        <v>158</v>
      </c>
      <c r="D23" s="65">
        <v>104677.0</v>
      </c>
      <c r="E23" s="433" t="str">
        <f>Consolidado!$AU$16</f>
        <v/>
      </c>
      <c r="F23" s="90" t="str">
        <f>Consolidado!$AV$16</f>
        <v/>
      </c>
      <c r="G23" s="91" t="str">
        <f>Consolidado!$AW$16</f>
        <v/>
      </c>
      <c r="H23" s="80" t="str">
        <f t="shared" si="1"/>
        <v>#NUM!</v>
      </c>
      <c r="I23" s="84" t="str">
        <f t="shared" si="2"/>
        <v>#NUM!</v>
      </c>
      <c r="J23" s="84">
        <f t="shared" si="3"/>
        <v>0</v>
      </c>
      <c r="K23" s="681"/>
      <c r="L23" s="681"/>
      <c r="M23" s="681"/>
      <c r="N23" s="681"/>
      <c r="O23" s="681"/>
      <c r="P23" s="681"/>
      <c r="Q23" s="681"/>
      <c r="R23" s="681"/>
      <c r="S23" s="681"/>
      <c r="T23" s="681"/>
      <c r="U23" s="681"/>
      <c r="V23" s="681"/>
      <c r="W23" s="681"/>
      <c r="X23" s="681"/>
      <c r="Y23" s="681"/>
      <c r="Z23" s="681"/>
      <c r="AA23" s="681"/>
      <c r="AB23" s="681"/>
      <c r="AC23" s="681"/>
      <c r="AD23" s="67" t="str">
        <f t="shared" si="4"/>
        <v>En proceso</v>
      </c>
      <c r="AE23" s="682" t="str">
        <f t="shared" si="5"/>
        <v> </v>
      </c>
    </row>
    <row r="24" ht="42.0" customHeight="1">
      <c r="A24" s="684">
        <v>18.0</v>
      </c>
      <c r="B24" s="66" t="s">
        <v>130</v>
      </c>
      <c r="C24" s="66" t="s">
        <v>1111</v>
      </c>
      <c r="D24" s="65">
        <v>104845.0</v>
      </c>
      <c r="E24" s="79" t="str">
        <f>Consolidado!#REF!</f>
        <v>#ERROR!</v>
      </c>
      <c r="F24" s="79" t="str">
        <f>Consolidado!#REF!</f>
        <v>#ERROR!</v>
      </c>
      <c r="G24" s="79" t="str">
        <f>Consolidado!#REF!</f>
        <v>#ERROR!</v>
      </c>
      <c r="H24" s="80" t="str">
        <f t="shared" si="1"/>
        <v>#ERROR!</v>
      </c>
      <c r="I24" s="84" t="str">
        <f t="shared" si="2"/>
        <v>#ERROR!</v>
      </c>
      <c r="J24" s="84" t="str">
        <f t="shared" si="3"/>
        <v>#ERROR!</v>
      </c>
      <c r="K24" s="681"/>
      <c r="L24" s="681"/>
      <c r="M24" s="681"/>
      <c r="N24" s="681"/>
      <c r="O24" s="681"/>
      <c r="P24" s="681"/>
      <c r="Q24" s="681"/>
      <c r="R24" s="681"/>
      <c r="S24" s="681"/>
      <c r="T24" s="681"/>
      <c r="U24" s="681"/>
      <c r="V24" s="681"/>
      <c r="W24" s="681"/>
      <c r="X24" s="681"/>
      <c r="Y24" s="681"/>
      <c r="Z24" s="681"/>
      <c r="AA24" s="681"/>
      <c r="AB24" s="681"/>
      <c r="AC24" s="681"/>
      <c r="AD24" s="67" t="str">
        <f t="shared" si="4"/>
        <v>#ERROR!</v>
      </c>
      <c r="AE24" s="682" t="str">
        <f t="shared" si="5"/>
        <v> </v>
      </c>
    </row>
    <row r="25" ht="42.0" customHeight="1">
      <c r="A25" s="684">
        <v>19.0</v>
      </c>
      <c r="B25" s="66" t="s">
        <v>130</v>
      </c>
      <c r="C25" s="66" t="s">
        <v>151</v>
      </c>
      <c r="D25" s="65">
        <v>104846.0</v>
      </c>
      <c r="E25" s="79" t="str">
        <f>Consolidado!$AU$17</f>
        <v/>
      </c>
      <c r="F25" s="78" t="str">
        <f>Consolidado!$AV$17</f>
        <v/>
      </c>
      <c r="G25" s="79" t="str">
        <f>Consolidado!$AW$17</f>
        <v/>
      </c>
      <c r="H25" s="80" t="str">
        <f t="shared" si="1"/>
        <v>#NUM!</v>
      </c>
      <c r="I25" s="84" t="str">
        <f t="shared" si="2"/>
        <v>#NUM!</v>
      </c>
      <c r="J25" s="84">
        <f t="shared" si="3"/>
        <v>0</v>
      </c>
      <c r="K25" s="681"/>
      <c r="L25" s="681"/>
      <c r="M25" s="681"/>
      <c r="N25" s="681"/>
      <c r="O25" s="681"/>
      <c r="P25" s="681"/>
      <c r="Q25" s="681"/>
      <c r="R25" s="681"/>
      <c r="S25" s="681"/>
      <c r="T25" s="681"/>
      <c r="U25" s="681"/>
      <c r="V25" s="681"/>
      <c r="W25" s="681"/>
      <c r="X25" s="681"/>
      <c r="Y25" s="681"/>
      <c r="Z25" s="681"/>
      <c r="AA25" s="681"/>
      <c r="AB25" s="681"/>
      <c r="AC25" s="681"/>
      <c r="AD25" s="67" t="str">
        <f t="shared" si="4"/>
        <v>En proceso</v>
      </c>
      <c r="AE25" s="682" t="str">
        <f t="shared" si="5"/>
        <v> </v>
      </c>
    </row>
    <row r="26" ht="52.5" customHeight="1">
      <c r="A26" s="684">
        <v>20.0</v>
      </c>
      <c r="B26" s="66" t="s">
        <v>130</v>
      </c>
      <c r="C26" s="66" t="s">
        <v>1027</v>
      </c>
      <c r="D26" s="65">
        <v>106793.0</v>
      </c>
      <c r="E26" s="91" t="str">
        <f>Consolidado!$AU$18</f>
        <v/>
      </c>
      <c r="F26" s="90" t="str">
        <f>Consolidado!$AV$18</f>
        <v/>
      </c>
      <c r="G26" s="91" t="str">
        <f>Consolidado!$AW$18</f>
        <v/>
      </c>
      <c r="H26" s="80" t="str">
        <f t="shared" si="1"/>
        <v>#NUM!</v>
      </c>
      <c r="I26" s="84" t="str">
        <f t="shared" si="2"/>
        <v>#NUM!</v>
      </c>
      <c r="J26" s="84">
        <f t="shared" si="3"/>
        <v>0</v>
      </c>
      <c r="K26" s="681"/>
      <c r="L26" s="681"/>
      <c r="M26" s="681"/>
      <c r="N26" s="681"/>
      <c r="O26" s="681"/>
      <c r="P26" s="681"/>
      <c r="Q26" s="681"/>
      <c r="R26" s="681"/>
      <c r="S26" s="681"/>
      <c r="T26" s="681"/>
      <c r="U26" s="681"/>
      <c r="V26" s="681"/>
      <c r="W26" s="681"/>
      <c r="X26" s="681"/>
      <c r="Y26" s="681"/>
      <c r="Z26" s="681"/>
      <c r="AA26" s="681"/>
      <c r="AB26" s="681"/>
      <c r="AC26" s="681"/>
      <c r="AD26" s="67" t="str">
        <f t="shared" si="4"/>
        <v>En proceso</v>
      </c>
      <c r="AE26" s="682" t="str">
        <f t="shared" si="5"/>
        <v> </v>
      </c>
    </row>
    <row r="27" ht="42.0" customHeight="1">
      <c r="A27" s="684">
        <v>21.0</v>
      </c>
      <c r="B27" s="66" t="s">
        <v>130</v>
      </c>
      <c r="C27" s="66" t="s">
        <v>1028</v>
      </c>
      <c r="D27" s="65">
        <v>106792.0</v>
      </c>
      <c r="E27" s="433">
        <f>Consolidado!$AU$19</f>
        <v>8482</v>
      </c>
      <c r="F27" s="90">
        <f>Consolidado!$AV$19</f>
        <v>45771</v>
      </c>
      <c r="G27" s="91">
        <f>Consolidado!$AW$19</f>
        <v>6</v>
      </c>
      <c r="H27" s="80">
        <f t="shared" si="1"/>
        <v>47538</v>
      </c>
      <c r="I27" s="84">
        <f t="shared" si="2"/>
        <v>47597</v>
      </c>
      <c r="J27" s="84">
        <f t="shared" si="3"/>
        <v>47962</v>
      </c>
      <c r="K27" s="681"/>
      <c r="L27" s="681"/>
      <c r="M27" s="681"/>
      <c r="N27" s="681"/>
      <c r="O27" s="681"/>
      <c r="P27" s="681"/>
      <c r="Q27" s="681"/>
      <c r="R27" s="681"/>
      <c r="S27" s="681"/>
      <c r="T27" s="681"/>
      <c r="U27" s="681"/>
      <c r="V27" s="681"/>
      <c r="W27" s="681"/>
      <c r="X27" s="681"/>
      <c r="Y27" s="681"/>
      <c r="Z27" s="681"/>
      <c r="AA27" s="681"/>
      <c r="AB27" s="681"/>
      <c r="AC27" s="681"/>
      <c r="AD27" s="67" t="str">
        <f t="shared" si="4"/>
        <v>Vigente</v>
      </c>
      <c r="AE27" s="682" t="str">
        <f t="shared" si="5"/>
        <v> </v>
      </c>
    </row>
    <row r="28" ht="42.0" customHeight="1">
      <c r="A28" s="685">
        <v>22.0</v>
      </c>
      <c r="B28" s="66" t="s">
        <v>182</v>
      </c>
      <c r="C28" s="66" t="s">
        <v>1059</v>
      </c>
      <c r="D28" s="65">
        <v>234.0</v>
      </c>
      <c r="E28" s="433" t="str">
        <f>Consolidado!$AU$20</f>
        <v/>
      </c>
      <c r="F28" s="84" t="str">
        <f>Consolidado!$AV$20</f>
        <v/>
      </c>
      <c r="G28" s="91" t="str">
        <f>Consolidado!$AW$20</f>
        <v/>
      </c>
      <c r="H28" s="80" t="str">
        <f t="shared" si="1"/>
        <v>#NUM!</v>
      </c>
      <c r="I28" s="84" t="str">
        <f t="shared" si="2"/>
        <v>#NUM!</v>
      </c>
      <c r="J28" s="84">
        <f t="shared" si="3"/>
        <v>0</v>
      </c>
      <c r="K28" s="681"/>
      <c r="L28" s="681"/>
      <c r="M28" s="681"/>
      <c r="N28" s="681"/>
      <c r="O28" s="681"/>
      <c r="P28" s="681"/>
      <c r="Q28" s="681"/>
      <c r="R28" s="681"/>
      <c r="S28" s="681"/>
      <c r="T28" s="681"/>
      <c r="U28" s="681"/>
      <c r="V28" s="681"/>
      <c r="W28" s="681"/>
      <c r="X28" s="681"/>
      <c r="Y28" s="681"/>
      <c r="Z28" s="681"/>
      <c r="AA28" s="681"/>
      <c r="AB28" s="681"/>
      <c r="AC28" s="681"/>
      <c r="AD28" s="67" t="str">
        <f t="shared" si="4"/>
        <v>En proceso</v>
      </c>
      <c r="AE28" s="682" t="str">
        <f t="shared" si="5"/>
        <v> </v>
      </c>
    </row>
    <row r="29" ht="42.0" customHeight="1">
      <c r="A29" s="685">
        <v>23.0</v>
      </c>
      <c r="B29" s="66" t="s">
        <v>182</v>
      </c>
      <c r="C29" s="66" t="s">
        <v>183</v>
      </c>
      <c r="D29" s="65">
        <v>235.0</v>
      </c>
      <c r="E29" s="433" t="str">
        <f>Consolidado!$AU$21</f>
        <v>N/A</v>
      </c>
      <c r="F29" s="84" t="str">
        <f>Consolidado!$AV$21</f>
        <v>N/A</v>
      </c>
      <c r="G29" s="91" t="str">
        <f>Consolidado!$AW$21</f>
        <v>N/A</v>
      </c>
      <c r="H29" s="80" t="str">
        <f t="shared" si="1"/>
        <v>#VALUE!</v>
      </c>
      <c r="I29" s="84" t="str">
        <f t="shared" si="2"/>
        <v>#VALUE!</v>
      </c>
      <c r="J29" s="84" t="str">
        <f t="shared" si="3"/>
        <v>#VALUE!</v>
      </c>
      <c r="K29" s="681"/>
      <c r="L29" s="681"/>
      <c r="M29" s="681"/>
      <c r="N29" s="681"/>
      <c r="O29" s="681"/>
      <c r="P29" s="681"/>
      <c r="Q29" s="681"/>
      <c r="R29" s="681"/>
      <c r="S29" s="681"/>
      <c r="T29" s="681"/>
      <c r="U29" s="681"/>
      <c r="V29" s="681"/>
      <c r="W29" s="681"/>
      <c r="X29" s="681"/>
      <c r="Y29" s="681"/>
      <c r="Z29" s="681"/>
      <c r="AA29" s="681"/>
      <c r="AB29" s="681"/>
      <c r="AC29" s="681"/>
      <c r="AD29" s="67" t="str">
        <f t="shared" si="4"/>
        <v>#VALUE!</v>
      </c>
      <c r="AE29" s="682" t="str">
        <f t="shared" si="5"/>
        <v> </v>
      </c>
    </row>
    <row r="30" ht="42.0" customHeight="1">
      <c r="A30" s="685">
        <v>24.0</v>
      </c>
      <c r="B30" s="66" t="s">
        <v>182</v>
      </c>
      <c r="C30" s="66" t="s">
        <v>192</v>
      </c>
      <c r="D30" s="65">
        <v>2970.0</v>
      </c>
      <c r="E30" s="79" t="str">
        <f>Consolidado!$AU$22</f>
        <v>N/A</v>
      </c>
      <c r="F30" s="78" t="str">
        <f>Consolidado!$AV$22</f>
        <v>N/A</v>
      </c>
      <c r="G30" s="79" t="str">
        <f>Consolidado!$AW$22</f>
        <v>N/A</v>
      </c>
      <c r="H30" s="80" t="str">
        <f t="shared" si="1"/>
        <v>#VALUE!</v>
      </c>
      <c r="I30" s="84" t="str">
        <f t="shared" si="2"/>
        <v>#VALUE!</v>
      </c>
      <c r="J30" s="84" t="str">
        <f t="shared" si="3"/>
        <v>#VALUE!</v>
      </c>
      <c r="K30" s="681"/>
      <c r="L30" s="681"/>
      <c r="M30" s="681"/>
      <c r="N30" s="681"/>
      <c r="O30" s="681"/>
      <c r="P30" s="681"/>
      <c r="Q30" s="681"/>
      <c r="R30" s="681"/>
      <c r="S30" s="681"/>
      <c r="T30" s="681"/>
      <c r="U30" s="681"/>
      <c r="V30" s="681"/>
      <c r="W30" s="681"/>
      <c r="X30" s="681"/>
      <c r="Y30" s="681"/>
      <c r="Z30" s="681"/>
      <c r="AA30" s="681"/>
      <c r="AB30" s="681"/>
      <c r="AC30" s="681"/>
      <c r="AD30" s="67" t="str">
        <f t="shared" si="4"/>
        <v>#VALUE!</v>
      </c>
      <c r="AE30" s="682" t="str">
        <f t="shared" si="5"/>
        <v> </v>
      </c>
    </row>
    <row r="31" ht="42.0" customHeight="1">
      <c r="A31" s="685">
        <v>25.0</v>
      </c>
      <c r="B31" s="66" t="s">
        <v>182</v>
      </c>
      <c r="C31" s="66" t="s">
        <v>203</v>
      </c>
      <c r="D31" s="65">
        <v>3613.0</v>
      </c>
      <c r="E31" s="79" t="str">
        <f>Consolidado!#REF!</f>
        <v>#ERROR!</v>
      </c>
      <c r="F31" s="79" t="str">
        <f>Consolidado!#REF!</f>
        <v>#ERROR!</v>
      </c>
      <c r="G31" s="79" t="str">
        <f>Consolidado!#REF!</f>
        <v>#ERROR!</v>
      </c>
      <c r="H31" s="80" t="str">
        <f t="shared" si="1"/>
        <v>#ERROR!</v>
      </c>
      <c r="I31" s="84" t="str">
        <f t="shared" si="2"/>
        <v>#ERROR!</v>
      </c>
      <c r="J31" s="84" t="str">
        <f t="shared" si="3"/>
        <v>#ERROR!</v>
      </c>
      <c r="K31" s="681"/>
      <c r="L31" s="681"/>
      <c r="M31" s="681"/>
      <c r="N31" s="681"/>
      <c r="O31" s="681"/>
      <c r="P31" s="681"/>
      <c r="Q31" s="681"/>
      <c r="R31" s="681"/>
      <c r="S31" s="681"/>
      <c r="T31" s="681"/>
      <c r="U31" s="681"/>
      <c r="V31" s="681"/>
      <c r="W31" s="681"/>
      <c r="X31" s="681"/>
      <c r="Y31" s="681"/>
      <c r="Z31" s="681"/>
      <c r="AA31" s="681"/>
      <c r="AB31" s="681"/>
      <c r="AC31" s="681"/>
      <c r="AD31" s="67" t="str">
        <f t="shared" si="4"/>
        <v>#ERROR!</v>
      </c>
      <c r="AE31" s="682" t="str">
        <f t="shared" si="5"/>
        <v> </v>
      </c>
    </row>
    <row r="32" ht="42.0" customHeight="1">
      <c r="A32" s="685">
        <v>26.0</v>
      </c>
      <c r="B32" s="66" t="s">
        <v>182</v>
      </c>
      <c r="C32" s="66" t="s">
        <v>1060</v>
      </c>
      <c r="D32" s="65">
        <v>8441.0</v>
      </c>
      <c r="E32" s="433" t="str">
        <f>Consolidado!$AU$23</f>
        <v>N/A</v>
      </c>
      <c r="F32" s="84" t="str">
        <f>Consolidado!$AV$23</f>
        <v>N/A</v>
      </c>
      <c r="G32" s="91" t="str">
        <f>Consolidado!$AW$23</f>
        <v>N/A</v>
      </c>
      <c r="H32" s="80" t="str">
        <f t="shared" si="1"/>
        <v>#VALUE!</v>
      </c>
      <c r="I32" s="84" t="str">
        <f t="shared" si="2"/>
        <v>#VALUE!</v>
      </c>
      <c r="J32" s="84" t="str">
        <f t="shared" si="3"/>
        <v>#VALUE!</v>
      </c>
      <c r="K32" s="681"/>
      <c r="L32" s="681"/>
      <c r="M32" s="681"/>
      <c r="N32" s="681"/>
      <c r="O32" s="681"/>
      <c r="P32" s="681"/>
      <c r="Q32" s="681"/>
      <c r="R32" s="681"/>
      <c r="S32" s="681"/>
      <c r="T32" s="681"/>
      <c r="U32" s="681"/>
      <c r="V32" s="681"/>
      <c r="W32" s="681"/>
      <c r="X32" s="681"/>
      <c r="Y32" s="681"/>
      <c r="Z32" s="667"/>
      <c r="AA32" s="681"/>
      <c r="AB32" s="681"/>
      <c r="AC32" s="681"/>
      <c r="AD32" s="67" t="str">
        <f t="shared" si="4"/>
        <v>#VALUE!</v>
      </c>
      <c r="AE32" s="682" t="str">
        <f t="shared" si="5"/>
        <v> </v>
      </c>
    </row>
    <row r="33" ht="42.0" customHeight="1">
      <c r="A33" s="685">
        <v>27.0</v>
      </c>
      <c r="B33" s="66" t="s">
        <v>182</v>
      </c>
      <c r="C33" s="66" t="s">
        <v>209</v>
      </c>
      <c r="D33" s="65">
        <v>15358.0</v>
      </c>
      <c r="E33" s="79" t="str">
        <f>Consolidado!$AU$24</f>
        <v>N/A</v>
      </c>
      <c r="F33" s="78" t="str">
        <f>Consolidado!$AV$24</f>
        <v>N/A</v>
      </c>
      <c r="G33" s="79" t="str">
        <f>Consolidado!$AW$24</f>
        <v>N/A</v>
      </c>
      <c r="H33" s="80" t="str">
        <f t="shared" si="1"/>
        <v>#VALUE!</v>
      </c>
      <c r="I33" s="84" t="str">
        <f t="shared" si="2"/>
        <v>#VALUE!</v>
      </c>
      <c r="J33" s="84" t="str">
        <f t="shared" si="3"/>
        <v>#VALUE!</v>
      </c>
      <c r="K33" s="681"/>
      <c r="L33" s="681"/>
      <c r="M33" s="681"/>
      <c r="N33" s="681"/>
      <c r="O33" s="681"/>
      <c r="P33" s="681"/>
      <c r="Q33" s="681"/>
      <c r="R33" s="681"/>
      <c r="S33" s="681"/>
      <c r="T33" s="681"/>
      <c r="U33" s="681"/>
      <c r="V33" s="681"/>
      <c r="W33" s="681"/>
      <c r="X33" s="681"/>
      <c r="Y33" s="681"/>
      <c r="Z33" s="681"/>
      <c r="AA33" s="681"/>
      <c r="AB33" s="681"/>
      <c r="AC33" s="681"/>
      <c r="AD33" s="67" t="str">
        <f t="shared" si="4"/>
        <v>#VALUE!</v>
      </c>
      <c r="AE33" s="682" t="str">
        <f t="shared" si="5"/>
        <v> </v>
      </c>
    </row>
    <row r="34" ht="42.0" customHeight="1">
      <c r="A34" s="685">
        <v>28.0</v>
      </c>
      <c r="B34" s="66" t="s">
        <v>182</v>
      </c>
      <c r="C34" s="66" t="s">
        <v>198</v>
      </c>
      <c r="D34" s="65">
        <v>15924.0</v>
      </c>
      <c r="E34" s="79" t="str">
        <f>Consolidado!$AU$25</f>
        <v>N/A</v>
      </c>
      <c r="F34" s="78" t="str">
        <f>Consolidado!$AV$25</f>
        <v>N/A</v>
      </c>
      <c r="G34" s="79" t="str">
        <f>Consolidado!$AW$25</f>
        <v>N/A</v>
      </c>
      <c r="H34" s="80" t="str">
        <f t="shared" si="1"/>
        <v>#VALUE!</v>
      </c>
      <c r="I34" s="84" t="str">
        <f t="shared" si="2"/>
        <v>#VALUE!</v>
      </c>
      <c r="J34" s="84" t="str">
        <f t="shared" si="3"/>
        <v>#VALUE!</v>
      </c>
      <c r="K34" s="681"/>
      <c r="L34" s="681"/>
      <c r="M34" s="681"/>
      <c r="N34" s="681"/>
      <c r="O34" s="681"/>
      <c r="P34" s="681"/>
      <c r="Q34" s="681"/>
      <c r="R34" s="681"/>
      <c r="S34" s="681"/>
      <c r="T34" s="681"/>
      <c r="U34" s="681"/>
      <c r="V34" s="681"/>
      <c r="W34" s="681"/>
      <c r="X34" s="681"/>
      <c r="Y34" s="681"/>
      <c r="Z34" s="681"/>
      <c r="AA34" s="681"/>
      <c r="AB34" s="681"/>
      <c r="AC34" s="681"/>
      <c r="AD34" s="67" t="str">
        <f t="shared" si="4"/>
        <v>#VALUE!</v>
      </c>
      <c r="AE34" s="682" t="str">
        <f t="shared" si="5"/>
        <v> </v>
      </c>
    </row>
    <row r="35" ht="42.0" customHeight="1">
      <c r="A35" s="685">
        <v>29.0</v>
      </c>
      <c r="B35" s="66" t="s">
        <v>182</v>
      </c>
      <c r="C35" s="66" t="s">
        <v>1029</v>
      </c>
      <c r="D35" s="65">
        <v>18679.0</v>
      </c>
      <c r="E35" s="91" t="str">
        <f>Consolidado!$AU$26</f>
        <v/>
      </c>
      <c r="F35" s="90" t="str">
        <f>Consolidado!$AV$26</f>
        <v/>
      </c>
      <c r="G35" s="91" t="str">
        <f>Consolidado!$AW$26</f>
        <v/>
      </c>
      <c r="H35" s="80" t="str">
        <f t="shared" si="1"/>
        <v>#NUM!</v>
      </c>
      <c r="I35" s="84" t="str">
        <f t="shared" si="2"/>
        <v>#NUM!</v>
      </c>
      <c r="J35" s="84">
        <f t="shared" si="3"/>
        <v>0</v>
      </c>
      <c r="K35" s="681"/>
      <c r="L35" s="681"/>
      <c r="M35" s="681"/>
      <c r="N35" s="681"/>
      <c r="O35" s="681"/>
      <c r="P35" s="681"/>
      <c r="Q35" s="681"/>
      <c r="R35" s="681"/>
      <c r="S35" s="681"/>
      <c r="T35" s="681"/>
      <c r="U35" s="681"/>
      <c r="V35" s="681"/>
      <c r="W35" s="681"/>
      <c r="X35" s="681"/>
      <c r="Y35" s="681"/>
      <c r="Z35" s="681"/>
      <c r="AA35" s="681"/>
      <c r="AB35" s="681"/>
      <c r="AC35" s="681"/>
      <c r="AD35" s="67" t="str">
        <f t="shared" si="4"/>
        <v>En proceso</v>
      </c>
      <c r="AE35" s="682" t="str">
        <f t="shared" si="5"/>
        <v> </v>
      </c>
    </row>
    <row r="36" ht="42.0" customHeight="1">
      <c r="A36" s="685">
        <v>30.0</v>
      </c>
      <c r="B36" s="66" t="s">
        <v>182</v>
      </c>
      <c r="C36" s="66" t="s">
        <v>1061</v>
      </c>
      <c r="D36" s="65">
        <v>55045.0</v>
      </c>
      <c r="E36" s="91" t="str">
        <f>Consolidado!$AU$27</f>
        <v/>
      </c>
      <c r="F36" s="90" t="str">
        <f>Consolidado!$AV$27</f>
        <v/>
      </c>
      <c r="G36" s="91" t="str">
        <f>Consolidado!$AW$27</f>
        <v/>
      </c>
      <c r="H36" s="80" t="str">
        <f t="shared" si="1"/>
        <v>#NUM!</v>
      </c>
      <c r="I36" s="84" t="str">
        <f t="shared" si="2"/>
        <v>#NUM!</v>
      </c>
      <c r="J36" s="84">
        <f t="shared" si="3"/>
        <v>0</v>
      </c>
      <c r="K36" s="681"/>
      <c r="L36" s="681" t="s">
        <v>1108</v>
      </c>
      <c r="M36" s="681"/>
      <c r="N36" s="681"/>
      <c r="O36" s="681"/>
      <c r="P36" s="681"/>
      <c r="Q36" s="681"/>
      <c r="R36" s="681"/>
      <c r="S36" s="681"/>
      <c r="T36" s="681"/>
      <c r="U36" s="681"/>
      <c r="V36" s="681"/>
      <c r="W36" s="681"/>
      <c r="X36" s="681"/>
      <c r="Y36" s="681"/>
      <c r="Z36" s="681"/>
      <c r="AA36" s="681"/>
      <c r="AB36" s="681"/>
      <c r="AC36" s="681"/>
      <c r="AD36" s="67" t="str">
        <f t="shared" si="4"/>
        <v>En proceso</v>
      </c>
      <c r="AE36" s="682">
        <f t="shared" si="5"/>
        <v>2</v>
      </c>
    </row>
    <row r="37" ht="42.0" customHeight="1">
      <c r="A37" s="685">
        <v>31.0</v>
      </c>
      <c r="B37" s="66" t="s">
        <v>182</v>
      </c>
      <c r="C37" s="66" t="s">
        <v>203</v>
      </c>
      <c r="D37" s="65">
        <v>102109.0</v>
      </c>
      <c r="E37" s="79" t="str">
        <f>Consolidado!$AU$28</f>
        <v/>
      </c>
      <c r="F37" s="78" t="str">
        <f>Consolidado!$AV$28</f>
        <v/>
      </c>
      <c r="G37" s="79" t="str">
        <f>Consolidado!$AW$28</f>
        <v/>
      </c>
      <c r="H37" s="80" t="str">
        <f t="shared" si="1"/>
        <v>#NUM!</v>
      </c>
      <c r="I37" s="84" t="str">
        <f t="shared" si="2"/>
        <v>#NUM!</v>
      </c>
      <c r="J37" s="84">
        <f t="shared" si="3"/>
        <v>0</v>
      </c>
      <c r="K37" s="681"/>
      <c r="L37" s="681"/>
      <c r="M37" s="681"/>
      <c r="N37" s="681"/>
      <c r="O37" s="681"/>
      <c r="P37" s="681"/>
      <c r="Q37" s="681"/>
      <c r="R37" s="681"/>
      <c r="S37" s="681"/>
      <c r="T37" s="681"/>
      <c r="U37" s="681"/>
      <c r="V37" s="681"/>
      <c r="W37" s="681"/>
      <c r="X37" s="681"/>
      <c r="Y37" s="681"/>
      <c r="Z37" s="681"/>
      <c r="AA37" s="681"/>
      <c r="AB37" s="681"/>
      <c r="AC37" s="681"/>
      <c r="AD37" s="67" t="str">
        <f t="shared" si="4"/>
        <v>En proceso</v>
      </c>
      <c r="AE37" s="682" t="str">
        <f t="shared" si="5"/>
        <v> </v>
      </c>
    </row>
    <row r="38" ht="42.0" customHeight="1">
      <c r="A38" s="685">
        <v>32.0</v>
      </c>
      <c r="B38" s="66" t="s">
        <v>182</v>
      </c>
      <c r="C38" s="66" t="s">
        <v>1112</v>
      </c>
      <c r="D38" s="65">
        <v>103477.0</v>
      </c>
      <c r="E38" s="91" t="str">
        <f>Consolidado!$AU$29</f>
        <v/>
      </c>
      <c r="F38" s="90" t="str">
        <f>Consolidado!$AV$29</f>
        <v/>
      </c>
      <c r="G38" s="91" t="str">
        <f>Consolidado!$AW$29</f>
        <v/>
      </c>
      <c r="H38" s="80" t="str">
        <f t="shared" si="1"/>
        <v>#NUM!</v>
      </c>
      <c r="I38" s="84" t="str">
        <f t="shared" si="2"/>
        <v>#NUM!</v>
      </c>
      <c r="J38" s="84">
        <f t="shared" si="3"/>
        <v>0</v>
      </c>
      <c r="K38" s="681"/>
      <c r="L38" s="681"/>
      <c r="M38" s="681"/>
      <c r="N38" s="681"/>
      <c r="O38" s="681"/>
      <c r="P38" s="681"/>
      <c r="Q38" s="681"/>
      <c r="R38" s="681"/>
      <c r="S38" s="681"/>
      <c r="T38" s="681"/>
      <c r="U38" s="681"/>
      <c r="V38" s="681"/>
      <c r="W38" s="681"/>
      <c r="X38" s="681"/>
      <c r="Y38" s="681"/>
      <c r="Z38" s="681"/>
      <c r="AA38" s="681"/>
      <c r="AB38" s="681"/>
      <c r="AC38" s="681"/>
      <c r="AD38" s="67" t="str">
        <f t="shared" si="4"/>
        <v>En proceso</v>
      </c>
      <c r="AE38" s="682" t="str">
        <f t="shared" si="5"/>
        <v> </v>
      </c>
    </row>
    <row r="39" ht="42.0" customHeight="1">
      <c r="A39" s="685">
        <v>33.0</v>
      </c>
      <c r="B39" s="66" t="s">
        <v>182</v>
      </c>
      <c r="C39" s="66" t="s">
        <v>198</v>
      </c>
      <c r="D39" s="88">
        <v>103753.0</v>
      </c>
      <c r="E39" s="79" t="str">
        <f>Consolidado!#REF!</f>
        <v>#ERROR!</v>
      </c>
      <c r="F39" s="79" t="str">
        <f>Consolidado!#REF!</f>
        <v>#ERROR!</v>
      </c>
      <c r="G39" s="79" t="str">
        <f>Consolidado!#REF!</f>
        <v>#ERROR!</v>
      </c>
      <c r="H39" s="80" t="str">
        <f t="shared" si="1"/>
        <v>#ERROR!</v>
      </c>
      <c r="I39" s="84" t="str">
        <f t="shared" si="2"/>
        <v>#ERROR!</v>
      </c>
      <c r="J39" s="84" t="str">
        <f t="shared" si="3"/>
        <v>#ERROR!</v>
      </c>
      <c r="K39" s="681"/>
      <c r="L39" s="681"/>
      <c r="M39" s="681"/>
      <c r="N39" s="681"/>
      <c r="O39" s="681"/>
      <c r="P39" s="681"/>
      <c r="Q39" s="681"/>
      <c r="R39" s="681"/>
      <c r="S39" s="681"/>
      <c r="T39" s="681"/>
      <c r="U39" s="681"/>
      <c r="V39" s="681"/>
      <c r="W39" s="681"/>
      <c r="X39" s="681"/>
      <c r="Y39" s="681"/>
      <c r="Z39" s="681"/>
      <c r="AA39" s="681"/>
      <c r="AB39" s="681"/>
      <c r="AC39" s="681"/>
      <c r="AD39" s="67" t="str">
        <f t="shared" si="4"/>
        <v>#ERROR!</v>
      </c>
      <c r="AE39" s="682" t="str">
        <f t="shared" si="5"/>
        <v> </v>
      </c>
    </row>
    <row r="40" ht="42.0" customHeight="1">
      <c r="A40" s="685">
        <v>34.0</v>
      </c>
      <c r="B40" s="66" t="s">
        <v>182</v>
      </c>
      <c r="C40" s="66" t="s">
        <v>244</v>
      </c>
      <c r="D40" s="88">
        <v>103818.0</v>
      </c>
      <c r="E40" s="91" t="str">
        <f>Consolidado!#REF!</f>
        <v>#ERROR!</v>
      </c>
      <c r="F40" s="91" t="str">
        <f>Consolidado!#REF!</f>
        <v>#ERROR!</v>
      </c>
      <c r="G40" s="91" t="str">
        <f>Consolidado!#REF!</f>
        <v>#ERROR!</v>
      </c>
      <c r="H40" s="80" t="str">
        <f t="shared" si="1"/>
        <v>#ERROR!</v>
      </c>
      <c r="I40" s="84" t="str">
        <f t="shared" si="2"/>
        <v>#ERROR!</v>
      </c>
      <c r="J40" s="84" t="str">
        <f t="shared" si="3"/>
        <v>#ERROR!</v>
      </c>
      <c r="K40" s="681"/>
      <c r="L40" s="681"/>
      <c r="M40" s="681"/>
      <c r="N40" s="681"/>
      <c r="O40" s="681"/>
      <c r="P40" s="681"/>
      <c r="Q40" s="681"/>
      <c r="R40" s="681"/>
      <c r="S40" s="681"/>
      <c r="T40" s="681"/>
      <c r="U40" s="681"/>
      <c r="V40" s="681"/>
      <c r="W40" s="681"/>
      <c r="X40" s="681"/>
      <c r="Y40" s="681"/>
      <c r="Z40" s="681"/>
      <c r="AA40" s="681"/>
      <c r="AB40" s="681"/>
      <c r="AC40" s="681"/>
      <c r="AD40" s="67" t="str">
        <f t="shared" si="4"/>
        <v>#ERROR!</v>
      </c>
      <c r="AE40" s="682" t="str">
        <f t="shared" si="5"/>
        <v> </v>
      </c>
    </row>
    <row r="41" ht="42.0" customHeight="1">
      <c r="A41" s="685">
        <v>35.0</v>
      </c>
      <c r="B41" s="66" t="s">
        <v>182</v>
      </c>
      <c r="C41" s="66" t="s">
        <v>1113</v>
      </c>
      <c r="D41" s="88">
        <v>104192.0</v>
      </c>
      <c r="E41" s="91" t="str">
        <f>Consolidado!#REF!</f>
        <v>#ERROR!</v>
      </c>
      <c r="F41" s="91" t="str">
        <f>Consolidado!#REF!</f>
        <v>#ERROR!</v>
      </c>
      <c r="G41" s="91" t="str">
        <f>Consolidado!#REF!</f>
        <v>#ERROR!</v>
      </c>
      <c r="H41" s="80" t="str">
        <f t="shared" si="1"/>
        <v>#ERROR!</v>
      </c>
      <c r="I41" s="84" t="str">
        <f t="shared" si="2"/>
        <v>#ERROR!</v>
      </c>
      <c r="J41" s="84" t="str">
        <f t="shared" si="3"/>
        <v>#ERROR!</v>
      </c>
      <c r="K41" s="681"/>
      <c r="L41" s="681"/>
      <c r="M41" s="681"/>
      <c r="N41" s="681"/>
      <c r="O41" s="681"/>
      <c r="P41" s="681"/>
      <c r="Q41" s="681"/>
      <c r="R41" s="681"/>
      <c r="S41" s="681"/>
      <c r="T41" s="681"/>
      <c r="U41" s="681"/>
      <c r="V41" s="681"/>
      <c r="W41" s="681"/>
      <c r="X41" s="681"/>
      <c r="Y41" s="681"/>
      <c r="Z41" s="681"/>
      <c r="AA41" s="681"/>
      <c r="AB41" s="681"/>
      <c r="AC41" s="681"/>
      <c r="AD41" s="67" t="str">
        <f t="shared" si="4"/>
        <v>#ERROR!</v>
      </c>
      <c r="AE41" s="682" t="str">
        <f t="shared" si="5"/>
        <v> </v>
      </c>
    </row>
    <row r="42" ht="42.0" customHeight="1">
      <c r="A42" s="685">
        <v>36.0</v>
      </c>
      <c r="B42" s="66" t="s">
        <v>182</v>
      </c>
      <c r="C42" s="66" t="s">
        <v>1114</v>
      </c>
      <c r="D42" s="88">
        <v>104292.0</v>
      </c>
      <c r="E42" s="91" t="str">
        <f>Consolidado!#REF!</f>
        <v>#ERROR!</v>
      </c>
      <c r="F42" s="91" t="str">
        <f>Consolidado!#REF!</f>
        <v>#ERROR!</v>
      </c>
      <c r="G42" s="91" t="str">
        <f>Consolidado!#REF!</f>
        <v>#ERROR!</v>
      </c>
      <c r="H42" s="80" t="str">
        <f t="shared" si="1"/>
        <v>#ERROR!</v>
      </c>
      <c r="I42" s="84" t="str">
        <f t="shared" si="2"/>
        <v>#ERROR!</v>
      </c>
      <c r="J42" s="84" t="str">
        <f t="shared" si="3"/>
        <v>#ERROR!</v>
      </c>
      <c r="K42" s="681"/>
      <c r="L42" s="681"/>
      <c r="M42" s="681"/>
      <c r="N42" s="681"/>
      <c r="O42" s="681"/>
      <c r="P42" s="681"/>
      <c r="Q42" s="681"/>
      <c r="R42" s="681"/>
      <c r="S42" s="681"/>
      <c r="T42" s="681"/>
      <c r="U42" s="681"/>
      <c r="V42" s="681"/>
      <c r="W42" s="681"/>
      <c r="X42" s="681"/>
      <c r="Y42" s="681"/>
      <c r="Z42" s="681"/>
      <c r="AA42" s="681"/>
      <c r="AB42" s="681"/>
      <c r="AC42" s="681"/>
      <c r="AD42" s="67" t="str">
        <f t="shared" si="4"/>
        <v>#ERROR!</v>
      </c>
      <c r="AE42" s="682" t="str">
        <f t="shared" si="5"/>
        <v> </v>
      </c>
    </row>
    <row r="43" ht="42.0" customHeight="1">
      <c r="A43" s="685">
        <v>37.0</v>
      </c>
      <c r="B43" s="66" t="s">
        <v>182</v>
      </c>
      <c r="C43" s="66" t="s">
        <v>1115</v>
      </c>
      <c r="D43" s="88">
        <v>104679.0</v>
      </c>
      <c r="E43" s="79" t="str">
        <f>Consolidado!#REF!</f>
        <v>#ERROR!</v>
      </c>
      <c r="F43" s="79" t="str">
        <f>Consolidado!#REF!</f>
        <v>#ERROR!</v>
      </c>
      <c r="G43" s="79" t="str">
        <f>Consolidado!#REF!</f>
        <v>#ERROR!</v>
      </c>
      <c r="H43" s="80" t="str">
        <f t="shared" si="1"/>
        <v>#ERROR!</v>
      </c>
      <c r="I43" s="84" t="str">
        <f t="shared" si="2"/>
        <v>#ERROR!</v>
      </c>
      <c r="J43" s="84" t="str">
        <f t="shared" si="3"/>
        <v>#ERROR!</v>
      </c>
      <c r="K43" s="681"/>
      <c r="L43" s="681"/>
      <c r="M43" s="681"/>
      <c r="N43" s="681"/>
      <c r="O43" s="681"/>
      <c r="P43" s="681"/>
      <c r="Q43" s="681"/>
      <c r="R43" s="681"/>
      <c r="S43" s="681"/>
      <c r="T43" s="681"/>
      <c r="U43" s="681"/>
      <c r="V43" s="681"/>
      <c r="W43" s="681"/>
      <c r="X43" s="681"/>
      <c r="Y43" s="681"/>
      <c r="Z43" s="681"/>
      <c r="AA43" s="681"/>
      <c r="AB43" s="681"/>
      <c r="AC43" s="681"/>
      <c r="AD43" s="67" t="str">
        <f t="shared" si="4"/>
        <v>#ERROR!</v>
      </c>
      <c r="AE43" s="682" t="str">
        <f t="shared" si="5"/>
        <v> </v>
      </c>
    </row>
    <row r="44" ht="42.0" customHeight="1">
      <c r="A44" s="685">
        <v>38.0</v>
      </c>
      <c r="B44" s="66" t="s">
        <v>182</v>
      </c>
      <c r="C44" s="66" t="s">
        <v>1115</v>
      </c>
      <c r="D44" s="88">
        <v>104698.0</v>
      </c>
      <c r="E44" s="79" t="str">
        <f>Consolidado!#REF!</f>
        <v>#ERROR!</v>
      </c>
      <c r="F44" s="79" t="str">
        <f>Consolidado!#REF!</f>
        <v>#ERROR!</v>
      </c>
      <c r="G44" s="79" t="str">
        <f>Consolidado!#REF!</f>
        <v>#ERROR!</v>
      </c>
      <c r="H44" s="80" t="str">
        <f t="shared" si="1"/>
        <v>#ERROR!</v>
      </c>
      <c r="I44" s="84" t="str">
        <f t="shared" si="2"/>
        <v>#ERROR!</v>
      </c>
      <c r="J44" s="84" t="str">
        <f t="shared" si="3"/>
        <v>#ERROR!</v>
      </c>
      <c r="K44" s="681"/>
      <c r="L44" s="681"/>
      <c r="M44" s="681"/>
      <c r="N44" s="681"/>
      <c r="O44" s="681"/>
      <c r="P44" s="681"/>
      <c r="Q44" s="681"/>
      <c r="R44" s="681"/>
      <c r="S44" s="681"/>
      <c r="T44" s="681"/>
      <c r="U44" s="681"/>
      <c r="V44" s="681"/>
      <c r="W44" s="681"/>
      <c r="X44" s="681"/>
      <c r="Y44" s="681"/>
      <c r="Z44" s="681"/>
      <c r="AA44" s="681"/>
      <c r="AB44" s="681"/>
      <c r="AC44" s="681"/>
      <c r="AD44" s="67" t="str">
        <f t="shared" si="4"/>
        <v>#ERROR!</v>
      </c>
      <c r="AE44" s="682" t="str">
        <f t="shared" si="5"/>
        <v> </v>
      </c>
    </row>
    <row r="45" ht="42.0" customHeight="1">
      <c r="A45" s="685">
        <v>39.0</v>
      </c>
      <c r="B45" s="66" t="s">
        <v>182</v>
      </c>
      <c r="C45" s="66" t="s">
        <v>989</v>
      </c>
      <c r="D45" s="65">
        <v>105715.0</v>
      </c>
      <c r="E45" s="91" t="str">
        <f>Consolidado!#REF!</f>
        <v>#ERROR!</v>
      </c>
      <c r="F45" s="91" t="str">
        <f>Consolidado!#REF!</f>
        <v>#ERROR!</v>
      </c>
      <c r="G45" s="91" t="str">
        <f>Consolidado!#REF!</f>
        <v>#ERROR!</v>
      </c>
      <c r="H45" s="80" t="str">
        <f t="shared" si="1"/>
        <v>#ERROR!</v>
      </c>
      <c r="I45" s="84" t="str">
        <f t="shared" si="2"/>
        <v>#ERROR!</v>
      </c>
      <c r="J45" s="84" t="str">
        <f t="shared" si="3"/>
        <v>#ERROR!</v>
      </c>
      <c r="K45" s="681"/>
      <c r="L45" s="681"/>
      <c r="M45" s="681"/>
      <c r="N45" s="681"/>
      <c r="O45" s="681"/>
      <c r="P45" s="681"/>
      <c r="Q45" s="681"/>
      <c r="R45" s="681"/>
      <c r="S45" s="681"/>
      <c r="T45" s="681"/>
      <c r="U45" s="681"/>
      <c r="V45" s="681"/>
      <c r="W45" s="681"/>
      <c r="X45" s="681"/>
      <c r="Y45" s="681"/>
      <c r="Z45" s="681"/>
      <c r="AA45" s="681"/>
      <c r="AB45" s="681"/>
      <c r="AC45" s="681"/>
      <c r="AD45" s="67" t="str">
        <f t="shared" si="4"/>
        <v>#ERROR!</v>
      </c>
      <c r="AE45" s="682" t="str">
        <f t="shared" si="5"/>
        <v> </v>
      </c>
    </row>
    <row r="46" ht="42.0" customHeight="1">
      <c r="A46" s="685">
        <v>40.0</v>
      </c>
      <c r="B46" s="66" t="s">
        <v>182</v>
      </c>
      <c r="C46" s="66" t="s">
        <v>1116</v>
      </c>
      <c r="D46" s="65">
        <v>107251.0</v>
      </c>
      <c r="E46" s="79" t="s">
        <v>86</v>
      </c>
      <c r="F46" s="79" t="s">
        <v>86</v>
      </c>
      <c r="G46" s="79" t="s">
        <v>86</v>
      </c>
      <c r="H46" s="80" t="str">
        <f t="shared" si="1"/>
        <v>#VALUE!</v>
      </c>
      <c r="I46" s="84" t="str">
        <f t="shared" si="2"/>
        <v>#VALUE!</v>
      </c>
      <c r="J46" s="84" t="str">
        <f t="shared" si="3"/>
        <v>#VALUE!</v>
      </c>
      <c r="K46" s="681"/>
      <c r="L46" s="681"/>
      <c r="M46" s="681"/>
      <c r="N46" s="681"/>
      <c r="O46" s="681"/>
      <c r="P46" s="681"/>
      <c r="Q46" s="681"/>
      <c r="R46" s="681"/>
      <c r="S46" s="681"/>
      <c r="T46" s="681"/>
      <c r="U46" s="681"/>
      <c r="V46" s="681"/>
      <c r="W46" s="681"/>
      <c r="X46" s="681"/>
      <c r="Y46" s="681"/>
      <c r="Z46" s="681"/>
      <c r="AA46" s="681"/>
      <c r="AB46" s="681"/>
      <c r="AC46" s="681"/>
      <c r="AD46" s="67" t="str">
        <f t="shared" si="4"/>
        <v>#VALUE!</v>
      </c>
      <c r="AE46" s="682" t="str">
        <f t="shared" si="5"/>
        <v> </v>
      </c>
    </row>
    <row r="47" ht="42.0" customHeight="1">
      <c r="A47" s="685">
        <v>41.0</v>
      </c>
      <c r="B47" s="66" t="s">
        <v>182</v>
      </c>
      <c r="C47" s="66" t="s">
        <v>1117</v>
      </c>
      <c r="D47" s="65">
        <v>107268.0</v>
      </c>
      <c r="E47" s="79" t="s">
        <v>86</v>
      </c>
      <c r="F47" s="79" t="s">
        <v>86</v>
      </c>
      <c r="G47" s="79" t="s">
        <v>86</v>
      </c>
      <c r="H47" s="80" t="str">
        <f t="shared" si="1"/>
        <v>#VALUE!</v>
      </c>
      <c r="I47" s="84" t="str">
        <f t="shared" si="2"/>
        <v>#VALUE!</v>
      </c>
      <c r="J47" s="84" t="str">
        <f t="shared" si="3"/>
        <v>#VALUE!</v>
      </c>
      <c r="K47" s="681"/>
      <c r="L47" s="681"/>
      <c r="M47" s="681"/>
      <c r="N47" s="681"/>
      <c r="O47" s="681"/>
      <c r="P47" s="681"/>
      <c r="Q47" s="681"/>
      <c r="R47" s="681"/>
      <c r="S47" s="681"/>
      <c r="T47" s="681"/>
      <c r="U47" s="681"/>
      <c r="V47" s="681"/>
      <c r="W47" s="681"/>
      <c r="X47" s="681"/>
      <c r="Y47" s="681"/>
      <c r="Z47" s="681"/>
      <c r="AA47" s="681"/>
      <c r="AB47" s="681"/>
      <c r="AC47" s="681"/>
      <c r="AD47" s="67" t="str">
        <f t="shared" si="4"/>
        <v>#VALUE!</v>
      </c>
      <c r="AE47" s="682" t="str">
        <f t="shared" si="5"/>
        <v> </v>
      </c>
    </row>
    <row r="48" ht="42.0" customHeight="1">
      <c r="A48" s="686">
        <v>42.0</v>
      </c>
      <c r="B48" s="66" t="s">
        <v>255</v>
      </c>
      <c r="C48" s="66" t="s">
        <v>285</v>
      </c>
      <c r="D48" s="65">
        <v>230.0</v>
      </c>
      <c r="E48" s="91" t="str">
        <f>Consolidado!#REF!</f>
        <v>#ERROR!</v>
      </c>
      <c r="F48" s="74" t="str">
        <f t="shared" ref="F48:G48" si="8">#REF!</f>
        <v>#REF!</v>
      </c>
      <c r="G48" s="91" t="str">
        <f t="shared" si="8"/>
        <v>#REF!</v>
      </c>
      <c r="H48" s="80" t="str">
        <f t="shared" si="1"/>
        <v>#REF!</v>
      </c>
      <c r="I48" s="84" t="str">
        <f t="shared" si="2"/>
        <v>#REF!</v>
      </c>
      <c r="J48" s="84" t="str">
        <f t="shared" si="3"/>
        <v>#REF!</v>
      </c>
      <c r="K48" s="681"/>
      <c r="L48" s="681"/>
      <c r="M48" s="681"/>
      <c r="N48" s="681"/>
      <c r="O48" s="681"/>
      <c r="P48" s="681"/>
      <c r="Q48" s="681"/>
      <c r="R48" s="681"/>
      <c r="S48" s="681"/>
      <c r="T48" s="681"/>
      <c r="U48" s="681"/>
      <c r="V48" s="681"/>
      <c r="W48" s="681"/>
      <c r="X48" s="681"/>
      <c r="Y48" s="681"/>
      <c r="Z48" s="681"/>
      <c r="AA48" s="681"/>
      <c r="AB48" s="681"/>
      <c r="AC48" s="681"/>
      <c r="AD48" s="67" t="str">
        <f t="shared" si="4"/>
        <v>#REF!</v>
      </c>
      <c r="AE48" s="682" t="str">
        <f t="shared" si="5"/>
        <v> </v>
      </c>
    </row>
    <row r="49" ht="42.0" customHeight="1">
      <c r="A49" s="686">
        <v>43.0</v>
      </c>
      <c r="B49" s="66" t="s">
        <v>255</v>
      </c>
      <c r="C49" s="66" t="s">
        <v>1062</v>
      </c>
      <c r="D49" s="65">
        <v>239.0</v>
      </c>
      <c r="E49" s="79" t="str">
        <f>Consolidado!#REF!</f>
        <v>#ERROR!</v>
      </c>
      <c r="F49" s="79" t="str">
        <f>Consolidado!#REF!</f>
        <v>#ERROR!</v>
      </c>
      <c r="G49" s="79" t="str">
        <f>Consolidado!#REF!</f>
        <v>#ERROR!</v>
      </c>
      <c r="H49" s="80" t="str">
        <f t="shared" si="1"/>
        <v>#ERROR!</v>
      </c>
      <c r="I49" s="84" t="str">
        <f t="shared" si="2"/>
        <v>#ERROR!</v>
      </c>
      <c r="J49" s="84" t="str">
        <f t="shared" si="3"/>
        <v>#ERROR!</v>
      </c>
      <c r="K49" s="681"/>
      <c r="L49" s="681"/>
      <c r="M49" s="681"/>
      <c r="N49" s="681"/>
      <c r="O49" s="681"/>
      <c r="P49" s="681"/>
      <c r="Q49" s="681"/>
      <c r="R49" s="681"/>
      <c r="S49" s="681"/>
      <c r="T49" s="681"/>
      <c r="U49" s="681"/>
      <c r="V49" s="681"/>
      <c r="W49" s="681"/>
      <c r="X49" s="681"/>
      <c r="Y49" s="681"/>
      <c r="Z49" s="681"/>
      <c r="AA49" s="681"/>
      <c r="AB49" s="681"/>
      <c r="AC49" s="681"/>
      <c r="AD49" s="67" t="str">
        <f t="shared" si="4"/>
        <v>#ERROR!</v>
      </c>
      <c r="AE49" s="682" t="str">
        <f t="shared" si="5"/>
        <v> </v>
      </c>
    </row>
    <row r="50" ht="42.0" customHeight="1">
      <c r="A50" s="686">
        <v>44.0</v>
      </c>
      <c r="B50" s="66" t="s">
        <v>255</v>
      </c>
      <c r="C50" s="66" t="s">
        <v>266</v>
      </c>
      <c r="D50" s="65">
        <v>240.0</v>
      </c>
      <c r="E50" s="79" t="str">
        <f>Consolidado!#REF!</f>
        <v>#ERROR!</v>
      </c>
      <c r="F50" s="79" t="str">
        <f>Consolidado!#REF!</f>
        <v>#ERROR!</v>
      </c>
      <c r="G50" s="79" t="str">
        <f>Consolidado!#REF!</f>
        <v>#ERROR!</v>
      </c>
      <c r="H50" s="80" t="str">
        <f t="shared" si="1"/>
        <v>#ERROR!</v>
      </c>
      <c r="I50" s="84" t="str">
        <f t="shared" si="2"/>
        <v>#ERROR!</v>
      </c>
      <c r="J50" s="84" t="str">
        <f t="shared" si="3"/>
        <v>#ERROR!</v>
      </c>
      <c r="K50" s="681"/>
      <c r="L50" s="681"/>
      <c r="M50" s="681"/>
      <c r="N50" s="681"/>
      <c r="O50" s="681"/>
      <c r="P50" s="681"/>
      <c r="Q50" s="681"/>
      <c r="R50" s="681"/>
      <c r="S50" s="681"/>
      <c r="T50" s="681"/>
      <c r="U50" s="681"/>
      <c r="V50" s="681"/>
      <c r="W50" s="681"/>
      <c r="X50" s="681"/>
      <c r="Y50" s="681"/>
      <c r="Z50" s="681"/>
      <c r="AA50" s="681"/>
      <c r="AB50" s="681"/>
      <c r="AC50" s="681"/>
      <c r="AD50" s="67" t="str">
        <f t="shared" si="4"/>
        <v>#ERROR!</v>
      </c>
      <c r="AE50" s="682" t="str">
        <f t="shared" si="5"/>
        <v> </v>
      </c>
    </row>
    <row r="51" ht="42.0" customHeight="1">
      <c r="A51" s="686">
        <v>45.0</v>
      </c>
      <c r="B51" s="66" t="s">
        <v>255</v>
      </c>
      <c r="C51" s="66" t="s">
        <v>280</v>
      </c>
      <c r="D51" s="65">
        <v>241.0</v>
      </c>
      <c r="E51" s="79" t="str">
        <f>Consolidado!#REF!</f>
        <v>#ERROR!</v>
      </c>
      <c r="F51" s="79" t="str">
        <f>Consolidado!#REF!</f>
        <v>#ERROR!</v>
      </c>
      <c r="G51" s="79" t="str">
        <f>Consolidado!#REF!</f>
        <v>#ERROR!</v>
      </c>
      <c r="H51" s="80" t="str">
        <f t="shared" si="1"/>
        <v>#ERROR!</v>
      </c>
      <c r="I51" s="84" t="str">
        <f t="shared" si="2"/>
        <v>#ERROR!</v>
      </c>
      <c r="J51" s="84" t="str">
        <f t="shared" si="3"/>
        <v>#ERROR!</v>
      </c>
      <c r="K51" s="681"/>
      <c r="L51" s="681"/>
      <c r="M51" s="681"/>
      <c r="N51" s="681"/>
      <c r="O51" s="681"/>
      <c r="P51" s="681"/>
      <c r="Q51" s="681"/>
      <c r="R51" s="681"/>
      <c r="S51" s="681"/>
      <c r="T51" s="681"/>
      <c r="U51" s="681"/>
      <c r="V51" s="681"/>
      <c r="W51" s="681"/>
      <c r="X51" s="681"/>
      <c r="Y51" s="681"/>
      <c r="Z51" s="681"/>
      <c r="AA51" s="681"/>
      <c r="AB51" s="681"/>
      <c r="AC51" s="681"/>
      <c r="AD51" s="67" t="str">
        <f t="shared" si="4"/>
        <v>#ERROR!</v>
      </c>
      <c r="AE51" s="682" t="str">
        <f t="shared" si="5"/>
        <v> </v>
      </c>
    </row>
    <row r="52" ht="42.0" customHeight="1">
      <c r="A52" s="686">
        <v>46.0</v>
      </c>
      <c r="B52" s="66" t="s">
        <v>255</v>
      </c>
      <c r="C52" s="66" t="s">
        <v>275</v>
      </c>
      <c r="D52" s="65">
        <v>242.0</v>
      </c>
      <c r="E52" s="79" t="str">
        <f>Consolidado!#REF!</f>
        <v>#ERROR!</v>
      </c>
      <c r="F52" s="79" t="str">
        <f>Consolidado!#REF!</f>
        <v>#ERROR!</v>
      </c>
      <c r="G52" s="79" t="str">
        <f>Consolidado!#REF!</f>
        <v>#ERROR!</v>
      </c>
      <c r="H52" s="80" t="str">
        <f t="shared" si="1"/>
        <v>#ERROR!</v>
      </c>
      <c r="I52" s="84" t="str">
        <f t="shared" si="2"/>
        <v>#ERROR!</v>
      </c>
      <c r="J52" s="84" t="str">
        <f t="shared" si="3"/>
        <v>#ERROR!</v>
      </c>
      <c r="K52" s="681"/>
      <c r="L52" s="681"/>
      <c r="M52" s="681"/>
      <c r="N52" s="681"/>
      <c r="O52" s="681"/>
      <c r="P52" s="681"/>
      <c r="Q52" s="681"/>
      <c r="R52" s="681"/>
      <c r="S52" s="681"/>
      <c r="T52" s="681"/>
      <c r="U52" s="681"/>
      <c r="V52" s="681"/>
      <c r="W52" s="681"/>
      <c r="X52" s="681"/>
      <c r="Y52" s="681"/>
      <c r="Z52" s="681"/>
      <c r="AA52" s="681"/>
      <c r="AB52" s="681"/>
      <c r="AC52" s="681"/>
      <c r="AD52" s="67" t="str">
        <f t="shared" si="4"/>
        <v>#ERROR!</v>
      </c>
      <c r="AE52" s="682" t="str">
        <f t="shared" si="5"/>
        <v> </v>
      </c>
    </row>
    <row r="53" ht="42.0" customHeight="1">
      <c r="A53" s="686">
        <v>47.0</v>
      </c>
      <c r="B53" s="66" t="s">
        <v>255</v>
      </c>
      <c r="C53" s="66" t="s">
        <v>296</v>
      </c>
      <c r="D53" s="65">
        <v>243.0</v>
      </c>
      <c r="E53" s="79" t="str">
        <f>Consolidado!#REF!</f>
        <v>#ERROR!</v>
      </c>
      <c r="F53" s="79" t="str">
        <f>Consolidado!#REF!</f>
        <v>#ERROR!</v>
      </c>
      <c r="G53" s="79" t="str">
        <f>Consolidado!#REF!</f>
        <v>#ERROR!</v>
      </c>
      <c r="H53" s="80" t="str">
        <f t="shared" si="1"/>
        <v>#ERROR!</v>
      </c>
      <c r="I53" s="84" t="str">
        <f t="shared" si="2"/>
        <v>#ERROR!</v>
      </c>
      <c r="J53" s="84" t="str">
        <f t="shared" si="3"/>
        <v>#ERROR!</v>
      </c>
      <c r="K53" s="681"/>
      <c r="L53" s="681"/>
      <c r="M53" s="681"/>
      <c r="N53" s="681"/>
      <c r="O53" s="681"/>
      <c r="P53" s="681"/>
      <c r="Q53" s="681"/>
      <c r="R53" s="681"/>
      <c r="S53" s="681"/>
      <c r="T53" s="681"/>
      <c r="U53" s="681"/>
      <c r="V53" s="681"/>
      <c r="W53" s="681"/>
      <c r="X53" s="681"/>
      <c r="Y53" s="681"/>
      <c r="Z53" s="681"/>
      <c r="AA53" s="681"/>
      <c r="AB53" s="681"/>
      <c r="AC53" s="681"/>
      <c r="AD53" s="67" t="str">
        <f t="shared" si="4"/>
        <v>#ERROR!</v>
      </c>
      <c r="AE53" s="682" t="str">
        <f t="shared" si="5"/>
        <v> </v>
      </c>
    </row>
    <row r="54" ht="42.0" customHeight="1">
      <c r="A54" s="686">
        <v>48.0</v>
      </c>
      <c r="B54" s="66" t="s">
        <v>255</v>
      </c>
      <c r="C54" s="66" t="s">
        <v>271</v>
      </c>
      <c r="D54" s="65">
        <v>244.0</v>
      </c>
      <c r="E54" s="79" t="str">
        <f>Consolidado!#REF!</f>
        <v>#ERROR!</v>
      </c>
      <c r="F54" s="79" t="str">
        <f>Consolidado!#REF!</f>
        <v>#ERROR!</v>
      </c>
      <c r="G54" s="79" t="str">
        <f>Consolidado!#REF!</f>
        <v>#ERROR!</v>
      </c>
      <c r="H54" s="80" t="str">
        <f t="shared" si="1"/>
        <v>#ERROR!</v>
      </c>
      <c r="I54" s="84" t="str">
        <f t="shared" si="2"/>
        <v>#ERROR!</v>
      </c>
      <c r="J54" s="84" t="str">
        <f t="shared" si="3"/>
        <v>#ERROR!</v>
      </c>
      <c r="K54" s="681"/>
      <c r="L54" s="681"/>
      <c r="M54" s="681"/>
      <c r="N54" s="681"/>
      <c r="O54" s="681"/>
      <c r="P54" s="681"/>
      <c r="Q54" s="681"/>
      <c r="R54" s="681"/>
      <c r="S54" s="681"/>
      <c r="T54" s="681"/>
      <c r="U54" s="681"/>
      <c r="V54" s="681"/>
      <c r="W54" s="681"/>
      <c r="X54" s="681"/>
      <c r="Y54" s="681"/>
      <c r="Z54" s="681"/>
      <c r="AA54" s="681"/>
      <c r="AB54" s="681"/>
      <c r="AC54" s="681"/>
      <c r="AD54" s="67" t="str">
        <f t="shared" si="4"/>
        <v>#ERROR!</v>
      </c>
      <c r="AE54" s="682" t="str">
        <f t="shared" si="5"/>
        <v> </v>
      </c>
    </row>
    <row r="55" ht="42.0" customHeight="1">
      <c r="A55" s="686">
        <v>49.0</v>
      </c>
      <c r="B55" s="66" t="s">
        <v>255</v>
      </c>
      <c r="C55" s="66" t="s">
        <v>260</v>
      </c>
      <c r="D55" s="65">
        <v>5268.0</v>
      </c>
      <c r="E55" s="210" t="str">
        <f>Consolidado!$AU$33</f>
        <v/>
      </c>
      <c r="F55" s="74" t="str">
        <f>Consolidado!$AV$33</f>
        <v/>
      </c>
      <c r="G55" s="91" t="str">
        <f>Consolidado!$AW$33</f>
        <v/>
      </c>
      <c r="H55" s="80" t="str">
        <f t="shared" si="1"/>
        <v>#NUM!</v>
      </c>
      <c r="I55" s="84" t="str">
        <f t="shared" si="2"/>
        <v>#NUM!</v>
      </c>
      <c r="J55" s="84">
        <f t="shared" si="3"/>
        <v>0</v>
      </c>
      <c r="K55" s="681"/>
      <c r="L55" s="681"/>
      <c r="M55" s="681"/>
      <c r="N55" s="681"/>
      <c r="O55" s="681"/>
      <c r="P55" s="667"/>
      <c r="Q55" s="681"/>
      <c r="R55" s="681"/>
      <c r="S55" s="681"/>
      <c r="T55" s="681"/>
      <c r="U55" s="681"/>
      <c r="V55" s="681"/>
      <c r="W55" s="681" t="s">
        <v>1108</v>
      </c>
      <c r="X55" s="681"/>
      <c r="Y55" s="681"/>
      <c r="Z55" s="681"/>
      <c r="AA55" s="681"/>
      <c r="AB55" s="681"/>
      <c r="AC55" s="681"/>
      <c r="AD55" s="67" t="str">
        <f t="shared" si="4"/>
        <v>En proceso</v>
      </c>
      <c r="AE55" s="682">
        <f t="shared" si="5"/>
        <v>13</v>
      </c>
    </row>
    <row r="56" ht="42.0" customHeight="1">
      <c r="A56" s="686">
        <v>50.0</v>
      </c>
      <c r="B56" s="66" t="s">
        <v>255</v>
      </c>
      <c r="C56" s="66" t="s">
        <v>310</v>
      </c>
      <c r="D56" s="65">
        <v>5269.0</v>
      </c>
      <c r="E56" s="91" t="str">
        <f>Consolidado!#REF!</f>
        <v>#ERROR!</v>
      </c>
      <c r="F56" s="74" t="str">
        <f>Consolidado!#REF!</f>
        <v>#ERROR!</v>
      </c>
      <c r="G56" s="91" t="str">
        <f>Consolidado!#REF!</f>
        <v>#ERROR!</v>
      </c>
      <c r="H56" s="80" t="str">
        <f t="shared" si="1"/>
        <v>#ERROR!</v>
      </c>
      <c r="I56" s="84" t="str">
        <f t="shared" si="2"/>
        <v>#ERROR!</v>
      </c>
      <c r="J56" s="84" t="str">
        <f t="shared" si="3"/>
        <v>#ERROR!</v>
      </c>
      <c r="K56" s="681"/>
      <c r="L56" s="681"/>
      <c r="M56" s="681"/>
      <c r="N56" s="681"/>
      <c r="O56" s="681"/>
      <c r="P56" s="681"/>
      <c r="Q56" s="681"/>
      <c r="R56" s="681"/>
      <c r="S56" s="681"/>
      <c r="T56" s="681"/>
      <c r="U56" s="681"/>
      <c r="V56" s="681"/>
      <c r="W56" s="681"/>
      <c r="X56" s="681"/>
      <c r="Y56" s="681"/>
      <c r="Z56" s="681"/>
      <c r="AA56" s="681"/>
      <c r="AB56" s="681"/>
      <c r="AC56" s="681"/>
      <c r="AD56" s="67" t="str">
        <f t="shared" si="4"/>
        <v>#ERROR!</v>
      </c>
      <c r="AE56" s="682" t="str">
        <f t="shared" si="5"/>
        <v> </v>
      </c>
    </row>
    <row r="57" ht="42.0" customHeight="1">
      <c r="A57" s="686">
        <v>51.0</v>
      </c>
      <c r="B57" s="66" t="s">
        <v>255</v>
      </c>
      <c r="C57" s="66" t="s">
        <v>1118</v>
      </c>
      <c r="D57" s="65">
        <v>11546.0</v>
      </c>
      <c r="E57" s="129" t="str">
        <f>Consolidado!#REF!</f>
        <v>#ERROR!</v>
      </c>
      <c r="F57" s="129" t="str">
        <f>Consolidado!#REF!</f>
        <v>#ERROR!</v>
      </c>
      <c r="G57" s="129" t="str">
        <f>Consolidado!#REF!</f>
        <v>#ERROR!</v>
      </c>
      <c r="H57" s="80" t="str">
        <f t="shared" si="1"/>
        <v>#ERROR!</v>
      </c>
      <c r="I57" s="84" t="str">
        <f t="shared" si="2"/>
        <v>#ERROR!</v>
      </c>
      <c r="J57" s="84" t="str">
        <f t="shared" si="3"/>
        <v>#ERROR!</v>
      </c>
      <c r="K57" s="681"/>
      <c r="L57" s="681"/>
      <c r="M57" s="681"/>
      <c r="N57" s="681"/>
      <c r="O57" s="681"/>
      <c r="P57" s="681"/>
      <c r="Q57" s="681"/>
      <c r="R57" s="681"/>
      <c r="S57" s="681"/>
      <c r="T57" s="681"/>
      <c r="U57" s="681"/>
      <c r="V57" s="681"/>
      <c r="W57" s="681"/>
      <c r="X57" s="681"/>
      <c r="Y57" s="681"/>
      <c r="Z57" s="681"/>
      <c r="AA57" s="681"/>
      <c r="AB57" s="681"/>
      <c r="AC57" s="681"/>
      <c r="AD57" s="67" t="str">
        <f t="shared" si="4"/>
        <v>#ERROR!</v>
      </c>
      <c r="AE57" s="682" t="str">
        <f t="shared" si="5"/>
        <v> </v>
      </c>
    </row>
    <row r="58" ht="42.0" customHeight="1">
      <c r="A58" s="686">
        <v>52.0</v>
      </c>
      <c r="B58" s="66" t="s">
        <v>255</v>
      </c>
      <c r="C58" s="66" t="s">
        <v>972</v>
      </c>
      <c r="D58" s="65">
        <v>55202.0</v>
      </c>
      <c r="E58" s="433" t="str">
        <f>Consolidado!$AU$37</f>
        <v/>
      </c>
      <c r="F58" s="74" t="str">
        <f>Consolidado!$AV$37</f>
        <v/>
      </c>
      <c r="G58" s="91" t="str">
        <f>Consolidado!$AW$37</f>
        <v/>
      </c>
      <c r="H58" s="80" t="str">
        <f t="shared" si="1"/>
        <v>#NUM!</v>
      </c>
      <c r="I58" s="84" t="str">
        <f t="shared" si="2"/>
        <v>#NUM!</v>
      </c>
      <c r="J58" s="84">
        <f t="shared" si="3"/>
        <v>0</v>
      </c>
      <c r="K58" s="681"/>
      <c r="L58" s="681"/>
      <c r="M58" s="667"/>
      <c r="N58" s="681"/>
      <c r="O58" s="681"/>
      <c r="P58" s="681"/>
      <c r="Q58" s="681"/>
      <c r="R58" s="681"/>
      <c r="S58" s="681"/>
      <c r="T58" s="681"/>
      <c r="U58" s="681"/>
      <c r="V58" s="681"/>
      <c r="W58" s="681" t="s">
        <v>1108</v>
      </c>
      <c r="X58" s="681"/>
      <c r="Y58" s="681"/>
      <c r="Z58" s="681"/>
      <c r="AA58" s="681"/>
      <c r="AB58" s="681"/>
      <c r="AC58" s="681"/>
      <c r="AD58" s="67" t="str">
        <f t="shared" si="4"/>
        <v>En proceso</v>
      </c>
      <c r="AE58" s="682">
        <f t="shared" si="5"/>
        <v>13</v>
      </c>
    </row>
    <row r="59" ht="42.0" customHeight="1">
      <c r="A59" s="686">
        <v>53.0</v>
      </c>
      <c r="B59" s="66" t="s">
        <v>255</v>
      </c>
      <c r="C59" s="66" t="s">
        <v>1119</v>
      </c>
      <c r="D59" s="445">
        <v>104917.0</v>
      </c>
      <c r="E59" s="79" t="str">
        <f>Consolidado!#REF!</f>
        <v>#ERROR!</v>
      </c>
      <c r="F59" s="79" t="str">
        <f>Consolidado!#REF!</f>
        <v>#ERROR!</v>
      </c>
      <c r="G59" s="79" t="str">
        <f>Consolidado!#REF!</f>
        <v>#ERROR!</v>
      </c>
      <c r="H59" s="80" t="str">
        <f t="shared" si="1"/>
        <v>#ERROR!</v>
      </c>
      <c r="I59" s="84" t="str">
        <f t="shared" si="2"/>
        <v>#ERROR!</v>
      </c>
      <c r="J59" s="84" t="str">
        <f t="shared" si="3"/>
        <v>#ERROR!</v>
      </c>
      <c r="K59" s="681"/>
      <c r="L59" s="681"/>
      <c r="M59" s="681"/>
      <c r="N59" s="681"/>
      <c r="O59" s="681"/>
      <c r="P59" s="681"/>
      <c r="Q59" s="681"/>
      <c r="R59" s="681"/>
      <c r="S59" s="681"/>
      <c r="T59" s="681"/>
      <c r="U59" s="681"/>
      <c r="V59" s="681"/>
      <c r="W59" s="681"/>
      <c r="X59" s="681"/>
      <c r="Y59" s="681"/>
      <c r="Z59" s="681"/>
      <c r="AA59" s="681"/>
      <c r="AB59" s="681"/>
      <c r="AC59" s="681"/>
      <c r="AD59" s="67" t="str">
        <f t="shared" si="4"/>
        <v>#ERROR!</v>
      </c>
      <c r="AE59" s="682" t="str">
        <f t="shared" si="5"/>
        <v> </v>
      </c>
    </row>
    <row r="60" ht="42.0" customHeight="1">
      <c r="A60" s="686">
        <v>54.0</v>
      </c>
      <c r="B60" s="66" t="s">
        <v>255</v>
      </c>
      <c r="C60" s="66" t="s">
        <v>292</v>
      </c>
      <c r="D60" s="65">
        <v>105964.0</v>
      </c>
      <c r="E60" s="79" t="str">
        <f>Consolidado!$AU$38</f>
        <v/>
      </c>
      <c r="F60" s="78" t="str">
        <f>Consolidado!$AV$38</f>
        <v/>
      </c>
      <c r="G60" s="79" t="str">
        <f>Consolidado!$AW$38</f>
        <v/>
      </c>
      <c r="H60" s="80" t="str">
        <f t="shared" si="1"/>
        <v>#NUM!</v>
      </c>
      <c r="I60" s="84" t="str">
        <f t="shared" si="2"/>
        <v>#NUM!</v>
      </c>
      <c r="J60" s="84">
        <f t="shared" si="3"/>
        <v>0</v>
      </c>
      <c r="K60" s="681"/>
      <c r="L60" s="681"/>
      <c r="M60" s="681"/>
      <c r="N60" s="681"/>
      <c r="O60" s="681"/>
      <c r="P60" s="681"/>
      <c r="Q60" s="681"/>
      <c r="R60" s="681"/>
      <c r="S60" s="681"/>
      <c r="T60" s="681"/>
      <c r="U60" s="681"/>
      <c r="V60" s="681"/>
      <c r="W60" s="681"/>
      <c r="X60" s="681"/>
      <c r="Y60" s="681"/>
      <c r="Z60" s="681"/>
      <c r="AA60" s="681"/>
      <c r="AB60" s="681"/>
      <c r="AC60" s="681"/>
      <c r="AD60" s="67" t="str">
        <f t="shared" si="4"/>
        <v>En proceso</v>
      </c>
      <c r="AE60" s="682" t="str">
        <f t="shared" si="5"/>
        <v> </v>
      </c>
    </row>
    <row r="61" ht="42.0" customHeight="1">
      <c r="A61" s="686">
        <v>55.0</v>
      </c>
      <c r="B61" s="66" t="s">
        <v>255</v>
      </c>
      <c r="C61" s="66" t="s">
        <v>318</v>
      </c>
      <c r="D61" s="65">
        <v>106126.0</v>
      </c>
      <c r="E61" s="687">
        <f>Consolidado!$AU$39</f>
        <v>14238</v>
      </c>
      <c r="F61" s="78">
        <f>Consolidado!$AV$39</f>
        <v>45161</v>
      </c>
      <c r="G61" s="79">
        <f>Consolidado!$AW$39</f>
        <v>6</v>
      </c>
      <c r="H61" s="80">
        <f t="shared" si="1"/>
        <v>46927</v>
      </c>
      <c r="I61" s="84">
        <f t="shared" si="2"/>
        <v>46988</v>
      </c>
      <c r="J61" s="84">
        <f t="shared" si="3"/>
        <v>47353</v>
      </c>
      <c r="K61" s="681"/>
      <c r="L61" s="681"/>
      <c r="M61" s="681"/>
      <c r="N61" s="681"/>
      <c r="O61" s="681"/>
      <c r="P61" s="681"/>
      <c r="Q61" s="681"/>
      <c r="R61" s="681"/>
      <c r="S61" s="681"/>
      <c r="T61" s="681"/>
      <c r="U61" s="681"/>
      <c r="V61" s="681"/>
      <c r="W61" s="681"/>
      <c r="X61" s="681"/>
      <c r="Y61" s="681"/>
      <c r="Z61" s="681"/>
      <c r="AA61" s="681"/>
      <c r="AB61" s="681"/>
      <c r="AC61" s="681"/>
      <c r="AD61" s="67" t="str">
        <f t="shared" si="4"/>
        <v>Vigente</v>
      </c>
      <c r="AE61" s="682" t="str">
        <f t="shared" si="5"/>
        <v> </v>
      </c>
    </row>
    <row r="62" ht="42.0" customHeight="1">
      <c r="A62" s="688">
        <v>56.0</v>
      </c>
      <c r="B62" s="66" t="s">
        <v>333</v>
      </c>
      <c r="C62" s="66" t="s">
        <v>408</v>
      </c>
      <c r="D62" s="65">
        <v>232.0</v>
      </c>
      <c r="E62" s="433" t="str">
        <f>Consolidado!#REF!</f>
        <v>#ERROR!</v>
      </c>
      <c r="F62" s="84" t="str">
        <f>Consolidado!#REF!</f>
        <v>#ERROR!</v>
      </c>
      <c r="G62" s="91" t="str">
        <f>Consolidado!#REF!</f>
        <v>#ERROR!</v>
      </c>
      <c r="H62" s="80" t="str">
        <f t="shared" si="1"/>
        <v>#ERROR!</v>
      </c>
      <c r="I62" s="84" t="str">
        <f t="shared" si="2"/>
        <v>#ERROR!</v>
      </c>
      <c r="J62" s="84" t="str">
        <f t="shared" si="3"/>
        <v>#ERROR!</v>
      </c>
      <c r="K62" s="681"/>
      <c r="L62" s="681"/>
      <c r="M62" s="681"/>
      <c r="N62" s="681"/>
      <c r="O62" s="681"/>
      <c r="P62" s="681"/>
      <c r="Q62" s="681"/>
      <c r="R62" s="681"/>
      <c r="S62" s="681"/>
      <c r="T62" s="681"/>
      <c r="U62" s="681"/>
      <c r="V62" s="681"/>
      <c r="W62" s="681"/>
      <c r="X62" s="681"/>
      <c r="Y62" s="681"/>
      <c r="Z62" s="681"/>
      <c r="AA62" s="681"/>
      <c r="AB62" s="681"/>
      <c r="AC62" s="681"/>
      <c r="AD62" s="67" t="str">
        <f t="shared" si="4"/>
        <v>#ERROR!</v>
      </c>
      <c r="AE62" s="682" t="str">
        <f t="shared" si="5"/>
        <v> </v>
      </c>
    </row>
    <row r="63" ht="42.0" customHeight="1">
      <c r="A63" s="688">
        <v>57.0</v>
      </c>
      <c r="B63" s="66" t="s">
        <v>333</v>
      </c>
      <c r="C63" s="66" t="s">
        <v>1063</v>
      </c>
      <c r="D63" s="65">
        <v>4493.0</v>
      </c>
      <c r="E63" s="689" t="str">
        <f>Consolidado!#REF!</f>
        <v>#ERROR!</v>
      </c>
      <c r="F63" s="689" t="str">
        <f>Consolidado!#REF!</f>
        <v>#ERROR!</v>
      </c>
      <c r="G63" s="689" t="str">
        <f>Consolidado!#REF!</f>
        <v>#ERROR!</v>
      </c>
      <c r="H63" s="80" t="str">
        <f t="shared" si="1"/>
        <v>#ERROR!</v>
      </c>
      <c r="I63" s="84" t="str">
        <f t="shared" si="2"/>
        <v>#ERROR!</v>
      </c>
      <c r="J63" s="84" t="str">
        <f t="shared" si="3"/>
        <v>#ERROR!</v>
      </c>
      <c r="K63" s="681"/>
      <c r="L63" s="681"/>
      <c r="M63" s="681"/>
      <c r="N63" s="681"/>
      <c r="O63" s="681"/>
      <c r="P63" s="681"/>
      <c r="Q63" s="681"/>
      <c r="R63" s="681"/>
      <c r="S63" s="681"/>
      <c r="T63" s="681"/>
      <c r="U63" s="681"/>
      <c r="V63" s="681"/>
      <c r="W63" s="681"/>
      <c r="X63" s="681"/>
      <c r="Y63" s="681"/>
      <c r="Z63" s="681"/>
      <c r="AA63" s="681"/>
      <c r="AB63" s="681"/>
      <c r="AC63" s="681"/>
      <c r="AD63" s="67" t="str">
        <f t="shared" si="4"/>
        <v>#ERROR!</v>
      </c>
      <c r="AE63" s="682" t="str">
        <f t="shared" si="5"/>
        <v> </v>
      </c>
    </row>
    <row r="64" ht="42.0" customHeight="1">
      <c r="A64" s="688">
        <v>58.0</v>
      </c>
      <c r="B64" s="66" t="s">
        <v>333</v>
      </c>
      <c r="C64" s="66" t="s">
        <v>1064</v>
      </c>
      <c r="D64" s="65">
        <v>11967.0</v>
      </c>
      <c r="E64" s="689" t="str">
        <f>Consolidado!$AU$46</f>
        <v/>
      </c>
      <c r="F64" s="689" t="str">
        <f>Consolidado!$AV$46</f>
        <v/>
      </c>
      <c r="G64" s="689" t="str">
        <f>Consolidado!$AW$46</f>
        <v/>
      </c>
      <c r="H64" s="80" t="str">
        <f t="shared" si="1"/>
        <v>#NUM!</v>
      </c>
      <c r="I64" s="84" t="str">
        <f t="shared" si="2"/>
        <v>#NUM!</v>
      </c>
      <c r="J64" s="84">
        <f t="shared" si="3"/>
        <v>0</v>
      </c>
      <c r="K64" s="681"/>
      <c r="L64" s="681"/>
      <c r="M64" s="681"/>
      <c r="N64" s="681"/>
      <c r="O64" s="681"/>
      <c r="P64" s="681"/>
      <c r="Q64" s="681"/>
      <c r="R64" s="681"/>
      <c r="S64" s="681"/>
      <c r="T64" s="681"/>
      <c r="U64" s="681"/>
      <c r="V64" s="681"/>
      <c r="W64" s="681" t="s">
        <v>1108</v>
      </c>
      <c r="X64" s="681"/>
      <c r="Y64" s="681"/>
      <c r="Z64" s="681"/>
      <c r="AA64" s="681"/>
      <c r="AB64" s="681"/>
      <c r="AC64" s="681"/>
      <c r="AD64" s="67" t="str">
        <f t="shared" si="4"/>
        <v>En proceso</v>
      </c>
      <c r="AE64" s="682">
        <f t="shared" si="5"/>
        <v>13</v>
      </c>
    </row>
    <row r="65" ht="42.0" customHeight="1">
      <c r="A65" s="688">
        <v>59.0</v>
      </c>
      <c r="B65" s="66" t="s">
        <v>333</v>
      </c>
      <c r="C65" s="66" t="s">
        <v>372</v>
      </c>
      <c r="D65" s="65">
        <v>106575.0</v>
      </c>
      <c r="E65" s="690" t="str">
        <f>Consolidado!$AU$47</f>
        <v/>
      </c>
      <c r="F65" s="84" t="str">
        <f>Consolidado!$AV$47</f>
        <v/>
      </c>
      <c r="G65" s="689" t="str">
        <f>Consolidado!$AW$47</f>
        <v/>
      </c>
      <c r="H65" s="80" t="str">
        <f t="shared" si="1"/>
        <v>#NUM!</v>
      </c>
      <c r="I65" s="84" t="str">
        <f t="shared" si="2"/>
        <v>#NUM!</v>
      </c>
      <c r="J65" s="84">
        <f t="shared" si="3"/>
        <v>0</v>
      </c>
      <c r="K65" s="681"/>
      <c r="L65" s="681"/>
      <c r="M65" s="681"/>
      <c r="N65" s="681"/>
      <c r="O65" s="681"/>
      <c r="P65" s="681"/>
      <c r="Q65" s="681"/>
      <c r="R65" s="681"/>
      <c r="S65" s="681"/>
      <c r="T65" s="681"/>
      <c r="U65" s="681"/>
      <c r="V65" s="681"/>
      <c r="W65" s="681"/>
      <c r="X65" s="681"/>
      <c r="Y65" s="681"/>
      <c r="Z65" s="681"/>
      <c r="AA65" s="681"/>
      <c r="AB65" s="681"/>
      <c r="AC65" s="681"/>
      <c r="AD65" s="67" t="str">
        <f t="shared" si="4"/>
        <v>En proceso</v>
      </c>
      <c r="AE65" s="682" t="str">
        <f t="shared" si="5"/>
        <v> </v>
      </c>
    </row>
    <row r="66" ht="42.0" customHeight="1">
      <c r="A66" s="688">
        <v>60.0</v>
      </c>
      <c r="B66" s="66" t="s">
        <v>333</v>
      </c>
      <c r="C66" s="66" t="s">
        <v>381</v>
      </c>
      <c r="D66" s="65">
        <v>13062.0</v>
      </c>
      <c r="E66" s="690" t="str">
        <f>Consolidado!$AU$48</f>
        <v/>
      </c>
      <c r="F66" s="84" t="str">
        <f>Consolidado!$AV$48</f>
        <v/>
      </c>
      <c r="G66" s="689" t="str">
        <f>Consolidado!$AW$48</f>
        <v/>
      </c>
      <c r="H66" s="80" t="str">
        <f t="shared" si="1"/>
        <v>#NUM!</v>
      </c>
      <c r="I66" s="84" t="str">
        <f t="shared" si="2"/>
        <v>#NUM!</v>
      </c>
      <c r="J66" s="84">
        <f t="shared" si="3"/>
        <v>0</v>
      </c>
      <c r="K66" s="681"/>
      <c r="L66" s="681"/>
      <c r="M66" s="667"/>
      <c r="N66" s="681"/>
      <c r="O66" s="681"/>
      <c r="P66" s="681"/>
      <c r="Q66" s="667"/>
      <c r="R66" s="681"/>
      <c r="S66" s="681"/>
      <c r="T66" s="681"/>
      <c r="U66" s="681"/>
      <c r="V66" s="681"/>
      <c r="W66" s="681"/>
      <c r="X66" s="681"/>
      <c r="Y66" s="681"/>
      <c r="Z66" s="681"/>
      <c r="AA66" s="681"/>
      <c r="AB66" s="681"/>
      <c r="AC66" s="681"/>
      <c r="AD66" s="67" t="str">
        <f t="shared" si="4"/>
        <v>En proceso</v>
      </c>
      <c r="AE66" s="682" t="str">
        <f t="shared" si="5"/>
        <v> </v>
      </c>
    </row>
    <row r="67" ht="42.0" customHeight="1">
      <c r="A67" s="688">
        <v>61.0</v>
      </c>
      <c r="B67" s="66" t="s">
        <v>333</v>
      </c>
      <c r="C67" s="66" t="s">
        <v>998</v>
      </c>
      <c r="D67" s="65">
        <v>15440.0</v>
      </c>
      <c r="E67" s="91" t="str">
        <f>Consolidado!#REF!</f>
        <v>#ERROR!</v>
      </c>
      <c r="F67" s="84" t="str">
        <f>Consolidado!#REF!</f>
        <v>#ERROR!</v>
      </c>
      <c r="G67" s="91" t="str">
        <f>Consolidado!#REF!</f>
        <v>#ERROR!</v>
      </c>
      <c r="H67" s="80" t="str">
        <f t="shared" si="1"/>
        <v>#ERROR!</v>
      </c>
      <c r="I67" s="84" t="str">
        <f t="shared" si="2"/>
        <v>#ERROR!</v>
      </c>
      <c r="J67" s="84" t="str">
        <f t="shared" si="3"/>
        <v>#ERROR!</v>
      </c>
      <c r="K67" s="681"/>
      <c r="L67" s="681"/>
      <c r="M67" s="681"/>
      <c r="N67" s="681"/>
      <c r="O67" s="681"/>
      <c r="P67" s="681"/>
      <c r="Q67" s="681"/>
      <c r="R67" s="681"/>
      <c r="S67" s="681"/>
      <c r="T67" s="681"/>
      <c r="U67" s="681"/>
      <c r="V67" s="681"/>
      <c r="W67" s="681"/>
      <c r="X67" s="681"/>
      <c r="Y67" s="681"/>
      <c r="Z67" s="681"/>
      <c r="AA67" s="681"/>
      <c r="AB67" s="681"/>
      <c r="AC67" s="681"/>
      <c r="AD67" s="67" t="str">
        <f t="shared" si="4"/>
        <v>#ERROR!</v>
      </c>
      <c r="AE67" s="682" t="str">
        <f t="shared" si="5"/>
        <v> </v>
      </c>
    </row>
    <row r="68" ht="42.0" customHeight="1">
      <c r="A68" s="688">
        <v>62.0</v>
      </c>
      <c r="B68" s="66" t="s">
        <v>333</v>
      </c>
      <c r="C68" s="66" t="s">
        <v>392</v>
      </c>
      <c r="D68" s="65">
        <v>106604.0</v>
      </c>
      <c r="E68" s="433" t="str">
        <f>Consolidado!$AU$49</f>
        <v/>
      </c>
      <c r="F68" s="84" t="str">
        <f>Consolidado!$AV$49</f>
        <v/>
      </c>
      <c r="G68" s="91" t="str">
        <f>Consolidado!$AW$49</f>
        <v/>
      </c>
      <c r="H68" s="80" t="str">
        <f t="shared" si="1"/>
        <v>#NUM!</v>
      </c>
      <c r="I68" s="84" t="str">
        <f t="shared" si="2"/>
        <v>#NUM!</v>
      </c>
      <c r="J68" s="84">
        <f t="shared" si="3"/>
        <v>0</v>
      </c>
      <c r="K68" s="681"/>
      <c r="L68" s="681"/>
      <c r="M68" s="681"/>
      <c r="N68" s="681"/>
      <c r="O68" s="681"/>
      <c r="P68" s="681"/>
      <c r="Q68" s="681"/>
      <c r="R68" s="681"/>
      <c r="S68" s="681"/>
      <c r="T68" s="681"/>
      <c r="U68" s="681"/>
      <c r="V68" s="681"/>
      <c r="W68" s="681"/>
      <c r="X68" s="681"/>
      <c r="Y68" s="681"/>
      <c r="Z68" s="681"/>
      <c r="AA68" s="681"/>
      <c r="AB68" s="681"/>
      <c r="AC68" s="681"/>
      <c r="AD68" s="67" t="str">
        <f t="shared" si="4"/>
        <v>En proceso</v>
      </c>
      <c r="AE68" s="682" t="str">
        <f t="shared" si="5"/>
        <v> </v>
      </c>
    </row>
    <row r="69" ht="42.0" customHeight="1">
      <c r="A69" s="688">
        <v>63.0</v>
      </c>
      <c r="B69" s="66" t="s">
        <v>333</v>
      </c>
      <c r="C69" s="66" t="s">
        <v>351</v>
      </c>
      <c r="D69" s="65">
        <v>51767.0</v>
      </c>
      <c r="E69" s="91" t="str">
        <f>Consolidado!#REF!</f>
        <v>#ERROR!</v>
      </c>
      <c r="F69" s="91" t="str">
        <f>Consolidado!#REF!</f>
        <v>#ERROR!</v>
      </c>
      <c r="G69" s="91" t="str">
        <f>Consolidado!#REF!</f>
        <v>#ERROR!</v>
      </c>
      <c r="H69" s="80" t="str">
        <f t="shared" si="1"/>
        <v>#ERROR!</v>
      </c>
      <c r="I69" s="84" t="str">
        <f t="shared" si="2"/>
        <v>#ERROR!</v>
      </c>
      <c r="J69" s="84" t="str">
        <f t="shared" si="3"/>
        <v>#ERROR!</v>
      </c>
      <c r="K69" s="681"/>
      <c r="L69" s="681"/>
      <c r="M69" s="681"/>
      <c r="N69" s="681"/>
      <c r="O69" s="681"/>
      <c r="P69" s="681"/>
      <c r="Q69" s="681"/>
      <c r="R69" s="681"/>
      <c r="S69" s="681"/>
      <c r="T69" s="681"/>
      <c r="U69" s="681"/>
      <c r="V69" s="681"/>
      <c r="W69" s="681"/>
      <c r="X69" s="681"/>
      <c r="Y69" s="681"/>
      <c r="Z69" s="681"/>
      <c r="AA69" s="681"/>
      <c r="AB69" s="681"/>
      <c r="AC69" s="681"/>
      <c r="AD69" s="67" t="str">
        <f t="shared" si="4"/>
        <v>#ERROR!</v>
      </c>
      <c r="AE69" s="682" t="str">
        <f t="shared" si="5"/>
        <v> </v>
      </c>
    </row>
    <row r="70" ht="42.0" customHeight="1">
      <c r="A70" s="688">
        <v>64.0</v>
      </c>
      <c r="B70" s="66" t="s">
        <v>333</v>
      </c>
      <c r="C70" s="66" t="s">
        <v>357</v>
      </c>
      <c r="D70" s="65">
        <v>54866.0</v>
      </c>
      <c r="E70" s="91" t="str">
        <f>Consolidado!$AU$50</f>
        <v/>
      </c>
      <c r="F70" s="90" t="str">
        <f>Consolidado!$AV$50</f>
        <v/>
      </c>
      <c r="G70" s="91" t="str">
        <f>Consolidado!$AW$50</f>
        <v/>
      </c>
      <c r="H70" s="80" t="str">
        <f t="shared" si="1"/>
        <v>#NUM!</v>
      </c>
      <c r="I70" s="84" t="str">
        <f t="shared" si="2"/>
        <v>#NUM!</v>
      </c>
      <c r="J70" s="84">
        <f t="shared" si="3"/>
        <v>0</v>
      </c>
      <c r="K70" s="681"/>
      <c r="L70" s="681"/>
      <c r="M70" s="681"/>
      <c r="N70" s="681"/>
      <c r="O70" s="681"/>
      <c r="P70" s="681"/>
      <c r="Q70" s="681"/>
      <c r="R70" s="681"/>
      <c r="S70" s="681"/>
      <c r="T70" s="681"/>
      <c r="U70" s="681"/>
      <c r="V70" s="681"/>
      <c r="W70" s="681"/>
      <c r="X70" s="681"/>
      <c r="Y70" s="681"/>
      <c r="Z70" s="681"/>
      <c r="AA70" s="681"/>
      <c r="AB70" s="681"/>
      <c r="AC70" s="681"/>
      <c r="AD70" s="67" t="str">
        <f t="shared" si="4"/>
        <v>En proceso</v>
      </c>
      <c r="AE70" s="682" t="str">
        <f t="shared" si="5"/>
        <v> </v>
      </c>
    </row>
    <row r="71" ht="42.0" customHeight="1">
      <c r="A71" s="688">
        <v>65.0</v>
      </c>
      <c r="B71" s="66" t="s">
        <v>333</v>
      </c>
      <c r="C71" s="66" t="s">
        <v>1021</v>
      </c>
      <c r="D71" s="65">
        <v>90694.0</v>
      </c>
      <c r="E71" s="91" t="str">
        <f>Consolidado!$AU$52</f>
        <v/>
      </c>
      <c r="F71" s="90" t="str">
        <f>Consolidado!$AV$52</f>
        <v/>
      </c>
      <c r="G71" s="91" t="str">
        <f>Consolidado!$AW$52</f>
        <v/>
      </c>
      <c r="H71" s="80" t="str">
        <f t="shared" si="1"/>
        <v>#NUM!</v>
      </c>
      <c r="I71" s="84" t="str">
        <f t="shared" si="2"/>
        <v>#NUM!</v>
      </c>
      <c r="J71" s="84">
        <f t="shared" si="3"/>
        <v>0</v>
      </c>
      <c r="K71" s="681"/>
      <c r="L71" s="681"/>
      <c r="M71" s="681"/>
      <c r="N71" s="681"/>
      <c r="O71" s="681"/>
      <c r="P71" s="681"/>
      <c r="Q71" s="681"/>
      <c r="R71" s="681"/>
      <c r="S71" s="681"/>
      <c r="T71" s="681"/>
      <c r="U71" s="681"/>
      <c r="V71" s="681"/>
      <c r="W71" s="681"/>
      <c r="X71" s="681"/>
      <c r="Y71" s="681"/>
      <c r="Z71" s="681"/>
      <c r="AA71" s="681"/>
      <c r="AB71" s="681"/>
      <c r="AC71" s="681"/>
      <c r="AD71" s="67" t="str">
        <f t="shared" si="4"/>
        <v>En proceso</v>
      </c>
      <c r="AE71" s="682" t="str">
        <f t="shared" si="5"/>
        <v> </v>
      </c>
    </row>
    <row r="72" ht="42.0" customHeight="1">
      <c r="A72" s="688">
        <v>66.0</v>
      </c>
      <c r="B72" s="66" t="s">
        <v>333</v>
      </c>
      <c r="C72" s="66" t="s">
        <v>1018</v>
      </c>
      <c r="D72" s="65">
        <v>90695.0</v>
      </c>
      <c r="E72" s="91" t="str">
        <f>Consolidado!#REF!</f>
        <v>#ERROR!</v>
      </c>
      <c r="F72" s="91" t="str">
        <f>Consolidado!#REF!</f>
        <v>#ERROR!</v>
      </c>
      <c r="G72" s="91" t="str">
        <f>Consolidado!#REF!</f>
        <v>#ERROR!</v>
      </c>
      <c r="H72" s="80" t="str">
        <f t="shared" si="1"/>
        <v>#ERROR!</v>
      </c>
      <c r="I72" s="84" t="str">
        <f t="shared" si="2"/>
        <v>#ERROR!</v>
      </c>
      <c r="J72" s="84" t="str">
        <f t="shared" si="3"/>
        <v>#ERROR!</v>
      </c>
      <c r="K72" s="681"/>
      <c r="L72" s="681"/>
      <c r="M72" s="681"/>
      <c r="N72" s="681"/>
      <c r="O72" s="681"/>
      <c r="P72" s="681"/>
      <c r="Q72" s="681"/>
      <c r="R72" s="681"/>
      <c r="S72" s="681"/>
      <c r="T72" s="681"/>
      <c r="U72" s="681"/>
      <c r="V72" s="681"/>
      <c r="W72" s="681"/>
      <c r="X72" s="681"/>
      <c r="Y72" s="681"/>
      <c r="Z72" s="681"/>
      <c r="AA72" s="681"/>
      <c r="AB72" s="681"/>
      <c r="AC72" s="681"/>
      <c r="AD72" s="67" t="str">
        <f t="shared" si="4"/>
        <v>#ERROR!</v>
      </c>
      <c r="AE72" s="682" t="str">
        <f t="shared" si="5"/>
        <v> </v>
      </c>
    </row>
    <row r="73" ht="42.0" customHeight="1">
      <c r="A73" s="688">
        <v>67.0</v>
      </c>
      <c r="B73" s="66" t="s">
        <v>333</v>
      </c>
      <c r="C73" s="66" t="s">
        <v>1120</v>
      </c>
      <c r="D73" s="65">
        <v>102181.0</v>
      </c>
      <c r="E73" s="433">
        <f>Consolidado!$AU$53</f>
        <v>6405</v>
      </c>
      <c r="F73" s="84">
        <f>Consolidado!$AV$53</f>
        <v>45036</v>
      </c>
      <c r="G73" s="91">
        <f>Consolidado!$AW$53</f>
        <v>4</v>
      </c>
      <c r="H73" s="80">
        <f t="shared" si="1"/>
        <v>46073</v>
      </c>
      <c r="I73" s="84">
        <f t="shared" si="2"/>
        <v>46132</v>
      </c>
      <c r="J73" s="84">
        <f t="shared" si="3"/>
        <v>46497</v>
      </c>
      <c r="K73" s="681"/>
      <c r="L73" s="681"/>
      <c r="M73" s="681"/>
      <c r="N73" s="681"/>
      <c r="O73" s="681"/>
      <c r="P73" s="681"/>
      <c r="Q73" s="681"/>
      <c r="R73" s="681"/>
      <c r="S73" s="681"/>
      <c r="T73" s="681"/>
      <c r="U73" s="681"/>
      <c r="V73" s="681"/>
      <c r="W73" s="681"/>
      <c r="X73" s="681"/>
      <c r="Y73" s="681"/>
      <c r="Z73" s="681"/>
      <c r="AA73" s="681"/>
      <c r="AB73" s="681"/>
      <c r="AC73" s="681"/>
      <c r="AD73" s="67" t="str">
        <f t="shared" si="4"/>
        <v>Vigente</v>
      </c>
      <c r="AE73" s="682" t="str">
        <f t="shared" si="5"/>
        <v> </v>
      </c>
    </row>
    <row r="74" ht="42.0" customHeight="1">
      <c r="A74" s="688">
        <v>68.0</v>
      </c>
      <c r="B74" s="66" t="s">
        <v>333</v>
      </c>
      <c r="C74" s="66" t="s">
        <v>1121</v>
      </c>
      <c r="D74" s="65">
        <v>103336.0</v>
      </c>
      <c r="E74" s="91" t="str">
        <f>Consolidado!#REF!</f>
        <v>#ERROR!</v>
      </c>
      <c r="F74" s="91" t="str">
        <f>Consolidado!#REF!</f>
        <v>#ERROR!</v>
      </c>
      <c r="G74" s="91" t="str">
        <f>Consolidado!#REF!</f>
        <v>#ERROR!</v>
      </c>
      <c r="H74" s="80" t="str">
        <f t="shared" si="1"/>
        <v>#ERROR!</v>
      </c>
      <c r="I74" s="84" t="str">
        <f t="shared" si="2"/>
        <v>#ERROR!</v>
      </c>
      <c r="J74" s="84" t="str">
        <f t="shared" si="3"/>
        <v>#ERROR!</v>
      </c>
      <c r="K74" s="681"/>
      <c r="L74" s="681"/>
      <c r="M74" s="681"/>
      <c r="N74" s="681"/>
      <c r="O74" s="681"/>
      <c r="P74" s="681"/>
      <c r="Q74" s="681"/>
      <c r="R74" s="681"/>
      <c r="S74" s="681"/>
      <c r="T74" s="681"/>
      <c r="U74" s="681"/>
      <c r="V74" s="681"/>
      <c r="W74" s="681"/>
      <c r="X74" s="681"/>
      <c r="Y74" s="681"/>
      <c r="Z74" s="681"/>
      <c r="AA74" s="681"/>
      <c r="AB74" s="681"/>
      <c r="AC74" s="681"/>
      <c r="AD74" s="67" t="str">
        <f t="shared" si="4"/>
        <v>#ERROR!</v>
      </c>
      <c r="AE74" s="682" t="str">
        <f t="shared" si="5"/>
        <v> </v>
      </c>
    </row>
    <row r="75" ht="42.0" customHeight="1">
      <c r="A75" s="688">
        <v>69.0</v>
      </c>
      <c r="B75" s="66" t="s">
        <v>333</v>
      </c>
      <c r="C75" s="66" t="s">
        <v>1121</v>
      </c>
      <c r="D75" s="65">
        <v>103787.0</v>
      </c>
      <c r="E75" s="91" t="str">
        <f>Consolidado!#REF!</f>
        <v>#ERROR!</v>
      </c>
      <c r="F75" s="91" t="str">
        <f>Consolidado!#REF!</f>
        <v>#ERROR!</v>
      </c>
      <c r="G75" s="91" t="str">
        <f>Consolidado!#REF!</f>
        <v>#ERROR!</v>
      </c>
      <c r="H75" s="80" t="str">
        <f t="shared" si="1"/>
        <v>#ERROR!</v>
      </c>
      <c r="I75" s="84" t="str">
        <f t="shared" si="2"/>
        <v>#ERROR!</v>
      </c>
      <c r="J75" s="84" t="str">
        <f t="shared" si="3"/>
        <v>#ERROR!</v>
      </c>
      <c r="K75" s="681"/>
      <c r="L75" s="681"/>
      <c r="M75" s="681"/>
      <c r="N75" s="681"/>
      <c r="O75" s="681"/>
      <c r="P75" s="681"/>
      <c r="Q75" s="681"/>
      <c r="R75" s="681"/>
      <c r="S75" s="681"/>
      <c r="T75" s="681"/>
      <c r="U75" s="681"/>
      <c r="V75" s="681"/>
      <c r="W75" s="681"/>
      <c r="X75" s="681"/>
      <c r="Y75" s="681"/>
      <c r="Z75" s="681"/>
      <c r="AA75" s="681"/>
      <c r="AB75" s="681"/>
      <c r="AC75" s="681"/>
      <c r="AD75" s="67" t="str">
        <f t="shared" si="4"/>
        <v>#ERROR!</v>
      </c>
      <c r="AE75" s="682" t="str">
        <f t="shared" si="5"/>
        <v> </v>
      </c>
    </row>
    <row r="76" ht="42.0" customHeight="1">
      <c r="A76" s="688">
        <v>70.0</v>
      </c>
      <c r="B76" s="66" t="s">
        <v>333</v>
      </c>
      <c r="C76" s="66" t="s">
        <v>362</v>
      </c>
      <c r="D76" s="65">
        <v>104296.0</v>
      </c>
      <c r="E76" s="433">
        <f>Consolidado!$AU$54</f>
        <v>6404</v>
      </c>
      <c r="F76" s="90">
        <f>Consolidado!$AV$54</f>
        <v>45036</v>
      </c>
      <c r="G76" s="91">
        <f>Consolidado!$AW$54</f>
        <v>4</v>
      </c>
      <c r="H76" s="80">
        <f t="shared" si="1"/>
        <v>46073</v>
      </c>
      <c r="I76" s="84">
        <f t="shared" si="2"/>
        <v>46132</v>
      </c>
      <c r="J76" s="84">
        <f t="shared" si="3"/>
        <v>46497</v>
      </c>
      <c r="K76" s="681"/>
      <c r="L76" s="681"/>
      <c r="M76" s="681"/>
      <c r="N76" s="681"/>
      <c r="O76" s="681"/>
      <c r="P76" s="681"/>
      <c r="Q76" s="681"/>
      <c r="R76" s="681"/>
      <c r="S76" s="681"/>
      <c r="T76" s="681"/>
      <c r="U76" s="681"/>
      <c r="V76" s="681"/>
      <c r="W76" s="681"/>
      <c r="X76" s="681"/>
      <c r="Y76" s="681"/>
      <c r="Z76" s="681"/>
      <c r="AA76" s="681"/>
      <c r="AB76" s="681"/>
      <c r="AC76" s="681"/>
      <c r="AD76" s="67" t="str">
        <f t="shared" si="4"/>
        <v>Vigente</v>
      </c>
      <c r="AE76" s="682" t="str">
        <f t="shared" si="5"/>
        <v> </v>
      </c>
    </row>
    <row r="77" ht="42.0" customHeight="1">
      <c r="A77" s="688">
        <v>71.0</v>
      </c>
      <c r="B77" s="66" t="s">
        <v>333</v>
      </c>
      <c r="C77" s="66" t="s">
        <v>387</v>
      </c>
      <c r="D77" s="65">
        <v>104456.0</v>
      </c>
      <c r="E77" s="91" t="str">
        <f>Consolidado!#REF!</f>
        <v>#ERROR!</v>
      </c>
      <c r="F77" s="91" t="str">
        <f>Consolidado!#REF!</f>
        <v>#ERROR!</v>
      </c>
      <c r="G77" s="91" t="str">
        <f>Consolidado!#REF!</f>
        <v>#ERROR!</v>
      </c>
      <c r="H77" s="80" t="str">
        <f t="shared" si="1"/>
        <v>#ERROR!</v>
      </c>
      <c r="I77" s="84" t="str">
        <f t="shared" si="2"/>
        <v>#ERROR!</v>
      </c>
      <c r="J77" s="84" t="str">
        <f t="shared" si="3"/>
        <v>#ERROR!</v>
      </c>
      <c r="K77" s="681"/>
      <c r="L77" s="681"/>
      <c r="M77" s="681"/>
      <c r="N77" s="681"/>
      <c r="O77" s="681"/>
      <c r="P77" s="681"/>
      <c r="Q77" s="681"/>
      <c r="R77" s="681"/>
      <c r="S77" s="681"/>
      <c r="T77" s="681"/>
      <c r="U77" s="681"/>
      <c r="V77" s="681"/>
      <c r="W77" s="681"/>
      <c r="X77" s="681"/>
      <c r="Y77" s="681"/>
      <c r="Z77" s="681"/>
      <c r="AA77" s="681"/>
      <c r="AB77" s="681"/>
      <c r="AC77" s="681"/>
      <c r="AD77" s="67" t="str">
        <f t="shared" si="4"/>
        <v>#ERROR!</v>
      </c>
      <c r="AE77" s="682" t="str">
        <f t="shared" si="5"/>
        <v> </v>
      </c>
    </row>
    <row r="78" ht="42.0" customHeight="1">
      <c r="A78" s="688">
        <v>72.0</v>
      </c>
      <c r="B78" s="66" t="s">
        <v>333</v>
      </c>
      <c r="C78" s="66" t="s">
        <v>1122</v>
      </c>
      <c r="D78" s="65">
        <v>104622.0</v>
      </c>
      <c r="E78" s="91" t="str">
        <f>Consolidado!#REF!</f>
        <v>#ERROR!</v>
      </c>
      <c r="F78" s="91" t="str">
        <f>Consolidado!#REF!</f>
        <v>#ERROR!</v>
      </c>
      <c r="G78" s="91" t="str">
        <f>Consolidado!#REF!</f>
        <v>#ERROR!</v>
      </c>
      <c r="H78" s="80" t="str">
        <f t="shared" si="1"/>
        <v>#ERROR!</v>
      </c>
      <c r="I78" s="84" t="str">
        <f t="shared" si="2"/>
        <v>#ERROR!</v>
      </c>
      <c r="J78" s="84" t="str">
        <f t="shared" si="3"/>
        <v>#ERROR!</v>
      </c>
      <c r="K78" s="681"/>
      <c r="L78" s="681"/>
      <c r="M78" s="681"/>
      <c r="N78" s="681"/>
      <c r="O78" s="681"/>
      <c r="P78" s="681"/>
      <c r="Q78" s="681"/>
      <c r="R78" s="681"/>
      <c r="S78" s="681"/>
      <c r="T78" s="681"/>
      <c r="U78" s="681"/>
      <c r="V78" s="681"/>
      <c r="W78" s="681"/>
      <c r="X78" s="681"/>
      <c r="Y78" s="681"/>
      <c r="Z78" s="681"/>
      <c r="AA78" s="681"/>
      <c r="AB78" s="681"/>
      <c r="AC78" s="681"/>
      <c r="AD78" s="67" t="str">
        <f t="shared" si="4"/>
        <v>#ERROR!</v>
      </c>
      <c r="AE78" s="682" t="str">
        <f t="shared" si="5"/>
        <v> </v>
      </c>
    </row>
    <row r="79" ht="42.0" customHeight="1">
      <c r="A79" s="688">
        <v>73.0</v>
      </c>
      <c r="B79" s="66" t="s">
        <v>333</v>
      </c>
      <c r="C79" s="66" t="s">
        <v>1123</v>
      </c>
      <c r="D79" s="65">
        <v>104678.0</v>
      </c>
      <c r="E79" s="91" t="str">
        <f>Consolidado!#REF!</f>
        <v>#ERROR!</v>
      </c>
      <c r="F79" s="91" t="str">
        <f>Consolidado!#REF!</f>
        <v>#ERROR!</v>
      </c>
      <c r="G79" s="91" t="str">
        <f>Consolidado!#REF!</f>
        <v>#ERROR!</v>
      </c>
      <c r="H79" s="80" t="str">
        <f t="shared" si="1"/>
        <v>#ERROR!</v>
      </c>
      <c r="I79" s="84" t="str">
        <f t="shared" si="2"/>
        <v>#ERROR!</v>
      </c>
      <c r="J79" s="84" t="str">
        <f t="shared" si="3"/>
        <v>#ERROR!</v>
      </c>
      <c r="K79" s="681"/>
      <c r="L79" s="681"/>
      <c r="M79" s="681"/>
      <c r="N79" s="681"/>
      <c r="O79" s="681"/>
      <c r="P79" s="681"/>
      <c r="Q79" s="681"/>
      <c r="R79" s="681"/>
      <c r="S79" s="681"/>
      <c r="T79" s="681"/>
      <c r="U79" s="681"/>
      <c r="V79" s="681"/>
      <c r="W79" s="681"/>
      <c r="X79" s="681"/>
      <c r="Y79" s="681"/>
      <c r="Z79" s="681"/>
      <c r="AA79" s="681"/>
      <c r="AB79" s="681"/>
      <c r="AC79" s="681"/>
      <c r="AD79" s="67" t="str">
        <f t="shared" si="4"/>
        <v>#ERROR!</v>
      </c>
      <c r="AE79" s="682" t="str">
        <f t="shared" si="5"/>
        <v> </v>
      </c>
    </row>
    <row r="80" ht="42.0" customHeight="1">
      <c r="A80" s="688">
        <v>74.0</v>
      </c>
      <c r="B80" s="66" t="s">
        <v>333</v>
      </c>
      <c r="C80" s="66" t="s">
        <v>1124</v>
      </c>
      <c r="D80" s="65">
        <v>105456.0</v>
      </c>
      <c r="E80" s="91" t="str">
        <f>Consolidado!#REF!</f>
        <v>#ERROR!</v>
      </c>
      <c r="F80" s="91" t="str">
        <f>Consolidado!#REF!</f>
        <v>#ERROR!</v>
      </c>
      <c r="G80" s="91" t="str">
        <f>Consolidado!#REF!</f>
        <v>#ERROR!</v>
      </c>
      <c r="H80" s="80" t="str">
        <f t="shared" si="1"/>
        <v>#ERROR!</v>
      </c>
      <c r="I80" s="84" t="str">
        <f t="shared" si="2"/>
        <v>#ERROR!</v>
      </c>
      <c r="J80" s="84" t="str">
        <f t="shared" si="3"/>
        <v>#ERROR!</v>
      </c>
      <c r="K80" s="681"/>
      <c r="L80" s="681"/>
      <c r="M80" s="681"/>
      <c r="N80" s="681"/>
      <c r="O80" s="681"/>
      <c r="P80" s="681"/>
      <c r="Q80" s="681"/>
      <c r="R80" s="681"/>
      <c r="S80" s="681"/>
      <c r="T80" s="681"/>
      <c r="U80" s="681"/>
      <c r="V80" s="681"/>
      <c r="W80" s="681"/>
      <c r="X80" s="681"/>
      <c r="Y80" s="681"/>
      <c r="Z80" s="681"/>
      <c r="AA80" s="681"/>
      <c r="AB80" s="681"/>
      <c r="AC80" s="681"/>
      <c r="AD80" s="67" t="str">
        <f t="shared" si="4"/>
        <v>#ERROR!</v>
      </c>
      <c r="AE80" s="682" t="str">
        <f t="shared" si="5"/>
        <v> </v>
      </c>
    </row>
    <row r="81" ht="42.0" customHeight="1">
      <c r="A81" s="688">
        <v>75.0</v>
      </c>
      <c r="B81" s="66" t="s">
        <v>333</v>
      </c>
      <c r="C81" s="66" t="s">
        <v>1125</v>
      </c>
      <c r="D81" s="65">
        <v>105457.0</v>
      </c>
      <c r="E81" s="79" t="str">
        <f>Consolidado!#REF!</f>
        <v>#ERROR!</v>
      </c>
      <c r="F81" s="79" t="str">
        <f>Consolidado!#REF!</f>
        <v>#ERROR!</v>
      </c>
      <c r="G81" s="79" t="str">
        <f>Consolidado!#REF!</f>
        <v>#ERROR!</v>
      </c>
      <c r="H81" s="80" t="str">
        <f t="shared" si="1"/>
        <v>#ERROR!</v>
      </c>
      <c r="I81" s="84" t="str">
        <f t="shared" si="2"/>
        <v>#ERROR!</v>
      </c>
      <c r="J81" s="84" t="str">
        <f t="shared" si="3"/>
        <v>#ERROR!</v>
      </c>
      <c r="K81" s="681"/>
      <c r="L81" s="681"/>
      <c r="M81" s="681"/>
      <c r="N81" s="681"/>
      <c r="O81" s="681"/>
      <c r="P81" s="681"/>
      <c r="Q81" s="681"/>
      <c r="R81" s="681"/>
      <c r="S81" s="681"/>
      <c r="T81" s="681"/>
      <c r="U81" s="681"/>
      <c r="V81" s="681"/>
      <c r="W81" s="681"/>
      <c r="X81" s="681"/>
      <c r="Y81" s="681"/>
      <c r="Z81" s="681"/>
      <c r="AA81" s="681"/>
      <c r="AB81" s="681"/>
      <c r="AC81" s="681"/>
      <c r="AD81" s="67" t="str">
        <f t="shared" si="4"/>
        <v>#ERROR!</v>
      </c>
      <c r="AE81" s="682" t="str">
        <f t="shared" si="5"/>
        <v> </v>
      </c>
    </row>
    <row r="82" ht="42.0" customHeight="1">
      <c r="A82" s="688">
        <v>76.0</v>
      </c>
      <c r="B82" s="66" t="s">
        <v>333</v>
      </c>
      <c r="C82" s="66" t="s">
        <v>367</v>
      </c>
      <c r="D82" s="65">
        <v>105733.0</v>
      </c>
      <c r="E82" s="91" t="str">
        <f>Consolidado!$AU$55</f>
        <v/>
      </c>
      <c r="F82" s="90" t="str">
        <f>Consolidado!$AV$55</f>
        <v/>
      </c>
      <c r="G82" s="91" t="str">
        <f>Consolidado!$AW$55</f>
        <v/>
      </c>
      <c r="H82" s="80" t="str">
        <f t="shared" si="1"/>
        <v>#NUM!</v>
      </c>
      <c r="I82" s="84" t="str">
        <f t="shared" si="2"/>
        <v>#NUM!</v>
      </c>
      <c r="J82" s="84">
        <f t="shared" si="3"/>
        <v>0</v>
      </c>
      <c r="K82" s="681"/>
      <c r="L82" s="681"/>
      <c r="M82" s="681"/>
      <c r="N82" s="681"/>
      <c r="O82" s="681"/>
      <c r="P82" s="681"/>
      <c r="Q82" s="681"/>
      <c r="R82" s="681"/>
      <c r="S82" s="681"/>
      <c r="T82" s="681"/>
      <c r="U82" s="681"/>
      <c r="V82" s="681"/>
      <c r="W82" s="681"/>
      <c r="X82" s="681"/>
      <c r="Y82" s="681"/>
      <c r="Z82" s="681"/>
      <c r="AA82" s="681"/>
      <c r="AB82" s="681"/>
      <c r="AC82" s="681"/>
      <c r="AD82" s="67" t="str">
        <f t="shared" si="4"/>
        <v>En proceso</v>
      </c>
      <c r="AE82" s="682" t="str">
        <f t="shared" si="5"/>
        <v> </v>
      </c>
    </row>
    <row r="83" ht="42.0" customHeight="1">
      <c r="A83" s="688">
        <v>77.0</v>
      </c>
      <c r="B83" s="66" t="s">
        <v>333</v>
      </c>
      <c r="C83" s="66" t="s">
        <v>357</v>
      </c>
      <c r="D83" s="65">
        <v>106091.0</v>
      </c>
      <c r="E83" s="433">
        <f>Consolidado!$AU$56</f>
        <v>14237</v>
      </c>
      <c r="F83" s="90">
        <f>Consolidado!$AV$56</f>
        <v>45161</v>
      </c>
      <c r="G83" s="91">
        <f>Consolidado!$AW$56</f>
        <v>4</v>
      </c>
      <c r="H83" s="80">
        <f t="shared" si="1"/>
        <v>46196</v>
      </c>
      <c r="I83" s="84">
        <f t="shared" si="2"/>
        <v>46257</v>
      </c>
      <c r="J83" s="84">
        <f t="shared" si="3"/>
        <v>46622</v>
      </c>
      <c r="K83" s="681"/>
      <c r="L83" s="681"/>
      <c r="M83" s="681"/>
      <c r="N83" s="681"/>
      <c r="O83" s="681"/>
      <c r="P83" s="681"/>
      <c r="Q83" s="681"/>
      <c r="R83" s="681"/>
      <c r="S83" s="681"/>
      <c r="T83" s="681"/>
      <c r="U83" s="681"/>
      <c r="V83" s="681"/>
      <c r="W83" s="681"/>
      <c r="X83" s="681"/>
      <c r="Y83" s="681"/>
      <c r="Z83" s="681"/>
      <c r="AA83" s="681"/>
      <c r="AB83" s="681"/>
      <c r="AC83" s="681"/>
      <c r="AD83" s="67" t="str">
        <f t="shared" si="4"/>
        <v>Vigente</v>
      </c>
      <c r="AE83" s="682" t="str">
        <f t="shared" si="5"/>
        <v> </v>
      </c>
    </row>
    <row r="84" ht="42.0" customHeight="1">
      <c r="A84" s="691">
        <v>78.0</v>
      </c>
      <c r="B84" s="66" t="s">
        <v>413</v>
      </c>
      <c r="C84" s="66" t="s">
        <v>564</v>
      </c>
      <c r="D84" s="65">
        <v>229.0</v>
      </c>
      <c r="E84" s="433" t="str">
        <f>Consolidado!#REF!</f>
        <v>#ERROR!</v>
      </c>
      <c r="F84" s="84" t="str">
        <f>Consolidado!#REF!</f>
        <v>#ERROR!</v>
      </c>
      <c r="G84" s="91" t="str">
        <f>Consolidado!#REF!</f>
        <v>#ERROR!</v>
      </c>
      <c r="H84" s="80" t="str">
        <f t="shared" si="1"/>
        <v>#ERROR!</v>
      </c>
      <c r="I84" s="84" t="str">
        <f t="shared" si="2"/>
        <v>#ERROR!</v>
      </c>
      <c r="J84" s="84" t="str">
        <f t="shared" si="3"/>
        <v>#ERROR!</v>
      </c>
      <c r="K84" s="681"/>
      <c r="L84" s="681"/>
      <c r="M84" s="681"/>
      <c r="N84" s="681"/>
      <c r="O84" s="681"/>
      <c r="P84" s="681"/>
      <c r="Q84" s="681"/>
      <c r="R84" s="681"/>
      <c r="S84" s="681"/>
      <c r="T84" s="681"/>
      <c r="U84" s="681"/>
      <c r="V84" s="681"/>
      <c r="W84" s="681"/>
      <c r="X84" s="681"/>
      <c r="Y84" s="681"/>
      <c r="Z84" s="681"/>
      <c r="AA84" s="681"/>
      <c r="AB84" s="681"/>
      <c r="AC84" s="681"/>
      <c r="AD84" s="67" t="str">
        <f t="shared" si="4"/>
        <v>#ERROR!</v>
      </c>
      <c r="AE84" s="682" t="str">
        <f t="shared" si="5"/>
        <v> </v>
      </c>
    </row>
    <row r="85" ht="42.0" customHeight="1">
      <c r="A85" s="691">
        <v>79.0</v>
      </c>
      <c r="B85" s="66" t="s">
        <v>413</v>
      </c>
      <c r="C85" s="66" t="s">
        <v>548</v>
      </c>
      <c r="D85" s="65">
        <v>256.0</v>
      </c>
      <c r="E85" s="433" t="str">
        <f>Consolidado!#REF!</f>
        <v>#ERROR!</v>
      </c>
      <c r="F85" s="84" t="str">
        <f>Consolidado!#REF!</f>
        <v>#ERROR!</v>
      </c>
      <c r="G85" s="91" t="str">
        <f>Consolidado!#REF!</f>
        <v>#ERROR!</v>
      </c>
      <c r="H85" s="80" t="str">
        <f t="shared" si="1"/>
        <v>#ERROR!</v>
      </c>
      <c r="I85" s="84" t="str">
        <f t="shared" si="2"/>
        <v>#ERROR!</v>
      </c>
      <c r="J85" s="84" t="str">
        <f t="shared" si="3"/>
        <v>#ERROR!</v>
      </c>
      <c r="K85" s="681" t="s">
        <v>1108</v>
      </c>
      <c r="L85" s="681"/>
      <c r="M85" s="681"/>
      <c r="N85" s="681"/>
      <c r="O85" s="681"/>
      <c r="P85" s="681"/>
      <c r="Q85" s="681"/>
      <c r="R85" s="681"/>
      <c r="S85" s="681"/>
      <c r="T85" s="681"/>
      <c r="U85" s="681"/>
      <c r="V85" s="681"/>
      <c r="W85" s="681"/>
      <c r="X85" s="681"/>
      <c r="Y85" s="681"/>
      <c r="Z85" s="681"/>
      <c r="AA85" s="681"/>
      <c r="AB85" s="681"/>
      <c r="AC85" s="681"/>
      <c r="AD85" s="67" t="str">
        <f t="shared" si="4"/>
        <v>#ERROR!</v>
      </c>
      <c r="AE85" s="682">
        <f t="shared" si="5"/>
        <v>1</v>
      </c>
    </row>
    <row r="86" ht="42.0" customHeight="1">
      <c r="A86" s="691">
        <v>80.0</v>
      </c>
      <c r="B86" s="66" t="s">
        <v>413</v>
      </c>
      <c r="C86" s="66" t="s">
        <v>1022</v>
      </c>
      <c r="D86" s="65">
        <v>2130.0</v>
      </c>
      <c r="E86" s="433" t="str">
        <f>Consolidado!#REF!</f>
        <v>#ERROR!</v>
      </c>
      <c r="F86" s="84" t="str">
        <f>Consolidado!#REF!</f>
        <v>#ERROR!</v>
      </c>
      <c r="G86" s="91" t="str">
        <f>Consolidado!#REF!</f>
        <v>#ERROR!</v>
      </c>
      <c r="H86" s="80" t="str">
        <f t="shared" si="1"/>
        <v>#ERROR!</v>
      </c>
      <c r="I86" s="84" t="str">
        <f t="shared" si="2"/>
        <v>#ERROR!</v>
      </c>
      <c r="J86" s="84" t="str">
        <f t="shared" si="3"/>
        <v>#ERROR!</v>
      </c>
      <c r="K86" s="681"/>
      <c r="L86" s="681"/>
      <c r="M86" s="681"/>
      <c r="N86" s="681"/>
      <c r="O86" s="681"/>
      <c r="P86" s="681"/>
      <c r="Q86" s="681"/>
      <c r="R86" s="681"/>
      <c r="S86" s="681"/>
      <c r="T86" s="681"/>
      <c r="U86" s="681"/>
      <c r="V86" s="681"/>
      <c r="W86" s="681"/>
      <c r="X86" s="681"/>
      <c r="Y86" s="681"/>
      <c r="Z86" s="681"/>
      <c r="AA86" s="681"/>
      <c r="AB86" s="681"/>
      <c r="AC86" s="681"/>
      <c r="AD86" s="67" t="str">
        <f t="shared" si="4"/>
        <v>#ERROR!</v>
      </c>
      <c r="AE86" s="682" t="str">
        <f t="shared" si="5"/>
        <v> </v>
      </c>
    </row>
    <row r="87" ht="42.0" customHeight="1">
      <c r="A87" s="691">
        <v>81.0</v>
      </c>
      <c r="B87" s="66" t="s">
        <v>413</v>
      </c>
      <c r="C87" s="66" t="s">
        <v>440</v>
      </c>
      <c r="D87" s="65">
        <v>3048.0</v>
      </c>
      <c r="E87" s="433">
        <f>Consolidado!$AU$60</f>
        <v>8333</v>
      </c>
      <c r="F87" s="84">
        <f>Consolidado!$AV$60</f>
        <v>43686</v>
      </c>
      <c r="G87" s="91">
        <f>Consolidado!$AW$60</f>
        <v>4</v>
      </c>
      <c r="H87" s="80">
        <f t="shared" si="1"/>
        <v>44721</v>
      </c>
      <c r="I87" s="84">
        <f t="shared" si="2"/>
        <v>44782</v>
      </c>
      <c r="J87" s="84">
        <f t="shared" si="3"/>
        <v>45147</v>
      </c>
      <c r="K87" s="681"/>
      <c r="L87" s="681"/>
      <c r="M87" s="681"/>
      <c r="N87" s="681"/>
      <c r="O87" s="681"/>
      <c r="P87" s="681"/>
      <c r="Q87" s="681"/>
      <c r="R87" s="681"/>
      <c r="S87" s="681"/>
      <c r="T87" s="681"/>
      <c r="U87" s="681"/>
      <c r="V87" s="681"/>
      <c r="W87" s="681"/>
      <c r="X87" s="681" t="s">
        <v>1108</v>
      </c>
      <c r="Y87" s="681"/>
      <c r="Z87" s="681"/>
      <c r="AA87" s="681"/>
      <c r="AB87" s="681"/>
      <c r="AC87" s="681"/>
      <c r="AD87" s="67" t="str">
        <f t="shared" si="4"/>
        <v>En proceso</v>
      </c>
      <c r="AE87" s="682">
        <f t="shared" si="5"/>
        <v>14</v>
      </c>
    </row>
    <row r="88" ht="42.0" customHeight="1">
      <c r="A88" s="691">
        <v>82.0</v>
      </c>
      <c r="B88" s="66" t="s">
        <v>413</v>
      </c>
      <c r="C88" s="66" t="s">
        <v>1066</v>
      </c>
      <c r="D88" s="65">
        <v>3636.0</v>
      </c>
      <c r="E88" s="433" t="str">
        <f>Consolidado!$AU$61</f>
        <v/>
      </c>
      <c r="F88" s="74" t="str">
        <f>Consolidado!$AV$61</f>
        <v/>
      </c>
      <c r="G88" s="91" t="str">
        <f>Consolidado!$AW$61</f>
        <v/>
      </c>
      <c r="H88" s="80" t="str">
        <f t="shared" si="1"/>
        <v>#NUM!</v>
      </c>
      <c r="I88" s="84" t="str">
        <f t="shared" si="2"/>
        <v>#NUM!</v>
      </c>
      <c r="J88" s="84">
        <f t="shared" si="3"/>
        <v>0</v>
      </c>
      <c r="K88" s="681"/>
      <c r="L88" s="681"/>
      <c r="M88" s="681"/>
      <c r="N88" s="681"/>
      <c r="O88" s="681"/>
      <c r="P88" s="681"/>
      <c r="Q88" s="681"/>
      <c r="R88" s="681"/>
      <c r="S88" s="681"/>
      <c r="T88" s="681"/>
      <c r="U88" s="681"/>
      <c r="V88" s="681"/>
      <c r="W88" s="681"/>
      <c r="X88" s="681"/>
      <c r="Y88" s="692"/>
      <c r="Z88" s="681"/>
      <c r="AA88" s="681"/>
      <c r="AB88" s="681"/>
      <c r="AC88" s="681"/>
      <c r="AD88" s="67" t="str">
        <f t="shared" si="4"/>
        <v>En proceso</v>
      </c>
      <c r="AE88" s="682" t="str">
        <f t="shared" si="5"/>
        <v> </v>
      </c>
    </row>
    <row r="89" ht="42.0" customHeight="1">
      <c r="A89" s="691">
        <v>83.0</v>
      </c>
      <c r="B89" s="66" t="s">
        <v>413</v>
      </c>
      <c r="C89" s="66" t="s">
        <v>1067</v>
      </c>
      <c r="D89" s="65">
        <v>106574.0</v>
      </c>
      <c r="E89" s="433" t="str">
        <f>Consolidado!$AU$62</f>
        <v/>
      </c>
      <c r="F89" s="84" t="str">
        <f>Consolidado!$AV$62</f>
        <v/>
      </c>
      <c r="G89" s="91" t="str">
        <f>Consolidado!$AW$62</f>
        <v/>
      </c>
      <c r="H89" s="80" t="str">
        <f t="shared" si="1"/>
        <v>#NUM!</v>
      </c>
      <c r="I89" s="84" t="str">
        <f t="shared" si="2"/>
        <v>#NUM!</v>
      </c>
      <c r="J89" s="84">
        <f t="shared" si="3"/>
        <v>0</v>
      </c>
      <c r="K89" s="681"/>
      <c r="L89" s="681"/>
      <c r="M89" s="681"/>
      <c r="N89" s="681"/>
      <c r="O89" s="681"/>
      <c r="P89" s="681"/>
      <c r="Q89" s="681"/>
      <c r="R89" s="681"/>
      <c r="S89" s="681"/>
      <c r="T89" s="681"/>
      <c r="U89" s="681"/>
      <c r="V89" s="681"/>
      <c r="W89" s="681"/>
      <c r="X89" s="681"/>
      <c r="Y89" s="681"/>
      <c r="Z89" s="681"/>
      <c r="AA89" s="681"/>
      <c r="AB89" s="681"/>
      <c r="AC89" s="681"/>
      <c r="AD89" s="67" t="str">
        <f t="shared" si="4"/>
        <v>En proceso</v>
      </c>
      <c r="AE89" s="682" t="str">
        <f t="shared" si="5"/>
        <v> </v>
      </c>
    </row>
    <row r="90" ht="42.0" customHeight="1">
      <c r="A90" s="691">
        <v>84.0</v>
      </c>
      <c r="B90" s="66" t="s">
        <v>413</v>
      </c>
      <c r="C90" s="66" t="s">
        <v>1023</v>
      </c>
      <c r="D90" s="65">
        <v>4010.0</v>
      </c>
      <c r="E90" s="433" t="str">
        <f>Consolidado!$AU$63</f>
        <v/>
      </c>
      <c r="F90" s="84" t="str">
        <f>Consolidado!$AV$63</f>
        <v/>
      </c>
      <c r="G90" s="91" t="str">
        <f>Consolidado!$AW$63</f>
        <v/>
      </c>
      <c r="H90" s="80" t="str">
        <f t="shared" si="1"/>
        <v>#NUM!</v>
      </c>
      <c r="I90" s="84" t="str">
        <f t="shared" si="2"/>
        <v>#NUM!</v>
      </c>
      <c r="J90" s="84">
        <f t="shared" si="3"/>
        <v>0</v>
      </c>
      <c r="K90" s="681"/>
      <c r="L90" s="681"/>
      <c r="M90" s="681"/>
      <c r="N90" s="681"/>
      <c r="O90" s="681"/>
      <c r="P90" s="681"/>
      <c r="Q90" s="681"/>
      <c r="R90" s="681"/>
      <c r="S90" s="681"/>
      <c r="T90" s="681"/>
      <c r="U90" s="681"/>
      <c r="V90" s="681"/>
      <c r="W90" s="681"/>
      <c r="X90" s="681"/>
      <c r="Y90" s="681"/>
      <c r="Z90" s="681"/>
      <c r="AA90" s="681"/>
      <c r="AB90" s="681"/>
      <c r="AC90" s="681"/>
      <c r="AD90" s="67" t="str">
        <f t="shared" si="4"/>
        <v>En proceso</v>
      </c>
      <c r="AE90" s="682" t="str">
        <f t="shared" si="5"/>
        <v> </v>
      </c>
    </row>
    <row r="91" ht="42.0" customHeight="1">
      <c r="A91" s="691">
        <v>85.0</v>
      </c>
      <c r="B91" s="66" t="s">
        <v>413</v>
      </c>
      <c r="C91" s="66" t="s">
        <v>1030</v>
      </c>
      <c r="D91" s="65">
        <v>12098.0</v>
      </c>
      <c r="E91" s="687">
        <f>Consolidado!$AU$64</f>
        <v>7456</v>
      </c>
      <c r="F91" s="78">
        <f>Consolidado!$AV$64</f>
        <v>44316</v>
      </c>
      <c r="G91" s="79">
        <f>Consolidado!$AW$64</f>
        <v>6</v>
      </c>
      <c r="H91" s="80">
        <f t="shared" si="1"/>
        <v>46081</v>
      </c>
      <c r="I91" s="84">
        <f t="shared" si="2"/>
        <v>46142</v>
      </c>
      <c r="J91" s="84">
        <f t="shared" si="3"/>
        <v>46507</v>
      </c>
      <c r="K91" s="681"/>
      <c r="L91" s="681"/>
      <c r="M91" s="681"/>
      <c r="N91" s="681"/>
      <c r="O91" s="681"/>
      <c r="P91" s="681"/>
      <c r="Q91" s="681"/>
      <c r="R91" s="681"/>
      <c r="S91" s="681"/>
      <c r="T91" s="681"/>
      <c r="U91" s="681"/>
      <c r="V91" s="681"/>
      <c r="W91" s="681"/>
      <c r="X91" s="681"/>
      <c r="Y91" s="681"/>
      <c r="Z91" s="681"/>
      <c r="AA91" s="681"/>
      <c r="AB91" s="681"/>
      <c r="AC91" s="681"/>
      <c r="AD91" s="67" t="str">
        <f t="shared" si="4"/>
        <v>Vigente</v>
      </c>
      <c r="AE91" s="682" t="str">
        <f t="shared" si="5"/>
        <v> </v>
      </c>
    </row>
    <row r="92" ht="42.0" customHeight="1">
      <c r="A92" s="691">
        <v>86.0</v>
      </c>
      <c r="B92" s="66" t="s">
        <v>413</v>
      </c>
      <c r="C92" s="66" t="s">
        <v>1126</v>
      </c>
      <c r="D92" s="65">
        <v>106545.0</v>
      </c>
      <c r="E92" s="433" t="str">
        <f>Consolidado!$AU$65</f>
        <v/>
      </c>
      <c r="F92" s="84" t="str">
        <f>Consolidado!$AV$65</f>
        <v/>
      </c>
      <c r="G92" s="91" t="str">
        <f>Consolidado!$AW$65</f>
        <v/>
      </c>
      <c r="H92" s="80" t="str">
        <f t="shared" si="1"/>
        <v>#NUM!</v>
      </c>
      <c r="I92" s="84" t="str">
        <f t="shared" si="2"/>
        <v>#NUM!</v>
      </c>
      <c r="J92" s="84">
        <f t="shared" si="3"/>
        <v>0</v>
      </c>
      <c r="K92" s="681"/>
      <c r="L92" s="681"/>
      <c r="M92" s="681"/>
      <c r="N92" s="681"/>
      <c r="O92" s="681"/>
      <c r="P92" s="681"/>
      <c r="Q92" s="681"/>
      <c r="R92" s="681"/>
      <c r="S92" s="681"/>
      <c r="T92" s="681"/>
      <c r="U92" s="681"/>
      <c r="V92" s="681"/>
      <c r="W92" s="681"/>
      <c r="X92" s="681"/>
      <c r="Y92" s="681"/>
      <c r="Z92" s="681"/>
      <c r="AA92" s="681"/>
      <c r="AB92" s="681"/>
      <c r="AC92" s="681"/>
      <c r="AD92" s="67" t="str">
        <f t="shared" si="4"/>
        <v>En proceso</v>
      </c>
      <c r="AE92" s="682" t="str">
        <f t="shared" si="5"/>
        <v> </v>
      </c>
    </row>
    <row r="93" ht="42.0" customHeight="1">
      <c r="A93" s="691">
        <v>87.0</v>
      </c>
      <c r="B93" s="66" t="s">
        <v>413</v>
      </c>
      <c r="C93" s="66" t="s">
        <v>492</v>
      </c>
      <c r="D93" s="65">
        <v>106794.0</v>
      </c>
      <c r="E93" s="433" t="str">
        <f>Consolidado!$AU$66</f>
        <v/>
      </c>
      <c r="F93" s="84" t="str">
        <f>Consolidado!$AV$66</f>
        <v/>
      </c>
      <c r="G93" s="91" t="str">
        <f>Consolidado!$AW$66</f>
        <v/>
      </c>
      <c r="H93" s="80" t="str">
        <f t="shared" si="1"/>
        <v>#NUM!</v>
      </c>
      <c r="I93" s="84" t="str">
        <f t="shared" si="2"/>
        <v>#NUM!</v>
      </c>
      <c r="J93" s="84">
        <f t="shared" si="3"/>
        <v>0</v>
      </c>
      <c r="K93" s="681"/>
      <c r="L93" s="681"/>
      <c r="M93" s="681"/>
      <c r="N93" s="681"/>
      <c r="O93" s="681"/>
      <c r="P93" s="681"/>
      <c r="Q93" s="681"/>
      <c r="R93" s="681"/>
      <c r="S93" s="681"/>
      <c r="T93" s="681"/>
      <c r="U93" s="681"/>
      <c r="V93" s="681"/>
      <c r="W93" s="681"/>
      <c r="X93" s="681"/>
      <c r="Y93" s="681"/>
      <c r="Z93" s="681"/>
      <c r="AA93" s="681"/>
      <c r="AB93" s="681"/>
      <c r="AC93" s="681"/>
      <c r="AD93" s="67" t="str">
        <f t="shared" si="4"/>
        <v>En proceso</v>
      </c>
      <c r="AE93" s="682" t="str">
        <f t="shared" si="5"/>
        <v> </v>
      </c>
    </row>
    <row r="94" ht="42.0" customHeight="1">
      <c r="A94" s="691">
        <v>88.0</v>
      </c>
      <c r="B94" s="66" t="s">
        <v>413</v>
      </c>
      <c r="C94" s="66" t="s">
        <v>476</v>
      </c>
      <c r="D94" s="65">
        <v>106651.0</v>
      </c>
      <c r="E94" s="433" t="str">
        <f>Consolidado!$AU$67</f>
        <v/>
      </c>
      <c r="F94" s="74" t="str">
        <f>Consolidado!$AV$67</f>
        <v/>
      </c>
      <c r="G94" s="91" t="str">
        <f>Consolidado!$AW$67</f>
        <v/>
      </c>
      <c r="H94" s="80" t="str">
        <f t="shared" si="1"/>
        <v>#NUM!</v>
      </c>
      <c r="I94" s="84" t="str">
        <f t="shared" si="2"/>
        <v>#NUM!</v>
      </c>
      <c r="J94" s="84">
        <f t="shared" si="3"/>
        <v>0</v>
      </c>
      <c r="K94" s="681"/>
      <c r="L94" s="681"/>
      <c r="M94" s="681"/>
      <c r="N94" s="681"/>
      <c r="O94" s="681"/>
      <c r="P94" s="681"/>
      <c r="Q94" s="681"/>
      <c r="R94" s="681"/>
      <c r="S94" s="681"/>
      <c r="T94" s="681"/>
      <c r="U94" s="681"/>
      <c r="V94" s="681"/>
      <c r="W94" s="681" t="s">
        <v>1108</v>
      </c>
      <c r="X94" s="681"/>
      <c r="Y94" s="681"/>
      <c r="Z94" s="681"/>
      <c r="AA94" s="681"/>
      <c r="AB94" s="681"/>
      <c r="AC94" s="681"/>
      <c r="AD94" s="67" t="str">
        <f t="shared" si="4"/>
        <v>En proceso</v>
      </c>
      <c r="AE94" s="682">
        <f t="shared" si="5"/>
        <v>13</v>
      </c>
    </row>
    <row r="95" ht="42.0" customHeight="1">
      <c r="A95" s="691">
        <v>89.0</v>
      </c>
      <c r="B95" s="66" t="s">
        <v>413</v>
      </c>
      <c r="C95" s="66" t="s">
        <v>1127</v>
      </c>
      <c r="D95" s="65">
        <v>52650.0</v>
      </c>
      <c r="E95" s="79" t="str">
        <f>Consolidado!#REF!</f>
        <v>#ERROR!</v>
      </c>
      <c r="F95" s="79" t="str">
        <f>Consolidado!#REF!</f>
        <v>#ERROR!</v>
      </c>
      <c r="G95" s="79" t="str">
        <f>Consolidado!#REF!</f>
        <v>#ERROR!</v>
      </c>
      <c r="H95" s="80" t="str">
        <f t="shared" si="1"/>
        <v>#ERROR!</v>
      </c>
      <c r="I95" s="84" t="str">
        <f t="shared" si="2"/>
        <v>#ERROR!</v>
      </c>
      <c r="J95" s="84" t="str">
        <f t="shared" si="3"/>
        <v>#ERROR!</v>
      </c>
      <c r="K95" s="681"/>
      <c r="L95" s="681"/>
      <c r="M95" s="681"/>
      <c r="N95" s="681"/>
      <c r="O95" s="681"/>
      <c r="P95" s="681"/>
      <c r="Q95" s="681"/>
      <c r="R95" s="681"/>
      <c r="S95" s="681"/>
      <c r="T95" s="681"/>
      <c r="U95" s="681"/>
      <c r="V95" s="681"/>
      <c r="W95" s="681"/>
      <c r="X95" s="681"/>
      <c r="Y95" s="681"/>
      <c r="Z95" s="681"/>
      <c r="AA95" s="681"/>
      <c r="AB95" s="681"/>
      <c r="AC95" s="681"/>
      <c r="AD95" s="67" t="str">
        <f t="shared" si="4"/>
        <v>#ERROR!</v>
      </c>
      <c r="AE95" s="682" t="str">
        <f t="shared" si="5"/>
        <v> </v>
      </c>
    </row>
    <row r="96" ht="42.0" customHeight="1">
      <c r="A96" s="691">
        <v>90.0</v>
      </c>
      <c r="B96" s="66" t="s">
        <v>413</v>
      </c>
      <c r="C96" s="66" t="s">
        <v>448</v>
      </c>
      <c r="D96" s="65">
        <v>53504.0</v>
      </c>
      <c r="E96" s="91" t="str">
        <f>Consolidado!$AU$68</f>
        <v/>
      </c>
      <c r="F96" s="90" t="str">
        <f>Consolidado!$AV$68</f>
        <v/>
      </c>
      <c r="G96" s="91" t="str">
        <f>Consolidado!$AW$68</f>
        <v/>
      </c>
      <c r="H96" s="80" t="str">
        <f t="shared" si="1"/>
        <v>#NUM!</v>
      </c>
      <c r="I96" s="84" t="str">
        <f t="shared" si="2"/>
        <v>#NUM!</v>
      </c>
      <c r="J96" s="84">
        <f t="shared" si="3"/>
        <v>0</v>
      </c>
      <c r="K96" s="681"/>
      <c r="L96" s="681"/>
      <c r="M96" s="681"/>
      <c r="N96" s="681"/>
      <c r="O96" s="681"/>
      <c r="P96" s="681"/>
      <c r="Q96" s="681"/>
      <c r="R96" s="681"/>
      <c r="S96" s="681"/>
      <c r="T96" s="681"/>
      <c r="U96" s="681"/>
      <c r="V96" s="681"/>
      <c r="W96" s="681"/>
      <c r="X96" s="681"/>
      <c r="Y96" s="681"/>
      <c r="Z96" s="681"/>
      <c r="AA96" s="681"/>
      <c r="AB96" s="681"/>
      <c r="AC96" s="681"/>
      <c r="AD96" s="67" t="str">
        <f t="shared" si="4"/>
        <v>En proceso</v>
      </c>
      <c r="AE96" s="682" t="str">
        <f t="shared" si="5"/>
        <v> </v>
      </c>
    </row>
    <row r="97" ht="42.0" customHeight="1">
      <c r="A97" s="691">
        <v>91.0</v>
      </c>
      <c r="B97" s="66" t="s">
        <v>413</v>
      </c>
      <c r="C97" s="66" t="s">
        <v>435</v>
      </c>
      <c r="D97" s="65">
        <v>53791.0</v>
      </c>
      <c r="E97" s="433">
        <f>Consolidado!$AU$69</f>
        <v>2311</v>
      </c>
      <c r="F97" s="90">
        <f>Consolidado!$AV$69</f>
        <v>44621</v>
      </c>
      <c r="G97" s="91">
        <f>Consolidado!$AW$69</f>
        <v>4</v>
      </c>
      <c r="H97" s="80">
        <f t="shared" si="1"/>
        <v>45658</v>
      </c>
      <c r="I97" s="84">
        <f t="shared" si="2"/>
        <v>45717</v>
      </c>
      <c r="J97" s="84">
        <f t="shared" si="3"/>
        <v>46082</v>
      </c>
      <c r="K97" s="681"/>
      <c r="L97" s="681"/>
      <c r="M97" s="681"/>
      <c r="N97" s="681"/>
      <c r="O97" s="681"/>
      <c r="P97" s="681"/>
      <c r="Q97" s="681"/>
      <c r="R97" s="681"/>
      <c r="S97" s="681"/>
      <c r="T97" s="681"/>
      <c r="U97" s="681"/>
      <c r="V97" s="681"/>
      <c r="W97" s="681"/>
      <c r="X97" s="681"/>
      <c r="Y97" s="681"/>
      <c r="Z97" s="681"/>
      <c r="AA97" s="681"/>
      <c r="AB97" s="681"/>
      <c r="AC97" s="681"/>
      <c r="AD97" s="67" t="str">
        <f t="shared" si="4"/>
        <v>En proceso</v>
      </c>
      <c r="AE97" s="682" t="str">
        <f t="shared" si="5"/>
        <v> </v>
      </c>
    </row>
    <row r="98" ht="42.0" customHeight="1">
      <c r="A98" s="691">
        <v>92.0</v>
      </c>
      <c r="B98" s="66" t="s">
        <v>413</v>
      </c>
      <c r="C98" s="66" t="s">
        <v>559</v>
      </c>
      <c r="D98" s="65">
        <v>53943.0</v>
      </c>
      <c r="E98" s="91" t="str">
        <f>Consolidado!#REF!</f>
        <v>#ERROR!</v>
      </c>
      <c r="F98" s="91" t="str">
        <f>Consolidado!#REF!</f>
        <v>#ERROR!</v>
      </c>
      <c r="G98" s="91" t="str">
        <f>Consolidado!#REF!</f>
        <v>#ERROR!</v>
      </c>
      <c r="H98" s="80" t="str">
        <f t="shared" si="1"/>
        <v>#ERROR!</v>
      </c>
      <c r="I98" s="84" t="str">
        <f t="shared" si="2"/>
        <v>#ERROR!</v>
      </c>
      <c r="J98" s="84" t="str">
        <f t="shared" si="3"/>
        <v>#ERROR!</v>
      </c>
      <c r="K98" s="681"/>
      <c r="L98" s="681"/>
      <c r="M98" s="681"/>
      <c r="N98" s="681"/>
      <c r="O98" s="681"/>
      <c r="P98" s="681"/>
      <c r="Q98" s="681"/>
      <c r="R98" s="681"/>
      <c r="S98" s="681"/>
      <c r="T98" s="681"/>
      <c r="U98" s="681"/>
      <c r="V98" s="681"/>
      <c r="W98" s="681"/>
      <c r="X98" s="681"/>
      <c r="Y98" s="681"/>
      <c r="Z98" s="681"/>
      <c r="AA98" s="681"/>
      <c r="AB98" s="681"/>
      <c r="AC98" s="681"/>
      <c r="AD98" s="67" t="str">
        <f t="shared" si="4"/>
        <v>#ERROR!</v>
      </c>
      <c r="AE98" s="682" t="str">
        <f t="shared" si="5"/>
        <v> </v>
      </c>
    </row>
    <row r="99" ht="42.0" customHeight="1">
      <c r="A99" s="691">
        <v>93.0</v>
      </c>
      <c r="B99" s="66" t="s">
        <v>413</v>
      </c>
      <c r="C99" s="66" t="s">
        <v>527</v>
      </c>
      <c r="D99" s="65">
        <v>90576.0</v>
      </c>
      <c r="E99" s="433">
        <f>Consolidado!$AU$70</f>
        <v>2312</v>
      </c>
      <c r="F99" s="90">
        <f>Consolidado!$AV$70</f>
        <v>44621</v>
      </c>
      <c r="G99" s="91">
        <f>Consolidado!$AW$70</f>
        <v>4</v>
      </c>
      <c r="H99" s="80">
        <f t="shared" si="1"/>
        <v>45658</v>
      </c>
      <c r="I99" s="84">
        <f t="shared" si="2"/>
        <v>45717</v>
      </c>
      <c r="J99" s="84">
        <f t="shared" si="3"/>
        <v>46082</v>
      </c>
      <c r="K99" s="681"/>
      <c r="L99" s="681"/>
      <c r="M99" s="681"/>
      <c r="N99" s="681"/>
      <c r="O99" s="681"/>
      <c r="P99" s="681"/>
      <c r="Q99" s="681"/>
      <c r="R99" s="681"/>
      <c r="S99" s="681"/>
      <c r="T99" s="681"/>
      <c r="U99" s="681"/>
      <c r="V99" s="681"/>
      <c r="W99" s="681"/>
      <c r="X99" s="681"/>
      <c r="Y99" s="681"/>
      <c r="Z99" s="681"/>
      <c r="AA99" s="681"/>
      <c r="AB99" s="681"/>
      <c r="AC99" s="681"/>
      <c r="AD99" s="67" t="str">
        <f t="shared" si="4"/>
        <v>En proceso</v>
      </c>
      <c r="AE99" s="682" t="str">
        <f t="shared" si="5"/>
        <v> </v>
      </c>
    </row>
    <row r="100" ht="42.0" customHeight="1">
      <c r="A100" s="691">
        <v>94.0</v>
      </c>
      <c r="B100" s="66" t="s">
        <v>413</v>
      </c>
      <c r="C100" s="66" t="s">
        <v>554</v>
      </c>
      <c r="D100" s="65">
        <v>90909.0</v>
      </c>
      <c r="E100" s="433">
        <f>Consolidado!$AU$71</f>
        <v>1109</v>
      </c>
      <c r="F100" s="90">
        <f>Consolidado!$AV$71</f>
        <v>44960</v>
      </c>
      <c r="G100" s="91">
        <f>Consolidado!$AW$71</f>
        <v>6</v>
      </c>
      <c r="H100" s="80">
        <f t="shared" si="1"/>
        <v>46724</v>
      </c>
      <c r="I100" s="84">
        <f t="shared" si="2"/>
        <v>46786</v>
      </c>
      <c r="J100" s="84">
        <f t="shared" si="3"/>
        <v>47152</v>
      </c>
      <c r="K100" s="681"/>
      <c r="L100" s="681"/>
      <c r="M100" s="681"/>
      <c r="N100" s="681"/>
      <c r="O100" s="681"/>
      <c r="P100" s="681"/>
      <c r="Q100" s="681"/>
      <c r="R100" s="681"/>
      <c r="S100" s="681"/>
      <c r="T100" s="681"/>
      <c r="U100" s="681"/>
      <c r="V100" s="681"/>
      <c r="W100" s="681"/>
      <c r="X100" s="681"/>
      <c r="Y100" s="681"/>
      <c r="Z100" s="681"/>
      <c r="AA100" s="681"/>
      <c r="AB100" s="681"/>
      <c r="AC100" s="681"/>
      <c r="AD100" s="67" t="str">
        <f t="shared" si="4"/>
        <v>Vigente</v>
      </c>
      <c r="AE100" s="682" t="str">
        <f t="shared" si="5"/>
        <v> </v>
      </c>
    </row>
    <row r="101" ht="42.0" customHeight="1">
      <c r="A101" s="691">
        <v>95.0</v>
      </c>
      <c r="B101" s="66" t="s">
        <v>413</v>
      </c>
      <c r="C101" s="66" t="s">
        <v>429</v>
      </c>
      <c r="D101" s="65">
        <v>103476.0</v>
      </c>
      <c r="E101" s="433">
        <f>Consolidado!$AU$72</f>
        <v>1110</v>
      </c>
      <c r="F101" s="90">
        <f>Consolidado!$AV$72</f>
        <v>44960</v>
      </c>
      <c r="G101" s="91">
        <f>Consolidado!$AW$72</f>
        <v>6</v>
      </c>
      <c r="H101" s="80">
        <f t="shared" si="1"/>
        <v>46724</v>
      </c>
      <c r="I101" s="84">
        <f t="shared" si="2"/>
        <v>46786</v>
      </c>
      <c r="J101" s="84">
        <f t="shared" si="3"/>
        <v>47152</v>
      </c>
      <c r="K101" s="681"/>
      <c r="L101" s="681"/>
      <c r="M101" s="681"/>
      <c r="N101" s="681"/>
      <c r="O101" s="681"/>
      <c r="P101" s="681"/>
      <c r="Q101" s="681"/>
      <c r="R101" s="681"/>
      <c r="S101" s="681"/>
      <c r="T101" s="681"/>
      <c r="U101" s="681"/>
      <c r="V101" s="681"/>
      <c r="W101" s="681"/>
      <c r="X101" s="681"/>
      <c r="Y101" s="681"/>
      <c r="Z101" s="681"/>
      <c r="AA101" s="681"/>
      <c r="AB101" s="681"/>
      <c r="AC101" s="681"/>
      <c r="AD101" s="67" t="str">
        <f t="shared" si="4"/>
        <v>Vigente</v>
      </c>
      <c r="AE101" s="682" t="str">
        <f t="shared" si="5"/>
        <v> </v>
      </c>
    </row>
    <row r="102" ht="42.0" customHeight="1">
      <c r="A102" s="691">
        <v>96.0</v>
      </c>
      <c r="B102" s="66" t="s">
        <v>413</v>
      </c>
      <c r="C102" s="66" t="s">
        <v>429</v>
      </c>
      <c r="D102" s="65">
        <v>103504.0</v>
      </c>
      <c r="E102" s="91" t="str">
        <f>Consolidado!$AU$73</f>
        <v/>
      </c>
      <c r="F102" s="90" t="str">
        <f>Consolidado!$AV$73</f>
        <v/>
      </c>
      <c r="G102" s="91" t="str">
        <f>Consolidado!$AW$73</f>
        <v/>
      </c>
      <c r="H102" s="80" t="str">
        <f t="shared" si="1"/>
        <v>#NUM!</v>
      </c>
      <c r="I102" s="84" t="str">
        <f t="shared" si="2"/>
        <v>#NUM!</v>
      </c>
      <c r="J102" s="84">
        <f t="shared" si="3"/>
        <v>0</v>
      </c>
      <c r="K102" s="681"/>
      <c r="L102" s="681"/>
      <c r="M102" s="681"/>
      <c r="N102" s="681"/>
      <c r="O102" s="681"/>
      <c r="P102" s="681"/>
      <c r="Q102" s="681"/>
      <c r="R102" s="681"/>
      <c r="S102" s="681"/>
      <c r="T102" s="681"/>
      <c r="U102" s="681"/>
      <c r="V102" s="681"/>
      <c r="W102" s="681"/>
      <c r="X102" s="681"/>
      <c r="Y102" s="681"/>
      <c r="Z102" s="681"/>
      <c r="AA102" s="681"/>
      <c r="AB102" s="681"/>
      <c r="AC102" s="681"/>
      <c r="AD102" s="67" t="str">
        <f t="shared" si="4"/>
        <v>En proceso</v>
      </c>
      <c r="AE102" s="682" t="str">
        <f t="shared" si="5"/>
        <v> </v>
      </c>
    </row>
    <row r="103" ht="42.0" customHeight="1">
      <c r="A103" s="691">
        <v>97.0</v>
      </c>
      <c r="B103" s="66" t="s">
        <v>413</v>
      </c>
      <c r="C103" s="66" t="s">
        <v>1128</v>
      </c>
      <c r="D103" s="65">
        <v>104063.0</v>
      </c>
      <c r="E103" s="79" t="str">
        <f>Consolidado!#REF!</f>
        <v>#ERROR!</v>
      </c>
      <c r="F103" s="79" t="str">
        <f>Consolidado!#REF!</f>
        <v>#ERROR!</v>
      </c>
      <c r="G103" s="79" t="str">
        <f>Consolidado!#REF!</f>
        <v>#ERROR!</v>
      </c>
      <c r="H103" s="80" t="str">
        <f t="shared" si="1"/>
        <v>#ERROR!</v>
      </c>
      <c r="I103" s="84" t="str">
        <f t="shared" si="2"/>
        <v>#ERROR!</v>
      </c>
      <c r="J103" s="84" t="str">
        <f t="shared" si="3"/>
        <v>#ERROR!</v>
      </c>
      <c r="K103" s="681"/>
      <c r="L103" s="681"/>
      <c r="M103" s="681"/>
      <c r="N103" s="681"/>
      <c r="O103" s="681"/>
      <c r="P103" s="681"/>
      <c r="Q103" s="681"/>
      <c r="R103" s="681"/>
      <c r="S103" s="681"/>
      <c r="T103" s="681"/>
      <c r="U103" s="681"/>
      <c r="V103" s="681"/>
      <c r="W103" s="681"/>
      <c r="X103" s="681"/>
      <c r="Y103" s="681"/>
      <c r="Z103" s="681"/>
      <c r="AA103" s="681"/>
      <c r="AB103" s="681"/>
      <c r="AC103" s="681"/>
      <c r="AD103" s="67" t="str">
        <f t="shared" si="4"/>
        <v>#ERROR!</v>
      </c>
      <c r="AE103" s="682" t="str">
        <f t="shared" si="5"/>
        <v> </v>
      </c>
    </row>
    <row r="104" ht="42.0" customHeight="1">
      <c r="A104" s="691">
        <v>98.0</v>
      </c>
      <c r="B104" s="66" t="s">
        <v>413</v>
      </c>
      <c r="C104" s="66" t="s">
        <v>458</v>
      </c>
      <c r="D104" s="65">
        <v>104303.0</v>
      </c>
      <c r="E104" s="91" t="str">
        <f>Consolidado!$AU$74</f>
        <v/>
      </c>
      <c r="F104" s="90" t="str">
        <f>Consolidado!$AV$74</f>
        <v/>
      </c>
      <c r="G104" s="91" t="str">
        <f>Consolidado!$AW$74</f>
        <v/>
      </c>
      <c r="H104" s="80" t="str">
        <f t="shared" si="1"/>
        <v>#NUM!</v>
      </c>
      <c r="I104" s="84" t="str">
        <f t="shared" si="2"/>
        <v>#NUM!</v>
      </c>
      <c r="J104" s="84">
        <f t="shared" si="3"/>
        <v>0</v>
      </c>
      <c r="K104" s="681"/>
      <c r="L104" s="681"/>
      <c r="M104" s="681"/>
      <c r="N104" s="681"/>
      <c r="O104" s="681"/>
      <c r="P104" s="681"/>
      <c r="Q104" s="681"/>
      <c r="R104" s="681"/>
      <c r="S104" s="681"/>
      <c r="T104" s="681"/>
      <c r="U104" s="681"/>
      <c r="V104" s="681"/>
      <c r="W104" s="681"/>
      <c r="X104" s="681"/>
      <c r="Y104" s="681"/>
      <c r="Z104" s="681"/>
      <c r="AA104" s="681"/>
      <c r="AB104" s="681"/>
      <c r="AC104" s="681"/>
      <c r="AD104" s="67" t="str">
        <f t="shared" si="4"/>
        <v>En proceso</v>
      </c>
      <c r="AE104" s="682" t="str">
        <f t="shared" si="5"/>
        <v> </v>
      </c>
    </row>
    <row r="105" ht="42.0" customHeight="1">
      <c r="A105" s="691">
        <v>99.0</v>
      </c>
      <c r="B105" s="66" t="s">
        <v>413</v>
      </c>
      <c r="C105" s="66" t="s">
        <v>1129</v>
      </c>
      <c r="D105" s="65">
        <v>104520.0</v>
      </c>
      <c r="E105" s="91" t="str">
        <f>Consolidado!#REF!</f>
        <v>#ERROR!</v>
      </c>
      <c r="F105" s="91" t="str">
        <f>Consolidado!#REF!</f>
        <v>#ERROR!</v>
      </c>
      <c r="G105" s="91" t="str">
        <f>Consolidado!#REF!</f>
        <v>#ERROR!</v>
      </c>
      <c r="H105" s="80" t="str">
        <f t="shared" si="1"/>
        <v>#ERROR!</v>
      </c>
      <c r="I105" s="84" t="str">
        <f t="shared" si="2"/>
        <v>#ERROR!</v>
      </c>
      <c r="J105" s="84" t="str">
        <f t="shared" si="3"/>
        <v>#ERROR!</v>
      </c>
      <c r="K105" s="681"/>
      <c r="L105" s="681"/>
      <c r="M105" s="681"/>
      <c r="N105" s="681"/>
      <c r="O105" s="681"/>
      <c r="P105" s="681"/>
      <c r="Q105" s="681"/>
      <c r="R105" s="681"/>
      <c r="S105" s="681"/>
      <c r="T105" s="681"/>
      <c r="U105" s="681"/>
      <c r="V105" s="681"/>
      <c r="W105" s="681"/>
      <c r="X105" s="681"/>
      <c r="Y105" s="681"/>
      <c r="Z105" s="681"/>
      <c r="AA105" s="681"/>
      <c r="AB105" s="681"/>
      <c r="AC105" s="681"/>
      <c r="AD105" s="67" t="str">
        <f t="shared" si="4"/>
        <v>#ERROR!</v>
      </c>
      <c r="AE105" s="682" t="str">
        <f t="shared" si="5"/>
        <v> </v>
      </c>
    </row>
    <row r="106" ht="42.0" customHeight="1">
      <c r="A106" s="691">
        <v>100.0</v>
      </c>
      <c r="B106" s="66" t="s">
        <v>413</v>
      </c>
      <c r="C106" s="66" t="s">
        <v>1129</v>
      </c>
      <c r="D106" s="65">
        <v>104521.0</v>
      </c>
      <c r="E106" s="91" t="str">
        <f>Consolidado!#REF!</f>
        <v>#ERROR!</v>
      </c>
      <c r="F106" s="91" t="str">
        <f>Consolidado!#REF!</f>
        <v>#ERROR!</v>
      </c>
      <c r="G106" s="91" t="str">
        <f>Consolidado!#REF!</f>
        <v>#ERROR!</v>
      </c>
      <c r="H106" s="80" t="str">
        <f t="shared" si="1"/>
        <v>#ERROR!</v>
      </c>
      <c r="I106" s="84" t="str">
        <f t="shared" si="2"/>
        <v>#ERROR!</v>
      </c>
      <c r="J106" s="84" t="str">
        <f t="shared" si="3"/>
        <v>#ERROR!</v>
      </c>
      <c r="K106" s="681"/>
      <c r="L106" s="681"/>
      <c r="M106" s="681"/>
      <c r="N106" s="681"/>
      <c r="O106" s="681"/>
      <c r="P106" s="681"/>
      <c r="Q106" s="681"/>
      <c r="R106" s="681"/>
      <c r="S106" s="681"/>
      <c r="T106" s="681"/>
      <c r="U106" s="681"/>
      <c r="V106" s="681"/>
      <c r="W106" s="681"/>
      <c r="X106" s="681"/>
      <c r="Y106" s="681"/>
      <c r="Z106" s="681"/>
      <c r="AA106" s="681"/>
      <c r="AB106" s="681"/>
      <c r="AC106" s="681"/>
      <c r="AD106" s="67" t="str">
        <f t="shared" si="4"/>
        <v>#ERROR!</v>
      </c>
      <c r="AE106" s="682" t="str">
        <f t="shared" si="5"/>
        <v> </v>
      </c>
    </row>
    <row r="107" ht="42.0" customHeight="1">
      <c r="A107" s="691">
        <v>101.0</v>
      </c>
      <c r="B107" s="66" t="s">
        <v>413</v>
      </c>
      <c r="C107" s="66" t="s">
        <v>1129</v>
      </c>
      <c r="D107" s="65">
        <v>104522.0</v>
      </c>
      <c r="E107" s="91" t="str">
        <f>Consolidado!#REF!</f>
        <v>#ERROR!</v>
      </c>
      <c r="F107" s="91" t="str">
        <f>Consolidado!#REF!</f>
        <v>#ERROR!</v>
      </c>
      <c r="G107" s="91" t="str">
        <f>Consolidado!#REF!</f>
        <v>#ERROR!</v>
      </c>
      <c r="H107" s="80" t="str">
        <f t="shared" si="1"/>
        <v>#ERROR!</v>
      </c>
      <c r="I107" s="84" t="str">
        <f t="shared" si="2"/>
        <v>#ERROR!</v>
      </c>
      <c r="J107" s="84" t="str">
        <f t="shared" si="3"/>
        <v>#ERROR!</v>
      </c>
      <c r="K107" s="681"/>
      <c r="L107" s="681"/>
      <c r="M107" s="681"/>
      <c r="N107" s="681"/>
      <c r="O107" s="681"/>
      <c r="P107" s="681"/>
      <c r="Q107" s="681"/>
      <c r="R107" s="681"/>
      <c r="S107" s="681"/>
      <c r="T107" s="681"/>
      <c r="U107" s="681"/>
      <c r="V107" s="681"/>
      <c r="W107" s="681"/>
      <c r="X107" s="681"/>
      <c r="Y107" s="681"/>
      <c r="Z107" s="681"/>
      <c r="AA107" s="681"/>
      <c r="AB107" s="681"/>
      <c r="AC107" s="681"/>
      <c r="AD107" s="67" t="str">
        <f t="shared" si="4"/>
        <v>#ERROR!</v>
      </c>
      <c r="AE107" s="682" t="str">
        <f t="shared" si="5"/>
        <v> </v>
      </c>
    </row>
    <row r="108" ht="42.0" customHeight="1">
      <c r="A108" s="691">
        <v>102.0</v>
      </c>
      <c r="B108" s="66" t="s">
        <v>413</v>
      </c>
      <c r="C108" s="66" t="s">
        <v>1129</v>
      </c>
      <c r="D108" s="65">
        <v>104523.0</v>
      </c>
      <c r="E108" s="91" t="str">
        <f>Consolidado!#REF!</f>
        <v>#ERROR!</v>
      </c>
      <c r="F108" s="91" t="str">
        <f>Consolidado!#REF!</f>
        <v>#ERROR!</v>
      </c>
      <c r="G108" s="91" t="str">
        <f>Consolidado!#REF!</f>
        <v>#ERROR!</v>
      </c>
      <c r="H108" s="80" t="str">
        <f t="shared" si="1"/>
        <v>#ERROR!</v>
      </c>
      <c r="I108" s="84" t="str">
        <f t="shared" si="2"/>
        <v>#ERROR!</v>
      </c>
      <c r="J108" s="84" t="str">
        <f t="shared" si="3"/>
        <v>#ERROR!</v>
      </c>
      <c r="K108" s="681"/>
      <c r="L108" s="681"/>
      <c r="M108" s="681"/>
      <c r="N108" s="681"/>
      <c r="O108" s="681"/>
      <c r="P108" s="681"/>
      <c r="Q108" s="681"/>
      <c r="R108" s="681"/>
      <c r="S108" s="681"/>
      <c r="T108" s="681"/>
      <c r="U108" s="681"/>
      <c r="V108" s="681"/>
      <c r="W108" s="681"/>
      <c r="X108" s="681"/>
      <c r="Y108" s="681"/>
      <c r="Z108" s="681"/>
      <c r="AA108" s="681"/>
      <c r="AB108" s="681"/>
      <c r="AC108" s="681"/>
      <c r="AD108" s="67" t="str">
        <f t="shared" si="4"/>
        <v>#ERROR!</v>
      </c>
      <c r="AE108" s="682" t="str">
        <f t="shared" si="5"/>
        <v> </v>
      </c>
    </row>
    <row r="109" ht="42.0" customHeight="1">
      <c r="A109" s="691">
        <v>103.0</v>
      </c>
      <c r="B109" s="66" t="s">
        <v>413</v>
      </c>
      <c r="C109" s="66" t="s">
        <v>1081</v>
      </c>
      <c r="D109" s="65">
        <v>104621.0</v>
      </c>
      <c r="E109" s="433">
        <f>Consolidado!$AU$75</f>
        <v>7568</v>
      </c>
      <c r="F109" s="90">
        <f>Consolidado!$AV$75</f>
        <v>45054</v>
      </c>
      <c r="G109" s="91">
        <f>Consolidado!$AW$75</f>
        <v>4</v>
      </c>
      <c r="H109" s="80">
        <f t="shared" si="1"/>
        <v>46089</v>
      </c>
      <c r="I109" s="84">
        <f t="shared" si="2"/>
        <v>46150</v>
      </c>
      <c r="J109" s="84">
        <f t="shared" si="3"/>
        <v>46515</v>
      </c>
      <c r="K109" s="681"/>
      <c r="L109" s="681"/>
      <c r="M109" s="681"/>
      <c r="N109" s="681"/>
      <c r="O109" s="681"/>
      <c r="P109" s="681"/>
      <c r="Q109" s="681"/>
      <c r="R109" s="681"/>
      <c r="S109" s="681"/>
      <c r="T109" s="681"/>
      <c r="U109" s="681"/>
      <c r="V109" s="681"/>
      <c r="W109" s="681"/>
      <c r="X109" s="681"/>
      <c r="Y109" s="681"/>
      <c r="Z109" s="681"/>
      <c r="AA109" s="681"/>
      <c r="AB109" s="681"/>
      <c r="AC109" s="681"/>
      <c r="AD109" s="67" t="str">
        <f t="shared" si="4"/>
        <v>Vigente</v>
      </c>
      <c r="AE109" s="682" t="str">
        <f t="shared" si="5"/>
        <v> </v>
      </c>
    </row>
    <row r="110" ht="42.0" customHeight="1">
      <c r="A110" s="691">
        <v>104.0</v>
      </c>
      <c r="B110" s="66" t="s">
        <v>413</v>
      </c>
      <c r="C110" s="66" t="s">
        <v>1130</v>
      </c>
      <c r="D110" s="65">
        <v>104784.0</v>
      </c>
      <c r="E110" s="91" t="str">
        <f>Consolidado!#REF!</f>
        <v>#ERROR!</v>
      </c>
      <c r="F110" s="91" t="str">
        <f>Consolidado!#REF!</f>
        <v>#ERROR!</v>
      </c>
      <c r="G110" s="91" t="str">
        <f>Consolidado!#REF!</f>
        <v>#ERROR!</v>
      </c>
      <c r="H110" s="80" t="str">
        <f t="shared" si="1"/>
        <v>#ERROR!</v>
      </c>
      <c r="I110" s="84" t="str">
        <f t="shared" si="2"/>
        <v>#ERROR!</v>
      </c>
      <c r="J110" s="84" t="str">
        <f t="shared" si="3"/>
        <v>#ERROR!</v>
      </c>
      <c r="K110" s="681"/>
      <c r="L110" s="681"/>
      <c r="M110" s="681"/>
      <c r="N110" s="681"/>
      <c r="O110" s="681"/>
      <c r="P110" s="681"/>
      <c r="Q110" s="681"/>
      <c r="R110" s="681"/>
      <c r="S110" s="681"/>
      <c r="T110" s="681"/>
      <c r="U110" s="681"/>
      <c r="V110" s="681"/>
      <c r="W110" s="681"/>
      <c r="X110" s="681"/>
      <c r="Y110" s="681"/>
      <c r="Z110" s="681"/>
      <c r="AA110" s="681"/>
      <c r="AB110" s="681"/>
      <c r="AC110" s="681"/>
      <c r="AD110" s="67" t="str">
        <f t="shared" si="4"/>
        <v>#ERROR!</v>
      </c>
      <c r="AE110" s="682" t="str">
        <f t="shared" si="5"/>
        <v> </v>
      </c>
    </row>
    <row r="111" ht="42.0" customHeight="1">
      <c r="A111" s="691">
        <v>105.0</v>
      </c>
      <c r="B111" s="66" t="s">
        <v>413</v>
      </c>
      <c r="C111" s="66" t="s">
        <v>1131</v>
      </c>
      <c r="D111" s="65">
        <v>104822.0</v>
      </c>
      <c r="E111" s="91" t="str">
        <f>Consolidado!#REF!</f>
        <v>#ERROR!</v>
      </c>
      <c r="F111" s="91" t="str">
        <f>Consolidado!#REF!</f>
        <v>#ERROR!</v>
      </c>
      <c r="G111" s="91" t="str">
        <f>Consolidado!#REF!</f>
        <v>#ERROR!</v>
      </c>
      <c r="H111" s="80" t="str">
        <f t="shared" si="1"/>
        <v>#ERROR!</v>
      </c>
      <c r="I111" s="84" t="str">
        <f t="shared" si="2"/>
        <v>#ERROR!</v>
      </c>
      <c r="J111" s="84" t="str">
        <f t="shared" si="3"/>
        <v>#ERROR!</v>
      </c>
      <c r="K111" s="681"/>
      <c r="L111" s="681"/>
      <c r="M111" s="681"/>
      <c r="N111" s="681"/>
      <c r="O111" s="681"/>
      <c r="P111" s="681"/>
      <c r="Q111" s="681"/>
      <c r="R111" s="681"/>
      <c r="S111" s="681"/>
      <c r="T111" s="681"/>
      <c r="U111" s="681"/>
      <c r="V111" s="681"/>
      <c r="W111" s="681"/>
      <c r="X111" s="681"/>
      <c r="Y111" s="681"/>
      <c r="Z111" s="681"/>
      <c r="AA111" s="681"/>
      <c r="AB111" s="681"/>
      <c r="AC111" s="681"/>
      <c r="AD111" s="67" t="str">
        <f t="shared" si="4"/>
        <v>#ERROR!</v>
      </c>
      <c r="AE111" s="682" t="str">
        <f t="shared" si="5"/>
        <v> </v>
      </c>
    </row>
    <row r="112" ht="42.0" customHeight="1">
      <c r="A112" s="691">
        <v>106.0</v>
      </c>
      <c r="B112" s="66" t="s">
        <v>413</v>
      </c>
      <c r="C112" s="66" t="s">
        <v>1129</v>
      </c>
      <c r="D112" s="65">
        <v>105168.0</v>
      </c>
      <c r="E112" s="91" t="str">
        <f>Consolidado!#REF!</f>
        <v>#ERROR!</v>
      </c>
      <c r="F112" s="91" t="str">
        <f>Consolidado!#REF!</f>
        <v>#ERROR!</v>
      </c>
      <c r="G112" s="91" t="str">
        <f>Consolidado!#REF!</f>
        <v>#ERROR!</v>
      </c>
      <c r="H112" s="80" t="str">
        <f t="shared" si="1"/>
        <v>#ERROR!</v>
      </c>
      <c r="I112" s="84" t="str">
        <f t="shared" si="2"/>
        <v>#ERROR!</v>
      </c>
      <c r="J112" s="84" t="str">
        <f t="shared" si="3"/>
        <v>#ERROR!</v>
      </c>
      <c r="K112" s="681"/>
      <c r="L112" s="681"/>
      <c r="M112" s="681"/>
      <c r="N112" s="681"/>
      <c r="O112" s="681"/>
      <c r="P112" s="681"/>
      <c r="Q112" s="681"/>
      <c r="R112" s="681"/>
      <c r="S112" s="681"/>
      <c r="T112" s="681"/>
      <c r="U112" s="681"/>
      <c r="V112" s="681"/>
      <c r="W112" s="681"/>
      <c r="X112" s="681"/>
      <c r="Y112" s="681"/>
      <c r="Z112" s="681"/>
      <c r="AA112" s="681"/>
      <c r="AB112" s="681"/>
      <c r="AC112" s="681"/>
      <c r="AD112" s="67" t="str">
        <f t="shared" si="4"/>
        <v>#ERROR!</v>
      </c>
      <c r="AE112" s="682" t="str">
        <f t="shared" si="5"/>
        <v> </v>
      </c>
    </row>
    <row r="113" ht="42.0" customHeight="1">
      <c r="A113" s="691">
        <v>107.0</v>
      </c>
      <c r="B113" s="66" t="s">
        <v>413</v>
      </c>
      <c r="C113" s="66" t="s">
        <v>1129</v>
      </c>
      <c r="D113" s="65">
        <v>105275.0</v>
      </c>
      <c r="E113" s="91" t="str">
        <f>Consolidado!#REF!</f>
        <v>#ERROR!</v>
      </c>
      <c r="F113" s="91" t="str">
        <f>Consolidado!#REF!</f>
        <v>#ERROR!</v>
      </c>
      <c r="G113" s="91" t="str">
        <f>Consolidado!#REF!</f>
        <v>#ERROR!</v>
      </c>
      <c r="H113" s="80" t="str">
        <f t="shared" si="1"/>
        <v>#ERROR!</v>
      </c>
      <c r="I113" s="84" t="str">
        <f t="shared" si="2"/>
        <v>#ERROR!</v>
      </c>
      <c r="J113" s="84" t="str">
        <f t="shared" si="3"/>
        <v>#ERROR!</v>
      </c>
      <c r="K113" s="681"/>
      <c r="L113" s="681"/>
      <c r="M113" s="681"/>
      <c r="N113" s="681"/>
      <c r="O113" s="681"/>
      <c r="P113" s="681"/>
      <c r="Q113" s="681"/>
      <c r="R113" s="681"/>
      <c r="S113" s="681"/>
      <c r="T113" s="681"/>
      <c r="U113" s="681"/>
      <c r="V113" s="681"/>
      <c r="W113" s="681"/>
      <c r="X113" s="681"/>
      <c r="Y113" s="681"/>
      <c r="Z113" s="681"/>
      <c r="AA113" s="681"/>
      <c r="AB113" s="681"/>
      <c r="AC113" s="681"/>
      <c r="AD113" s="67" t="str">
        <f t="shared" si="4"/>
        <v>#ERROR!</v>
      </c>
      <c r="AE113" s="682" t="str">
        <f t="shared" si="5"/>
        <v> </v>
      </c>
    </row>
    <row r="114" ht="42.0" customHeight="1">
      <c r="A114" s="691">
        <v>108.0</v>
      </c>
      <c r="B114" s="66" t="s">
        <v>413</v>
      </c>
      <c r="C114" s="66" t="s">
        <v>1129</v>
      </c>
      <c r="D114" s="65">
        <v>105276.0</v>
      </c>
      <c r="E114" s="91" t="str">
        <f>Consolidado!#REF!</f>
        <v>#ERROR!</v>
      </c>
      <c r="F114" s="91" t="str">
        <f>Consolidado!#REF!</f>
        <v>#ERROR!</v>
      </c>
      <c r="G114" s="91" t="str">
        <f>Consolidado!#REF!</f>
        <v>#ERROR!</v>
      </c>
      <c r="H114" s="80" t="str">
        <f t="shared" si="1"/>
        <v>#ERROR!</v>
      </c>
      <c r="I114" s="84" t="str">
        <f t="shared" si="2"/>
        <v>#ERROR!</v>
      </c>
      <c r="J114" s="84" t="str">
        <f t="shared" si="3"/>
        <v>#ERROR!</v>
      </c>
      <c r="K114" s="681"/>
      <c r="L114" s="681"/>
      <c r="M114" s="681"/>
      <c r="N114" s="681"/>
      <c r="O114" s="681"/>
      <c r="P114" s="681"/>
      <c r="Q114" s="681"/>
      <c r="R114" s="681"/>
      <c r="S114" s="681"/>
      <c r="T114" s="681"/>
      <c r="U114" s="681"/>
      <c r="V114" s="681"/>
      <c r="W114" s="681"/>
      <c r="X114" s="681"/>
      <c r="Y114" s="681"/>
      <c r="Z114" s="681"/>
      <c r="AA114" s="681"/>
      <c r="AB114" s="681"/>
      <c r="AC114" s="681"/>
      <c r="AD114" s="67" t="str">
        <f t="shared" si="4"/>
        <v>#ERROR!</v>
      </c>
      <c r="AE114" s="682" t="str">
        <f t="shared" si="5"/>
        <v> </v>
      </c>
    </row>
    <row r="115" ht="42.0" customHeight="1">
      <c r="A115" s="691">
        <v>109.0</v>
      </c>
      <c r="B115" s="66" t="s">
        <v>413</v>
      </c>
      <c r="C115" s="66" t="s">
        <v>1129</v>
      </c>
      <c r="D115" s="65">
        <v>105277.0</v>
      </c>
      <c r="E115" s="91" t="str">
        <f>Consolidado!#REF!</f>
        <v>#ERROR!</v>
      </c>
      <c r="F115" s="91" t="str">
        <f>Consolidado!#REF!</f>
        <v>#ERROR!</v>
      </c>
      <c r="G115" s="91" t="str">
        <f>Consolidado!#REF!</f>
        <v>#ERROR!</v>
      </c>
      <c r="H115" s="80" t="str">
        <f t="shared" si="1"/>
        <v>#ERROR!</v>
      </c>
      <c r="I115" s="84" t="str">
        <f t="shared" si="2"/>
        <v>#ERROR!</v>
      </c>
      <c r="J115" s="84" t="str">
        <f t="shared" si="3"/>
        <v>#ERROR!</v>
      </c>
      <c r="K115" s="681"/>
      <c r="L115" s="681"/>
      <c r="M115" s="681"/>
      <c r="N115" s="681"/>
      <c r="O115" s="681"/>
      <c r="P115" s="681"/>
      <c r="Q115" s="681"/>
      <c r="R115" s="681"/>
      <c r="S115" s="681"/>
      <c r="T115" s="681"/>
      <c r="U115" s="681"/>
      <c r="V115" s="681"/>
      <c r="W115" s="681"/>
      <c r="X115" s="681"/>
      <c r="Y115" s="681"/>
      <c r="Z115" s="681"/>
      <c r="AA115" s="681"/>
      <c r="AB115" s="681"/>
      <c r="AC115" s="681"/>
      <c r="AD115" s="67" t="str">
        <f t="shared" si="4"/>
        <v>#ERROR!</v>
      </c>
      <c r="AE115" s="682" t="str">
        <f t="shared" si="5"/>
        <v> </v>
      </c>
    </row>
    <row r="116" ht="42.0" customHeight="1">
      <c r="A116" s="691">
        <v>110.0</v>
      </c>
      <c r="B116" s="66" t="s">
        <v>413</v>
      </c>
      <c r="C116" s="66" t="s">
        <v>1129</v>
      </c>
      <c r="D116" s="65">
        <v>105278.0</v>
      </c>
      <c r="E116" s="91" t="str">
        <f>Consolidado!#REF!</f>
        <v>#ERROR!</v>
      </c>
      <c r="F116" s="91" t="str">
        <f>Consolidado!#REF!</f>
        <v>#ERROR!</v>
      </c>
      <c r="G116" s="91" t="str">
        <f>Consolidado!#REF!</f>
        <v>#ERROR!</v>
      </c>
      <c r="H116" s="80" t="str">
        <f t="shared" si="1"/>
        <v>#ERROR!</v>
      </c>
      <c r="I116" s="84" t="str">
        <f t="shared" si="2"/>
        <v>#ERROR!</v>
      </c>
      <c r="J116" s="84" t="str">
        <f t="shared" si="3"/>
        <v>#ERROR!</v>
      </c>
      <c r="K116" s="681"/>
      <c r="L116" s="681"/>
      <c r="M116" s="681"/>
      <c r="N116" s="681"/>
      <c r="O116" s="681"/>
      <c r="P116" s="681"/>
      <c r="Q116" s="681"/>
      <c r="R116" s="681"/>
      <c r="S116" s="681"/>
      <c r="T116" s="681"/>
      <c r="U116" s="681"/>
      <c r="V116" s="681"/>
      <c r="W116" s="681"/>
      <c r="X116" s="681"/>
      <c r="Y116" s="681"/>
      <c r="Z116" s="681"/>
      <c r="AA116" s="681"/>
      <c r="AB116" s="681"/>
      <c r="AC116" s="681"/>
      <c r="AD116" s="67" t="str">
        <f t="shared" si="4"/>
        <v>#ERROR!</v>
      </c>
      <c r="AE116" s="682" t="str">
        <f t="shared" si="5"/>
        <v> </v>
      </c>
    </row>
    <row r="117" ht="42.0" customHeight="1">
      <c r="A117" s="691">
        <v>111.0</v>
      </c>
      <c r="B117" s="66" t="s">
        <v>413</v>
      </c>
      <c r="C117" s="66" t="s">
        <v>523</v>
      </c>
      <c r="D117" s="65">
        <v>105532.0</v>
      </c>
      <c r="E117" s="687">
        <f>Consolidado!$AU$76</f>
        <v>8922</v>
      </c>
      <c r="F117" s="78">
        <f>Consolidado!$AV$76</f>
        <v>45075</v>
      </c>
      <c r="G117" s="79">
        <f>Consolidado!$AW$76</f>
        <v>6</v>
      </c>
      <c r="H117" s="80">
        <f t="shared" si="1"/>
        <v>46841</v>
      </c>
      <c r="I117" s="84">
        <f t="shared" si="2"/>
        <v>46902</v>
      </c>
      <c r="J117" s="84">
        <f t="shared" si="3"/>
        <v>47267</v>
      </c>
      <c r="K117" s="681"/>
      <c r="L117" s="681"/>
      <c r="M117" s="681"/>
      <c r="N117" s="681"/>
      <c r="O117" s="681"/>
      <c r="P117" s="681"/>
      <c r="Q117" s="681"/>
      <c r="R117" s="681"/>
      <c r="S117" s="681"/>
      <c r="T117" s="681"/>
      <c r="U117" s="681"/>
      <c r="V117" s="681"/>
      <c r="W117" s="681"/>
      <c r="X117" s="681"/>
      <c r="Y117" s="681"/>
      <c r="Z117" s="681"/>
      <c r="AA117" s="681"/>
      <c r="AB117" s="681"/>
      <c r="AC117" s="681"/>
      <c r="AD117" s="67" t="str">
        <f t="shared" si="4"/>
        <v>Vigente</v>
      </c>
      <c r="AE117" s="682" t="str">
        <f t="shared" si="5"/>
        <v> </v>
      </c>
    </row>
    <row r="118" ht="42.0" customHeight="1">
      <c r="A118" s="691">
        <v>112.0</v>
      </c>
      <c r="B118" s="66" t="s">
        <v>413</v>
      </c>
      <c r="C118" s="66" t="s">
        <v>500</v>
      </c>
      <c r="D118" s="65">
        <v>105533.0</v>
      </c>
      <c r="E118" s="91" t="str">
        <f>Consolidado!$AU$77</f>
        <v>N/A</v>
      </c>
      <c r="F118" s="90" t="str">
        <f>Consolidado!$AV$77</f>
        <v>N/A</v>
      </c>
      <c r="G118" s="91" t="str">
        <f>Consolidado!$AW$77</f>
        <v>N/A</v>
      </c>
      <c r="H118" s="80" t="str">
        <f t="shared" si="1"/>
        <v>#VALUE!</v>
      </c>
      <c r="I118" s="84" t="str">
        <f t="shared" si="2"/>
        <v>#VALUE!</v>
      </c>
      <c r="J118" s="84" t="str">
        <f t="shared" si="3"/>
        <v>#VALUE!</v>
      </c>
      <c r="K118" s="681"/>
      <c r="L118" s="681"/>
      <c r="M118" s="681"/>
      <c r="N118" s="681"/>
      <c r="O118" s="681"/>
      <c r="P118" s="681"/>
      <c r="Q118" s="681"/>
      <c r="R118" s="681"/>
      <c r="S118" s="681"/>
      <c r="T118" s="681"/>
      <c r="U118" s="681"/>
      <c r="V118" s="681"/>
      <c r="W118" s="681"/>
      <c r="X118" s="681"/>
      <c r="Y118" s="681"/>
      <c r="Z118" s="681"/>
      <c r="AA118" s="681"/>
      <c r="AB118" s="681"/>
      <c r="AC118" s="681"/>
      <c r="AD118" s="67" t="str">
        <f t="shared" si="4"/>
        <v>#VALUE!</v>
      </c>
      <c r="AE118" s="682" t="str">
        <f t="shared" si="5"/>
        <v> </v>
      </c>
    </row>
    <row r="119" ht="42.0" customHeight="1">
      <c r="A119" s="691">
        <v>113.0</v>
      </c>
      <c r="B119" s="66" t="s">
        <v>413</v>
      </c>
      <c r="C119" s="66" t="s">
        <v>537</v>
      </c>
      <c r="D119" s="65">
        <v>105656.0</v>
      </c>
      <c r="E119" s="91" t="str">
        <f>Consolidado!#REF!</f>
        <v>#ERROR!</v>
      </c>
      <c r="F119" s="91" t="str">
        <f>Consolidado!#REF!</f>
        <v>#ERROR!</v>
      </c>
      <c r="G119" s="91" t="str">
        <f>Consolidado!#REF!</f>
        <v>#ERROR!</v>
      </c>
      <c r="H119" s="80" t="str">
        <f t="shared" si="1"/>
        <v>#ERROR!</v>
      </c>
      <c r="I119" s="84" t="str">
        <f t="shared" si="2"/>
        <v>#ERROR!</v>
      </c>
      <c r="J119" s="84" t="str">
        <f t="shared" si="3"/>
        <v>#ERROR!</v>
      </c>
      <c r="K119" s="681"/>
      <c r="L119" s="681"/>
      <c r="M119" s="681"/>
      <c r="N119" s="681"/>
      <c r="O119" s="681"/>
      <c r="P119" s="681"/>
      <c r="Q119" s="681"/>
      <c r="R119" s="681"/>
      <c r="S119" s="681"/>
      <c r="T119" s="681"/>
      <c r="U119" s="681"/>
      <c r="V119" s="681"/>
      <c r="W119" s="681"/>
      <c r="X119" s="681"/>
      <c r="Y119" s="681"/>
      <c r="Z119" s="681"/>
      <c r="AA119" s="681"/>
      <c r="AB119" s="681"/>
      <c r="AC119" s="681"/>
      <c r="AD119" s="67" t="str">
        <f t="shared" si="4"/>
        <v>#ERROR!</v>
      </c>
      <c r="AE119" s="682" t="str">
        <f t="shared" si="5"/>
        <v> </v>
      </c>
    </row>
    <row r="120" ht="42.0" customHeight="1">
      <c r="A120" s="691">
        <v>114.0</v>
      </c>
      <c r="B120" s="66" t="s">
        <v>413</v>
      </c>
      <c r="C120" s="66" t="s">
        <v>542</v>
      </c>
      <c r="D120" s="65">
        <v>105661.0</v>
      </c>
      <c r="E120" s="91" t="str">
        <f>Consolidado!$AU$78</f>
        <v/>
      </c>
      <c r="F120" s="90" t="str">
        <f>Consolidado!$AV$78</f>
        <v/>
      </c>
      <c r="G120" s="91" t="str">
        <f>Consolidado!$AW$78</f>
        <v/>
      </c>
      <c r="H120" s="80" t="str">
        <f t="shared" si="1"/>
        <v>#NUM!</v>
      </c>
      <c r="I120" s="84" t="str">
        <f t="shared" si="2"/>
        <v>#NUM!</v>
      </c>
      <c r="J120" s="84">
        <f t="shared" si="3"/>
        <v>0</v>
      </c>
      <c r="K120" s="681"/>
      <c r="L120" s="681"/>
      <c r="M120" s="681"/>
      <c r="N120" s="681"/>
      <c r="O120" s="681"/>
      <c r="P120" s="681"/>
      <c r="Q120" s="681"/>
      <c r="R120" s="681"/>
      <c r="S120" s="681"/>
      <c r="T120" s="681"/>
      <c r="U120" s="681"/>
      <c r="V120" s="681"/>
      <c r="W120" s="681"/>
      <c r="X120" s="681"/>
      <c r="Y120" s="681"/>
      <c r="Z120" s="681"/>
      <c r="AA120" s="681"/>
      <c r="AB120" s="681"/>
      <c r="AC120" s="681"/>
      <c r="AD120" s="67" t="str">
        <f t="shared" si="4"/>
        <v>En proceso</v>
      </c>
      <c r="AE120" s="682" t="str">
        <f t="shared" si="5"/>
        <v> </v>
      </c>
    </row>
    <row r="121" ht="42.0" customHeight="1">
      <c r="A121" s="691">
        <v>115.0</v>
      </c>
      <c r="B121" s="66" t="s">
        <v>413</v>
      </c>
      <c r="C121" s="66" t="s">
        <v>504</v>
      </c>
      <c r="D121" s="65">
        <v>105772.0</v>
      </c>
      <c r="E121" s="433">
        <f>Consolidado!$AU$79</f>
        <v>16903</v>
      </c>
      <c r="F121" s="90">
        <f>Consolidado!$AV$79</f>
        <v>45189</v>
      </c>
      <c r="G121" s="91">
        <f>Consolidado!$AW$79</f>
        <v>6</v>
      </c>
      <c r="H121" s="80">
        <f t="shared" si="1"/>
        <v>46954</v>
      </c>
      <c r="I121" s="84">
        <f t="shared" si="2"/>
        <v>47016</v>
      </c>
      <c r="J121" s="84">
        <f t="shared" si="3"/>
        <v>47381</v>
      </c>
      <c r="K121" s="681"/>
      <c r="L121" s="681"/>
      <c r="M121" s="681"/>
      <c r="N121" s="681"/>
      <c r="O121" s="681"/>
      <c r="P121" s="681"/>
      <c r="Q121" s="681"/>
      <c r="R121" s="681"/>
      <c r="S121" s="681"/>
      <c r="T121" s="681"/>
      <c r="U121" s="681"/>
      <c r="V121" s="681"/>
      <c r="W121" s="681"/>
      <c r="X121" s="681"/>
      <c r="Y121" s="681"/>
      <c r="Z121" s="681"/>
      <c r="AA121" s="681"/>
      <c r="AB121" s="681"/>
      <c r="AC121" s="681"/>
      <c r="AD121" s="67" t="str">
        <f t="shared" si="4"/>
        <v>Vigente</v>
      </c>
      <c r="AE121" s="682" t="str">
        <f t="shared" si="5"/>
        <v> </v>
      </c>
    </row>
    <row r="122" ht="42.0" customHeight="1">
      <c r="A122" s="691">
        <v>116.0</v>
      </c>
      <c r="B122" s="66" t="s">
        <v>413</v>
      </c>
      <c r="C122" s="66" t="s">
        <v>572</v>
      </c>
      <c r="D122" s="65">
        <v>106198.0</v>
      </c>
      <c r="E122" s="91" t="str">
        <f>Consolidado!$AU$80</f>
        <v/>
      </c>
      <c r="F122" s="90" t="str">
        <f>Consolidado!$AV$80</f>
        <v/>
      </c>
      <c r="G122" s="91" t="str">
        <f>Consolidado!$AW$80</f>
        <v/>
      </c>
      <c r="H122" s="80" t="str">
        <f t="shared" si="1"/>
        <v>#NUM!</v>
      </c>
      <c r="I122" s="84" t="str">
        <f t="shared" si="2"/>
        <v>#NUM!</v>
      </c>
      <c r="J122" s="84">
        <f t="shared" si="3"/>
        <v>0</v>
      </c>
      <c r="K122" s="681"/>
      <c r="L122" s="681"/>
      <c r="M122" s="681"/>
      <c r="N122" s="681"/>
      <c r="O122" s="681"/>
      <c r="P122" s="681"/>
      <c r="Q122" s="681"/>
      <c r="R122" s="681"/>
      <c r="S122" s="681"/>
      <c r="T122" s="681"/>
      <c r="U122" s="681"/>
      <c r="V122" s="681"/>
      <c r="W122" s="681"/>
      <c r="X122" s="681"/>
      <c r="Y122" s="681"/>
      <c r="Z122" s="681"/>
      <c r="AA122" s="681"/>
      <c r="AB122" s="681"/>
      <c r="AC122" s="681"/>
      <c r="AD122" s="67" t="str">
        <f t="shared" si="4"/>
        <v>En proceso</v>
      </c>
      <c r="AE122" s="682" t="str">
        <f t="shared" si="5"/>
        <v> </v>
      </c>
    </row>
    <row r="123" ht="42.0" customHeight="1">
      <c r="A123" s="691">
        <v>117.0</v>
      </c>
      <c r="B123" s="66" t="s">
        <v>413</v>
      </c>
      <c r="C123" s="66" t="s">
        <v>1024</v>
      </c>
      <c r="D123" s="65">
        <v>106421.0</v>
      </c>
      <c r="E123" s="91" t="str">
        <f>Consolidado!$AU$81</f>
        <v/>
      </c>
      <c r="F123" s="90" t="str">
        <f>Consolidado!$AV$81</f>
        <v/>
      </c>
      <c r="G123" s="91" t="str">
        <f>Consolidado!$AW$81</f>
        <v/>
      </c>
      <c r="H123" s="80" t="str">
        <f t="shared" si="1"/>
        <v>#NUM!</v>
      </c>
      <c r="I123" s="84" t="str">
        <f t="shared" si="2"/>
        <v>#NUM!</v>
      </c>
      <c r="J123" s="84">
        <f t="shared" si="3"/>
        <v>0</v>
      </c>
      <c r="K123" s="681"/>
      <c r="L123" s="681"/>
      <c r="M123" s="681"/>
      <c r="N123" s="681"/>
      <c r="O123" s="681"/>
      <c r="P123" s="681"/>
      <c r="Q123" s="681"/>
      <c r="R123" s="681"/>
      <c r="S123" s="681"/>
      <c r="T123" s="681"/>
      <c r="U123" s="681"/>
      <c r="V123" s="681"/>
      <c r="W123" s="681"/>
      <c r="X123" s="681"/>
      <c r="Y123" s="681"/>
      <c r="Z123" s="681"/>
      <c r="AA123" s="681"/>
      <c r="AB123" s="681"/>
      <c r="AC123" s="681"/>
      <c r="AD123" s="67" t="str">
        <f t="shared" si="4"/>
        <v>En proceso</v>
      </c>
      <c r="AE123" s="682" t="str">
        <f t="shared" si="5"/>
        <v> </v>
      </c>
    </row>
    <row r="124" ht="42.0" customHeight="1">
      <c r="A124" s="691">
        <v>118.0</v>
      </c>
      <c r="B124" s="66" t="s">
        <v>413</v>
      </c>
      <c r="C124" s="66" t="s">
        <v>1024</v>
      </c>
      <c r="D124" s="65">
        <v>106422.0</v>
      </c>
      <c r="E124" s="433">
        <f>Consolidado!$AU$82</f>
        <v>22249</v>
      </c>
      <c r="F124" s="90">
        <f>Consolidado!$AV$82</f>
        <v>45253</v>
      </c>
      <c r="G124" s="91">
        <f>Consolidado!$AW$82</f>
        <v>6</v>
      </c>
      <c r="H124" s="80">
        <f t="shared" si="1"/>
        <v>47019</v>
      </c>
      <c r="I124" s="84">
        <f t="shared" si="2"/>
        <v>47080</v>
      </c>
      <c r="J124" s="84">
        <f t="shared" si="3"/>
        <v>47445</v>
      </c>
      <c r="K124" s="681"/>
      <c r="L124" s="681"/>
      <c r="M124" s="681"/>
      <c r="N124" s="681"/>
      <c r="O124" s="681"/>
      <c r="P124" s="681"/>
      <c r="Q124" s="681"/>
      <c r="R124" s="681"/>
      <c r="S124" s="681"/>
      <c r="T124" s="681"/>
      <c r="U124" s="681"/>
      <c r="V124" s="681"/>
      <c r="W124" s="681"/>
      <c r="X124" s="681"/>
      <c r="Y124" s="681"/>
      <c r="Z124" s="681"/>
      <c r="AA124" s="681"/>
      <c r="AB124" s="681"/>
      <c r="AC124" s="681"/>
      <c r="AD124" s="67" t="str">
        <f t="shared" si="4"/>
        <v>Vigente</v>
      </c>
      <c r="AE124" s="682" t="str">
        <f t="shared" si="5"/>
        <v> </v>
      </c>
    </row>
    <row r="125" ht="42.0" customHeight="1">
      <c r="A125" s="691">
        <v>119.0</v>
      </c>
      <c r="B125" s="66" t="s">
        <v>413</v>
      </c>
      <c r="C125" s="66" t="s">
        <v>532</v>
      </c>
      <c r="D125" s="65">
        <v>7172.0</v>
      </c>
      <c r="E125" s="433" t="str">
        <f>Consolidado!$AU$83</f>
        <v/>
      </c>
      <c r="F125" s="84" t="str">
        <f>Consolidado!$AV$83</f>
        <v/>
      </c>
      <c r="G125" s="91" t="str">
        <f>Consolidado!$AW$83</f>
        <v/>
      </c>
      <c r="H125" s="80" t="str">
        <f t="shared" si="1"/>
        <v>#NUM!</v>
      </c>
      <c r="I125" s="84" t="str">
        <f t="shared" si="2"/>
        <v>#NUM!</v>
      </c>
      <c r="J125" s="84">
        <f t="shared" si="3"/>
        <v>0</v>
      </c>
      <c r="K125" s="681"/>
      <c r="L125" s="681"/>
      <c r="M125" s="681"/>
      <c r="N125" s="681"/>
      <c r="O125" s="681"/>
      <c r="P125" s="681"/>
      <c r="Q125" s="681"/>
      <c r="R125" s="681"/>
      <c r="S125" s="681"/>
      <c r="T125" s="681"/>
      <c r="U125" s="681"/>
      <c r="V125" s="681"/>
      <c r="W125" s="681"/>
      <c r="X125" s="681"/>
      <c r="Y125" s="681"/>
      <c r="Z125" s="681"/>
      <c r="AA125" s="681"/>
      <c r="AB125" s="681"/>
      <c r="AC125" s="681"/>
      <c r="AD125" s="67" t="str">
        <f t="shared" si="4"/>
        <v>En proceso</v>
      </c>
      <c r="AE125" s="682" t="str">
        <f t="shared" si="5"/>
        <v> </v>
      </c>
    </row>
    <row r="126" ht="42.0" customHeight="1">
      <c r="A126" s="693">
        <v>120.0</v>
      </c>
      <c r="B126" s="66" t="s">
        <v>576</v>
      </c>
      <c r="C126" s="66" t="s">
        <v>1132</v>
      </c>
      <c r="D126" s="65">
        <v>245.0</v>
      </c>
      <c r="E126" s="79" t="str">
        <f>Consolidado!#REF!</f>
        <v>#ERROR!</v>
      </c>
      <c r="F126" s="79" t="str">
        <f>Consolidado!#REF!</f>
        <v>#ERROR!</v>
      </c>
      <c r="G126" s="79" t="str">
        <f>Consolidado!#REF!</f>
        <v>#ERROR!</v>
      </c>
      <c r="H126" s="80" t="str">
        <f t="shared" si="1"/>
        <v>#ERROR!</v>
      </c>
      <c r="I126" s="84" t="str">
        <f t="shared" si="2"/>
        <v>#ERROR!</v>
      </c>
      <c r="J126" s="84" t="str">
        <f t="shared" si="3"/>
        <v>#ERROR!</v>
      </c>
      <c r="K126" s="681"/>
      <c r="L126" s="681"/>
      <c r="M126" s="681"/>
      <c r="N126" s="681"/>
      <c r="O126" s="681"/>
      <c r="P126" s="681"/>
      <c r="Q126" s="681"/>
      <c r="R126" s="681"/>
      <c r="S126" s="681"/>
      <c r="T126" s="681"/>
      <c r="U126" s="681"/>
      <c r="V126" s="681"/>
      <c r="W126" s="681"/>
      <c r="X126" s="681"/>
      <c r="Y126" s="681"/>
      <c r="Z126" s="681"/>
      <c r="AA126" s="681"/>
      <c r="AB126" s="681"/>
      <c r="AC126" s="681"/>
      <c r="AD126" s="67" t="str">
        <f t="shared" si="4"/>
        <v>#ERROR!</v>
      </c>
      <c r="AE126" s="682" t="str">
        <f t="shared" si="5"/>
        <v> </v>
      </c>
    </row>
    <row r="127" ht="42.0" customHeight="1">
      <c r="A127" s="693">
        <v>121.0</v>
      </c>
      <c r="B127" s="66" t="s">
        <v>576</v>
      </c>
      <c r="C127" s="66" t="s">
        <v>593</v>
      </c>
      <c r="D127" s="65">
        <v>4080.0</v>
      </c>
      <c r="E127" s="91" t="str">
        <f>Consolidado!#REF!</f>
        <v>#ERROR!</v>
      </c>
      <c r="F127" s="91" t="str">
        <f>Consolidado!#REF!</f>
        <v>#ERROR!</v>
      </c>
      <c r="G127" s="91" t="str">
        <f>Consolidado!#REF!</f>
        <v>#ERROR!</v>
      </c>
      <c r="H127" s="80" t="str">
        <f t="shared" si="1"/>
        <v>#ERROR!</v>
      </c>
      <c r="I127" s="84" t="str">
        <f t="shared" si="2"/>
        <v>#ERROR!</v>
      </c>
      <c r="J127" s="84" t="str">
        <f t="shared" si="3"/>
        <v>#ERROR!</v>
      </c>
      <c r="K127" s="681"/>
      <c r="L127" s="681"/>
      <c r="M127" s="681"/>
      <c r="N127" s="681"/>
      <c r="O127" s="681"/>
      <c r="P127" s="681"/>
      <c r="Q127" s="681"/>
      <c r="R127" s="681"/>
      <c r="S127" s="681"/>
      <c r="T127" s="681"/>
      <c r="U127" s="681"/>
      <c r="V127" s="681"/>
      <c r="W127" s="681"/>
      <c r="X127" s="681"/>
      <c r="Y127" s="681"/>
      <c r="Z127" s="681"/>
      <c r="AA127" s="681"/>
      <c r="AB127" s="681"/>
      <c r="AC127" s="681"/>
      <c r="AD127" s="67" t="str">
        <f t="shared" si="4"/>
        <v>#ERROR!</v>
      </c>
      <c r="AE127" s="682" t="str">
        <f t="shared" si="5"/>
        <v> </v>
      </c>
    </row>
    <row r="128" ht="42.0" customHeight="1">
      <c r="A128" s="693">
        <v>122.0</v>
      </c>
      <c r="B128" s="66" t="s">
        <v>576</v>
      </c>
      <c r="C128" s="66" t="s">
        <v>1068</v>
      </c>
      <c r="D128" s="65">
        <v>8170.0</v>
      </c>
      <c r="E128" s="91" t="str">
        <f>Consolidado!$AU$87</f>
        <v/>
      </c>
      <c r="F128" s="90" t="str">
        <f>Consolidado!$AV$87</f>
        <v/>
      </c>
      <c r="G128" s="91" t="str">
        <f>Consolidado!$AW$87</f>
        <v/>
      </c>
      <c r="H128" s="80" t="str">
        <f t="shared" si="1"/>
        <v>#NUM!</v>
      </c>
      <c r="I128" s="84" t="str">
        <f t="shared" si="2"/>
        <v>#NUM!</v>
      </c>
      <c r="J128" s="84">
        <f t="shared" si="3"/>
        <v>0</v>
      </c>
      <c r="K128" s="681"/>
      <c r="L128" s="681"/>
      <c r="M128" s="681"/>
      <c r="N128" s="681"/>
      <c r="O128" s="681"/>
      <c r="P128" s="681"/>
      <c r="Q128" s="681"/>
      <c r="R128" s="681"/>
      <c r="S128" s="681"/>
      <c r="T128" s="681"/>
      <c r="U128" s="681"/>
      <c r="V128" s="681"/>
      <c r="W128" s="667"/>
      <c r="X128" s="681"/>
      <c r="Y128" s="681"/>
      <c r="Z128" s="681"/>
      <c r="AA128" s="681"/>
      <c r="AB128" s="681"/>
      <c r="AC128" s="681"/>
      <c r="AD128" s="67" t="str">
        <f t="shared" si="4"/>
        <v>En proceso</v>
      </c>
      <c r="AE128" s="682" t="str">
        <f t="shared" si="5"/>
        <v> </v>
      </c>
    </row>
    <row r="129" ht="42.0" customHeight="1">
      <c r="A129" s="693">
        <v>123.0</v>
      </c>
      <c r="B129" s="66" t="s">
        <v>576</v>
      </c>
      <c r="C129" s="66" t="s">
        <v>1069</v>
      </c>
      <c r="D129" s="65">
        <v>102182.0</v>
      </c>
      <c r="E129" s="91" t="str">
        <f>Consolidado!$AU$88</f>
        <v/>
      </c>
      <c r="F129" s="84" t="str">
        <f>Consolidado!$AV$88</f>
        <v/>
      </c>
      <c r="G129" s="91" t="str">
        <f>Consolidado!$AW$88</f>
        <v/>
      </c>
      <c r="H129" s="80" t="str">
        <f t="shared" si="1"/>
        <v>#NUM!</v>
      </c>
      <c r="I129" s="84" t="str">
        <f t="shared" si="2"/>
        <v>#NUM!</v>
      </c>
      <c r="J129" s="84">
        <f t="shared" si="3"/>
        <v>0</v>
      </c>
      <c r="K129" s="681"/>
      <c r="L129" s="681"/>
      <c r="M129" s="681"/>
      <c r="N129" s="681"/>
      <c r="O129" s="681"/>
      <c r="P129" s="681"/>
      <c r="Q129" s="681"/>
      <c r="R129" s="681"/>
      <c r="S129" s="681"/>
      <c r="T129" s="681"/>
      <c r="U129" s="681"/>
      <c r="V129" s="681"/>
      <c r="W129" s="681"/>
      <c r="X129" s="681"/>
      <c r="Y129" s="681"/>
      <c r="Z129" s="681"/>
      <c r="AA129" s="681"/>
      <c r="AB129" s="681"/>
      <c r="AC129" s="681"/>
      <c r="AD129" s="67" t="str">
        <f t="shared" si="4"/>
        <v>En proceso</v>
      </c>
      <c r="AE129" s="682" t="str">
        <f t="shared" si="5"/>
        <v> </v>
      </c>
    </row>
    <row r="130" ht="42.0" customHeight="1">
      <c r="A130" s="693">
        <v>124.0</v>
      </c>
      <c r="B130" s="66" t="s">
        <v>576</v>
      </c>
      <c r="C130" s="66" t="s">
        <v>1069</v>
      </c>
      <c r="D130" s="65">
        <v>233.0</v>
      </c>
      <c r="E130" s="91" t="str">
        <f>Consolidado!$AU$89</f>
        <v/>
      </c>
      <c r="F130" s="84" t="str">
        <f>Consolidado!$AV$89</f>
        <v/>
      </c>
      <c r="G130" s="91" t="str">
        <f>Consolidado!$AW$89</f>
        <v/>
      </c>
      <c r="H130" s="80" t="str">
        <f t="shared" si="1"/>
        <v>#NUM!</v>
      </c>
      <c r="I130" s="84" t="str">
        <f t="shared" si="2"/>
        <v>#NUM!</v>
      </c>
      <c r="J130" s="84">
        <f t="shared" si="3"/>
        <v>0</v>
      </c>
      <c r="K130" s="681"/>
      <c r="L130" s="681"/>
      <c r="M130" s="681"/>
      <c r="N130" s="681"/>
      <c r="O130" s="681"/>
      <c r="P130" s="681"/>
      <c r="Q130" s="681"/>
      <c r="R130" s="681"/>
      <c r="S130" s="681"/>
      <c r="T130" s="681"/>
      <c r="U130" s="681"/>
      <c r="V130" s="681"/>
      <c r="W130" s="681"/>
      <c r="X130" s="681"/>
      <c r="Y130" s="681"/>
      <c r="Z130" s="681"/>
      <c r="AA130" s="681"/>
      <c r="AB130" s="681"/>
      <c r="AC130" s="681"/>
      <c r="AD130" s="67" t="str">
        <f t="shared" si="4"/>
        <v>En proceso</v>
      </c>
      <c r="AE130" s="682" t="str">
        <f t="shared" si="5"/>
        <v> </v>
      </c>
    </row>
    <row r="131" ht="42.0" customHeight="1">
      <c r="A131" s="693">
        <v>125.0</v>
      </c>
      <c r="B131" s="66" t="s">
        <v>576</v>
      </c>
      <c r="C131" s="66" t="s">
        <v>1133</v>
      </c>
      <c r="D131" s="65">
        <v>102484.0</v>
      </c>
      <c r="E131" s="91" t="str">
        <f>Consolidado!#REF!</f>
        <v>#ERROR!</v>
      </c>
      <c r="F131" s="91" t="str">
        <f>Consolidado!#REF!</f>
        <v>#ERROR!</v>
      </c>
      <c r="G131" s="91" t="str">
        <f>Consolidado!#REF!</f>
        <v>#ERROR!</v>
      </c>
      <c r="H131" s="80" t="str">
        <f t="shared" si="1"/>
        <v>#ERROR!</v>
      </c>
      <c r="I131" s="84" t="str">
        <f t="shared" si="2"/>
        <v>#ERROR!</v>
      </c>
      <c r="J131" s="84" t="str">
        <f t="shared" si="3"/>
        <v>#ERROR!</v>
      </c>
      <c r="K131" s="681"/>
      <c r="L131" s="681"/>
      <c r="M131" s="681"/>
      <c r="N131" s="681"/>
      <c r="O131" s="681"/>
      <c r="P131" s="681"/>
      <c r="Q131" s="681"/>
      <c r="R131" s="681"/>
      <c r="S131" s="681"/>
      <c r="T131" s="681"/>
      <c r="U131" s="681"/>
      <c r="V131" s="681"/>
      <c r="W131" s="681"/>
      <c r="X131" s="681"/>
      <c r="Y131" s="681"/>
      <c r="Z131" s="681"/>
      <c r="AA131" s="681"/>
      <c r="AB131" s="681"/>
      <c r="AC131" s="681"/>
      <c r="AD131" s="67" t="str">
        <f t="shared" si="4"/>
        <v>#ERROR!</v>
      </c>
      <c r="AE131" s="682" t="str">
        <f t="shared" si="5"/>
        <v> </v>
      </c>
    </row>
    <row r="132" ht="42.0" customHeight="1">
      <c r="A132" s="693">
        <v>126.0</v>
      </c>
      <c r="B132" s="66" t="s">
        <v>576</v>
      </c>
      <c r="C132" s="66" t="s">
        <v>602</v>
      </c>
      <c r="D132" s="65">
        <v>102803.0</v>
      </c>
      <c r="E132" s="79" t="str">
        <f>Consolidado!$AU$90</f>
        <v/>
      </c>
      <c r="F132" s="78" t="str">
        <f>Consolidado!$AV$90</f>
        <v/>
      </c>
      <c r="G132" s="79" t="str">
        <f>Consolidado!$AW$90</f>
        <v/>
      </c>
      <c r="H132" s="80" t="str">
        <f t="shared" si="1"/>
        <v>#NUM!</v>
      </c>
      <c r="I132" s="84" t="str">
        <f t="shared" si="2"/>
        <v>#NUM!</v>
      </c>
      <c r="J132" s="84">
        <f t="shared" si="3"/>
        <v>0</v>
      </c>
      <c r="K132" s="681"/>
      <c r="L132" s="681"/>
      <c r="M132" s="681"/>
      <c r="N132" s="681"/>
      <c r="O132" s="681"/>
      <c r="P132" s="681"/>
      <c r="Q132" s="681"/>
      <c r="R132" s="681"/>
      <c r="S132" s="681"/>
      <c r="T132" s="681"/>
      <c r="U132" s="681"/>
      <c r="V132" s="681"/>
      <c r="W132" s="681"/>
      <c r="X132" s="681"/>
      <c r="Y132" s="681"/>
      <c r="Z132" s="681"/>
      <c r="AA132" s="681"/>
      <c r="AB132" s="681"/>
      <c r="AC132" s="681"/>
      <c r="AD132" s="67" t="str">
        <f t="shared" si="4"/>
        <v>En proceso</v>
      </c>
      <c r="AE132" s="682" t="str">
        <f t="shared" si="5"/>
        <v> </v>
      </c>
    </row>
    <row r="133" ht="42.0" customHeight="1">
      <c r="A133" s="693">
        <v>127.0</v>
      </c>
      <c r="B133" s="66" t="s">
        <v>576</v>
      </c>
      <c r="C133" s="66" t="s">
        <v>1134</v>
      </c>
      <c r="D133" s="65">
        <v>103197.0</v>
      </c>
      <c r="E133" s="79" t="str">
        <f>Consolidado!#REF!</f>
        <v>#ERROR!</v>
      </c>
      <c r="F133" s="79" t="str">
        <f>Consolidado!#REF!</f>
        <v>#ERROR!</v>
      </c>
      <c r="G133" s="79" t="str">
        <f>Consolidado!#REF!</f>
        <v>#ERROR!</v>
      </c>
      <c r="H133" s="80" t="str">
        <f t="shared" si="1"/>
        <v>#ERROR!</v>
      </c>
      <c r="I133" s="84" t="str">
        <f t="shared" si="2"/>
        <v>#ERROR!</v>
      </c>
      <c r="J133" s="84" t="str">
        <f t="shared" si="3"/>
        <v>#ERROR!</v>
      </c>
      <c r="K133" s="681"/>
      <c r="L133" s="681"/>
      <c r="M133" s="681"/>
      <c r="N133" s="681"/>
      <c r="O133" s="681"/>
      <c r="P133" s="681"/>
      <c r="Q133" s="681"/>
      <c r="R133" s="681"/>
      <c r="S133" s="681"/>
      <c r="T133" s="681"/>
      <c r="U133" s="681"/>
      <c r="V133" s="681"/>
      <c r="W133" s="681"/>
      <c r="X133" s="681"/>
      <c r="Y133" s="681"/>
      <c r="Z133" s="681"/>
      <c r="AA133" s="681"/>
      <c r="AB133" s="681"/>
      <c r="AC133" s="681"/>
      <c r="AD133" s="67" t="str">
        <f t="shared" si="4"/>
        <v>#ERROR!</v>
      </c>
      <c r="AE133" s="682" t="str">
        <f t="shared" si="5"/>
        <v> </v>
      </c>
    </row>
    <row r="134" ht="42.0" customHeight="1">
      <c r="A134" s="693">
        <v>128.0</v>
      </c>
      <c r="B134" s="66" t="s">
        <v>576</v>
      </c>
      <c r="C134" s="66" t="s">
        <v>1025</v>
      </c>
      <c r="D134" s="65">
        <v>106623.0</v>
      </c>
      <c r="E134" s="79" t="str">
        <f>Consolidado!$AU$91</f>
        <v>N/A</v>
      </c>
      <c r="F134" s="78" t="str">
        <f>Consolidado!$AV$91</f>
        <v>N/A</v>
      </c>
      <c r="G134" s="79" t="str">
        <f>Consolidado!$AW$91</f>
        <v>N/A</v>
      </c>
      <c r="H134" s="80" t="str">
        <f t="shared" si="1"/>
        <v>#VALUE!</v>
      </c>
      <c r="I134" s="84" t="str">
        <f t="shared" si="2"/>
        <v>#VALUE!</v>
      </c>
      <c r="J134" s="84" t="str">
        <f t="shared" si="3"/>
        <v>#VALUE!</v>
      </c>
      <c r="K134" s="681"/>
      <c r="L134" s="681"/>
      <c r="M134" s="681"/>
      <c r="N134" s="681"/>
      <c r="O134" s="681"/>
      <c r="P134" s="681"/>
      <c r="Q134" s="681"/>
      <c r="R134" s="681"/>
      <c r="S134" s="681"/>
      <c r="T134" s="681"/>
      <c r="U134" s="681"/>
      <c r="V134" s="681"/>
      <c r="W134" s="681"/>
      <c r="X134" s="681"/>
      <c r="Y134" s="681"/>
      <c r="Z134" s="681"/>
      <c r="AA134" s="681"/>
      <c r="AB134" s="681"/>
      <c r="AC134" s="681"/>
      <c r="AD134" s="67" t="str">
        <f t="shared" si="4"/>
        <v>#VALUE!</v>
      </c>
      <c r="AE134" s="682" t="str">
        <f t="shared" si="5"/>
        <v> </v>
      </c>
    </row>
    <row r="135" ht="42.0" customHeight="1">
      <c r="A135" s="693">
        <v>129.0</v>
      </c>
      <c r="B135" s="66" t="s">
        <v>576</v>
      </c>
      <c r="C135" s="66" t="s">
        <v>1135</v>
      </c>
      <c r="D135" s="65">
        <v>103335.0</v>
      </c>
      <c r="E135" s="79" t="str">
        <f>Consolidado!#REF!</f>
        <v>#ERROR!</v>
      </c>
      <c r="F135" s="79" t="str">
        <f>Consolidado!#REF!</f>
        <v>#ERROR!</v>
      </c>
      <c r="G135" s="79" t="str">
        <f>Consolidado!#REF!</f>
        <v>#ERROR!</v>
      </c>
      <c r="H135" s="80" t="str">
        <f t="shared" si="1"/>
        <v>#ERROR!</v>
      </c>
      <c r="I135" s="84" t="str">
        <f t="shared" si="2"/>
        <v>#ERROR!</v>
      </c>
      <c r="J135" s="84" t="str">
        <f t="shared" si="3"/>
        <v>#ERROR!</v>
      </c>
      <c r="K135" s="681"/>
      <c r="L135" s="681"/>
      <c r="M135" s="681"/>
      <c r="N135" s="681"/>
      <c r="O135" s="681"/>
      <c r="P135" s="681"/>
      <c r="Q135" s="681"/>
      <c r="R135" s="681"/>
      <c r="S135" s="681"/>
      <c r="T135" s="681"/>
      <c r="U135" s="681"/>
      <c r="V135" s="681"/>
      <c r="W135" s="681"/>
      <c r="X135" s="681"/>
      <c r="Y135" s="681"/>
      <c r="Z135" s="681"/>
      <c r="AA135" s="681"/>
      <c r="AB135" s="681"/>
      <c r="AC135" s="681"/>
      <c r="AD135" s="67" t="str">
        <f t="shared" si="4"/>
        <v>#ERROR!</v>
      </c>
      <c r="AE135" s="682" t="str">
        <f t="shared" si="5"/>
        <v> </v>
      </c>
    </row>
    <row r="136" ht="42.0" customHeight="1">
      <c r="A136" s="693">
        <v>130.0</v>
      </c>
      <c r="B136" s="66" t="s">
        <v>576</v>
      </c>
      <c r="C136" s="66" t="s">
        <v>1136</v>
      </c>
      <c r="D136" s="88">
        <v>103480.0</v>
      </c>
      <c r="E136" s="91" t="str">
        <f>Consolidado!#REF!</f>
        <v>#ERROR!</v>
      </c>
      <c r="F136" s="91" t="str">
        <f>Consolidado!#REF!</f>
        <v>#ERROR!</v>
      </c>
      <c r="G136" s="91" t="str">
        <f>Consolidado!#REF!</f>
        <v>#ERROR!</v>
      </c>
      <c r="H136" s="80" t="str">
        <f t="shared" si="1"/>
        <v>#ERROR!</v>
      </c>
      <c r="I136" s="84" t="str">
        <f t="shared" si="2"/>
        <v>#ERROR!</v>
      </c>
      <c r="J136" s="84" t="str">
        <f t="shared" si="3"/>
        <v>#ERROR!</v>
      </c>
      <c r="K136" s="681"/>
      <c r="L136" s="681"/>
      <c r="M136" s="681"/>
      <c r="N136" s="681"/>
      <c r="O136" s="681"/>
      <c r="P136" s="681"/>
      <c r="Q136" s="681"/>
      <c r="R136" s="681"/>
      <c r="S136" s="681"/>
      <c r="T136" s="681"/>
      <c r="U136" s="681"/>
      <c r="V136" s="681"/>
      <c r="W136" s="681"/>
      <c r="X136" s="681"/>
      <c r="Y136" s="681"/>
      <c r="Z136" s="681"/>
      <c r="AA136" s="681"/>
      <c r="AB136" s="681"/>
      <c r="AC136" s="681"/>
      <c r="AD136" s="67" t="str">
        <f t="shared" si="4"/>
        <v>#ERROR!</v>
      </c>
      <c r="AE136" s="682" t="str">
        <f t="shared" si="5"/>
        <v> </v>
      </c>
    </row>
    <row r="137" ht="42.0" customHeight="1">
      <c r="A137" s="693">
        <v>131.0</v>
      </c>
      <c r="B137" s="66" t="s">
        <v>576</v>
      </c>
      <c r="C137" s="66" t="s">
        <v>1137</v>
      </c>
      <c r="D137" s="65">
        <v>103513.0</v>
      </c>
      <c r="E137" s="91" t="str">
        <f>Consolidado!#REF!</f>
        <v>#ERROR!</v>
      </c>
      <c r="F137" s="91" t="str">
        <f>Consolidado!#REF!</f>
        <v>#ERROR!</v>
      </c>
      <c r="G137" s="91" t="str">
        <f>Consolidado!#REF!</f>
        <v>#ERROR!</v>
      </c>
      <c r="H137" s="80" t="str">
        <f t="shared" si="1"/>
        <v>#ERROR!</v>
      </c>
      <c r="I137" s="84" t="str">
        <f t="shared" si="2"/>
        <v>#ERROR!</v>
      </c>
      <c r="J137" s="84" t="str">
        <f t="shared" si="3"/>
        <v>#ERROR!</v>
      </c>
      <c r="K137" s="681"/>
      <c r="L137" s="681"/>
      <c r="M137" s="681"/>
      <c r="N137" s="681"/>
      <c r="O137" s="681"/>
      <c r="P137" s="681"/>
      <c r="Q137" s="681"/>
      <c r="R137" s="681"/>
      <c r="S137" s="681"/>
      <c r="T137" s="681"/>
      <c r="U137" s="681"/>
      <c r="V137" s="681"/>
      <c r="W137" s="681"/>
      <c r="X137" s="681"/>
      <c r="Y137" s="681"/>
      <c r="Z137" s="681"/>
      <c r="AA137" s="681"/>
      <c r="AB137" s="681"/>
      <c r="AC137" s="681"/>
      <c r="AD137" s="67" t="str">
        <f t="shared" si="4"/>
        <v>#ERROR!</v>
      </c>
      <c r="AE137" s="682" t="str">
        <f t="shared" si="5"/>
        <v> </v>
      </c>
    </row>
    <row r="138" ht="42.0" customHeight="1">
      <c r="A138" s="693">
        <v>132.0</v>
      </c>
      <c r="B138" s="66" t="s">
        <v>576</v>
      </c>
      <c r="C138" s="66" t="s">
        <v>598</v>
      </c>
      <c r="D138" s="65">
        <v>103788.0</v>
      </c>
      <c r="E138" s="79" t="str">
        <f>Consolidado!$AU$92</f>
        <v>N/A</v>
      </c>
      <c r="F138" s="78" t="str">
        <f>Consolidado!$AV$92</f>
        <v>N/A</v>
      </c>
      <c r="G138" s="79" t="str">
        <f>Consolidado!$AW$92</f>
        <v>N/A</v>
      </c>
      <c r="H138" s="80" t="str">
        <f t="shared" si="1"/>
        <v>#VALUE!</v>
      </c>
      <c r="I138" s="84" t="str">
        <f t="shared" si="2"/>
        <v>#VALUE!</v>
      </c>
      <c r="J138" s="84" t="str">
        <f t="shared" si="3"/>
        <v>#VALUE!</v>
      </c>
      <c r="K138" s="681"/>
      <c r="L138" s="681"/>
      <c r="M138" s="681"/>
      <c r="N138" s="681"/>
      <c r="O138" s="681"/>
      <c r="P138" s="681"/>
      <c r="Q138" s="681"/>
      <c r="R138" s="681"/>
      <c r="S138" s="681"/>
      <c r="T138" s="681"/>
      <c r="U138" s="681"/>
      <c r="V138" s="681"/>
      <c r="W138" s="681"/>
      <c r="X138" s="681"/>
      <c r="Y138" s="681"/>
      <c r="Z138" s="681"/>
      <c r="AA138" s="681"/>
      <c r="AB138" s="681"/>
      <c r="AC138" s="681"/>
      <c r="AD138" s="67" t="str">
        <f t="shared" si="4"/>
        <v>#VALUE!</v>
      </c>
      <c r="AE138" s="682" t="str">
        <f t="shared" si="5"/>
        <v> </v>
      </c>
    </row>
    <row r="139" ht="42.0" customHeight="1">
      <c r="A139" s="693">
        <v>133.0</v>
      </c>
      <c r="B139" s="66" t="s">
        <v>576</v>
      </c>
      <c r="C139" s="66" t="s">
        <v>1138</v>
      </c>
      <c r="D139" s="65">
        <v>103789.0</v>
      </c>
      <c r="E139" s="79" t="str">
        <f>Consolidado!#REF!</f>
        <v>#ERROR!</v>
      </c>
      <c r="F139" s="79" t="str">
        <f>Consolidado!#REF!</f>
        <v>#ERROR!</v>
      </c>
      <c r="G139" s="79" t="str">
        <f>Consolidado!#REF!</f>
        <v>#ERROR!</v>
      </c>
      <c r="H139" s="80" t="str">
        <f t="shared" si="1"/>
        <v>#ERROR!</v>
      </c>
      <c r="I139" s="84" t="str">
        <f t="shared" si="2"/>
        <v>#ERROR!</v>
      </c>
      <c r="J139" s="84" t="str">
        <f t="shared" si="3"/>
        <v>#ERROR!</v>
      </c>
      <c r="K139" s="681"/>
      <c r="L139" s="681"/>
      <c r="M139" s="681"/>
      <c r="N139" s="681"/>
      <c r="O139" s="681"/>
      <c r="P139" s="681"/>
      <c r="Q139" s="681"/>
      <c r="R139" s="681"/>
      <c r="S139" s="681"/>
      <c r="T139" s="681"/>
      <c r="U139" s="681"/>
      <c r="V139" s="681"/>
      <c r="W139" s="681"/>
      <c r="X139" s="681"/>
      <c r="Y139" s="681"/>
      <c r="Z139" s="681"/>
      <c r="AA139" s="681"/>
      <c r="AB139" s="681"/>
      <c r="AC139" s="681"/>
      <c r="AD139" s="67" t="str">
        <f t="shared" si="4"/>
        <v>#ERROR!</v>
      </c>
      <c r="AE139" s="682" t="str">
        <f t="shared" si="5"/>
        <v> </v>
      </c>
    </row>
    <row r="140" ht="42.0" customHeight="1">
      <c r="A140" s="693">
        <v>134.0</v>
      </c>
      <c r="B140" s="66" t="s">
        <v>576</v>
      </c>
      <c r="C140" s="66" t="s">
        <v>1133</v>
      </c>
      <c r="D140" s="65">
        <v>104098.0</v>
      </c>
      <c r="E140" s="91" t="str">
        <f>Consolidado!#REF!</f>
        <v>#ERROR!</v>
      </c>
      <c r="F140" s="91" t="str">
        <f>Consolidado!#REF!</f>
        <v>#ERROR!</v>
      </c>
      <c r="G140" s="91" t="str">
        <f>Consolidado!#REF!</f>
        <v>#ERROR!</v>
      </c>
      <c r="H140" s="80" t="str">
        <f t="shared" si="1"/>
        <v>#ERROR!</v>
      </c>
      <c r="I140" s="84" t="str">
        <f t="shared" si="2"/>
        <v>#ERROR!</v>
      </c>
      <c r="J140" s="84" t="str">
        <f t="shared" si="3"/>
        <v>#ERROR!</v>
      </c>
      <c r="K140" s="681"/>
      <c r="L140" s="681"/>
      <c r="M140" s="681"/>
      <c r="N140" s="681"/>
      <c r="O140" s="681"/>
      <c r="P140" s="681"/>
      <c r="Q140" s="681"/>
      <c r="R140" s="681"/>
      <c r="S140" s="681"/>
      <c r="T140" s="681"/>
      <c r="U140" s="681"/>
      <c r="V140" s="681"/>
      <c r="W140" s="681"/>
      <c r="X140" s="681"/>
      <c r="Y140" s="681"/>
      <c r="Z140" s="681"/>
      <c r="AA140" s="681"/>
      <c r="AB140" s="681"/>
      <c r="AC140" s="681"/>
      <c r="AD140" s="67" t="str">
        <f t="shared" si="4"/>
        <v>#ERROR!</v>
      </c>
      <c r="AE140" s="682" t="str">
        <f t="shared" si="5"/>
        <v> </v>
      </c>
    </row>
    <row r="141" ht="42.0" customHeight="1">
      <c r="A141" s="693">
        <v>135.0</v>
      </c>
      <c r="B141" s="66" t="s">
        <v>576</v>
      </c>
      <c r="C141" s="66" t="s">
        <v>1139</v>
      </c>
      <c r="D141" s="65">
        <v>105221.0</v>
      </c>
      <c r="E141" s="91" t="str">
        <f>Consolidado!#REF!</f>
        <v>#ERROR!</v>
      </c>
      <c r="F141" s="91" t="str">
        <f>Consolidado!#REF!</f>
        <v>#ERROR!</v>
      </c>
      <c r="G141" s="91" t="str">
        <f>Consolidado!#REF!</f>
        <v>#ERROR!</v>
      </c>
      <c r="H141" s="80" t="str">
        <f t="shared" si="1"/>
        <v>#ERROR!</v>
      </c>
      <c r="I141" s="84" t="str">
        <f t="shared" si="2"/>
        <v>#ERROR!</v>
      </c>
      <c r="J141" s="84" t="str">
        <f t="shared" si="3"/>
        <v>#ERROR!</v>
      </c>
      <c r="K141" s="681"/>
      <c r="L141" s="681"/>
      <c r="M141" s="681"/>
      <c r="N141" s="681"/>
      <c r="O141" s="681"/>
      <c r="P141" s="681"/>
      <c r="Q141" s="681"/>
      <c r="R141" s="681"/>
      <c r="S141" s="681"/>
      <c r="T141" s="681"/>
      <c r="U141" s="681"/>
      <c r="V141" s="681"/>
      <c r="W141" s="681"/>
      <c r="X141" s="681"/>
      <c r="Y141" s="681"/>
      <c r="Z141" s="681"/>
      <c r="AA141" s="681"/>
      <c r="AB141" s="681"/>
      <c r="AC141" s="681"/>
      <c r="AD141" s="67" t="str">
        <f t="shared" si="4"/>
        <v>#ERROR!</v>
      </c>
      <c r="AE141" s="682" t="str">
        <f t="shared" si="5"/>
        <v> </v>
      </c>
    </row>
    <row r="142" ht="42.0" customHeight="1">
      <c r="A142" s="693">
        <v>136.0</v>
      </c>
      <c r="B142" s="66" t="s">
        <v>576</v>
      </c>
      <c r="C142" s="66" t="s">
        <v>1140</v>
      </c>
      <c r="D142" s="65">
        <v>105566.0</v>
      </c>
      <c r="E142" s="91" t="str">
        <f>Consolidado!#REF!</f>
        <v>#ERROR!</v>
      </c>
      <c r="F142" s="91" t="str">
        <f>Consolidado!#REF!</f>
        <v>#ERROR!</v>
      </c>
      <c r="G142" s="91" t="str">
        <f>Consolidado!#REF!</f>
        <v>#ERROR!</v>
      </c>
      <c r="H142" s="80" t="str">
        <f t="shared" si="1"/>
        <v>#ERROR!</v>
      </c>
      <c r="I142" s="84" t="str">
        <f t="shared" si="2"/>
        <v>#ERROR!</v>
      </c>
      <c r="J142" s="84" t="str">
        <f t="shared" si="3"/>
        <v>#ERROR!</v>
      </c>
      <c r="K142" s="681"/>
      <c r="L142" s="681"/>
      <c r="M142" s="681"/>
      <c r="N142" s="681"/>
      <c r="O142" s="681"/>
      <c r="P142" s="681"/>
      <c r="Q142" s="681"/>
      <c r="R142" s="681"/>
      <c r="S142" s="681"/>
      <c r="T142" s="681"/>
      <c r="U142" s="681"/>
      <c r="V142" s="681"/>
      <c r="W142" s="681"/>
      <c r="X142" s="681"/>
      <c r="Y142" s="681"/>
      <c r="Z142" s="681"/>
      <c r="AA142" s="681"/>
      <c r="AB142" s="681"/>
      <c r="AC142" s="681"/>
      <c r="AD142" s="67" t="str">
        <f t="shared" si="4"/>
        <v>#ERROR!</v>
      </c>
      <c r="AE142" s="682" t="str">
        <f t="shared" si="5"/>
        <v> </v>
      </c>
    </row>
    <row r="143" ht="42.0" customHeight="1">
      <c r="A143" s="693">
        <v>137.0</v>
      </c>
      <c r="B143" s="66" t="s">
        <v>576</v>
      </c>
      <c r="C143" s="66" t="s">
        <v>1141</v>
      </c>
      <c r="D143" s="65">
        <v>105571.0</v>
      </c>
      <c r="E143" s="91" t="str">
        <f>Consolidado!#REF!</f>
        <v>#ERROR!</v>
      </c>
      <c r="F143" s="91" t="str">
        <f>Consolidado!#REF!</f>
        <v>#ERROR!</v>
      </c>
      <c r="G143" s="91" t="str">
        <f>Consolidado!#REF!</f>
        <v>#ERROR!</v>
      </c>
      <c r="H143" s="80" t="str">
        <f t="shared" si="1"/>
        <v>#ERROR!</v>
      </c>
      <c r="I143" s="84" t="str">
        <f t="shared" si="2"/>
        <v>#ERROR!</v>
      </c>
      <c r="J143" s="84" t="str">
        <f t="shared" si="3"/>
        <v>#ERROR!</v>
      </c>
      <c r="K143" s="681"/>
      <c r="L143" s="681"/>
      <c r="M143" s="681"/>
      <c r="N143" s="681"/>
      <c r="O143" s="681"/>
      <c r="P143" s="681"/>
      <c r="Q143" s="681"/>
      <c r="R143" s="681"/>
      <c r="S143" s="681"/>
      <c r="T143" s="681"/>
      <c r="U143" s="681"/>
      <c r="V143" s="681"/>
      <c r="W143" s="681"/>
      <c r="X143" s="681"/>
      <c r="Y143" s="681"/>
      <c r="Z143" s="681"/>
      <c r="AA143" s="681"/>
      <c r="AB143" s="681"/>
      <c r="AC143" s="681"/>
      <c r="AD143" s="67" t="str">
        <f t="shared" si="4"/>
        <v>#ERROR!</v>
      </c>
      <c r="AE143" s="682" t="str">
        <f t="shared" si="5"/>
        <v> </v>
      </c>
    </row>
    <row r="144" ht="42.0" customHeight="1">
      <c r="A144" s="694">
        <v>138.0</v>
      </c>
      <c r="B144" s="66" t="s">
        <v>611</v>
      </c>
      <c r="C144" s="66" t="s">
        <v>661</v>
      </c>
      <c r="D144" s="65">
        <v>222.0</v>
      </c>
      <c r="E144" s="91" t="str">
        <f>Consolidado!$AU$94</f>
        <v>N/A</v>
      </c>
      <c r="F144" s="90" t="str">
        <f>Consolidado!$AV$94</f>
        <v>N/A</v>
      </c>
      <c r="G144" s="91" t="str">
        <f>Consolidado!$AW$94</f>
        <v>N/A</v>
      </c>
      <c r="H144" s="80" t="str">
        <f t="shared" si="1"/>
        <v>#VALUE!</v>
      </c>
      <c r="I144" s="84" t="str">
        <f t="shared" si="2"/>
        <v>#VALUE!</v>
      </c>
      <c r="J144" s="84" t="str">
        <f t="shared" si="3"/>
        <v>#VALUE!</v>
      </c>
      <c r="K144" s="681"/>
      <c r="L144" s="681"/>
      <c r="M144" s="681"/>
      <c r="N144" s="681"/>
      <c r="O144" s="681"/>
      <c r="P144" s="681"/>
      <c r="Q144" s="681"/>
      <c r="R144" s="681"/>
      <c r="S144" s="681"/>
      <c r="T144" s="681"/>
      <c r="U144" s="681"/>
      <c r="V144" s="681"/>
      <c r="W144" s="681"/>
      <c r="X144" s="681"/>
      <c r="Y144" s="681"/>
      <c r="Z144" s="681"/>
      <c r="AA144" s="681"/>
      <c r="AB144" s="681"/>
      <c r="AC144" s="681"/>
      <c r="AD144" s="67" t="str">
        <f t="shared" si="4"/>
        <v>#VALUE!</v>
      </c>
      <c r="AE144" s="682" t="str">
        <f t="shared" si="5"/>
        <v> </v>
      </c>
    </row>
    <row r="145" ht="42.0" customHeight="1">
      <c r="A145" s="694">
        <v>139.0</v>
      </c>
      <c r="B145" s="66" t="s">
        <v>611</v>
      </c>
      <c r="C145" s="66" t="s">
        <v>648</v>
      </c>
      <c r="D145" s="65">
        <v>236.0</v>
      </c>
      <c r="E145" s="433" t="str">
        <f>Consolidado!$AU$95</f>
        <v/>
      </c>
      <c r="F145" s="74" t="str">
        <f>Consolidado!$AV$95</f>
        <v/>
      </c>
      <c r="G145" s="91" t="str">
        <f>Consolidado!$AW$95</f>
        <v/>
      </c>
      <c r="H145" s="80" t="str">
        <f t="shared" si="1"/>
        <v>#NUM!</v>
      </c>
      <c r="I145" s="84" t="str">
        <f t="shared" si="2"/>
        <v>#NUM!</v>
      </c>
      <c r="J145" s="84">
        <f t="shared" si="3"/>
        <v>0</v>
      </c>
      <c r="K145" s="681"/>
      <c r="L145" s="681"/>
      <c r="M145" s="667"/>
      <c r="N145" s="681"/>
      <c r="O145" s="681"/>
      <c r="P145" s="681"/>
      <c r="Q145" s="681"/>
      <c r="R145" s="681"/>
      <c r="S145" s="681"/>
      <c r="T145" s="681"/>
      <c r="U145" s="681"/>
      <c r="V145" s="681"/>
      <c r="W145" s="681"/>
      <c r="X145" s="681"/>
      <c r="Y145" s="681"/>
      <c r="Z145" s="681"/>
      <c r="AA145" s="681"/>
      <c r="AB145" s="681"/>
      <c r="AC145" s="681"/>
      <c r="AD145" s="67" t="str">
        <f t="shared" si="4"/>
        <v>En proceso</v>
      </c>
      <c r="AE145" s="682" t="str">
        <f t="shared" si="5"/>
        <v> </v>
      </c>
    </row>
    <row r="146" ht="42.0" customHeight="1">
      <c r="A146" s="694">
        <v>140.0</v>
      </c>
      <c r="B146" s="66" t="s">
        <v>611</v>
      </c>
      <c r="C146" s="66" t="s">
        <v>612</v>
      </c>
      <c r="D146" s="65">
        <v>246.0</v>
      </c>
      <c r="E146" s="79" t="str">
        <f>Consolidado!$AU$96</f>
        <v/>
      </c>
      <c r="F146" s="78" t="str">
        <f>Consolidado!$AV$96</f>
        <v/>
      </c>
      <c r="G146" s="79" t="str">
        <f>Consolidado!$AW$96</f>
        <v/>
      </c>
      <c r="H146" s="80" t="str">
        <f t="shared" si="1"/>
        <v>#NUM!</v>
      </c>
      <c r="I146" s="84" t="str">
        <f t="shared" si="2"/>
        <v>#NUM!</v>
      </c>
      <c r="J146" s="84">
        <f t="shared" si="3"/>
        <v>0</v>
      </c>
      <c r="K146" s="681"/>
      <c r="L146" s="681"/>
      <c r="M146" s="681"/>
      <c r="N146" s="681"/>
      <c r="O146" s="681"/>
      <c r="P146" s="681"/>
      <c r="Q146" s="681"/>
      <c r="R146" s="681"/>
      <c r="S146" s="681"/>
      <c r="T146" s="681"/>
      <c r="U146" s="681"/>
      <c r="V146" s="681"/>
      <c r="W146" s="681"/>
      <c r="X146" s="681"/>
      <c r="Y146" s="681"/>
      <c r="Z146" s="681"/>
      <c r="AA146" s="681"/>
      <c r="AB146" s="681"/>
      <c r="AC146" s="681"/>
      <c r="AD146" s="67" t="str">
        <f t="shared" si="4"/>
        <v>En proceso</v>
      </c>
      <c r="AE146" s="682" t="str">
        <f t="shared" si="5"/>
        <v> </v>
      </c>
    </row>
    <row r="147" ht="42.0" customHeight="1">
      <c r="A147" s="694">
        <v>141.0</v>
      </c>
      <c r="B147" s="66" t="s">
        <v>611</v>
      </c>
      <c r="C147" s="66" t="s">
        <v>642</v>
      </c>
      <c r="D147" s="65">
        <v>4730.0</v>
      </c>
      <c r="E147" s="79" t="str">
        <f>Consolidado!$AU$97</f>
        <v/>
      </c>
      <c r="F147" s="78" t="str">
        <f>Consolidado!$AV$97</f>
        <v/>
      </c>
      <c r="G147" s="79" t="str">
        <f>Consolidado!$AW$97</f>
        <v/>
      </c>
      <c r="H147" s="80" t="str">
        <f t="shared" si="1"/>
        <v>#NUM!</v>
      </c>
      <c r="I147" s="84" t="str">
        <f t="shared" si="2"/>
        <v>#NUM!</v>
      </c>
      <c r="J147" s="84">
        <f t="shared" si="3"/>
        <v>0</v>
      </c>
      <c r="K147" s="681"/>
      <c r="L147" s="681"/>
      <c r="M147" s="681"/>
      <c r="N147" s="681"/>
      <c r="O147" s="681"/>
      <c r="P147" s="681"/>
      <c r="Q147" s="681"/>
      <c r="R147" s="681"/>
      <c r="S147" s="681"/>
      <c r="T147" s="681"/>
      <c r="U147" s="681"/>
      <c r="V147" s="681"/>
      <c r="W147" s="681"/>
      <c r="X147" s="681"/>
      <c r="Y147" s="681"/>
      <c r="Z147" s="681"/>
      <c r="AA147" s="681"/>
      <c r="AB147" s="681"/>
      <c r="AC147" s="681"/>
      <c r="AD147" s="67" t="str">
        <f t="shared" si="4"/>
        <v>En proceso</v>
      </c>
      <c r="AE147" s="682" t="str">
        <f t="shared" si="5"/>
        <v> </v>
      </c>
    </row>
    <row r="148" ht="42.0" customHeight="1">
      <c r="A148" s="694">
        <v>142.0</v>
      </c>
      <c r="B148" s="66" t="s">
        <v>611</v>
      </c>
      <c r="C148" s="66" t="s">
        <v>629</v>
      </c>
      <c r="D148" s="65">
        <v>8704.0</v>
      </c>
      <c r="E148" s="91" t="str">
        <f>Consolidado!$AU$99</f>
        <v>N/A</v>
      </c>
      <c r="F148" s="90" t="str">
        <f>Consolidado!$AV$99</f>
        <v>N/A</v>
      </c>
      <c r="G148" s="91" t="str">
        <f>Consolidado!$AW$99</f>
        <v>N/A</v>
      </c>
      <c r="H148" s="80" t="str">
        <f t="shared" si="1"/>
        <v>#VALUE!</v>
      </c>
      <c r="I148" s="84" t="str">
        <f t="shared" si="2"/>
        <v>#VALUE!</v>
      </c>
      <c r="J148" s="84" t="str">
        <f t="shared" si="3"/>
        <v>#VALUE!</v>
      </c>
      <c r="K148" s="681"/>
      <c r="L148" s="681"/>
      <c r="M148" s="681"/>
      <c r="N148" s="681"/>
      <c r="O148" s="681"/>
      <c r="P148" s="681"/>
      <c r="Q148" s="681"/>
      <c r="R148" s="681"/>
      <c r="S148" s="681"/>
      <c r="T148" s="681"/>
      <c r="U148" s="681"/>
      <c r="V148" s="681"/>
      <c r="W148" s="681"/>
      <c r="X148" s="681"/>
      <c r="Y148" s="681"/>
      <c r="Z148" s="681"/>
      <c r="AA148" s="681"/>
      <c r="AB148" s="681"/>
      <c r="AC148" s="681"/>
      <c r="AD148" s="67" t="str">
        <f t="shared" si="4"/>
        <v>#VALUE!</v>
      </c>
      <c r="AE148" s="682" t="str">
        <f t="shared" si="5"/>
        <v> </v>
      </c>
    </row>
    <row r="149" ht="42.0" customHeight="1">
      <c r="A149" s="694">
        <v>143.0</v>
      </c>
      <c r="B149" s="66" t="s">
        <v>611</v>
      </c>
      <c r="C149" s="66" t="s">
        <v>1142</v>
      </c>
      <c r="D149" s="65">
        <v>9299.0</v>
      </c>
      <c r="E149" s="79" t="str">
        <f>Consolidado!#REF!</f>
        <v>#ERROR!</v>
      </c>
      <c r="F149" s="79" t="str">
        <f>Consolidado!#REF!</f>
        <v>#ERROR!</v>
      </c>
      <c r="G149" s="79" t="str">
        <f>Consolidado!#REF!</f>
        <v>#ERROR!</v>
      </c>
      <c r="H149" s="80" t="str">
        <f t="shared" si="1"/>
        <v>#ERROR!</v>
      </c>
      <c r="I149" s="84" t="str">
        <f t="shared" si="2"/>
        <v>#ERROR!</v>
      </c>
      <c r="J149" s="84" t="str">
        <f t="shared" si="3"/>
        <v>#ERROR!</v>
      </c>
      <c r="K149" s="681"/>
      <c r="L149" s="681"/>
      <c r="M149" s="681"/>
      <c r="N149" s="681"/>
      <c r="O149" s="681"/>
      <c r="P149" s="681"/>
      <c r="Q149" s="681"/>
      <c r="R149" s="681"/>
      <c r="S149" s="681"/>
      <c r="T149" s="681"/>
      <c r="U149" s="681"/>
      <c r="V149" s="681"/>
      <c r="W149" s="681"/>
      <c r="X149" s="681"/>
      <c r="Y149" s="681"/>
      <c r="Z149" s="681"/>
      <c r="AA149" s="681"/>
      <c r="AB149" s="681"/>
      <c r="AC149" s="681"/>
      <c r="AD149" s="67" t="str">
        <f t="shared" si="4"/>
        <v>#ERROR!</v>
      </c>
      <c r="AE149" s="682" t="str">
        <f t="shared" si="5"/>
        <v> </v>
      </c>
    </row>
    <row r="150" ht="42.0" customHeight="1">
      <c r="A150" s="694">
        <v>144.0</v>
      </c>
      <c r="B150" s="66" t="s">
        <v>611</v>
      </c>
      <c r="C150" s="66" t="s">
        <v>648</v>
      </c>
      <c r="D150" s="65">
        <v>102471.0</v>
      </c>
      <c r="E150" s="91" t="str">
        <f>Consolidado!#REF!</f>
        <v>#ERROR!</v>
      </c>
      <c r="F150" s="91" t="str">
        <f>Consolidado!#REF!</f>
        <v>#ERROR!</v>
      </c>
      <c r="G150" s="91" t="str">
        <f>Consolidado!#REF!</f>
        <v>#ERROR!</v>
      </c>
      <c r="H150" s="80" t="str">
        <f t="shared" si="1"/>
        <v>#ERROR!</v>
      </c>
      <c r="I150" s="84" t="str">
        <f t="shared" si="2"/>
        <v>#ERROR!</v>
      </c>
      <c r="J150" s="84" t="str">
        <f t="shared" si="3"/>
        <v>#ERROR!</v>
      </c>
      <c r="K150" s="681"/>
      <c r="L150" s="681"/>
      <c r="M150" s="681"/>
      <c r="N150" s="681"/>
      <c r="O150" s="681"/>
      <c r="P150" s="681"/>
      <c r="Q150" s="681"/>
      <c r="R150" s="681"/>
      <c r="S150" s="681"/>
      <c r="T150" s="681"/>
      <c r="U150" s="681"/>
      <c r="V150" s="681"/>
      <c r="W150" s="681"/>
      <c r="X150" s="681"/>
      <c r="Y150" s="681"/>
      <c r="Z150" s="681"/>
      <c r="AA150" s="681"/>
      <c r="AB150" s="681"/>
      <c r="AC150" s="681"/>
      <c r="AD150" s="67" t="str">
        <f t="shared" si="4"/>
        <v>#ERROR!</v>
      </c>
      <c r="AE150" s="682" t="str">
        <f t="shared" si="5"/>
        <v> </v>
      </c>
    </row>
    <row r="151" ht="42.0" customHeight="1">
      <c r="A151" s="694">
        <v>145.0</v>
      </c>
      <c r="B151" s="66" t="s">
        <v>611</v>
      </c>
      <c r="C151" s="225" t="s">
        <v>1143</v>
      </c>
      <c r="D151" s="65">
        <v>104524.0</v>
      </c>
      <c r="E151" s="91" t="str">
        <f>Consolidado!#REF!</f>
        <v>#ERROR!</v>
      </c>
      <c r="F151" s="91" t="str">
        <f>Consolidado!#REF!</f>
        <v>#ERROR!</v>
      </c>
      <c r="G151" s="91" t="str">
        <f>Consolidado!#REF!</f>
        <v>#ERROR!</v>
      </c>
      <c r="H151" s="80" t="str">
        <f t="shared" si="1"/>
        <v>#ERROR!</v>
      </c>
      <c r="I151" s="84" t="str">
        <f t="shared" si="2"/>
        <v>#ERROR!</v>
      </c>
      <c r="J151" s="84" t="str">
        <f t="shared" si="3"/>
        <v>#ERROR!</v>
      </c>
      <c r="K151" s="695"/>
      <c r="L151" s="695"/>
      <c r="M151" s="695"/>
      <c r="N151" s="695"/>
      <c r="O151" s="695"/>
      <c r="P151" s="695"/>
      <c r="Q151" s="695"/>
      <c r="R151" s="695"/>
      <c r="S151" s="695"/>
      <c r="T151" s="695"/>
      <c r="U151" s="695"/>
      <c r="V151" s="695"/>
      <c r="W151" s="695"/>
      <c r="X151" s="695"/>
      <c r="Y151" s="695"/>
      <c r="Z151" s="695"/>
      <c r="AA151" s="695"/>
      <c r="AB151" s="695"/>
      <c r="AC151" s="695"/>
      <c r="AD151" s="67" t="str">
        <f t="shared" si="4"/>
        <v>#ERROR!</v>
      </c>
      <c r="AE151" s="682" t="str">
        <f t="shared" si="5"/>
        <v> </v>
      </c>
    </row>
    <row r="152" ht="42.0" customHeight="1">
      <c r="A152" s="694">
        <v>146.0</v>
      </c>
      <c r="B152" s="66" t="s">
        <v>611</v>
      </c>
      <c r="C152" s="66" t="s">
        <v>669</v>
      </c>
      <c r="D152" s="65">
        <v>104525.0</v>
      </c>
      <c r="E152" s="91" t="str">
        <f>Consolidado!$AU$101</f>
        <v/>
      </c>
      <c r="F152" s="90" t="str">
        <f>Consolidado!$AV$101</f>
        <v/>
      </c>
      <c r="G152" s="91" t="str">
        <f>Consolidado!$AW$101</f>
        <v/>
      </c>
      <c r="H152" s="80" t="str">
        <f t="shared" si="1"/>
        <v>#NUM!</v>
      </c>
      <c r="I152" s="84" t="str">
        <f t="shared" si="2"/>
        <v>#NUM!</v>
      </c>
      <c r="J152" s="84">
        <f t="shared" si="3"/>
        <v>0</v>
      </c>
      <c r="K152" s="681"/>
      <c r="L152" s="681"/>
      <c r="M152" s="681"/>
      <c r="N152" s="681"/>
      <c r="O152" s="681"/>
      <c r="P152" s="681"/>
      <c r="Q152" s="681"/>
      <c r="R152" s="681"/>
      <c r="S152" s="681"/>
      <c r="T152" s="681"/>
      <c r="U152" s="681"/>
      <c r="V152" s="681"/>
      <c r="W152" s="681"/>
      <c r="X152" s="681"/>
      <c r="Y152" s="681"/>
      <c r="Z152" s="681"/>
      <c r="AA152" s="681"/>
      <c r="AB152" s="681"/>
      <c r="AC152" s="681"/>
      <c r="AD152" s="67" t="str">
        <f t="shared" si="4"/>
        <v>En proceso</v>
      </c>
      <c r="AE152" s="682" t="str">
        <f t="shared" si="5"/>
        <v> </v>
      </c>
    </row>
    <row r="153" ht="42.0" customHeight="1">
      <c r="A153" s="694">
        <v>147.0</v>
      </c>
      <c r="B153" s="66" t="s">
        <v>611</v>
      </c>
      <c r="C153" s="66" t="s">
        <v>652</v>
      </c>
      <c r="D153" s="65">
        <v>104528.0</v>
      </c>
      <c r="E153" s="91" t="str">
        <f>Consolidado!$AU$102</f>
        <v/>
      </c>
      <c r="F153" s="90" t="str">
        <f>Consolidado!$AV$102</f>
        <v/>
      </c>
      <c r="G153" s="91" t="str">
        <f>Consolidado!$AW$102</f>
        <v/>
      </c>
      <c r="H153" s="80" t="str">
        <f t="shared" si="1"/>
        <v>#NUM!</v>
      </c>
      <c r="I153" s="84" t="str">
        <f t="shared" si="2"/>
        <v>#NUM!</v>
      </c>
      <c r="J153" s="84">
        <f t="shared" si="3"/>
        <v>0</v>
      </c>
      <c r="K153" s="681"/>
      <c r="L153" s="681"/>
      <c r="M153" s="681"/>
      <c r="N153" s="681"/>
      <c r="O153" s="681"/>
      <c r="P153" s="681"/>
      <c r="Q153" s="681"/>
      <c r="R153" s="681"/>
      <c r="S153" s="681"/>
      <c r="T153" s="681"/>
      <c r="U153" s="681"/>
      <c r="V153" s="681"/>
      <c r="W153" s="681"/>
      <c r="X153" s="681"/>
      <c r="Y153" s="681"/>
      <c r="Z153" s="681"/>
      <c r="AA153" s="681"/>
      <c r="AB153" s="681"/>
      <c r="AC153" s="681"/>
      <c r="AD153" s="67" t="str">
        <f t="shared" si="4"/>
        <v>En proceso</v>
      </c>
      <c r="AE153" s="682" t="str">
        <f t="shared" si="5"/>
        <v> </v>
      </c>
    </row>
    <row r="154" ht="42.0" customHeight="1">
      <c r="A154" s="694">
        <v>148.0</v>
      </c>
      <c r="B154" s="66" t="s">
        <v>611</v>
      </c>
      <c r="C154" s="212" t="s">
        <v>1082</v>
      </c>
      <c r="D154" s="88">
        <v>104611.0</v>
      </c>
      <c r="E154" s="91" t="str">
        <f>Consolidado!$AU$103</f>
        <v/>
      </c>
      <c r="F154" s="90" t="str">
        <f>Consolidado!$AV$103</f>
        <v/>
      </c>
      <c r="G154" s="91" t="str">
        <f>Consolidado!$AW$103</f>
        <v/>
      </c>
      <c r="H154" s="80" t="str">
        <f t="shared" si="1"/>
        <v>#NUM!</v>
      </c>
      <c r="I154" s="84" t="str">
        <f t="shared" si="2"/>
        <v>#NUM!</v>
      </c>
      <c r="J154" s="84">
        <f t="shared" si="3"/>
        <v>0</v>
      </c>
      <c r="K154" s="681"/>
      <c r="L154" s="681"/>
      <c r="M154" s="681"/>
      <c r="N154" s="681"/>
      <c r="O154" s="681"/>
      <c r="P154" s="681"/>
      <c r="Q154" s="681"/>
      <c r="R154" s="681"/>
      <c r="S154" s="681"/>
      <c r="T154" s="681"/>
      <c r="U154" s="681"/>
      <c r="V154" s="681"/>
      <c r="W154" s="681"/>
      <c r="X154" s="681"/>
      <c r="Y154" s="681"/>
      <c r="Z154" s="681"/>
      <c r="AA154" s="681"/>
      <c r="AB154" s="681"/>
      <c r="AC154" s="681"/>
      <c r="AD154" s="67" t="str">
        <f t="shared" si="4"/>
        <v>En proceso</v>
      </c>
      <c r="AE154" s="682" t="str">
        <f t="shared" si="5"/>
        <v> </v>
      </c>
    </row>
    <row r="155" ht="42.0" customHeight="1">
      <c r="A155" s="694">
        <v>149.0</v>
      </c>
      <c r="B155" s="66" t="s">
        <v>611</v>
      </c>
      <c r="C155" s="212" t="s">
        <v>677</v>
      </c>
      <c r="D155" s="65">
        <v>105455.0</v>
      </c>
      <c r="E155" s="91" t="str">
        <f>Consolidado!$AU$104</f>
        <v/>
      </c>
      <c r="F155" s="90" t="str">
        <f>Consolidado!$AV$104</f>
        <v/>
      </c>
      <c r="G155" s="91" t="str">
        <f>Consolidado!$AW$104</f>
        <v/>
      </c>
      <c r="H155" s="80" t="str">
        <f t="shared" si="1"/>
        <v>#NUM!</v>
      </c>
      <c r="I155" s="84" t="str">
        <f t="shared" si="2"/>
        <v>#NUM!</v>
      </c>
      <c r="J155" s="84">
        <f t="shared" si="3"/>
        <v>0</v>
      </c>
      <c r="K155" s="681"/>
      <c r="L155" s="681"/>
      <c r="M155" s="681"/>
      <c r="N155" s="681"/>
      <c r="O155" s="681"/>
      <c r="P155" s="681"/>
      <c r="Q155" s="681"/>
      <c r="R155" s="681"/>
      <c r="S155" s="681"/>
      <c r="T155" s="681"/>
      <c r="U155" s="681"/>
      <c r="V155" s="681"/>
      <c r="W155" s="681"/>
      <c r="X155" s="681"/>
      <c r="Y155" s="681"/>
      <c r="Z155" s="681"/>
      <c r="AA155" s="681"/>
      <c r="AB155" s="681"/>
      <c r="AC155" s="681"/>
      <c r="AD155" s="67" t="str">
        <f t="shared" si="4"/>
        <v>En proceso</v>
      </c>
      <c r="AE155" s="682" t="str">
        <f t="shared" si="5"/>
        <v> </v>
      </c>
    </row>
    <row r="156" ht="42.0" customHeight="1">
      <c r="A156" s="694">
        <v>150.0</v>
      </c>
      <c r="B156" s="66" t="s">
        <v>611</v>
      </c>
      <c r="C156" s="212" t="s">
        <v>625</v>
      </c>
      <c r="D156" s="65">
        <v>109143.0</v>
      </c>
      <c r="E156" s="91" t="str">
        <f>+Consolidado!$AU$105</f>
        <v/>
      </c>
      <c r="F156" s="90" t="str">
        <f>+Consolidado!$AV$105</f>
        <v/>
      </c>
      <c r="G156" s="91" t="str">
        <f>+Consolidado!$AW$105</f>
        <v/>
      </c>
      <c r="H156" s="80" t="str">
        <f t="shared" si="1"/>
        <v>#NUM!</v>
      </c>
      <c r="I156" s="84" t="str">
        <f t="shared" si="2"/>
        <v>#NUM!</v>
      </c>
      <c r="J156" s="84">
        <f t="shared" si="3"/>
        <v>0</v>
      </c>
      <c r="K156" s="681"/>
      <c r="L156" s="681"/>
      <c r="M156" s="681"/>
      <c r="N156" s="681"/>
      <c r="O156" s="681"/>
      <c r="P156" s="681"/>
      <c r="Q156" s="681"/>
      <c r="R156" s="681"/>
      <c r="S156" s="681"/>
      <c r="T156" s="681"/>
      <c r="U156" s="681"/>
      <c r="V156" s="681"/>
      <c r="W156" s="681"/>
      <c r="X156" s="681"/>
      <c r="Y156" s="681"/>
      <c r="Z156" s="681"/>
      <c r="AA156" s="681"/>
      <c r="AB156" s="681"/>
      <c r="AC156" s="681"/>
      <c r="AD156" s="67"/>
      <c r="AE156" s="682"/>
    </row>
    <row r="157" ht="42.0" customHeight="1">
      <c r="A157" s="694">
        <v>151.0</v>
      </c>
      <c r="B157" s="66" t="s">
        <v>611</v>
      </c>
      <c r="C157" s="212" t="s">
        <v>620</v>
      </c>
      <c r="D157" s="65">
        <v>108684.0</v>
      </c>
      <c r="E157" s="91" t="str">
        <f>+Consolidado!AU106</f>
        <v/>
      </c>
      <c r="F157" s="90" t="str">
        <f>+Consolidado!$AV$106</f>
        <v/>
      </c>
      <c r="G157" s="91" t="str">
        <f>+Consolidado!$AW$106</f>
        <v/>
      </c>
      <c r="H157" s="80" t="str">
        <f t="shared" si="1"/>
        <v>#NUM!</v>
      </c>
      <c r="I157" s="84" t="str">
        <f t="shared" si="2"/>
        <v>#NUM!</v>
      </c>
      <c r="J157" s="84">
        <f t="shared" si="3"/>
        <v>0</v>
      </c>
      <c r="K157" s="681"/>
      <c r="L157" s="681"/>
      <c r="M157" s="681"/>
      <c r="N157" s="681"/>
      <c r="O157" s="681"/>
      <c r="P157" s="681"/>
      <c r="Q157" s="681"/>
      <c r="R157" s="681"/>
      <c r="S157" s="681"/>
      <c r="T157" s="681"/>
      <c r="U157" s="681"/>
      <c r="V157" s="681"/>
      <c r="W157" s="681"/>
      <c r="X157" s="681"/>
      <c r="Y157" s="681"/>
      <c r="Z157" s="681"/>
      <c r="AA157" s="681"/>
      <c r="AB157" s="681"/>
      <c r="AC157" s="681"/>
      <c r="AD157" s="67"/>
      <c r="AE157" s="682"/>
    </row>
    <row r="158" ht="42.0" customHeight="1">
      <c r="A158" s="694">
        <v>152.0</v>
      </c>
      <c r="B158" s="66" t="s">
        <v>611</v>
      </c>
      <c r="C158" s="212" t="s">
        <v>681</v>
      </c>
      <c r="D158" s="65">
        <v>105480.0</v>
      </c>
      <c r="E158" s="79" t="str">
        <f>Consolidado!#REF!</f>
        <v>#ERROR!</v>
      </c>
      <c r="F158" s="79" t="str">
        <f>Consolidado!#REF!</f>
        <v>#ERROR!</v>
      </c>
      <c r="G158" s="79" t="str">
        <f>Consolidado!#REF!</f>
        <v>#ERROR!</v>
      </c>
      <c r="H158" s="80" t="str">
        <f t="shared" si="1"/>
        <v>#ERROR!</v>
      </c>
      <c r="I158" s="84" t="str">
        <f t="shared" si="2"/>
        <v>#ERROR!</v>
      </c>
      <c r="J158" s="84" t="str">
        <f t="shared" si="3"/>
        <v>#ERROR!</v>
      </c>
      <c r="K158" s="681"/>
      <c r="L158" s="681"/>
      <c r="M158" s="681"/>
      <c r="N158" s="681"/>
      <c r="O158" s="681"/>
      <c r="P158" s="681"/>
      <c r="Q158" s="681"/>
      <c r="R158" s="681"/>
      <c r="S158" s="681"/>
      <c r="T158" s="681"/>
      <c r="U158" s="681"/>
      <c r="V158" s="681"/>
      <c r="W158" s="681"/>
      <c r="X158" s="681"/>
      <c r="Y158" s="681"/>
      <c r="Z158" s="681"/>
      <c r="AA158" s="681"/>
      <c r="AB158" s="681"/>
      <c r="AC158" s="681"/>
      <c r="AD158" s="67" t="str">
        <f t="shared" ref="AD158:AD175" si="9">IF(J158="N/A","N/A",IF(J158&gt;TODAY(),"Vigente","En proceso"))</f>
        <v>#ERROR!</v>
      </c>
      <c r="AE158" s="682" t="str">
        <f t="shared" ref="AE158:AE175" si="10">IF(K158="X",1,IF(L158="X",2,IF(M158="X",3,IF(N158="X",4,IF(O158="X",5,IF(P158="X",6,IF(Q158="X",7,IF(R158="X",8,IF(S158="X",9,IF(T158="X",10,IF(U158="X",11,IF(V158="X",12,IF(W158="X",13,IF(X158="X",14,IF(Y158="X",15,IF(Z158="X",16,IF(AA158="X",17,IF(AB158="X",18,IF(AC158="X",19," ")))))))))))))))))))</f>
        <v> </v>
      </c>
    </row>
    <row r="159" ht="42.0" customHeight="1">
      <c r="A159" s="694">
        <v>153.0</v>
      </c>
      <c r="B159" s="66" t="s">
        <v>611</v>
      </c>
      <c r="C159" s="66" t="s">
        <v>690</v>
      </c>
      <c r="D159" s="65">
        <v>106111.0</v>
      </c>
      <c r="E159" s="433">
        <f>Consolidado!$AU$108</f>
        <v>8598</v>
      </c>
      <c r="F159" s="90">
        <f>Consolidado!$AV$108</f>
        <v>45071</v>
      </c>
      <c r="G159" s="91">
        <f>Consolidado!$AW$108</f>
        <v>6</v>
      </c>
      <c r="H159" s="80">
        <f t="shared" si="1"/>
        <v>46837</v>
      </c>
      <c r="I159" s="84">
        <f t="shared" si="2"/>
        <v>46898</v>
      </c>
      <c r="J159" s="84">
        <f t="shared" si="3"/>
        <v>47263</v>
      </c>
      <c r="K159" s="681"/>
      <c r="L159" s="681"/>
      <c r="M159" s="681"/>
      <c r="N159" s="681"/>
      <c r="O159" s="681"/>
      <c r="P159" s="681"/>
      <c r="Q159" s="681"/>
      <c r="R159" s="681"/>
      <c r="S159" s="681"/>
      <c r="T159" s="681"/>
      <c r="U159" s="681"/>
      <c r="V159" s="681"/>
      <c r="W159" s="681"/>
      <c r="X159" s="681"/>
      <c r="Y159" s="681"/>
      <c r="Z159" s="681"/>
      <c r="AA159" s="681"/>
      <c r="AB159" s="681"/>
      <c r="AC159" s="681"/>
      <c r="AD159" s="67" t="str">
        <f t="shared" si="9"/>
        <v>Vigente</v>
      </c>
      <c r="AE159" s="682" t="str">
        <f t="shared" si="10"/>
        <v> </v>
      </c>
    </row>
    <row r="160" ht="42.0" customHeight="1">
      <c r="A160" s="696">
        <v>154.0</v>
      </c>
      <c r="B160" s="66" t="s">
        <v>695</v>
      </c>
      <c r="C160" s="66" t="s">
        <v>724</v>
      </c>
      <c r="D160" s="65">
        <v>223.0</v>
      </c>
      <c r="E160" s="433" t="str">
        <f>Consolidado!$AU$110</f>
        <v>N/A</v>
      </c>
      <c r="F160" s="84" t="str">
        <f>Consolidado!$AV$110</f>
        <v>N/A</v>
      </c>
      <c r="G160" s="91" t="str">
        <f>Consolidado!$AW$110</f>
        <v>N/A</v>
      </c>
      <c r="H160" s="80" t="str">
        <f t="shared" si="1"/>
        <v>#VALUE!</v>
      </c>
      <c r="I160" s="84" t="str">
        <f t="shared" si="2"/>
        <v>#VALUE!</v>
      </c>
      <c r="J160" s="84" t="str">
        <f t="shared" si="3"/>
        <v>#VALUE!</v>
      </c>
      <c r="K160" s="681"/>
      <c r="L160" s="681"/>
      <c r="M160" s="681"/>
      <c r="N160" s="681"/>
      <c r="O160" s="681"/>
      <c r="P160" s="681"/>
      <c r="Q160" s="681"/>
      <c r="R160" s="681"/>
      <c r="S160" s="681"/>
      <c r="T160" s="681"/>
      <c r="U160" s="681"/>
      <c r="V160" s="681"/>
      <c r="W160" s="681"/>
      <c r="X160" s="681"/>
      <c r="Y160" s="681"/>
      <c r="Z160" s="681"/>
      <c r="AA160" s="681"/>
      <c r="AB160" s="681"/>
      <c r="AC160" s="681"/>
      <c r="AD160" s="67" t="str">
        <f t="shared" si="9"/>
        <v>#VALUE!</v>
      </c>
      <c r="AE160" s="682" t="str">
        <f t="shared" si="10"/>
        <v> </v>
      </c>
    </row>
    <row r="161" ht="42.0" customHeight="1">
      <c r="A161" s="696">
        <v>155.0</v>
      </c>
      <c r="B161" s="66" t="s">
        <v>695</v>
      </c>
      <c r="C161" s="66" t="s">
        <v>706</v>
      </c>
      <c r="D161" s="65">
        <v>238.0</v>
      </c>
      <c r="E161" s="433" t="str">
        <f>Consolidado!$AU$111</f>
        <v>N/A</v>
      </c>
      <c r="F161" s="84" t="str">
        <f>+Consolidado!AV111</f>
        <v>N/A</v>
      </c>
      <c r="G161" s="91" t="str">
        <f>Consolidado!$AW$111</f>
        <v>N/A</v>
      </c>
      <c r="H161" s="80" t="str">
        <f t="shared" si="1"/>
        <v>#VALUE!</v>
      </c>
      <c r="I161" s="84" t="str">
        <f t="shared" si="2"/>
        <v>#VALUE!</v>
      </c>
      <c r="J161" s="84" t="str">
        <f t="shared" si="3"/>
        <v>#VALUE!</v>
      </c>
      <c r="K161" s="681"/>
      <c r="L161" s="681"/>
      <c r="M161" s="681"/>
      <c r="N161" s="681"/>
      <c r="O161" s="681"/>
      <c r="P161" s="681"/>
      <c r="Q161" s="681"/>
      <c r="R161" s="681"/>
      <c r="S161" s="681"/>
      <c r="T161" s="681"/>
      <c r="U161" s="681"/>
      <c r="V161" s="681"/>
      <c r="W161" s="681"/>
      <c r="X161" s="681"/>
      <c r="Y161" s="692"/>
      <c r="Z161" s="681"/>
      <c r="AA161" s="681"/>
      <c r="AB161" s="681"/>
      <c r="AC161" s="681"/>
      <c r="AD161" s="67" t="str">
        <f t="shared" si="9"/>
        <v>#VALUE!</v>
      </c>
      <c r="AE161" s="682" t="str">
        <f t="shared" si="10"/>
        <v> </v>
      </c>
    </row>
    <row r="162" ht="42.0" customHeight="1">
      <c r="A162" s="696">
        <v>156.0</v>
      </c>
      <c r="B162" s="66" t="s">
        <v>695</v>
      </c>
      <c r="C162" s="66" t="s">
        <v>737</v>
      </c>
      <c r="D162" s="65">
        <v>252.0</v>
      </c>
      <c r="E162" s="433">
        <f>Consolidado!$AU$112</f>
        <v>4006</v>
      </c>
      <c r="F162" s="90">
        <f>Consolidado!$AV$112</f>
        <v>43567</v>
      </c>
      <c r="G162" s="91">
        <f>Consolidado!$AW$112</f>
        <v>8</v>
      </c>
      <c r="H162" s="80">
        <f t="shared" si="1"/>
        <v>46065</v>
      </c>
      <c r="I162" s="84">
        <f t="shared" si="2"/>
        <v>46124</v>
      </c>
      <c r="J162" s="84">
        <f t="shared" si="3"/>
        <v>46489</v>
      </c>
      <c r="K162" s="681"/>
      <c r="L162" s="681"/>
      <c r="M162" s="681"/>
      <c r="N162" s="681"/>
      <c r="O162" s="681"/>
      <c r="P162" s="681"/>
      <c r="Q162" s="681"/>
      <c r="R162" s="681"/>
      <c r="S162" s="681"/>
      <c r="T162" s="681"/>
      <c r="U162" s="681"/>
      <c r="V162" s="681"/>
      <c r="W162" s="681"/>
      <c r="X162" s="681"/>
      <c r="Y162" s="681"/>
      <c r="Z162" s="681"/>
      <c r="AA162" s="681"/>
      <c r="AB162" s="681"/>
      <c r="AC162" s="681"/>
      <c r="AD162" s="67" t="str">
        <f t="shared" si="9"/>
        <v>Vigente</v>
      </c>
      <c r="AE162" s="682" t="str">
        <f t="shared" si="10"/>
        <v> </v>
      </c>
    </row>
    <row r="163" ht="42.0" customHeight="1">
      <c r="A163" s="696">
        <v>157.0</v>
      </c>
      <c r="B163" s="66" t="s">
        <v>695</v>
      </c>
      <c r="C163" s="66" t="s">
        <v>696</v>
      </c>
      <c r="D163" s="65">
        <v>4615.0</v>
      </c>
      <c r="E163" s="687">
        <f>Consolidado!$AU$113</f>
        <v>7576</v>
      </c>
      <c r="F163" s="78">
        <f>Consolidado!$AV$113</f>
        <v>43670</v>
      </c>
      <c r="G163" s="79">
        <f>Consolidado!$AW$113</f>
        <v>8</v>
      </c>
      <c r="H163" s="80">
        <f t="shared" si="1"/>
        <v>46166</v>
      </c>
      <c r="I163" s="84">
        <f t="shared" si="2"/>
        <v>46227</v>
      </c>
      <c r="J163" s="84">
        <f t="shared" si="3"/>
        <v>46592</v>
      </c>
      <c r="K163" s="681"/>
      <c r="L163" s="681"/>
      <c r="M163" s="681"/>
      <c r="N163" s="681"/>
      <c r="O163" s="681"/>
      <c r="P163" s="681"/>
      <c r="Q163" s="681"/>
      <c r="R163" s="681"/>
      <c r="S163" s="681"/>
      <c r="T163" s="681"/>
      <c r="U163" s="681"/>
      <c r="V163" s="681"/>
      <c r="W163" s="681"/>
      <c r="X163" s="681"/>
      <c r="Y163" s="681"/>
      <c r="Z163" s="681"/>
      <c r="AA163" s="681"/>
      <c r="AB163" s="681"/>
      <c r="AC163" s="681"/>
      <c r="AD163" s="67" t="str">
        <f t="shared" si="9"/>
        <v>Vigente</v>
      </c>
      <c r="AE163" s="682" t="str">
        <f t="shared" si="10"/>
        <v> </v>
      </c>
    </row>
    <row r="164" ht="42.0" customHeight="1">
      <c r="A164" s="696">
        <v>158.0</v>
      </c>
      <c r="B164" s="66" t="s">
        <v>695</v>
      </c>
      <c r="C164" s="66" t="s">
        <v>774</v>
      </c>
      <c r="D164" s="65">
        <v>7519.0</v>
      </c>
      <c r="E164" s="433" t="str">
        <f>Consolidado!$AU$114</f>
        <v/>
      </c>
      <c r="F164" s="84" t="str">
        <f>Consolidado!$AV$114</f>
        <v/>
      </c>
      <c r="G164" s="91" t="str">
        <f>Consolidado!$AW$114</f>
        <v/>
      </c>
      <c r="H164" s="80" t="str">
        <f t="shared" si="1"/>
        <v>#NUM!</v>
      </c>
      <c r="I164" s="84" t="str">
        <f t="shared" si="2"/>
        <v>#NUM!</v>
      </c>
      <c r="J164" s="84">
        <f t="shared" si="3"/>
        <v>0</v>
      </c>
      <c r="K164" s="681"/>
      <c r="L164" s="681"/>
      <c r="M164" s="681"/>
      <c r="N164" s="681"/>
      <c r="O164" s="681"/>
      <c r="P164" s="681"/>
      <c r="Q164" s="681"/>
      <c r="R164" s="681"/>
      <c r="S164" s="681"/>
      <c r="T164" s="681"/>
      <c r="U164" s="681"/>
      <c r="V164" s="681"/>
      <c r="W164" s="681"/>
      <c r="X164" s="681"/>
      <c r="Y164" s="681"/>
      <c r="Z164" s="681"/>
      <c r="AA164" s="681"/>
      <c r="AB164" s="667"/>
      <c r="AC164" s="681"/>
      <c r="AD164" s="67" t="str">
        <f t="shared" si="9"/>
        <v>En proceso</v>
      </c>
      <c r="AE164" s="682" t="str">
        <f t="shared" si="10"/>
        <v> </v>
      </c>
    </row>
    <row r="165" ht="42.0" customHeight="1">
      <c r="A165" s="696">
        <v>159.0</v>
      </c>
      <c r="B165" s="66" t="s">
        <v>695</v>
      </c>
      <c r="C165" s="66" t="s">
        <v>731</v>
      </c>
      <c r="D165" s="65">
        <v>7520.0</v>
      </c>
      <c r="E165" s="433">
        <f>Consolidado!$AU$115</f>
        <v>13233</v>
      </c>
      <c r="F165" s="84">
        <f>Consolidado!$AV$115</f>
        <v>44029</v>
      </c>
      <c r="G165" s="91">
        <f>Consolidado!$AW$115</f>
        <v>6</v>
      </c>
      <c r="H165" s="80">
        <f t="shared" si="1"/>
        <v>45794</v>
      </c>
      <c r="I165" s="84">
        <f t="shared" si="2"/>
        <v>45855</v>
      </c>
      <c r="J165" s="84">
        <f t="shared" si="3"/>
        <v>46220</v>
      </c>
      <c r="K165" s="681"/>
      <c r="L165" s="681"/>
      <c r="M165" s="681"/>
      <c r="N165" s="681"/>
      <c r="O165" s="681"/>
      <c r="P165" s="681"/>
      <c r="Q165" s="681"/>
      <c r="R165" s="681"/>
      <c r="S165" s="681"/>
      <c r="T165" s="681"/>
      <c r="U165" s="681"/>
      <c r="V165" s="681"/>
      <c r="W165" s="681"/>
      <c r="X165" s="681"/>
      <c r="Y165" s="681"/>
      <c r="Z165" s="681"/>
      <c r="AA165" s="681"/>
      <c r="AB165" s="681"/>
      <c r="AC165" s="681"/>
      <c r="AD165" s="67" t="str">
        <f t="shared" si="9"/>
        <v>Vigente</v>
      </c>
      <c r="AE165" s="682" t="str">
        <f t="shared" si="10"/>
        <v> </v>
      </c>
    </row>
    <row r="166" ht="42.0" customHeight="1">
      <c r="A166" s="696">
        <v>160.0</v>
      </c>
      <c r="B166" s="66" t="s">
        <v>695</v>
      </c>
      <c r="C166" s="66" t="s">
        <v>1144</v>
      </c>
      <c r="D166" s="65">
        <v>19814.0</v>
      </c>
      <c r="E166" s="79" t="str">
        <f>Consolidado!#REF!</f>
        <v>#ERROR!</v>
      </c>
      <c r="F166" s="79" t="str">
        <f>Consolidado!#REF!</f>
        <v>#ERROR!</v>
      </c>
      <c r="G166" s="79" t="str">
        <f>Consolidado!#REF!</f>
        <v>#ERROR!</v>
      </c>
      <c r="H166" s="80" t="str">
        <f t="shared" si="1"/>
        <v>#ERROR!</v>
      </c>
      <c r="I166" s="84" t="str">
        <f t="shared" si="2"/>
        <v>#ERROR!</v>
      </c>
      <c r="J166" s="84" t="str">
        <f t="shared" si="3"/>
        <v>#ERROR!</v>
      </c>
      <c r="K166" s="681"/>
      <c r="L166" s="681"/>
      <c r="M166" s="681"/>
      <c r="N166" s="681"/>
      <c r="O166" s="681"/>
      <c r="P166" s="681"/>
      <c r="Q166" s="681"/>
      <c r="R166" s="681"/>
      <c r="S166" s="681"/>
      <c r="T166" s="681"/>
      <c r="U166" s="681"/>
      <c r="V166" s="681"/>
      <c r="W166" s="681"/>
      <c r="X166" s="681"/>
      <c r="Y166" s="681"/>
      <c r="Z166" s="681"/>
      <c r="AA166" s="681"/>
      <c r="AB166" s="681"/>
      <c r="AC166" s="681"/>
      <c r="AD166" s="67" t="str">
        <f t="shared" si="9"/>
        <v>#ERROR!</v>
      </c>
      <c r="AE166" s="682" t="str">
        <f t="shared" si="10"/>
        <v> </v>
      </c>
    </row>
    <row r="167" ht="42.0" customHeight="1">
      <c r="A167" s="696">
        <v>161.0</v>
      </c>
      <c r="B167" s="66" t="s">
        <v>695</v>
      </c>
      <c r="C167" s="66" t="s">
        <v>768</v>
      </c>
      <c r="D167" s="65">
        <v>53505.0</v>
      </c>
      <c r="E167" s="433">
        <f>Consolidado!$AU$116</f>
        <v>3248</v>
      </c>
      <c r="F167" s="74">
        <f>Consolidado!$AV$116</f>
        <v>43895</v>
      </c>
      <c r="G167" s="91">
        <f>Consolidado!$AW$116</f>
        <v>8</v>
      </c>
      <c r="H167" s="80">
        <f t="shared" si="1"/>
        <v>46392</v>
      </c>
      <c r="I167" s="84">
        <f t="shared" si="2"/>
        <v>46451</v>
      </c>
      <c r="J167" s="84">
        <f t="shared" si="3"/>
        <v>46817</v>
      </c>
      <c r="K167" s="681"/>
      <c r="L167" s="681"/>
      <c r="M167" s="681"/>
      <c r="N167" s="681"/>
      <c r="O167" s="681"/>
      <c r="P167" s="681"/>
      <c r="Q167" s="681"/>
      <c r="R167" s="681"/>
      <c r="S167" s="681"/>
      <c r="T167" s="681"/>
      <c r="U167" s="681"/>
      <c r="V167" s="681"/>
      <c r="W167" s="681"/>
      <c r="X167" s="681"/>
      <c r="Y167" s="681"/>
      <c r="Z167" s="681"/>
      <c r="AA167" s="681"/>
      <c r="AB167" s="681"/>
      <c r="AC167" s="681"/>
      <c r="AD167" s="67" t="str">
        <f t="shared" si="9"/>
        <v>Vigente</v>
      </c>
      <c r="AE167" s="682" t="str">
        <f t="shared" si="10"/>
        <v> </v>
      </c>
    </row>
    <row r="168" ht="42.0" customHeight="1">
      <c r="A168" s="696">
        <v>162.0</v>
      </c>
      <c r="B168" s="66" t="s">
        <v>695</v>
      </c>
      <c r="C168" s="66" t="s">
        <v>742</v>
      </c>
      <c r="D168" s="65">
        <v>53918.0</v>
      </c>
      <c r="E168" s="433" t="str">
        <f>Consolidado!$AU$117</f>
        <v/>
      </c>
      <c r="F168" s="84" t="str">
        <f>Consolidado!$AV$117</f>
        <v/>
      </c>
      <c r="G168" s="91" t="str">
        <f>Consolidado!$AW$117</f>
        <v/>
      </c>
      <c r="H168" s="80" t="str">
        <f t="shared" si="1"/>
        <v>#NUM!</v>
      </c>
      <c r="I168" s="84" t="str">
        <f t="shared" si="2"/>
        <v>#NUM!</v>
      </c>
      <c r="J168" s="84">
        <f t="shared" si="3"/>
        <v>0</v>
      </c>
      <c r="K168" s="681"/>
      <c r="L168" s="681" t="s">
        <v>1108</v>
      </c>
      <c r="M168" s="681"/>
      <c r="N168" s="681"/>
      <c r="O168" s="681"/>
      <c r="P168" s="681"/>
      <c r="Q168" s="681"/>
      <c r="R168" s="681"/>
      <c r="S168" s="681"/>
      <c r="T168" s="681"/>
      <c r="U168" s="681"/>
      <c r="V168" s="681"/>
      <c r="W168" s="681"/>
      <c r="X168" s="681"/>
      <c r="Y168" s="681"/>
      <c r="Z168" s="681"/>
      <c r="AA168" s="681"/>
      <c r="AB168" s="681"/>
      <c r="AC168" s="681"/>
      <c r="AD168" s="67" t="str">
        <f t="shared" si="9"/>
        <v>En proceso</v>
      </c>
      <c r="AE168" s="682">
        <f t="shared" si="10"/>
        <v>2</v>
      </c>
    </row>
    <row r="169" ht="42.0" customHeight="1">
      <c r="A169" s="696">
        <v>163.0</v>
      </c>
      <c r="B169" s="66" t="s">
        <v>695</v>
      </c>
      <c r="C169" s="66" t="s">
        <v>762</v>
      </c>
      <c r="D169" s="65">
        <v>54103.0</v>
      </c>
      <c r="E169" s="433">
        <f>Consolidado!$AU$118</f>
        <v>16771</v>
      </c>
      <c r="F169" s="74">
        <f>Consolidado!$AV$118</f>
        <v>44447</v>
      </c>
      <c r="G169" s="91">
        <f>Consolidado!$AW$118</f>
        <v>6</v>
      </c>
      <c r="H169" s="80">
        <f t="shared" si="1"/>
        <v>46211</v>
      </c>
      <c r="I169" s="84">
        <f t="shared" si="2"/>
        <v>46273</v>
      </c>
      <c r="J169" s="84">
        <f t="shared" si="3"/>
        <v>46638</v>
      </c>
      <c r="K169" s="681"/>
      <c r="L169" s="681"/>
      <c r="M169" s="681"/>
      <c r="N169" s="681"/>
      <c r="O169" s="681"/>
      <c r="P169" s="681"/>
      <c r="Q169" s="681"/>
      <c r="R169" s="681"/>
      <c r="S169" s="681"/>
      <c r="T169" s="681"/>
      <c r="U169" s="681"/>
      <c r="V169" s="681"/>
      <c r="W169" s="681"/>
      <c r="X169" s="681"/>
      <c r="Y169" s="681"/>
      <c r="Z169" s="681"/>
      <c r="AA169" s="681"/>
      <c r="AB169" s="681"/>
      <c r="AC169" s="681"/>
      <c r="AD169" s="67" t="str">
        <f t="shared" si="9"/>
        <v>Vigente</v>
      </c>
      <c r="AE169" s="682" t="str">
        <f t="shared" si="10"/>
        <v> </v>
      </c>
    </row>
    <row r="170" ht="42.0" customHeight="1">
      <c r="A170" s="696">
        <v>164.0</v>
      </c>
      <c r="B170" s="66" t="s">
        <v>695</v>
      </c>
      <c r="C170" s="66" t="s">
        <v>755</v>
      </c>
      <c r="D170" s="65">
        <v>55175.0</v>
      </c>
      <c r="E170" s="433" t="str">
        <f>Consolidado!$AU$119</f>
        <v/>
      </c>
      <c r="F170" s="84" t="str">
        <f>Consolidado!$AV$119</f>
        <v/>
      </c>
      <c r="G170" s="91" t="str">
        <f>Consolidado!$AW$119</f>
        <v/>
      </c>
      <c r="H170" s="80" t="str">
        <f t="shared" si="1"/>
        <v>#NUM!</v>
      </c>
      <c r="I170" s="84" t="str">
        <f t="shared" si="2"/>
        <v>#NUM!</v>
      </c>
      <c r="J170" s="84">
        <f t="shared" si="3"/>
        <v>0</v>
      </c>
      <c r="K170" s="681"/>
      <c r="L170" s="681"/>
      <c r="M170" s="681"/>
      <c r="N170" s="681"/>
      <c r="O170" s="681"/>
      <c r="P170" s="681"/>
      <c r="Q170" s="681"/>
      <c r="R170" s="681"/>
      <c r="S170" s="681"/>
      <c r="T170" s="681"/>
      <c r="U170" s="681"/>
      <c r="V170" s="681"/>
      <c r="W170" s="681"/>
      <c r="X170" s="681"/>
      <c r="Y170" s="681"/>
      <c r="Z170" s="681"/>
      <c r="AA170" s="681"/>
      <c r="AB170" s="681"/>
      <c r="AC170" s="681"/>
      <c r="AD170" s="67" t="str">
        <f t="shared" si="9"/>
        <v>En proceso</v>
      </c>
      <c r="AE170" s="682" t="str">
        <f t="shared" si="10"/>
        <v> </v>
      </c>
    </row>
    <row r="171" ht="42.0" customHeight="1">
      <c r="A171" s="696">
        <v>165.0</v>
      </c>
      <c r="B171" s="66" t="s">
        <v>695</v>
      </c>
      <c r="C171" s="66" t="s">
        <v>714</v>
      </c>
      <c r="D171" s="65">
        <v>90930.0</v>
      </c>
      <c r="E171" s="433" t="str">
        <f>Consolidado!$AU$120</f>
        <v>N/A</v>
      </c>
      <c r="F171" s="84" t="str">
        <f>Consolidado!$AV$120</f>
        <v>N/A</v>
      </c>
      <c r="G171" s="91" t="str">
        <f>Consolidado!$AW$120</f>
        <v>N/A</v>
      </c>
      <c r="H171" s="80" t="str">
        <f t="shared" si="1"/>
        <v>#VALUE!</v>
      </c>
      <c r="I171" s="84" t="str">
        <f t="shared" si="2"/>
        <v>#VALUE!</v>
      </c>
      <c r="J171" s="84" t="str">
        <f t="shared" si="3"/>
        <v>#VALUE!</v>
      </c>
      <c r="K171" s="681"/>
      <c r="L171" s="681"/>
      <c r="M171" s="681"/>
      <c r="N171" s="681"/>
      <c r="O171" s="681"/>
      <c r="P171" s="681"/>
      <c r="Q171" s="681"/>
      <c r="R171" s="681"/>
      <c r="S171" s="681"/>
      <c r="T171" s="681"/>
      <c r="U171" s="681"/>
      <c r="V171" s="681"/>
      <c r="W171" s="681"/>
      <c r="X171" s="681"/>
      <c r="Y171" s="681"/>
      <c r="Z171" s="681"/>
      <c r="AA171" s="681"/>
      <c r="AB171" s="681"/>
      <c r="AC171" s="681"/>
      <c r="AD171" s="67" t="str">
        <f t="shared" si="9"/>
        <v>#VALUE!</v>
      </c>
      <c r="AE171" s="682" t="str">
        <f t="shared" si="10"/>
        <v> </v>
      </c>
    </row>
    <row r="172" ht="42.0" customHeight="1">
      <c r="A172" s="696">
        <v>166.0</v>
      </c>
      <c r="B172" s="66" t="s">
        <v>695</v>
      </c>
      <c r="C172" s="66" t="s">
        <v>696</v>
      </c>
      <c r="D172" s="65">
        <v>101755.0</v>
      </c>
      <c r="E172" s="687">
        <f>Consolidado!$AU$121</f>
        <v>20074</v>
      </c>
      <c r="F172" s="78">
        <f>Consolidado!$AV$121</f>
        <v>45230</v>
      </c>
      <c r="G172" s="79">
        <f>Consolidado!$AW$121</f>
        <v>4</v>
      </c>
      <c r="H172" s="80">
        <f t="shared" si="1"/>
        <v>46265</v>
      </c>
      <c r="I172" s="84">
        <f t="shared" si="2"/>
        <v>46326</v>
      </c>
      <c r="J172" s="84">
        <f t="shared" si="3"/>
        <v>46691</v>
      </c>
      <c r="K172" s="681"/>
      <c r="L172" s="681"/>
      <c r="M172" s="681"/>
      <c r="N172" s="681"/>
      <c r="O172" s="681"/>
      <c r="P172" s="681"/>
      <c r="Q172" s="681"/>
      <c r="R172" s="681"/>
      <c r="S172" s="681"/>
      <c r="T172" s="681"/>
      <c r="U172" s="681"/>
      <c r="V172" s="681"/>
      <c r="W172" s="681"/>
      <c r="X172" s="681"/>
      <c r="Y172" s="681"/>
      <c r="Z172" s="681"/>
      <c r="AA172" s="681"/>
      <c r="AB172" s="681"/>
      <c r="AC172" s="681"/>
      <c r="AD172" s="67" t="str">
        <f t="shared" si="9"/>
        <v>Vigente</v>
      </c>
      <c r="AE172" s="682" t="str">
        <f t="shared" si="10"/>
        <v> </v>
      </c>
    </row>
    <row r="173" ht="42.0" customHeight="1">
      <c r="A173" s="696">
        <v>167.0</v>
      </c>
      <c r="B173" s="240" t="s">
        <v>695</v>
      </c>
      <c r="C173" s="240" t="s">
        <v>747</v>
      </c>
      <c r="D173" s="239">
        <v>104646.0</v>
      </c>
      <c r="E173" s="697">
        <f>Consolidado!$AU$122</f>
        <v>20075</v>
      </c>
      <c r="F173" s="698">
        <f>Consolidado!$AV$122</f>
        <v>45230</v>
      </c>
      <c r="G173" s="699">
        <f>Consolidado!$AW$122</f>
        <v>6</v>
      </c>
      <c r="H173" s="80">
        <f t="shared" si="1"/>
        <v>46996</v>
      </c>
      <c r="I173" s="84">
        <f t="shared" si="2"/>
        <v>47057</v>
      </c>
      <c r="J173" s="84">
        <f t="shared" si="3"/>
        <v>47422</v>
      </c>
      <c r="K173" s="700"/>
      <c r="L173" s="700"/>
      <c r="M173" s="700"/>
      <c r="N173" s="700"/>
      <c r="O173" s="700"/>
      <c r="P173" s="700"/>
      <c r="Q173" s="700"/>
      <c r="R173" s="700"/>
      <c r="S173" s="700"/>
      <c r="T173" s="700"/>
      <c r="U173" s="700"/>
      <c r="V173" s="700"/>
      <c r="W173" s="700"/>
      <c r="X173" s="700"/>
      <c r="Y173" s="700"/>
      <c r="Z173" s="700"/>
      <c r="AA173" s="700"/>
      <c r="AB173" s="700"/>
      <c r="AC173" s="700"/>
      <c r="AD173" s="67" t="str">
        <f t="shared" si="9"/>
        <v>Vigente</v>
      </c>
      <c r="AE173" s="682" t="str">
        <f t="shared" si="10"/>
        <v> </v>
      </c>
    </row>
    <row r="174" ht="42.0" customHeight="1">
      <c r="A174" s="696">
        <v>168.0</v>
      </c>
      <c r="B174" s="240" t="s">
        <v>695</v>
      </c>
      <c r="C174" s="240" t="s">
        <v>752</v>
      </c>
      <c r="D174" s="239">
        <v>105149.0</v>
      </c>
      <c r="E174" s="701">
        <f>Consolidado!$AU$123</f>
        <v>20747</v>
      </c>
      <c r="F174" s="702">
        <f>Consolidado!$AV$123</f>
        <v>45232</v>
      </c>
      <c r="G174" s="703">
        <f>Consolidado!$AW$123</f>
        <v>6</v>
      </c>
      <c r="H174" s="80">
        <f t="shared" si="1"/>
        <v>46998</v>
      </c>
      <c r="I174" s="84">
        <f t="shared" si="2"/>
        <v>47059</v>
      </c>
      <c r="J174" s="84">
        <f t="shared" si="3"/>
        <v>47424</v>
      </c>
      <c r="K174" s="700"/>
      <c r="L174" s="700"/>
      <c r="M174" s="700"/>
      <c r="N174" s="700"/>
      <c r="O174" s="700"/>
      <c r="P174" s="700"/>
      <c r="Q174" s="700"/>
      <c r="R174" s="700"/>
      <c r="S174" s="700"/>
      <c r="T174" s="700"/>
      <c r="U174" s="700"/>
      <c r="V174" s="700"/>
      <c r="W174" s="700"/>
      <c r="X174" s="700"/>
      <c r="Y174" s="700"/>
      <c r="Z174" s="700"/>
      <c r="AA174" s="700"/>
      <c r="AB174" s="700"/>
      <c r="AC174" s="700"/>
      <c r="AD174" s="67" t="str">
        <f t="shared" si="9"/>
        <v>Vigente</v>
      </c>
      <c r="AE174" s="682" t="str">
        <f t="shared" si="10"/>
        <v> </v>
      </c>
    </row>
    <row r="175" ht="42.0" customHeight="1">
      <c r="A175" s="704">
        <v>169.0</v>
      </c>
      <c r="B175" s="705" t="s">
        <v>695</v>
      </c>
      <c r="C175" s="705" t="s">
        <v>731</v>
      </c>
      <c r="D175" s="706">
        <v>105430.0</v>
      </c>
      <c r="E175" s="707" t="str">
        <f>Consolidado!#REF!</f>
        <v>#ERROR!</v>
      </c>
      <c r="F175" s="707" t="str">
        <f>Consolidado!#REF!</f>
        <v>#ERROR!</v>
      </c>
      <c r="G175" s="707" t="str">
        <f>Consolidado!#REF!</f>
        <v>#ERROR!</v>
      </c>
      <c r="H175" s="708" t="str">
        <f t="shared" si="1"/>
        <v>#ERROR!</v>
      </c>
      <c r="I175" s="709" t="str">
        <f t="shared" si="2"/>
        <v>#ERROR!</v>
      </c>
      <c r="J175" s="709" t="str">
        <f t="shared" si="3"/>
        <v>#ERROR!</v>
      </c>
      <c r="K175" s="710"/>
      <c r="L175" s="710"/>
      <c r="M175" s="710"/>
      <c r="N175" s="710"/>
      <c r="O175" s="710"/>
      <c r="P175" s="710"/>
      <c r="Q175" s="710"/>
      <c r="R175" s="710"/>
      <c r="S175" s="710"/>
      <c r="T175" s="710"/>
      <c r="U175" s="710"/>
      <c r="V175" s="710"/>
      <c r="W175" s="710"/>
      <c r="X175" s="710"/>
      <c r="Y175" s="710"/>
      <c r="Z175" s="710"/>
      <c r="AA175" s="710"/>
      <c r="AB175" s="710"/>
      <c r="AC175" s="710"/>
      <c r="AD175" s="711" t="str">
        <f t="shared" si="9"/>
        <v>#ERROR!</v>
      </c>
      <c r="AE175" s="712" t="str">
        <f t="shared" si="10"/>
        <v> </v>
      </c>
    </row>
  </sheetData>
  <mergeCells count="4">
    <mergeCell ref="A1:J1"/>
    <mergeCell ref="A2:D2"/>
    <mergeCell ref="A3:D3"/>
    <mergeCell ref="A4:D4"/>
  </mergeCells>
  <printOptions/>
  <pageMargins bottom="0.75" footer="0.0" header="0.0" left="0.7" right="0.7" top="0.75"/>
  <pageSetup orientation="portrait"/>
  <drawing r:id="rId2"/>
  <legacyDrawing r:id="rId3"/>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00000"/>
    <pageSetUpPr/>
  </sheetPr>
  <sheetViews>
    <sheetView workbookViewId="0"/>
  </sheetViews>
  <sheetFormatPr customHeight="1" defaultColWidth="12.63" defaultRowHeight="15.0"/>
  <cols>
    <col customWidth="1" min="1" max="1" width="3.38"/>
    <col customWidth="1" min="2" max="2" width="49.13"/>
    <col customWidth="1" min="3" max="26" width="10.13"/>
  </cols>
  <sheetData>
    <row r="2" ht="12.75" customHeight="1">
      <c r="A2" s="402"/>
      <c r="B2" s="402"/>
      <c r="C2" s="403" t="s">
        <v>0</v>
      </c>
      <c r="D2" s="402"/>
      <c r="E2" s="402"/>
      <c r="F2" s="402"/>
      <c r="G2" s="391"/>
      <c r="H2" s="713" t="s">
        <v>954</v>
      </c>
      <c r="I2" s="714" t="s">
        <v>1145</v>
      </c>
      <c r="J2" s="715"/>
      <c r="K2" s="716"/>
      <c r="L2" s="402"/>
      <c r="M2" s="396"/>
      <c r="N2" s="401"/>
      <c r="O2" s="401"/>
      <c r="P2" s="401"/>
      <c r="Q2" s="401"/>
      <c r="R2" s="401"/>
      <c r="S2" s="401"/>
      <c r="T2" s="401"/>
      <c r="U2" s="401"/>
      <c r="V2" s="401"/>
    </row>
    <row r="3" ht="12.75" customHeight="1">
      <c r="A3" s="402"/>
      <c r="B3" s="402"/>
      <c r="C3" s="403" t="s">
        <v>1146</v>
      </c>
      <c r="D3" s="402"/>
      <c r="E3" s="402"/>
      <c r="F3" s="404"/>
      <c r="G3" s="717" t="s">
        <v>1147</v>
      </c>
      <c r="H3" s="718">
        <f>V16</f>
        <v>26</v>
      </c>
      <c r="I3" s="719" t="s">
        <v>1148</v>
      </c>
      <c r="J3" s="720"/>
      <c r="K3" s="716"/>
      <c r="L3" s="402"/>
      <c r="M3" s="396"/>
      <c r="N3" s="401"/>
      <c r="O3" s="401"/>
      <c r="P3" s="401"/>
      <c r="Q3" s="401"/>
      <c r="R3" s="401"/>
      <c r="S3" s="401"/>
      <c r="T3" s="401"/>
      <c r="U3" s="401"/>
      <c r="V3" s="401"/>
    </row>
    <row r="4" ht="12.75" customHeight="1">
      <c r="A4" s="402"/>
      <c r="B4" s="402"/>
      <c r="C4" s="411" t="s">
        <v>1149</v>
      </c>
      <c r="D4" s="402"/>
      <c r="E4" s="402"/>
      <c r="F4" s="402"/>
      <c r="G4" s="721"/>
      <c r="H4" s="722"/>
      <c r="I4" s="723"/>
      <c r="J4" s="724"/>
      <c r="K4" s="402"/>
      <c r="L4" s="402"/>
      <c r="M4" s="396"/>
      <c r="N4" s="401"/>
      <c r="O4" s="401"/>
      <c r="P4" s="401"/>
      <c r="Q4" s="401"/>
      <c r="R4" s="401"/>
      <c r="S4" s="401"/>
      <c r="T4" s="401"/>
      <c r="U4" s="401"/>
      <c r="V4" s="401"/>
    </row>
    <row r="5" ht="12.75" customHeight="1">
      <c r="A5" s="401"/>
      <c r="B5" s="401"/>
      <c r="C5" s="401"/>
      <c r="D5" s="401"/>
      <c r="E5" s="401"/>
      <c r="F5" s="401"/>
      <c r="G5" s="725"/>
      <c r="H5" s="725"/>
      <c r="I5" s="725"/>
      <c r="J5" s="725"/>
      <c r="K5" s="401"/>
      <c r="L5" s="401"/>
      <c r="M5" s="396"/>
      <c r="N5" s="401"/>
      <c r="O5" s="401"/>
      <c r="P5" s="401"/>
      <c r="Q5" s="401"/>
      <c r="R5" s="401"/>
      <c r="S5" s="401"/>
      <c r="T5" s="401"/>
      <c r="U5" s="401"/>
      <c r="V5" s="401"/>
    </row>
    <row r="6" ht="12.75" customHeight="1">
      <c r="A6" s="726" t="s">
        <v>965</v>
      </c>
      <c r="B6" s="726" t="s">
        <v>19</v>
      </c>
      <c r="C6" s="726" t="s">
        <v>1088</v>
      </c>
      <c r="D6" s="726" t="s">
        <v>1089</v>
      </c>
      <c r="E6" s="726" t="s">
        <v>1090</v>
      </c>
      <c r="F6" s="726" t="s">
        <v>1091</v>
      </c>
      <c r="G6" s="726" t="s">
        <v>1092</v>
      </c>
      <c r="H6" s="726" t="s">
        <v>1093</v>
      </c>
      <c r="I6" s="726" t="s">
        <v>1094</v>
      </c>
      <c r="J6" s="726" t="s">
        <v>1095</v>
      </c>
      <c r="K6" s="726" t="s">
        <v>1096</v>
      </c>
      <c r="L6" s="726" t="s">
        <v>1097</v>
      </c>
      <c r="M6" s="726" t="s">
        <v>1098</v>
      </c>
      <c r="N6" s="726" t="s">
        <v>1099</v>
      </c>
      <c r="O6" s="726" t="s">
        <v>1100</v>
      </c>
      <c r="P6" s="726" t="s">
        <v>1101</v>
      </c>
      <c r="Q6" s="726" t="s">
        <v>1102</v>
      </c>
      <c r="R6" s="726" t="s">
        <v>1103</v>
      </c>
      <c r="S6" s="726" t="s">
        <v>1104</v>
      </c>
      <c r="T6" s="726" t="s">
        <v>1105</v>
      </c>
      <c r="U6" s="726" t="s">
        <v>1106</v>
      </c>
      <c r="V6" s="726" t="s">
        <v>1150</v>
      </c>
    </row>
    <row r="7" ht="15.75" customHeight="1">
      <c r="A7" s="618">
        <v>1.0</v>
      </c>
      <c r="B7" s="727" t="s">
        <v>74</v>
      </c>
      <c r="C7" s="728">
        <f>COUNTIF('Rutas AAC'!K7:K13,"X")</f>
        <v>0</v>
      </c>
      <c r="D7" s="728">
        <f>COUNTIF('Rutas AAC'!L7:L13,"X")</f>
        <v>0</v>
      </c>
      <c r="E7" s="728">
        <f>COUNTIF('Rutas AAC'!M7:M13,"X")</f>
        <v>0</v>
      </c>
      <c r="F7" s="728">
        <f>COUNTIF('Rutas AAC'!N7:N13,"X")</f>
        <v>0</v>
      </c>
      <c r="G7" s="728">
        <f>COUNTIF('Rutas AAC'!O7:O13,"X")</f>
        <v>0</v>
      </c>
      <c r="H7" s="728">
        <f>COUNTIF('Rutas AAC'!P7:P13,"X")</f>
        <v>0</v>
      </c>
      <c r="I7" s="728">
        <f>COUNTIF('Rutas AAC'!Q7:Q13,"X")</f>
        <v>0</v>
      </c>
      <c r="J7" s="728">
        <f>COUNTIF('Rutas AAC'!R7:R13,"X")</f>
        <v>0</v>
      </c>
      <c r="K7" s="728">
        <f>COUNTIF('Rutas AAC'!S7:S13,"X")</f>
        <v>0</v>
      </c>
      <c r="L7" s="728">
        <f>COUNTIF('Rutas AAC'!T7:T13,"X")</f>
        <v>0</v>
      </c>
      <c r="M7" s="728">
        <f>COUNTIF('Rutas AAC'!U7:U13,"X")</f>
        <v>0</v>
      </c>
      <c r="N7" s="728">
        <f>COUNTIF('Rutas AAC'!V7:V13,"X")</f>
        <v>0</v>
      </c>
      <c r="O7" s="728">
        <f>COUNTIF('Rutas AAC'!W7:W13,"X")</f>
        <v>0</v>
      </c>
      <c r="P7" s="728">
        <f>COUNTIF('Rutas AAC'!X7:X13,"X")</f>
        <v>0</v>
      </c>
      <c r="Q7" s="728">
        <f>COUNTIF('Rutas AAC'!Y7:Y13,"X")</f>
        <v>0</v>
      </c>
      <c r="R7" s="728">
        <f>COUNTIF('Rutas AAC'!Z7:Z13,"X")</f>
        <v>0</v>
      </c>
      <c r="S7" s="728">
        <f>COUNTIF('Rutas AAC'!AA7:AA13,"X")</f>
        <v>0</v>
      </c>
      <c r="T7" s="728">
        <f>COUNTIF('Rutas AAC'!AB7:AB13,"X")</f>
        <v>0</v>
      </c>
      <c r="U7" s="728">
        <f>COUNTIF('Rutas AAC'!AC7:AC13,"X")</f>
        <v>0</v>
      </c>
      <c r="V7" s="728">
        <f>COUNTIF('Rutas AAC'!AD7:AD13,"Vigente")</f>
        <v>4</v>
      </c>
    </row>
    <row r="8" ht="15.75" customHeight="1">
      <c r="A8" s="729">
        <v>2.0</v>
      </c>
      <c r="B8" s="727" t="s">
        <v>1151</v>
      </c>
      <c r="C8" s="728">
        <f>COUNTIF('Rutas AAC'!K14:K27,"X")</f>
        <v>0</v>
      </c>
      <c r="D8" s="728">
        <f>COUNTIF('Rutas AAC'!L14:L27,"X")</f>
        <v>0</v>
      </c>
      <c r="E8" s="728">
        <f>COUNTIF('Rutas AAC'!M14:M27,"X")</f>
        <v>0</v>
      </c>
      <c r="F8" s="728">
        <f>COUNTIF('Rutas AAC'!N14:N27,"X")</f>
        <v>0</v>
      </c>
      <c r="G8" s="728">
        <f>COUNTIF('Rutas AAC'!O14:O27,"X")</f>
        <v>0</v>
      </c>
      <c r="H8" s="728">
        <f>COUNTIF('Rutas AAC'!P14:P27,"X")</f>
        <v>0</v>
      </c>
      <c r="I8" s="728">
        <f>COUNTIF('Rutas AAC'!Q14:Q27,"X")</f>
        <v>0</v>
      </c>
      <c r="J8" s="728">
        <f>COUNTIF('Rutas AAC'!R14:R27,"X")</f>
        <v>0</v>
      </c>
      <c r="K8" s="728">
        <f>COUNTIF('Rutas AAC'!S14:S27,"X")</f>
        <v>0</v>
      </c>
      <c r="L8" s="728">
        <f>COUNTIF('Rutas AAC'!T14:T27,"X")</f>
        <v>0</v>
      </c>
      <c r="M8" s="728">
        <f>COUNTIF('Rutas AAC'!U14:U27,"X")</f>
        <v>0</v>
      </c>
      <c r="N8" s="728">
        <f>COUNTIF('Rutas AAC'!V14:V27,"X")</f>
        <v>0</v>
      </c>
      <c r="O8" s="728">
        <f>COUNTIF('Rutas AAC'!W14:W27,"X")</f>
        <v>1</v>
      </c>
      <c r="P8" s="728">
        <f>COUNTIF('Rutas AAC'!X14:X27,"X")</f>
        <v>0</v>
      </c>
      <c r="Q8" s="728">
        <f>COUNTIF('Rutas AAC'!Y14:Y27,"X")</f>
        <v>0</v>
      </c>
      <c r="R8" s="728">
        <f>COUNTIF('Rutas AAC'!Z14:Z27,"X")</f>
        <v>0</v>
      </c>
      <c r="S8" s="728">
        <f>COUNTIF('Rutas AAC'!AA14:AA27,"X")</f>
        <v>0</v>
      </c>
      <c r="T8" s="728">
        <f>COUNTIF('Rutas AAC'!AB14:AB27,"X")</f>
        <v>0</v>
      </c>
      <c r="U8" s="728">
        <f>COUNTIF('Rutas AAC'!AC14:AC27,"X")</f>
        <v>0</v>
      </c>
      <c r="V8" s="728">
        <f>COUNTIF('Rutas AAC'!AD14:AD27,"Vigente")</f>
        <v>2</v>
      </c>
    </row>
    <row r="9" ht="15.75" customHeight="1">
      <c r="A9" s="730">
        <v>3.0</v>
      </c>
      <c r="B9" s="727" t="s">
        <v>827</v>
      </c>
      <c r="C9" s="728">
        <f>COUNTIF('Rutas AAC'!K28:K47,"X")</f>
        <v>0</v>
      </c>
      <c r="D9" s="728">
        <f>COUNTIF('Rutas AAC'!L28:L47,"X")</f>
        <v>1</v>
      </c>
      <c r="E9" s="728">
        <f>COUNTIF('Rutas AAC'!M28:M47,"X")</f>
        <v>0</v>
      </c>
      <c r="F9" s="728">
        <f>COUNTIF('Rutas AAC'!N28:N47,"X")</f>
        <v>0</v>
      </c>
      <c r="G9" s="728">
        <f>COUNTIF('Rutas AAC'!O28:O47,"X")</f>
        <v>0</v>
      </c>
      <c r="H9" s="728">
        <f>COUNTIF('Rutas AAC'!P28:P47,"X")</f>
        <v>0</v>
      </c>
      <c r="I9" s="728">
        <f>COUNTIF('Rutas AAC'!Q28:Q47,"X")</f>
        <v>0</v>
      </c>
      <c r="J9" s="728">
        <f>COUNTIF('Rutas AAC'!R28:R47,"X")</f>
        <v>0</v>
      </c>
      <c r="K9" s="728">
        <f>COUNTIF('Rutas AAC'!S28:S47,"X")</f>
        <v>0</v>
      </c>
      <c r="L9" s="728">
        <f>COUNTIF('Rutas AAC'!T28:T47,"X")</f>
        <v>0</v>
      </c>
      <c r="M9" s="728">
        <f>COUNTIF('Rutas AAC'!U28:U47,"X")</f>
        <v>0</v>
      </c>
      <c r="N9" s="728">
        <f>COUNTIF('Rutas AAC'!V28:V47,"X")</f>
        <v>0</v>
      </c>
      <c r="O9" s="728">
        <f>COUNTIF('Rutas AAC'!W28:W47,"X")</f>
        <v>0</v>
      </c>
      <c r="P9" s="728">
        <f>COUNTIF('Rutas AAC'!X28:X47,"X")</f>
        <v>0</v>
      </c>
      <c r="Q9" s="728">
        <f>COUNTIF('Rutas AAC'!Y28:Y47,"X")</f>
        <v>0</v>
      </c>
      <c r="R9" s="728">
        <f>COUNTIF('Rutas AAC'!Z28:Z47,"X")</f>
        <v>0</v>
      </c>
      <c r="S9" s="728">
        <f>COUNTIF('Rutas AAC'!AA28:AA47,"X")</f>
        <v>0</v>
      </c>
      <c r="T9" s="728">
        <f>COUNTIF('Rutas AAC'!AB28:AB47,"X")</f>
        <v>0</v>
      </c>
      <c r="U9" s="728">
        <f>COUNTIF('Rutas AAC'!AC28:AC47,"X")</f>
        <v>0</v>
      </c>
      <c r="V9" s="728">
        <f>COUNTIF('Rutas AAC'!AD28:AD47,"Vigente")</f>
        <v>0</v>
      </c>
    </row>
    <row r="10" ht="15.75" customHeight="1">
      <c r="A10" s="731">
        <v>4.0</v>
      </c>
      <c r="B10" s="727" t="s">
        <v>1152</v>
      </c>
      <c r="C10" s="728">
        <f>COUNTIF('Rutas AAC'!K48:K61,"X")</f>
        <v>0</v>
      </c>
      <c r="D10" s="728">
        <f>COUNTIF('Rutas AAC'!L48:L61,"X")</f>
        <v>0</v>
      </c>
      <c r="E10" s="728">
        <f>COUNTIF('Rutas AAC'!M48:M61,"X")</f>
        <v>0</v>
      </c>
      <c r="F10" s="728">
        <f>COUNTIF('Rutas AAC'!N48:N61,"X")</f>
        <v>0</v>
      </c>
      <c r="G10" s="728">
        <f>COUNTIF('Rutas AAC'!O48:O61,"X")</f>
        <v>0</v>
      </c>
      <c r="H10" s="728">
        <f>COUNTIF('Rutas AAC'!P48:P61,"X")</f>
        <v>0</v>
      </c>
      <c r="I10" s="728">
        <f>COUNTIF('Rutas AAC'!Q48:Q61,"X")</f>
        <v>0</v>
      </c>
      <c r="J10" s="728">
        <f>COUNTIF('Rutas AAC'!R48:R61,"X")</f>
        <v>0</v>
      </c>
      <c r="K10" s="728">
        <f>COUNTIF('Rutas AAC'!S48:S61,"X")</f>
        <v>0</v>
      </c>
      <c r="L10" s="728">
        <f>COUNTIF('Rutas AAC'!T48:T61,"X")</f>
        <v>0</v>
      </c>
      <c r="M10" s="728">
        <f>COUNTIF('Rutas AAC'!U48:U61,"X")</f>
        <v>0</v>
      </c>
      <c r="N10" s="728">
        <f>COUNTIF('Rutas AAC'!V48:V61,"X")</f>
        <v>0</v>
      </c>
      <c r="O10" s="728">
        <f>COUNTIF('Rutas AAC'!W48:W61,"X")</f>
        <v>2</v>
      </c>
      <c r="P10" s="728">
        <f>COUNTIF('Rutas AAC'!X48:X61,"X")</f>
        <v>0</v>
      </c>
      <c r="Q10" s="728">
        <f>COUNTIF('Rutas AAC'!Y48:Y61,"X")</f>
        <v>0</v>
      </c>
      <c r="R10" s="728">
        <f>COUNTIF('Rutas AAC'!Z48:Z61,"X")</f>
        <v>0</v>
      </c>
      <c r="S10" s="728">
        <f>COUNTIF('Rutas AAC'!AA48:AA61,"X")</f>
        <v>0</v>
      </c>
      <c r="T10" s="728">
        <f>COUNTIF('Rutas AAC'!AB48:AB61,"X")</f>
        <v>0</v>
      </c>
      <c r="U10" s="728">
        <f>COUNTIF('Rutas AAC'!AC48:AC61,"X")</f>
        <v>0</v>
      </c>
      <c r="V10" s="728">
        <f>COUNTIF('Rutas AAC'!AD48:AD61,"Vigente")</f>
        <v>1</v>
      </c>
    </row>
    <row r="11" ht="15.75" customHeight="1">
      <c r="A11" s="630">
        <v>5.0</v>
      </c>
      <c r="B11" s="727" t="s">
        <v>333</v>
      </c>
      <c r="C11" s="728">
        <f>COUNTIF('Rutas AAC'!K62:K83,"X")</f>
        <v>0</v>
      </c>
      <c r="D11" s="728">
        <f>COUNTIF('Rutas AAC'!L62:L83,"X")</f>
        <v>0</v>
      </c>
      <c r="E11" s="728">
        <f>COUNTIF('Rutas AAC'!M62:M83,"X")</f>
        <v>0</v>
      </c>
      <c r="F11" s="728">
        <f>COUNTIF('Rutas AAC'!N62:N83,"X")</f>
        <v>0</v>
      </c>
      <c r="G11" s="728">
        <f>COUNTIF('Rutas AAC'!O62:O83,"X")</f>
        <v>0</v>
      </c>
      <c r="H11" s="728">
        <f>COUNTIF('Rutas AAC'!P62:P83,"X")</f>
        <v>0</v>
      </c>
      <c r="I11" s="728">
        <f>COUNTIF('Rutas AAC'!Q62:Q83,"X")</f>
        <v>0</v>
      </c>
      <c r="J11" s="728">
        <f>COUNTIF('Rutas AAC'!R62:R83,"X")</f>
        <v>0</v>
      </c>
      <c r="K11" s="728">
        <f>COUNTIF('Rutas AAC'!S62:S83,"X")</f>
        <v>0</v>
      </c>
      <c r="L11" s="728">
        <f>COUNTIF('Rutas AAC'!T62:T83,"X")</f>
        <v>0</v>
      </c>
      <c r="M11" s="728">
        <f>COUNTIF('Rutas AAC'!U62:U83,"X")</f>
        <v>0</v>
      </c>
      <c r="N11" s="728">
        <f>COUNTIF('Rutas AAC'!V62:V83,"X")</f>
        <v>0</v>
      </c>
      <c r="O11" s="728">
        <f>COUNTIF('Rutas AAC'!W62:W83,"X")</f>
        <v>1</v>
      </c>
      <c r="P11" s="728">
        <f>COUNTIF('Rutas AAC'!X62:X83,"X")</f>
        <v>0</v>
      </c>
      <c r="Q11" s="728">
        <f>COUNTIF('Rutas AAC'!Y62:Y83,"X")</f>
        <v>0</v>
      </c>
      <c r="R11" s="728">
        <f>COUNTIF('Rutas AAC'!Z62:Z83,"X")</f>
        <v>0</v>
      </c>
      <c r="S11" s="728">
        <f>COUNTIF('Rutas AAC'!AA62:AA83,"X")</f>
        <v>0</v>
      </c>
      <c r="T11" s="728">
        <f>COUNTIF('Rutas AAC'!AB62:AB83,"X")</f>
        <v>0</v>
      </c>
      <c r="U11" s="728">
        <f>COUNTIF('Rutas AAC'!AC62:AC83,"X")</f>
        <v>0</v>
      </c>
      <c r="V11" s="728">
        <f>COUNTIF('Rutas AAC'!AD62:AD83,"Vigente")</f>
        <v>3</v>
      </c>
    </row>
    <row r="12" ht="15.75" customHeight="1">
      <c r="A12" s="631">
        <v>6.0</v>
      </c>
      <c r="B12" s="727" t="s">
        <v>413</v>
      </c>
      <c r="C12" s="728">
        <f>COUNTIF('Rutas AAC'!K84:K125,"X")</f>
        <v>1</v>
      </c>
      <c r="D12" s="728">
        <f>COUNTIF('Rutas AAC'!L84:L125,"X")</f>
        <v>0</v>
      </c>
      <c r="E12" s="728">
        <f>COUNTIF('Rutas AAC'!M84:M125,"X")</f>
        <v>0</v>
      </c>
      <c r="F12" s="728">
        <f>COUNTIF('Rutas AAC'!N84:N125,"X")</f>
        <v>0</v>
      </c>
      <c r="G12" s="728">
        <f>COUNTIF('Rutas AAC'!O84:O125,"X")</f>
        <v>0</v>
      </c>
      <c r="H12" s="728">
        <f>COUNTIF('Rutas AAC'!P84:P125,"X")</f>
        <v>0</v>
      </c>
      <c r="I12" s="728">
        <f>COUNTIF('Rutas AAC'!Q84:Q125,"X")</f>
        <v>0</v>
      </c>
      <c r="J12" s="728">
        <f>COUNTIF('Rutas AAC'!R84:R125,"X")</f>
        <v>0</v>
      </c>
      <c r="K12" s="728">
        <f>COUNTIF('Rutas AAC'!S84:S125,"X")</f>
        <v>0</v>
      </c>
      <c r="L12" s="728">
        <f>COUNTIF('Rutas AAC'!T84:T125,"X")</f>
        <v>0</v>
      </c>
      <c r="M12" s="728">
        <f>COUNTIF('Rutas AAC'!U84:U125,"X")</f>
        <v>0</v>
      </c>
      <c r="N12" s="728">
        <f>COUNTIF('Rutas AAC'!V84:V125,"X")</f>
        <v>0</v>
      </c>
      <c r="O12" s="728">
        <f>COUNTIF('Rutas AAC'!W84:W125,"X")</f>
        <v>1</v>
      </c>
      <c r="P12" s="728">
        <f>COUNTIF('Rutas AAC'!X84:X125,"X")</f>
        <v>1</v>
      </c>
      <c r="Q12" s="728">
        <f>COUNTIF('Rutas AAC'!Y84:Y125,"X")</f>
        <v>0</v>
      </c>
      <c r="R12" s="728">
        <f>COUNTIF('Rutas AAC'!Z84:Z125,"X")</f>
        <v>0</v>
      </c>
      <c r="S12" s="728">
        <f>COUNTIF('Rutas AAC'!AA84:AA125,"X")</f>
        <v>0</v>
      </c>
      <c r="T12" s="728">
        <f>COUNTIF('Rutas AAC'!AB84:AB125,"X")</f>
        <v>0</v>
      </c>
      <c r="U12" s="728">
        <f>COUNTIF('Rutas AAC'!AC84:AC125,"X")</f>
        <v>0</v>
      </c>
      <c r="V12" s="728">
        <f>COUNTIF('Rutas AAC'!AD84:AD125,"Vigente")</f>
        <v>7</v>
      </c>
    </row>
    <row r="13" ht="15.75" customHeight="1">
      <c r="A13" s="633">
        <v>7.0</v>
      </c>
      <c r="B13" s="727" t="s">
        <v>899</v>
      </c>
      <c r="C13" s="728">
        <f>COUNTIF('Rutas AAC'!K126:K143,"X")</f>
        <v>0</v>
      </c>
      <c r="D13" s="728">
        <f>COUNTIF('Rutas AAC'!L126:L143,"X")</f>
        <v>0</v>
      </c>
      <c r="E13" s="728">
        <f>COUNTIF('Rutas AAC'!M126:M143,"X")</f>
        <v>0</v>
      </c>
      <c r="F13" s="728">
        <f>COUNTIF('Rutas AAC'!N126:N143,"X")</f>
        <v>0</v>
      </c>
      <c r="G13" s="728">
        <f>COUNTIF('Rutas AAC'!O126:O143,"X")</f>
        <v>0</v>
      </c>
      <c r="H13" s="728">
        <f>COUNTIF('Rutas AAC'!P126:P143,"X")</f>
        <v>0</v>
      </c>
      <c r="I13" s="728">
        <f>COUNTIF('Rutas AAC'!Q126:Q143,"X")</f>
        <v>0</v>
      </c>
      <c r="J13" s="728">
        <f>COUNTIF('Rutas AAC'!R126:R143,"X")</f>
        <v>0</v>
      </c>
      <c r="K13" s="728">
        <f>COUNTIF('Rutas AAC'!S126:S143,"X")</f>
        <v>0</v>
      </c>
      <c r="L13" s="728">
        <f>COUNTIF('Rutas AAC'!T126:T143,"X")</f>
        <v>0</v>
      </c>
      <c r="M13" s="728">
        <f>COUNTIF('Rutas AAC'!U126:U143,"X")</f>
        <v>0</v>
      </c>
      <c r="N13" s="728">
        <f>COUNTIF('Rutas AAC'!V126:V143,"X")</f>
        <v>0</v>
      </c>
      <c r="O13" s="728">
        <f>COUNTIF('Rutas AAC'!W126:W143,"X")</f>
        <v>0</v>
      </c>
      <c r="P13" s="728">
        <f>COUNTIF('Rutas AAC'!X126:X143,"X")</f>
        <v>0</v>
      </c>
      <c r="Q13" s="728">
        <f>COUNTIF('Rutas AAC'!Y126:Y143,"X")</f>
        <v>0</v>
      </c>
      <c r="R13" s="728">
        <f>COUNTIF('Rutas AAC'!Z126:Z143,"X")</f>
        <v>0</v>
      </c>
      <c r="S13" s="728">
        <f>COUNTIF('Rutas AAC'!AA126:AA143,"X")</f>
        <v>0</v>
      </c>
      <c r="T13" s="728">
        <f>COUNTIF('Rutas AAC'!AB126:AB143,"X")</f>
        <v>0</v>
      </c>
      <c r="U13" s="728">
        <f>COUNTIF('Rutas AAC'!AC126:AC143,"X")</f>
        <v>0</v>
      </c>
      <c r="V13" s="728">
        <f>COUNTIF('Rutas AAC'!AD126:AD143,"Vigente")</f>
        <v>0</v>
      </c>
    </row>
    <row r="14" ht="15.75" customHeight="1">
      <c r="A14" s="634">
        <v>8.0</v>
      </c>
      <c r="B14" s="727" t="s">
        <v>908</v>
      </c>
      <c r="C14" s="728">
        <f>COUNTIF('Rutas AAC'!K144:K159,"X")</f>
        <v>0</v>
      </c>
      <c r="D14" s="728">
        <f>COUNTIF('Rutas AAC'!L144:L159,"X")</f>
        <v>0</v>
      </c>
      <c r="E14" s="728">
        <f>COUNTIF('Rutas AAC'!M144:M159,"X")</f>
        <v>0</v>
      </c>
      <c r="F14" s="728">
        <f>COUNTIF('Rutas AAC'!N144:N159,"X")</f>
        <v>0</v>
      </c>
      <c r="G14" s="728">
        <f>COUNTIF('Rutas AAC'!O144:O159,"X")</f>
        <v>0</v>
      </c>
      <c r="H14" s="728">
        <f>COUNTIF('Rutas AAC'!P144:P159,"X")</f>
        <v>0</v>
      </c>
      <c r="I14" s="728">
        <f>COUNTIF('Rutas AAC'!Q144:Q159,"X")</f>
        <v>0</v>
      </c>
      <c r="J14" s="728">
        <f>COUNTIF('Rutas AAC'!R144:R159,"X")</f>
        <v>0</v>
      </c>
      <c r="K14" s="728">
        <f>COUNTIF('Rutas AAC'!S144:S159,"X")</f>
        <v>0</v>
      </c>
      <c r="L14" s="728">
        <f>COUNTIF('Rutas AAC'!T144:T159,"X")</f>
        <v>0</v>
      </c>
      <c r="M14" s="728">
        <f>COUNTIF('Rutas AAC'!U144:U159,"X")</f>
        <v>0</v>
      </c>
      <c r="N14" s="728">
        <f>COUNTIF('Rutas AAC'!V144:V159,"X")</f>
        <v>0</v>
      </c>
      <c r="O14" s="728">
        <f>COUNTIF('Rutas AAC'!W144:W159,"X")</f>
        <v>0</v>
      </c>
      <c r="P14" s="728">
        <f>COUNTIF('Rutas AAC'!X144:X159,"X")</f>
        <v>0</v>
      </c>
      <c r="Q14" s="728">
        <f>COUNTIF('Rutas AAC'!Y144:Y159,"X")</f>
        <v>0</v>
      </c>
      <c r="R14" s="728">
        <f>COUNTIF('Rutas AAC'!Z144:Z159,"X")</f>
        <v>0</v>
      </c>
      <c r="S14" s="728">
        <f>COUNTIF('Rutas AAC'!AA144:AA159,"X")</f>
        <v>0</v>
      </c>
      <c r="T14" s="728">
        <f>COUNTIF('Rutas AAC'!AB144:AB159,"X")</f>
        <v>0</v>
      </c>
      <c r="U14" s="728">
        <f>COUNTIF('Rutas AAC'!AC144:AC159,"X")</f>
        <v>0</v>
      </c>
      <c r="V14" s="728">
        <f>COUNTIF('Rutas AAC'!AD144:AD159,"Vigente")</f>
        <v>1</v>
      </c>
    </row>
    <row r="15" ht="15.75" customHeight="1">
      <c r="A15" s="635">
        <v>9.0</v>
      </c>
      <c r="B15" s="727" t="s">
        <v>928</v>
      </c>
      <c r="C15" s="728">
        <f>COUNTIF('Rutas AAC'!K160:K175,"X")</f>
        <v>0</v>
      </c>
      <c r="D15" s="728">
        <f>COUNTIF('Rutas AAC'!L160:L175,"X")</f>
        <v>1</v>
      </c>
      <c r="E15" s="728">
        <f>COUNTIF('Rutas AAC'!M160:M175,"X")</f>
        <v>0</v>
      </c>
      <c r="F15" s="728">
        <f>COUNTIF('Rutas AAC'!N160:N175,"X")</f>
        <v>0</v>
      </c>
      <c r="G15" s="728">
        <f>COUNTIF('Rutas AAC'!O160:O175,"X")</f>
        <v>0</v>
      </c>
      <c r="H15" s="728">
        <f>COUNTIF('Rutas AAC'!P160:P175,"X")</f>
        <v>0</v>
      </c>
      <c r="I15" s="728">
        <f>COUNTIF('Rutas AAC'!Q160:Q175,"X")</f>
        <v>0</v>
      </c>
      <c r="J15" s="728">
        <f>COUNTIF('Rutas AAC'!R160:R175,"X")</f>
        <v>0</v>
      </c>
      <c r="K15" s="728">
        <f>COUNTIF('Rutas AAC'!S160:S175,"X")</f>
        <v>0</v>
      </c>
      <c r="L15" s="728">
        <f>COUNTIF('Rutas AAC'!T160:T175,"X")</f>
        <v>0</v>
      </c>
      <c r="M15" s="728">
        <f>COUNTIF('Rutas AAC'!U160:U175,"X")</f>
        <v>0</v>
      </c>
      <c r="N15" s="728">
        <f>COUNTIF('Rutas AAC'!V160:V175,"X")</f>
        <v>0</v>
      </c>
      <c r="O15" s="728">
        <f>COUNTIF('Rutas AAC'!W160:W175,"X")</f>
        <v>0</v>
      </c>
      <c r="P15" s="728">
        <f>COUNTIF('Rutas AAC'!X160:X175,"X")</f>
        <v>0</v>
      </c>
      <c r="Q15" s="728">
        <f>COUNTIF('Rutas AAC'!Y160:Y175,"X")</f>
        <v>0</v>
      </c>
      <c r="R15" s="728">
        <f>COUNTIF('Rutas AAC'!Z160:Z175,"X")</f>
        <v>0</v>
      </c>
      <c r="S15" s="728">
        <f>COUNTIF('Rutas AAC'!AA160:AA175,"X")</f>
        <v>0</v>
      </c>
      <c r="T15" s="728">
        <f>COUNTIF('Rutas AAC'!AB160:AB175,"X")</f>
        <v>0</v>
      </c>
      <c r="U15" s="728">
        <f>COUNTIF('Rutas AAC'!AC160:AC175,"X")</f>
        <v>0</v>
      </c>
      <c r="V15" s="728">
        <f>COUNTIF('Rutas AAC'!AD160:AD175,"Vigente")</f>
        <v>8</v>
      </c>
    </row>
    <row r="16" ht="12.75" customHeight="1">
      <c r="A16" s="640"/>
      <c r="B16" s="732" t="s">
        <v>1153</v>
      </c>
      <c r="C16" s="733">
        <f t="shared" ref="C16:V16" si="1">SUM(C7:C15)</f>
        <v>1</v>
      </c>
      <c r="D16" s="733">
        <f t="shared" si="1"/>
        <v>2</v>
      </c>
      <c r="E16" s="733">
        <f t="shared" si="1"/>
        <v>0</v>
      </c>
      <c r="F16" s="733">
        <f t="shared" si="1"/>
        <v>0</v>
      </c>
      <c r="G16" s="733">
        <f t="shared" si="1"/>
        <v>0</v>
      </c>
      <c r="H16" s="733">
        <f t="shared" si="1"/>
        <v>0</v>
      </c>
      <c r="I16" s="733">
        <f t="shared" si="1"/>
        <v>0</v>
      </c>
      <c r="J16" s="733">
        <f t="shared" si="1"/>
        <v>0</v>
      </c>
      <c r="K16" s="733">
        <f t="shared" si="1"/>
        <v>0</v>
      </c>
      <c r="L16" s="733">
        <f t="shared" si="1"/>
        <v>0</v>
      </c>
      <c r="M16" s="733">
        <f t="shared" si="1"/>
        <v>0</v>
      </c>
      <c r="N16" s="733">
        <f t="shared" si="1"/>
        <v>0</v>
      </c>
      <c r="O16" s="733">
        <f t="shared" si="1"/>
        <v>5</v>
      </c>
      <c r="P16" s="733">
        <f t="shared" si="1"/>
        <v>1</v>
      </c>
      <c r="Q16" s="733">
        <f t="shared" si="1"/>
        <v>0</v>
      </c>
      <c r="R16" s="733">
        <f t="shared" si="1"/>
        <v>0</v>
      </c>
      <c r="S16" s="733">
        <f t="shared" si="1"/>
        <v>0</v>
      </c>
      <c r="T16" s="733">
        <f t="shared" si="1"/>
        <v>0</v>
      </c>
      <c r="U16" s="733">
        <f t="shared" si="1"/>
        <v>0</v>
      </c>
      <c r="V16" s="733">
        <f t="shared" si="1"/>
        <v>26</v>
      </c>
    </row>
    <row r="17" ht="12.75" customHeight="1">
      <c r="A17" s="640"/>
      <c r="B17" s="732"/>
      <c r="C17" s="726" t="s">
        <v>1088</v>
      </c>
      <c r="D17" s="726" t="s">
        <v>1089</v>
      </c>
      <c r="E17" s="726" t="s">
        <v>1090</v>
      </c>
      <c r="F17" s="726" t="s">
        <v>1091</v>
      </c>
      <c r="G17" s="726" t="s">
        <v>1092</v>
      </c>
      <c r="H17" s="726" t="s">
        <v>1093</v>
      </c>
      <c r="I17" s="726" t="s">
        <v>1094</v>
      </c>
      <c r="J17" s="726" t="s">
        <v>1095</v>
      </c>
      <c r="K17" s="726" t="s">
        <v>1096</v>
      </c>
      <c r="L17" s="726" t="s">
        <v>1097</v>
      </c>
      <c r="M17" s="726" t="s">
        <v>1098</v>
      </c>
      <c r="N17" s="726" t="s">
        <v>1099</v>
      </c>
      <c r="O17" s="726" t="s">
        <v>1100</v>
      </c>
      <c r="P17" s="726" t="s">
        <v>1101</v>
      </c>
      <c r="Q17" s="726" t="s">
        <v>1102</v>
      </c>
      <c r="R17" s="726" t="s">
        <v>1103</v>
      </c>
      <c r="S17" s="726" t="s">
        <v>1104</v>
      </c>
      <c r="T17" s="726" t="s">
        <v>1105</v>
      </c>
      <c r="U17" s="726" t="s">
        <v>1106</v>
      </c>
      <c r="V17" s="726" t="s">
        <v>1150</v>
      </c>
    </row>
    <row r="18" ht="12.75" customHeight="1">
      <c r="A18" s="640"/>
      <c r="B18" s="639"/>
      <c r="C18" s="734" t="str">
        <f t="shared" ref="C18:V18" si="2">C16/#REF!</f>
        <v>#REF!</v>
      </c>
      <c r="D18" s="734" t="str">
        <f t="shared" si="2"/>
        <v>#REF!</v>
      </c>
      <c r="E18" s="734" t="str">
        <f t="shared" si="2"/>
        <v>#REF!</v>
      </c>
      <c r="F18" s="734" t="str">
        <f t="shared" si="2"/>
        <v>#REF!</v>
      </c>
      <c r="G18" s="734" t="str">
        <f t="shared" si="2"/>
        <v>#REF!</v>
      </c>
      <c r="H18" s="734" t="str">
        <f t="shared" si="2"/>
        <v>#REF!</v>
      </c>
      <c r="I18" s="734" t="str">
        <f t="shared" si="2"/>
        <v>#REF!</v>
      </c>
      <c r="J18" s="734" t="str">
        <f t="shared" si="2"/>
        <v>#REF!</v>
      </c>
      <c r="K18" s="734" t="str">
        <f t="shared" si="2"/>
        <v>#REF!</v>
      </c>
      <c r="L18" s="734" t="str">
        <f t="shared" si="2"/>
        <v>#REF!</v>
      </c>
      <c r="M18" s="734" t="str">
        <f t="shared" si="2"/>
        <v>#REF!</v>
      </c>
      <c r="N18" s="734" t="str">
        <f t="shared" si="2"/>
        <v>#REF!</v>
      </c>
      <c r="O18" s="734" t="str">
        <f t="shared" si="2"/>
        <v>#REF!</v>
      </c>
      <c r="P18" s="734" t="str">
        <f t="shared" si="2"/>
        <v>#REF!</v>
      </c>
      <c r="Q18" s="734" t="str">
        <f t="shared" si="2"/>
        <v>#REF!</v>
      </c>
      <c r="R18" s="734" t="str">
        <f t="shared" si="2"/>
        <v>#REF!</v>
      </c>
      <c r="S18" s="734" t="str">
        <f t="shared" si="2"/>
        <v>#REF!</v>
      </c>
      <c r="T18" s="734" t="str">
        <f t="shared" si="2"/>
        <v>#REF!</v>
      </c>
      <c r="U18" s="734" t="str">
        <f t="shared" si="2"/>
        <v>#REF!</v>
      </c>
      <c r="V18" s="734" t="str">
        <f t="shared" si="2"/>
        <v>#REF!</v>
      </c>
    </row>
  </sheetData>
  <hyperlinks>
    <hyperlink display="9" location="null!A1" ref="I3"/>
  </hyperlinks>
  <printOptions/>
  <pageMargins bottom="0.75" footer="0.0" header="0.0" left="0.7" right="0.7" top="0.75"/>
  <pageSetup orientation="portrait"/>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00000"/>
    <pageSetUpPr fitToPage="1"/>
  </sheetPr>
  <sheetViews>
    <sheetView workbookViewId="0"/>
  </sheetViews>
  <sheetFormatPr customHeight="1" defaultColWidth="12.63" defaultRowHeight="15.0"/>
  <cols>
    <col customWidth="1" min="1" max="1" width="11.38"/>
    <col customWidth="1" min="2" max="2" width="79.63"/>
    <col customWidth="1" min="3" max="3" width="11.38"/>
    <col customWidth="1" min="4" max="4" width="13.88"/>
    <col customWidth="1" min="5" max="5" width="42.0"/>
    <col customWidth="1" min="6" max="6" width="22.25"/>
    <col customWidth="1" min="7" max="7" width="23.63"/>
    <col customWidth="1" min="8" max="8" width="20.25"/>
    <col customWidth="1" min="9" max="9" width="11.38"/>
    <col customWidth="1" min="10" max="10" width="16.38"/>
    <col customWidth="1" min="11" max="26" width="11.38"/>
  </cols>
  <sheetData>
    <row r="1" ht="25.5" customHeight="1">
      <c r="A1" s="644">
        <v>1.0</v>
      </c>
      <c r="B1" s="644"/>
      <c r="C1" s="735"/>
      <c r="D1" s="644"/>
      <c r="E1" s="644"/>
      <c r="F1" s="390"/>
      <c r="G1" s="736"/>
      <c r="H1" s="737" t="s">
        <v>84</v>
      </c>
      <c r="I1" s="738" t="s">
        <v>96</v>
      </c>
      <c r="J1" s="739" t="s">
        <v>1154</v>
      </c>
      <c r="K1" s="740"/>
    </row>
    <row r="2" ht="12.75" customHeight="1">
      <c r="A2" s="644"/>
      <c r="B2" s="644"/>
      <c r="C2" s="741" t="s">
        <v>0</v>
      </c>
      <c r="D2" s="644"/>
      <c r="E2" s="644"/>
      <c r="F2" s="390"/>
      <c r="G2" s="742" t="s">
        <v>1155</v>
      </c>
      <c r="H2" s="743">
        <f>COUNTIF(F8:F33,"Pregrado")</f>
        <v>14</v>
      </c>
      <c r="I2" s="743">
        <f>COUNTIF(F8:F33,"Posgrado")</f>
        <v>12</v>
      </c>
      <c r="J2" s="744">
        <f t="shared" ref="J2:J3" si="1">SUM(H2:I2)</f>
        <v>26</v>
      </c>
      <c r="K2" s="740"/>
    </row>
    <row r="3" ht="12.75" customHeight="1">
      <c r="A3" s="644"/>
      <c r="B3" s="644"/>
      <c r="C3" s="741" t="s">
        <v>1156</v>
      </c>
      <c r="D3" s="644"/>
      <c r="E3" s="644"/>
      <c r="F3" s="390"/>
      <c r="G3" s="742" t="s">
        <v>1157</v>
      </c>
      <c r="H3" s="743">
        <f>COUNTIF(I38:I58,"Pregrado")</f>
        <v>19</v>
      </c>
      <c r="I3" s="743">
        <f>COUNTIF(I38:I58,"Posgrado")</f>
        <v>2</v>
      </c>
      <c r="J3" s="744">
        <f t="shared" si="1"/>
        <v>21</v>
      </c>
      <c r="K3" s="740"/>
    </row>
    <row r="4" ht="12.75" customHeight="1">
      <c r="A4" s="644"/>
      <c r="B4" s="644"/>
      <c r="C4" s="745" t="s">
        <v>1158</v>
      </c>
      <c r="D4" s="644"/>
      <c r="E4" s="644"/>
      <c r="F4" s="390"/>
      <c r="G4" s="390"/>
      <c r="H4" s="390"/>
      <c r="I4" s="390"/>
      <c r="J4" s="390"/>
      <c r="K4" s="740"/>
    </row>
    <row r="5" ht="12.75" customHeight="1">
      <c r="A5" s="746"/>
      <c r="B5" s="746"/>
      <c r="C5" s="747"/>
      <c r="D5" s="746"/>
      <c r="E5" s="746"/>
      <c r="F5" s="390"/>
      <c r="G5" s="390"/>
      <c r="H5" s="390"/>
      <c r="I5" s="390"/>
      <c r="J5" s="390"/>
      <c r="K5" s="740"/>
    </row>
    <row r="6" ht="12.75" customHeight="1">
      <c r="A6" s="748" t="s">
        <v>1159</v>
      </c>
      <c r="B6" s="4"/>
      <c r="C6" s="4"/>
      <c r="D6" s="4"/>
      <c r="E6" s="4"/>
      <c r="F6" s="4"/>
      <c r="G6" s="4"/>
      <c r="H6" s="749"/>
      <c r="I6" s="390"/>
      <c r="J6" s="390"/>
      <c r="K6" s="740"/>
    </row>
    <row r="7" ht="12.75" customHeight="1">
      <c r="A7" s="750" t="s">
        <v>965</v>
      </c>
      <c r="B7" s="750" t="s">
        <v>20</v>
      </c>
      <c r="C7" s="751" t="s">
        <v>23</v>
      </c>
      <c r="D7" s="752" t="s">
        <v>1160</v>
      </c>
      <c r="E7" s="750" t="s">
        <v>1075</v>
      </c>
      <c r="F7" s="750" t="s">
        <v>1161</v>
      </c>
      <c r="G7" s="752" t="s">
        <v>1162</v>
      </c>
      <c r="H7" s="753" t="s">
        <v>1163</v>
      </c>
      <c r="I7" s="36"/>
      <c r="J7" s="36"/>
      <c r="K7" s="754"/>
    </row>
    <row r="8" ht="12.75" customHeight="1">
      <c r="A8" s="755">
        <v>7.0</v>
      </c>
      <c r="B8" s="755" t="s">
        <v>1164</v>
      </c>
      <c r="C8" s="756" t="str">
        <f t="array" ref="C8">INDEX(Consolidado!G:G,MATCH(B8,Consolidado!D:D,0))</f>
        <v>#N/A</v>
      </c>
      <c r="D8" s="755" t="s">
        <v>1165</v>
      </c>
      <c r="E8" s="755" t="s">
        <v>1166</v>
      </c>
      <c r="F8" s="755" t="s">
        <v>84</v>
      </c>
      <c r="G8" s="757">
        <v>45422.0</v>
      </c>
      <c r="H8" s="758"/>
      <c r="J8" s="36"/>
      <c r="K8" s="759">
        <v>1.0</v>
      </c>
    </row>
    <row r="9" ht="12.75" customHeight="1">
      <c r="A9" s="755">
        <v>19.0</v>
      </c>
      <c r="B9" s="755" t="s">
        <v>339</v>
      </c>
      <c r="C9" s="756">
        <f t="array" ref="C9">INDEX(Consolidado!G:G,MATCH(B9,Consolidado!D:D,0))</f>
        <v>11967</v>
      </c>
      <c r="D9" s="755" t="s">
        <v>1165</v>
      </c>
      <c r="E9" s="755" t="s">
        <v>1167</v>
      </c>
      <c r="F9" s="755" t="s">
        <v>84</v>
      </c>
      <c r="G9" s="757">
        <v>45464.0</v>
      </c>
      <c r="H9" s="758" t="s">
        <v>1168</v>
      </c>
      <c r="J9" s="36"/>
      <c r="K9" s="759">
        <v>2.0</v>
      </c>
    </row>
    <row r="10" ht="12.75" customHeight="1">
      <c r="A10" s="755">
        <v>8.0</v>
      </c>
      <c r="B10" s="755" t="s">
        <v>1169</v>
      </c>
      <c r="C10" s="756" t="str">
        <f t="array" ref="C10">INDEX(Consolidado!G:G,MATCH(B10,Consolidado!D:D,0))</f>
        <v>#N/A</v>
      </c>
      <c r="D10" s="755" t="s">
        <v>1165</v>
      </c>
      <c r="E10" s="755" t="s">
        <v>1170</v>
      </c>
      <c r="F10" s="755" t="s">
        <v>84</v>
      </c>
      <c r="G10" s="757">
        <v>45422.0</v>
      </c>
      <c r="H10" s="758"/>
      <c r="J10" s="36"/>
      <c r="K10" s="759">
        <v>3.0</v>
      </c>
    </row>
    <row r="11" ht="12.75" customHeight="1">
      <c r="A11" s="755">
        <v>16.0</v>
      </c>
      <c r="B11" s="755" t="s">
        <v>271</v>
      </c>
      <c r="C11" s="756">
        <f t="array" ref="C11">INDEX(Consolidado!G:G,MATCH(B11,Consolidado!D:D,0))</f>
        <v>244</v>
      </c>
      <c r="D11" s="755" t="s">
        <v>1165</v>
      </c>
      <c r="E11" s="755" t="s">
        <v>1171</v>
      </c>
      <c r="F11" s="755" t="s">
        <v>84</v>
      </c>
      <c r="G11" s="757">
        <v>45422.0</v>
      </c>
      <c r="H11" s="758"/>
      <c r="J11" s="36"/>
      <c r="K11" s="759">
        <v>4.0</v>
      </c>
    </row>
    <row r="12" ht="12.75" customHeight="1">
      <c r="A12" s="755">
        <v>21.0</v>
      </c>
      <c r="B12" s="755" t="s">
        <v>429</v>
      </c>
      <c r="C12" s="756">
        <f t="array" ref="C12">INDEX(Consolidado!G:G,MATCH(B12,Consolidado!D:D,0))</f>
        <v>103476</v>
      </c>
      <c r="D12" s="755" t="s">
        <v>1165</v>
      </c>
      <c r="E12" s="755" t="s">
        <v>1171</v>
      </c>
      <c r="F12" s="755" t="s">
        <v>96</v>
      </c>
      <c r="G12" s="757">
        <v>45441.0</v>
      </c>
      <c r="H12" s="760" t="s">
        <v>1172</v>
      </c>
      <c r="J12" s="36"/>
      <c r="K12" s="759">
        <v>5.0</v>
      </c>
    </row>
    <row r="13" ht="12.75" customHeight="1">
      <c r="A13" s="755">
        <v>22.0</v>
      </c>
      <c r="B13" s="755" t="s">
        <v>433</v>
      </c>
      <c r="C13" s="756">
        <f t="array" ref="C13">INDEX(Consolidado!G:G,MATCH(B13,Consolidado!D:D,0))</f>
        <v>103504</v>
      </c>
      <c r="D13" s="755" t="s">
        <v>1165</v>
      </c>
      <c r="E13" s="755" t="s">
        <v>1171</v>
      </c>
      <c r="F13" s="755" t="s">
        <v>96</v>
      </c>
      <c r="G13" s="757">
        <v>45441.0</v>
      </c>
      <c r="H13" s="760" t="s">
        <v>1173</v>
      </c>
      <c r="J13" s="36"/>
      <c r="K13" s="759">
        <v>6.0</v>
      </c>
    </row>
    <row r="14" ht="12.75" customHeight="1">
      <c r="A14" s="755">
        <v>25.0</v>
      </c>
      <c r="B14" s="755" t="s">
        <v>454</v>
      </c>
      <c r="C14" s="756">
        <f t="array" ref="C14">INDEX(Consolidado!G:G,MATCH(B14,Consolidado!D:D,0))</f>
        <v>104621</v>
      </c>
      <c r="D14" s="755" t="s">
        <v>1165</v>
      </c>
      <c r="E14" s="755" t="s">
        <v>1174</v>
      </c>
      <c r="F14" s="755" t="s">
        <v>96</v>
      </c>
      <c r="G14" s="757">
        <v>45422.0</v>
      </c>
      <c r="H14" s="758"/>
      <c r="J14" s="36"/>
      <c r="K14" s="759">
        <v>7.0</v>
      </c>
    </row>
    <row r="15" ht="12.75" customHeight="1">
      <c r="A15" s="755">
        <v>1.0</v>
      </c>
      <c r="B15" s="755" t="s">
        <v>75</v>
      </c>
      <c r="C15" s="756">
        <f t="array" ref="C15">INDEX(Consolidado!G:G,MATCH(B15,Consolidado!D:D,0))</f>
        <v>224</v>
      </c>
      <c r="D15" s="755" t="s">
        <v>1165</v>
      </c>
      <c r="E15" s="755" t="s">
        <v>1171</v>
      </c>
      <c r="F15" s="755" t="s">
        <v>84</v>
      </c>
      <c r="G15" s="757">
        <v>45422.0</v>
      </c>
      <c r="H15" s="758"/>
      <c r="J15" s="36"/>
      <c r="K15" s="759">
        <v>8.0</v>
      </c>
    </row>
    <row r="16">
      <c r="A16" s="761">
        <v>5.0</v>
      </c>
      <c r="B16" s="762" t="s">
        <v>585</v>
      </c>
      <c r="C16" s="763">
        <f t="array" ref="C16">INDEX(Consolidado!G:G,MATCH(B16,Consolidado!D:D,0))</f>
        <v>8170</v>
      </c>
      <c r="D16" s="762" t="s">
        <v>1165</v>
      </c>
      <c r="E16" s="762" t="s">
        <v>1171</v>
      </c>
      <c r="F16" s="762" t="s">
        <v>84</v>
      </c>
      <c r="G16" s="764">
        <v>45439.0</v>
      </c>
      <c r="H16" s="765" t="s">
        <v>1175</v>
      </c>
      <c r="I16" s="766"/>
      <c r="J16" s="767"/>
      <c r="K16" s="761">
        <v>9.0</v>
      </c>
      <c r="L16" s="766"/>
      <c r="M16" s="766"/>
      <c r="N16" s="766"/>
      <c r="O16" s="766"/>
      <c r="P16" s="766"/>
      <c r="Q16" s="766"/>
      <c r="R16" s="766"/>
      <c r="S16" s="766"/>
      <c r="T16" s="766"/>
      <c r="U16" s="766"/>
      <c r="V16" s="766"/>
      <c r="W16" s="766"/>
      <c r="X16" s="766"/>
      <c r="Y16" s="766"/>
      <c r="Z16" s="766"/>
    </row>
    <row r="17" ht="12.75" customHeight="1">
      <c r="A17" s="755">
        <v>17.0</v>
      </c>
      <c r="B17" s="768" t="s">
        <v>334</v>
      </c>
      <c r="C17" s="756">
        <f t="array" ref="C17">INDEX(Consolidado!G:G,MATCH(B17,Consolidado!D:D,0))</f>
        <v>108963</v>
      </c>
      <c r="D17" s="755" t="s">
        <v>1165</v>
      </c>
      <c r="E17" s="755" t="s">
        <v>1166</v>
      </c>
      <c r="F17" s="755" t="s">
        <v>84</v>
      </c>
      <c r="G17" s="757">
        <v>45460.0</v>
      </c>
      <c r="H17" s="758" t="s">
        <v>1176</v>
      </c>
      <c r="J17" s="36"/>
      <c r="K17" s="759">
        <v>10.0</v>
      </c>
    </row>
    <row r="18" ht="12.75" customHeight="1">
      <c r="A18" s="755">
        <v>18.0</v>
      </c>
      <c r="B18" s="769" t="s">
        <v>346</v>
      </c>
      <c r="C18" s="756">
        <f t="array" ref="C18">INDEX(Consolidado!G:G,MATCH(B18,Consolidado!D:D,0))</f>
        <v>4493</v>
      </c>
      <c r="D18" s="755" t="s">
        <v>1165</v>
      </c>
      <c r="E18" s="755" t="s">
        <v>1171</v>
      </c>
      <c r="F18" s="755" t="s">
        <v>84</v>
      </c>
      <c r="G18" s="757">
        <v>45464.0</v>
      </c>
      <c r="H18" s="758" t="s">
        <v>1177</v>
      </c>
      <c r="J18" s="36"/>
      <c r="K18" s="759">
        <v>11.0</v>
      </c>
    </row>
    <row r="19" ht="12.75" customHeight="1">
      <c r="A19" s="755">
        <v>23.0</v>
      </c>
      <c r="B19" s="755" t="s">
        <v>554</v>
      </c>
      <c r="C19" s="756">
        <f t="array" ref="C19">INDEX(Consolidado!G:G,MATCH(B19,Consolidado!D:D,0))</f>
        <v>90909</v>
      </c>
      <c r="D19" s="755" t="s">
        <v>1165</v>
      </c>
      <c r="E19" s="755" t="s">
        <v>1171</v>
      </c>
      <c r="F19" s="755" t="s">
        <v>96</v>
      </c>
      <c r="G19" s="757">
        <v>45422.0</v>
      </c>
      <c r="H19" s="758"/>
      <c r="J19" s="36"/>
      <c r="K19" s="759">
        <v>12.0</v>
      </c>
    </row>
    <row r="20" ht="12.75" customHeight="1">
      <c r="A20" s="755">
        <v>24.0</v>
      </c>
      <c r="B20" s="755" t="s">
        <v>537</v>
      </c>
      <c r="C20" s="756">
        <f t="array" ref="C20">INDEX(Consolidado!G:G,MATCH(B20,Consolidado!D:D,0))</f>
        <v>105656</v>
      </c>
      <c r="D20" s="755" t="s">
        <v>1165</v>
      </c>
      <c r="E20" s="755" t="s">
        <v>1167</v>
      </c>
      <c r="F20" s="755" t="s">
        <v>96</v>
      </c>
      <c r="G20" s="757">
        <v>45422.0</v>
      </c>
      <c r="H20" s="758"/>
      <c r="J20" s="36"/>
      <c r="K20" s="759">
        <v>13.0</v>
      </c>
    </row>
    <row r="21">
      <c r="A21" s="755">
        <v>6.0</v>
      </c>
      <c r="B21" s="755" t="s">
        <v>593</v>
      </c>
      <c r="C21" s="756">
        <f t="array" ref="C21">INDEX(Consolidado!G:G,MATCH(B21,Consolidado!D:D,0))</f>
        <v>4080</v>
      </c>
      <c r="D21" s="755" t="s">
        <v>1165</v>
      </c>
      <c r="E21" s="755" t="s">
        <v>1171</v>
      </c>
      <c r="F21" s="755" t="s">
        <v>84</v>
      </c>
      <c r="G21" s="757">
        <v>45527.0</v>
      </c>
      <c r="H21" s="760" t="s">
        <v>1178</v>
      </c>
      <c r="J21" s="36"/>
      <c r="K21" s="759">
        <v>14.0</v>
      </c>
    </row>
    <row r="22" ht="12.75" customHeight="1">
      <c r="A22" s="755">
        <v>20.0</v>
      </c>
      <c r="B22" s="755" t="s">
        <v>422</v>
      </c>
      <c r="C22" s="756">
        <f t="array" ref="C22">INDEX(Consolidado!G:G,MATCH(B22,Consolidado!D:D,0))</f>
        <v>3636</v>
      </c>
      <c r="D22" s="755" t="s">
        <v>1165</v>
      </c>
      <c r="E22" s="755" t="s">
        <v>1171</v>
      </c>
      <c r="F22" s="755" t="s">
        <v>84</v>
      </c>
      <c r="G22" s="757">
        <v>45422.0</v>
      </c>
      <c r="H22" s="758"/>
      <c r="J22" s="36"/>
      <c r="K22" s="759">
        <v>15.0</v>
      </c>
    </row>
    <row r="23" ht="12.75" customHeight="1">
      <c r="A23" s="755">
        <v>2.0</v>
      </c>
      <c r="B23" s="755" t="s">
        <v>172</v>
      </c>
      <c r="C23" s="756">
        <f t="array" ref="C23">INDEX(Consolidado!G:G,MATCH(B23,Consolidado!D:D,0))</f>
        <v>9833</v>
      </c>
      <c r="D23" s="755" t="s">
        <v>1165</v>
      </c>
      <c r="E23" s="755" t="s">
        <v>1179</v>
      </c>
      <c r="F23" s="755" t="s">
        <v>84</v>
      </c>
      <c r="G23" s="757">
        <v>45422.0</v>
      </c>
      <c r="H23" s="758" t="s">
        <v>1180</v>
      </c>
      <c r="J23" s="36"/>
      <c r="K23" s="759">
        <v>16.0</v>
      </c>
    </row>
    <row r="24" ht="12.75" customHeight="1">
      <c r="A24" s="755">
        <v>3.0</v>
      </c>
      <c r="B24" s="755" t="s">
        <v>165</v>
      </c>
      <c r="C24" s="756">
        <f t="array" ref="C24">INDEX(Consolidado!G:G,MATCH(B24,Consolidado!D:D,0))</f>
        <v>103231</v>
      </c>
      <c r="D24" s="755" t="s">
        <v>1165</v>
      </c>
      <c r="E24" s="770" t="s">
        <v>1171</v>
      </c>
      <c r="F24" s="755" t="s">
        <v>96</v>
      </c>
      <c r="G24" s="757">
        <v>45441.0</v>
      </c>
      <c r="H24" s="760" t="s">
        <v>1181</v>
      </c>
      <c r="J24" s="36"/>
      <c r="K24" s="759">
        <v>17.0</v>
      </c>
    </row>
    <row r="25" ht="12.75" customHeight="1">
      <c r="A25" s="755">
        <v>4.0</v>
      </c>
      <c r="B25" s="755" t="s">
        <v>250</v>
      </c>
      <c r="C25" s="756">
        <f t="array" ref="C25">INDEX(Consolidado!G:G,MATCH(B25,Consolidado!D:D,0))</f>
        <v>18679</v>
      </c>
      <c r="D25" s="755" t="s">
        <v>1165</v>
      </c>
      <c r="E25" s="770" t="s">
        <v>1170</v>
      </c>
      <c r="F25" s="755" t="s">
        <v>84</v>
      </c>
      <c r="G25" s="757">
        <v>45462.0</v>
      </c>
      <c r="H25" s="758" t="s">
        <v>1182</v>
      </c>
      <c r="J25" s="36"/>
      <c r="K25" s="759">
        <v>18.0</v>
      </c>
    </row>
    <row r="26" ht="12.75" customHeight="1">
      <c r="A26" s="755">
        <v>9.0</v>
      </c>
      <c r="B26" s="755" t="s">
        <v>629</v>
      </c>
      <c r="C26" s="756">
        <f t="array" ref="C26">INDEX(Consolidado!G:G,MATCH(B26,Consolidado!D:D,0))</f>
        <v>8704</v>
      </c>
      <c r="D26" s="755" t="s">
        <v>1165</v>
      </c>
      <c r="E26" s="770" t="s">
        <v>1170</v>
      </c>
      <c r="F26" s="755" t="s">
        <v>84</v>
      </c>
      <c r="G26" s="757">
        <v>45447.0</v>
      </c>
      <c r="H26" s="760" t="s">
        <v>1183</v>
      </c>
      <c r="I26" s="36"/>
      <c r="J26" s="36"/>
      <c r="K26" s="754"/>
    </row>
    <row r="27" ht="12.75" customHeight="1">
      <c r="A27" s="755">
        <v>10.0</v>
      </c>
      <c r="B27" s="755" t="s">
        <v>661</v>
      </c>
      <c r="C27" s="756">
        <f t="array" ref="C27">INDEX(Consolidado!G:G,MATCH(B27,Consolidado!D:D,0))</f>
        <v>222</v>
      </c>
      <c r="D27" s="755" t="s">
        <v>1165</v>
      </c>
      <c r="E27" s="770" t="s">
        <v>1166</v>
      </c>
      <c r="F27" s="755" t="s">
        <v>84</v>
      </c>
      <c r="G27" s="757">
        <v>45447.0</v>
      </c>
      <c r="H27" s="760" t="s">
        <v>1184</v>
      </c>
      <c r="I27" s="36"/>
      <c r="J27" s="36"/>
      <c r="K27" s="754"/>
    </row>
    <row r="28" ht="12.75" customHeight="1">
      <c r="A28" s="755">
        <v>11.0</v>
      </c>
      <c r="B28" s="769" t="s">
        <v>669</v>
      </c>
      <c r="C28" s="756" t="str">
        <f t="array" ref="C28">INDEX(Consolidado!G:G,MATCH(B28,Consolidado!D:D,0))</f>
        <v>110867 (p)</v>
      </c>
      <c r="D28" s="755" t="s">
        <v>1165</v>
      </c>
      <c r="E28" s="770" t="s">
        <v>1171</v>
      </c>
      <c r="F28" s="755" t="s">
        <v>96</v>
      </c>
      <c r="G28" s="757">
        <v>45422.0</v>
      </c>
      <c r="H28" s="760" t="s">
        <v>1185</v>
      </c>
      <c r="I28" s="36"/>
      <c r="J28" s="36"/>
      <c r="K28" s="754"/>
    </row>
    <row r="29" ht="15.0" customHeight="1">
      <c r="A29" s="755">
        <v>12.0</v>
      </c>
      <c r="B29" s="755" t="s">
        <v>656</v>
      </c>
      <c r="C29" s="756">
        <f t="array" ref="C29">INDEX(Consolidado!G:G,MATCH(B29,Consolidado!D:D,0))</f>
        <v>104611</v>
      </c>
      <c r="D29" s="755" t="s">
        <v>1165</v>
      </c>
      <c r="E29" s="770" t="s">
        <v>1171</v>
      </c>
      <c r="F29" s="755" t="s">
        <v>96</v>
      </c>
      <c r="G29" s="757">
        <v>45422.0</v>
      </c>
      <c r="H29" s="760" t="s">
        <v>1186</v>
      </c>
      <c r="I29" s="36"/>
      <c r="J29" s="36"/>
      <c r="K29" s="754"/>
    </row>
    <row r="30" ht="12.75" customHeight="1">
      <c r="A30" s="755">
        <v>13.0</v>
      </c>
      <c r="B30" s="755" t="s">
        <v>303</v>
      </c>
      <c r="C30" s="756">
        <f t="array" ref="C30">INDEX(Consolidado!G:G,MATCH(B30,Consolidado!D:D,0))</f>
        <v>11546</v>
      </c>
      <c r="D30" s="755" t="s">
        <v>1165</v>
      </c>
      <c r="E30" s="770" t="s">
        <v>1187</v>
      </c>
      <c r="F30" s="755" t="s">
        <v>96</v>
      </c>
      <c r="G30" s="757">
        <v>45460.0</v>
      </c>
      <c r="H30" s="758" t="s">
        <v>1188</v>
      </c>
      <c r="I30" s="36"/>
      <c r="J30" s="36"/>
      <c r="K30" s="754"/>
    </row>
    <row r="31" ht="12.75" customHeight="1">
      <c r="A31" s="755">
        <v>14.0</v>
      </c>
      <c r="B31" s="755" t="s">
        <v>275</v>
      </c>
      <c r="C31" s="756">
        <f t="array" ref="C31">INDEX(Consolidado!G:G,MATCH(B31,Consolidado!D:D,0))</f>
        <v>242</v>
      </c>
      <c r="D31" s="755" t="s">
        <v>1165</v>
      </c>
      <c r="E31" s="770" t="s">
        <v>1187</v>
      </c>
      <c r="F31" s="755" t="s">
        <v>96</v>
      </c>
      <c r="G31" s="757">
        <v>45460.0</v>
      </c>
      <c r="H31" s="758" t="s">
        <v>1189</v>
      </c>
      <c r="I31" s="36"/>
      <c r="J31" s="36"/>
      <c r="K31" s="754"/>
    </row>
    <row r="32" ht="12.75" customHeight="1">
      <c r="A32" s="755">
        <v>15.0</v>
      </c>
      <c r="B32" s="755" t="s">
        <v>280</v>
      </c>
      <c r="C32" s="756">
        <f t="array" ref="C32">INDEX(Consolidado!G:G,MATCH(B32,Consolidado!D:D,0))</f>
        <v>241</v>
      </c>
      <c r="D32" s="755" t="s">
        <v>1165</v>
      </c>
      <c r="E32" s="770" t="s">
        <v>1187</v>
      </c>
      <c r="F32" s="755" t="s">
        <v>96</v>
      </c>
      <c r="G32" s="757">
        <v>45460.0</v>
      </c>
      <c r="H32" s="758" t="s">
        <v>1190</v>
      </c>
      <c r="I32" s="36"/>
      <c r="J32" s="36"/>
      <c r="K32" s="754"/>
    </row>
    <row r="33" ht="12.75" customHeight="1">
      <c r="A33" s="755">
        <v>16.0</v>
      </c>
      <c r="B33" s="755" t="s">
        <v>296</v>
      </c>
      <c r="C33" s="756">
        <f t="array" ref="C33">INDEX(Consolidado!G:G,MATCH(B33,Consolidado!D:D,0))</f>
        <v>243</v>
      </c>
      <c r="D33" s="755" t="s">
        <v>1165</v>
      </c>
      <c r="E33" s="770" t="s">
        <v>1187</v>
      </c>
      <c r="F33" s="755" t="s">
        <v>96</v>
      </c>
      <c r="G33" s="757">
        <v>45460.0</v>
      </c>
      <c r="H33" s="758" t="s">
        <v>1191</v>
      </c>
      <c r="I33" s="36"/>
      <c r="K33" s="771"/>
    </row>
    <row r="34" ht="12.75" customHeight="1">
      <c r="A34" s="36"/>
      <c r="B34" s="36"/>
      <c r="C34" s="772"/>
      <c r="D34" s="36"/>
      <c r="E34" s="36"/>
      <c r="F34" s="36"/>
      <c r="G34" s="36"/>
      <c r="H34" s="36"/>
      <c r="I34" s="36"/>
    </row>
    <row r="35" ht="12.75" customHeight="1">
      <c r="A35" s="36"/>
      <c r="B35" s="36"/>
      <c r="C35" s="772"/>
      <c r="D35" s="36"/>
      <c r="E35" s="36"/>
      <c r="F35" s="36"/>
      <c r="G35" s="36"/>
      <c r="H35" s="36"/>
      <c r="I35" s="36"/>
      <c r="K35" s="771"/>
    </row>
    <row r="36" ht="12.75" customHeight="1">
      <c r="A36" s="773" t="s">
        <v>1192</v>
      </c>
      <c r="B36" s="774"/>
      <c r="C36" s="774"/>
      <c r="D36" s="774"/>
      <c r="E36" s="774"/>
      <c r="F36" s="774"/>
      <c r="G36" s="774"/>
      <c r="H36" s="774"/>
      <c r="I36" s="774"/>
      <c r="K36" s="771"/>
    </row>
    <row r="37" ht="12.75" customHeight="1">
      <c r="A37" s="775" t="s">
        <v>965</v>
      </c>
      <c r="B37" s="775" t="s">
        <v>966</v>
      </c>
      <c r="C37" s="776" t="s">
        <v>23</v>
      </c>
      <c r="D37" s="777" t="s">
        <v>62</v>
      </c>
      <c r="E37" s="777" t="s">
        <v>967</v>
      </c>
      <c r="F37" s="777" t="s">
        <v>48</v>
      </c>
      <c r="G37" s="778" t="s">
        <v>1193</v>
      </c>
      <c r="H37" s="750" t="s">
        <v>969</v>
      </c>
      <c r="I37" s="750" t="s">
        <v>1161</v>
      </c>
      <c r="K37" s="771"/>
    </row>
    <row r="38" ht="27.0" customHeight="1">
      <c r="A38" s="779">
        <v>1.0</v>
      </c>
      <c r="B38" s="779" t="s">
        <v>706</v>
      </c>
      <c r="C38" s="780">
        <v>238.0</v>
      </c>
      <c r="D38" s="779">
        <v>4006.0</v>
      </c>
      <c r="E38" s="781">
        <v>43567.0</v>
      </c>
      <c r="F38" s="779">
        <v>8.0</v>
      </c>
      <c r="G38" s="782">
        <v>46065.0</v>
      </c>
      <c r="H38" s="781">
        <v>46489.0</v>
      </c>
      <c r="I38" s="755" t="s">
        <v>84</v>
      </c>
      <c r="K38" s="771"/>
    </row>
    <row r="39" ht="27.0" customHeight="1">
      <c r="A39" s="779">
        <v>2.0</v>
      </c>
      <c r="B39" s="779" t="s">
        <v>381</v>
      </c>
      <c r="C39" s="780">
        <v>13062.0</v>
      </c>
      <c r="D39" s="779">
        <v>6404.0</v>
      </c>
      <c r="E39" s="781">
        <v>45036.0</v>
      </c>
      <c r="F39" s="779">
        <v>4.0</v>
      </c>
      <c r="G39" s="782">
        <f>EDATE(E39,(F39*12)-14)</f>
        <v>46073</v>
      </c>
      <c r="H39" s="781">
        <v>46497.0</v>
      </c>
      <c r="I39" s="755" t="s">
        <v>84</v>
      </c>
      <c r="K39" s="771"/>
    </row>
    <row r="40" ht="27.0" customHeight="1">
      <c r="A40" s="779">
        <v>3.0</v>
      </c>
      <c r="B40" s="779" t="s">
        <v>440</v>
      </c>
      <c r="C40" s="780">
        <v>3048.0</v>
      </c>
      <c r="D40" s="779">
        <v>7456.0</v>
      </c>
      <c r="E40" s="781">
        <v>44316.0</v>
      </c>
      <c r="F40" s="779">
        <v>6.0</v>
      </c>
      <c r="G40" s="782">
        <v>46081.0</v>
      </c>
      <c r="H40" s="781">
        <v>46507.0</v>
      </c>
      <c r="I40" s="755" t="s">
        <v>84</v>
      </c>
      <c r="K40" s="771"/>
    </row>
    <row r="41" ht="27.0" customHeight="1">
      <c r="A41" s="779">
        <v>4.0</v>
      </c>
      <c r="B41" s="779" t="s">
        <v>714</v>
      </c>
      <c r="C41" s="780">
        <v>90930.0</v>
      </c>
      <c r="D41" s="779">
        <v>7576.0</v>
      </c>
      <c r="E41" s="781">
        <v>43670.0</v>
      </c>
      <c r="F41" s="779">
        <v>8.0</v>
      </c>
      <c r="G41" s="782">
        <v>46166.0</v>
      </c>
      <c r="H41" s="781">
        <v>46592.0</v>
      </c>
      <c r="I41" s="755" t="s">
        <v>96</v>
      </c>
      <c r="K41" s="771"/>
    </row>
    <row r="42" ht="27.0" customHeight="1">
      <c r="A42" s="779">
        <v>5.0</v>
      </c>
      <c r="B42" s="779" t="s">
        <v>742</v>
      </c>
      <c r="C42" s="780">
        <v>53918.0</v>
      </c>
      <c r="D42" s="779">
        <v>16771.0</v>
      </c>
      <c r="E42" s="781">
        <v>44447.0</v>
      </c>
      <c r="F42" s="779">
        <v>6.0</v>
      </c>
      <c r="G42" s="782">
        <v>46211.0</v>
      </c>
      <c r="H42" s="781">
        <v>46638.0</v>
      </c>
      <c r="I42" s="755" t="s">
        <v>96</v>
      </c>
      <c r="K42" s="771"/>
    </row>
    <row r="43" ht="27.0" customHeight="1">
      <c r="A43" s="779">
        <v>6.0</v>
      </c>
      <c r="B43" s="779" t="s">
        <v>972</v>
      </c>
      <c r="C43" s="780">
        <v>55202.0</v>
      </c>
      <c r="D43" s="779">
        <v>23018.0</v>
      </c>
      <c r="E43" s="781">
        <v>44530.0</v>
      </c>
      <c r="F43" s="779">
        <v>6.0</v>
      </c>
      <c r="G43" s="782">
        <v>46295.0</v>
      </c>
      <c r="H43" s="781">
        <v>46721.0</v>
      </c>
      <c r="I43" s="755" t="s">
        <v>84</v>
      </c>
      <c r="K43" s="771"/>
    </row>
    <row r="44" ht="27.0" customHeight="1">
      <c r="A44" s="779">
        <v>7.0</v>
      </c>
      <c r="B44" s="779" t="s">
        <v>970</v>
      </c>
      <c r="C44" s="780">
        <v>7171.0</v>
      </c>
      <c r="D44" s="779">
        <v>2305.0</v>
      </c>
      <c r="E44" s="781">
        <v>44621.0</v>
      </c>
      <c r="F44" s="779">
        <v>6.0</v>
      </c>
      <c r="G44" s="782">
        <v>46388.0</v>
      </c>
      <c r="H44" s="781">
        <v>46813.0</v>
      </c>
      <c r="I44" s="755" t="s">
        <v>84</v>
      </c>
      <c r="K44" s="771"/>
    </row>
    <row r="45" ht="27.0" customHeight="1">
      <c r="A45" s="779">
        <v>8.0</v>
      </c>
      <c r="B45" s="779" t="s">
        <v>731</v>
      </c>
      <c r="C45" s="780">
        <v>7520.0</v>
      </c>
      <c r="D45" s="779">
        <v>3248.0</v>
      </c>
      <c r="E45" s="781">
        <v>43895.0</v>
      </c>
      <c r="F45" s="779">
        <v>8.0</v>
      </c>
      <c r="G45" s="782">
        <v>46392.0</v>
      </c>
      <c r="H45" s="781">
        <v>46817.0</v>
      </c>
      <c r="I45" s="755" t="s">
        <v>84</v>
      </c>
      <c r="K45" s="771"/>
    </row>
    <row r="46" ht="27.0" customHeight="1">
      <c r="A46" s="779">
        <v>9.0</v>
      </c>
      <c r="B46" s="779" t="s">
        <v>484</v>
      </c>
      <c r="C46" s="780">
        <v>106574.0</v>
      </c>
      <c r="D46" s="779">
        <v>1109.0</v>
      </c>
      <c r="E46" s="781">
        <v>44960.0</v>
      </c>
      <c r="F46" s="779">
        <v>6.0</v>
      </c>
      <c r="G46" s="782">
        <v>46724.0</v>
      </c>
      <c r="H46" s="781">
        <v>47152.0</v>
      </c>
      <c r="I46" s="755" t="s">
        <v>84</v>
      </c>
      <c r="K46" s="771"/>
    </row>
    <row r="47" ht="27.0" customHeight="1">
      <c r="A47" s="779">
        <v>10.0</v>
      </c>
      <c r="B47" s="779" t="s">
        <v>492</v>
      </c>
      <c r="C47" s="780">
        <v>106794.0</v>
      </c>
      <c r="D47" s="779">
        <v>1110.0</v>
      </c>
      <c r="E47" s="781">
        <v>44960.0</v>
      </c>
      <c r="F47" s="779">
        <v>6.0</v>
      </c>
      <c r="G47" s="782">
        <v>46724.0</v>
      </c>
      <c r="H47" s="781">
        <v>47152.0</v>
      </c>
      <c r="I47" s="755" t="s">
        <v>84</v>
      </c>
      <c r="K47" s="771"/>
    </row>
    <row r="48" ht="27.0" customHeight="1">
      <c r="A48" s="779">
        <v>11.0</v>
      </c>
      <c r="B48" s="779" t="s">
        <v>101</v>
      </c>
      <c r="C48" s="780">
        <v>225.0</v>
      </c>
      <c r="D48" s="779">
        <v>1042.0</v>
      </c>
      <c r="E48" s="781">
        <v>44960.0</v>
      </c>
      <c r="F48" s="779">
        <v>6.0</v>
      </c>
      <c r="G48" s="782">
        <v>46724.0</v>
      </c>
      <c r="H48" s="781">
        <v>47152.0</v>
      </c>
      <c r="I48" s="755" t="s">
        <v>84</v>
      </c>
      <c r="K48" s="771"/>
    </row>
    <row r="49" ht="27.0" customHeight="1">
      <c r="A49" s="779">
        <v>12.0</v>
      </c>
      <c r="B49" s="779" t="s">
        <v>109</v>
      </c>
      <c r="C49" s="780">
        <v>54801.0</v>
      </c>
      <c r="D49" s="779">
        <v>1037.0</v>
      </c>
      <c r="E49" s="781">
        <v>44960.0</v>
      </c>
      <c r="F49" s="779">
        <v>6.0</v>
      </c>
      <c r="G49" s="782">
        <v>46724.0</v>
      </c>
      <c r="H49" s="781">
        <v>47152.0</v>
      </c>
      <c r="I49" s="755" t="s">
        <v>84</v>
      </c>
      <c r="K49" s="771"/>
    </row>
    <row r="50" ht="27.0" customHeight="1">
      <c r="A50" s="779">
        <v>13.0</v>
      </c>
      <c r="B50" s="779" t="s">
        <v>117</v>
      </c>
      <c r="C50" s="780">
        <v>4963.0</v>
      </c>
      <c r="D50" s="779">
        <v>6400.0</v>
      </c>
      <c r="E50" s="781">
        <v>45036.0</v>
      </c>
      <c r="F50" s="779">
        <v>6.0</v>
      </c>
      <c r="G50" s="782">
        <f t="shared" ref="G50:G58" si="2">EDATE(E50,(F50*12)-14)</f>
        <v>46803</v>
      </c>
      <c r="H50" s="781">
        <v>47228.0</v>
      </c>
      <c r="I50" s="755" t="s">
        <v>84</v>
      </c>
      <c r="K50" s="771"/>
    </row>
    <row r="51" ht="27.0" customHeight="1">
      <c r="A51" s="779">
        <v>14.0</v>
      </c>
      <c r="B51" s="779" t="s">
        <v>126</v>
      </c>
      <c r="C51" s="780">
        <v>11067.0</v>
      </c>
      <c r="D51" s="779">
        <v>6402.0</v>
      </c>
      <c r="E51" s="781">
        <v>45036.0</v>
      </c>
      <c r="F51" s="779">
        <v>4.0</v>
      </c>
      <c r="G51" s="782">
        <f t="shared" si="2"/>
        <v>46073</v>
      </c>
      <c r="H51" s="781">
        <v>46498.0</v>
      </c>
      <c r="I51" s="755" t="s">
        <v>84</v>
      </c>
      <c r="K51" s="771"/>
    </row>
    <row r="52" ht="27.0" customHeight="1">
      <c r="A52" s="779">
        <v>15.0</v>
      </c>
      <c r="B52" s="779" t="s">
        <v>975</v>
      </c>
      <c r="C52" s="780">
        <v>106575.0</v>
      </c>
      <c r="D52" s="779">
        <v>6405.0</v>
      </c>
      <c r="E52" s="781">
        <v>45036.0</v>
      </c>
      <c r="F52" s="779">
        <v>4.0</v>
      </c>
      <c r="G52" s="782">
        <f t="shared" si="2"/>
        <v>46073</v>
      </c>
      <c r="H52" s="781">
        <f t="shared" ref="H52:H58" si="3">EDATE(E52,(F52*12))</f>
        <v>46497</v>
      </c>
      <c r="I52" s="755" t="s">
        <v>84</v>
      </c>
      <c r="K52" s="771"/>
    </row>
    <row r="53" ht="27.0" customHeight="1">
      <c r="A53" s="779">
        <v>16.0</v>
      </c>
      <c r="B53" s="779" t="s">
        <v>510</v>
      </c>
      <c r="C53" s="780">
        <v>4010.0</v>
      </c>
      <c r="D53" s="779">
        <v>7568.0</v>
      </c>
      <c r="E53" s="781">
        <v>45054.0</v>
      </c>
      <c r="F53" s="779">
        <v>4.0</v>
      </c>
      <c r="G53" s="782">
        <f t="shared" si="2"/>
        <v>46089</v>
      </c>
      <c r="H53" s="781">
        <f t="shared" si="3"/>
        <v>46515</v>
      </c>
      <c r="I53" s="755" t="s">
        <v>84</v>
      </c>
      <c r="K53" s="771"/>
    </row>
    <row r="54" ht="27.0" customHeight="1">
      <c r="A54" s="779">
        <v>17.0</v>
      </c>
      <c r="B54" s="779" t="s">
        <v>237</v>
      </c>
      <c r="C54" s="780">
        <v>8441.0</v>
      </c>
      <c r="D54" s="779">
        <v>8576.0</v>
      </c>
      <c r="E54" s="781">
        <v>45071.0</v>
      </c>
      <c r="F54" s="779">
        <v>4.0</v>
      </c>
      <c r="G54" s="782">
        <f t="shared" si="2"/>
        <v>46106</v>
      </c>
      <c r="H54" s="781">
        <f t="shared" si="3"/>
        <v>46532</v>
      </c>
      <c r="I54" s="755" t="s">
        <v>84</v>
      </c>
      <c r="K54" s="771"/>
    </row>
    <row r="55" ht="27.0" customHeight="1">
      <c r="A55" s="779">
        <v>18.0</v>
      </c>
      <c r="B55" s="779" t="s">
        <v>648</v>
      </c>
      <c r="C55" s="780">
        <v>236.0</v>
      </c>
      <c r="D55" s="779">
        <v>8598.0</v>
      </c>
      <c r="E55" s="781">
        <v>45071.0</v>
      </c>
      <c r="F55" s="779">
        <v>6.0</v>
      </c>
      <c r="G55" s="782">
        <f t="shared" si="2"/>
        <v>46837</v>
      </c>
      <c r="H55" s="781">
        <f t="shared" si="3"/>
        <v>47263</v>
      </c>
      <c r="I55" s="755" t="s">
        <v>84</v>
      </c>
      <c r="K55" s="771"/>
    </row>
    <row r="56" ht="27.0" customHeight="1">
      <c r="A56" s="779">
        <v>19.0</v>
      </c>
      <c r="B56" s="779" t="s">
        <v>517</v>
      </c>
      <c r="C56" s="780">
        <v>2130.0</v>
      </c>
      <c r="D56" s="779">
        <v>8922.0</v>
      </c>
      <c r="E56" s="781">
        <v>45075.0</v>
      </c>
      <c r="F56" s="779">
        <v>6.0</v>
      </c>
      <c r="G56" s="782">
        <f t="shared" si="2"/>
        <v>46841</v>
      </c>
      <c r="H56" s="781">
        <f t="shared" si="3"/>
        <v>47267</v>
      </c>
      <c r="I56" s="755" t="s">
        <v>84</v>
      </c>
      <c r="K56" s="771"/>
    </row>
    <row r="57" ht="27.0" customHeight="1">
      <c r="A57" s="779">
        <v>20.0</v>
      </c>
      <c r="B57" s="779" t="s">
        <v>408</v>
      </c>
      <c r="C57" s="780">
        <v>232.0</v>
      </c>
      <c r="D57" s="779">
        <v>10048.0</v>
      </c>
      <c r="E57" s="781">
        <v>45100.0</v>
      </c>
      <c r="F57" s="779">
        <v>8.0</v>
      </c>
      <c r="G57" s="782">
        <f t="shared" si="2"/>
        <v>47596</v>
      </c>
      <c r="H57" s="781">
        <f t="shared" si="3"/>
        <v>48022</v>
      </c>
      <c r="I57" s="755" t="s">
        <v>84</v>
      </c>
      <c r="K57" s="771"/>
    </row>
    <row r="58" ht="27.0" customHeight="1">
      <c r="A58" s="779">
        <v>21.0</v>
      </c>
      <c r="B58" s="779" t="s">
        <v>310</v>
      </c>
      <c r="C58" s="780">
        <v>5269.0</v>
      </c>
      <c r="D58" s="783">
        <v>10687.0</v>
      </c>
      <c r="E58" s="781">
        <v>45112.0</v>
      </c>
      <c r="F58" s="779">
        <v>6.0</v>
      </c>
      <c r="G58" s="782">
        <f t="shared" si="2"/>
        <v>46878</v>
      </c>
      <c r="H58" s="781">
        <f t="shared" si="3"/>
        <v>47304</v>
      </c>
      <c r="I58" s="755" t="s">
        <v>84</v>
      </c>
      <c r="K58" s="771"/>
    </row>
    <row r="59">
      <c r="C59" s="784"/>
      <c r="K59" s="771"/>
    </row>
    <row r="60">
      <c r="C60" s="784"/>
      <c r="K60" s="771"/>
    </row>
    <row r="61">
      <c r="C61" s="784"/>
      <c r="K61" s="771"/>
    </row>
    <row r="62">
      <c r="C62" s="784"/>
      <c r="K62" s="771"/>
    </row>
    <row r="63">
      <c r="C63" s="784"/>
      <c r="K63" s="771"/>
    </row>
    <row r="64">
      <c r="C64" s="784"/>
      <c r="K64" s="771"/>
    </row>
    <row r="65">
      <c r="C65" s="784"/>
      <c r="K65" s="771"/>
    </row>
    <row r="66">
      <c r="C66" s="784"/>
      <c r="K66" s="771"/>
    </row>
    <row r="67">
      <c r="C67" s="784"/>
      <c r="K67" s="771"/>
    </row>
    <row r="68">
      <c r="C68" s="784"/>
      <c r="K68" s="771"/>
    </row>
    <row r="69">
      <c r="C69" s="784"/>
      <c r="K69" s="771"/>
    </row>
    <row r="70">
      <c r="C70" s="784"/>
      <c r="K70" s="771"/>
    </row>
    <row r="71">
      <c r="C71" s="784"/>
      <c r="K71" s="771"/>
    </row>
    <row r="72">
      <c r="C72" s="784"/>
      <c r="K72" s="771"/>
    </row>
    <row r="73">
      <c r="C73" s="784"/>
      <c r="K73" s="771"/>
    </row>
    <row r="74">
      <c r="C74" s="784"/>
      <c r="K74" s="771"/>
    </row>
    <row r="75">
      <c r="C75" s="784"/>
      <c r="K75" s="771"/>
    </row>
    <row r="76">
      <c r="C76" s="784"/>
      <c r="K76" s="771"/>
    </row>
    <row r="77">
      <c r="C77" s="784"/>
      <c r="K77" s="771"/>
    </row>
    <row r="78">
      <c r="C78" s="784"/>
      <c r="K78" s="771"/>
    </row>
    <row r="79">
      <c r="C79" s="784"/>
      <c r="K79" s="771"/>
    </row>
    <row r="80">
      <c r="C80" s="784"/>
      <c r="K80" s="771"/>
    </row>
    <row r="81">
      <c r="C81" s="784"/>
      <c r="K81" s="771"/>
    </row>
    <row r="82">
      <c r="C82" s="784"/>
      <c r="K82" s="771"/>
    </row>
    <row r="83">
      <c r="C83" s="784"/>
      <c r="K83" s="771"/>
    </row>
    <row r="84">
      <c r="C84" s="784"/>
      <c r="K84" s="771"/>
    </row>
    <row r="85">
      <c r="C85" s="784"/>
      <c r="K85" s="771"/>
    </row>
    <row r="86">
      <c r="C86" s="784"/>
      <c r="K86" s="771"/>
    </row>
    <row r="87">
      <c r="C87" s="784"/>
      <c r="K87" s="771"/>
    </row>
    <row r="88">
      <c r="C88" s="784"/>
      <c r="K88" s="771"/>
    </row>
    <row r="89">
      <c r="C89" s="784"/>
      <c r="K89" s="771"/>
    </row>
    <row r="90">
      <c r="C90" s="784"/>
      <c r="K90" s="771"/>
    </row>
    <row r="91">
      <c r="C91" s="784"/>
      <c r="K91" s="771"/>
    </row>
    <row r="92">
      <c r="C92" s="784"/>
      <c r="K92" s="771"/>
    </row>
    <row r="93">
      <c r="C93" s="784"/>
      <c r="K93" s="771"/>
    </row>
    <row r="94">
      <c r="C94" s="784"/>
      <c r="K94" s="771"/>
    </row>
    <row r="95">
      <c r="C95" s="784"/>
      <c r="K95" s="771"/>
    </row>
    <row r="96">
      <c r="C96" s="784"/>
      <c r="K96" s="771"/>
    </row>
    <row r="97">
      <c r="C97" s="784"/>
      <c r="K97" s="771"/>
    </row>
    <row r="98">
      <c r="C98" s="784"/>
      <c r="K98" s="771"/>
    </row>
    <row r="99">
      <c r="C99" s="784"/>
      <c r="K99" s="771"/>
    </row>
    <row r="100">
      <c r="C100" s="784"/>
      <c r="K100" s="771"/>
    </row>
    <row r="101">
      <c r="C101" s="784"/>
      <c r="K101" s="771"/>
    </row>
    <row r="102">
      <c r="C102" s="784"/>
      <c r="K102" s="771"/>
    </row>
    <row r="103">
      <c r="C103" s="784"/>
      <c r="K103" s="771"/>
    </row>
    <row r="104">
      <c r="C104" s="784"/>
      <c r="K104" s="771"/>
    </row>
    <row r="105">
      <c r="C105" s="784"/>
      <c r="K105" s="771"/>
    </row>
    <row r="106">
      <c r="C106" s="784"/>
      <c r="K106" s="771"/>
    </row>
    <row r="107">
      <c r="C107" s="784"/>
      <c r="K107" s="771"/>
    </row>
    <row r="108">
      <c r="C108" s="784"/>
      <c r="K108" s="771"/>
    </row>
    <row r="109">
      <c r="C109" s="784"/>
      <c r="K109" s="771"/>
    </row>
    <row r="110">
      <c r="C110" s="784"/>
      <c r="K110" s="771"/>
    </row>
    <row r="111">
      <c r="C111" s="784"/>
      <c r="K111" s="771"/>
    </row>
    <row r="112">
      <c r="C112" s="784"/>
      <c r="K112" s="771"/>
    </row>
    <row r="113">
      <c r="C113" s="784"/>
      <c r="K113" s="771"/>
    </row>
    <row r="114">
      <c r="C114" s="784"/>
      <c r="K114" s="771"/>
    </row>
    <row r="115">
      <c r="C115" s="784"/>
      <c r="K115" s="771"/>
    </row>
    <row r="116">
      <c r="C116" s="784"/>
      <c r="K116" s="771"/>
    </row>
    <row r="117">
      <c r="C117" s="784"/>
      <c r="K117" s="771"/>
    </row>
    <row r="118">
      <c r="C118" s="784"/>
      <c r="K118" s="771"/>
    </row>
    <row r="119">
      <c r="C119" s="784"/>
      <c r="K119" s="771"/>
    </row>
    <row r="120">
      <c r="C120" s="784"/>
      <c r="K120" s="771"/>
    </row>
    <row r="121">
      <c r="C121" s="784"/>
      <c r="K121" s="771"/>
    </row>
    <row r="122">
      <c r="C122" s="784"/>
      <c r="K122" s="771"/>
    </row>
    <row r="123">
      <c r="C123" s="784"/>
      <c r="K123" s="771"/>
    </row>
    <row r="124">
      <c r="C124" s="784"/>
      <c r="K124" s="771"/>
    </row>
    <row r="125">
      <c r="C125" s="784"/>
      <c r="K125" s="771"/>
    </row>
    <row r="126">
      <c r="C126" s="784"/>
      <c r="K126" s="771"/>
    </row>
    <row r="127">
      <c r="C127" s="784"/>
      <c r="K127" s="771"/>
    </row>
    <row r="128">
      <c r="C128" s="784"/>
      <c r="K128" s="771"/>
    </row>
    <row r="129">
      <c r="C129" s="784"/>
      <c r="K129" s="771"/>
    </row>
    <row r="130">
      <c r="C130" s="784"/>
      <c r="K130" s="771"/>
    </row>
    <row r="131">
      <c r="C131" s="784"/>
      <c r="K131" s="771"/>
    </row>
    <row r="132">
      <c r="C132" s="784"/>
      <c r="K132" s="771"/>
    </row>
    <row r="133">
      <c r="C133" s="784"/>
      <c r="K133" s="771"/>
    </row>
    <row r="134">
      <c r="C134" s="784"/>
      <c r="K134" s="771"/>
    </row>
    <row r="135">
      <c r="C135" s="784"/>
      <c r="K135" s="771"/>
    </row>
    <row r="136">
      <c r="C136" s="784"/>
      <c r="K136" s="771"/>
    </row>
    <row r="137">
      <c r="C137" s="784"/>
      <c r="K137" s="771"/>
    </row>
    <row r="138">
      <c r="C138" s="784"/>
      <c r="K138" s="771"/>
    </row>
    <row r="139">
      <c r="C139" s="784"/>
      <c r="K139" s="771"/>
    </row>
    <row r="140">
      <c r="C140" s="784"/>
      <c r="K140" s="771"/>
    </row>
    <row r="141">
      <c r="C141" s="784"/>
      <c r="K141" s="771"/>
    </row>
    <row r="142">
      <c r="C142" s="784"/>
      <c r="K142" s="771"/>
    </row>
    <row r="143">
      <c r="C143" s="784"/>
      <c r="K143" s="771"/>
    </row>
    <row r="144">
      <c r="C144" s="784"/>
      <c r="K144" s="771"/>
    </row>
    <row r="145">
      <c r="C145" s="784"/>
      <c r="K145" s="771"/>
    </row>
    <row r="146">
      <c r="C146" s="784"/>
      <c r="K146" s="771"/>
    </row>
    <row r="147">
      <c r="C147" s="784"/>
      <c r="K147" s="771"/>
    </row>
    <row r="148">
      <c r="C148" s="784"/>
      <c r="K148" s="771"/>
    </row>
    <row r="149">
      <c r="C149" s="784"/>
      <c r="K149" s="771"/>
    </row>
    <row r="150">
      <c r="C150" s="784"/>
      <c r="K150" s="771"/>
    </row>
    <row r="151">
      <c r="C151" s="784"/>
      <c r="K151" s="771"/>
    </row>
    <row r="152">
      <c r="C152" s="784"/>
      <c r="K152" s="771"/>
    </row>
    <row r="153">
      <c r="C153" s="784"/>
      <c r="K153" s="771"/>
    </row>
    <row r="154">
      <c r="C154" s="784"/>
      <c r="K154" s="771"/>
    </row>
    <row r="155">
      <c r="C155" s="784"/>
      <c r="K155" s="771"/>
    </row>
    <row r="156">
      <c r="C156" s="784"/>
      <c r="K156" s="771"/>
    </row>
    <row r="157">
      <c r="C157" s="784"/>
      <c r="K157" s="771"/>
    </row>
    <row r="158">
      <c r="C158" s="784"/>
      <c r="K158" s="771"/>
    </row>
    <row r="159">
      <c r="C159" s="784"/>
      <c r="K159" s="771"/>
    </row>
    <row r="160">
      <c r="C160" s="784"/>
      <c r="K160" s="771"/>
    </row>
    <row r="161">
      <c r="C161" s="784"/>
      <c r="K161" s="771"/>
    </row>
    <row r="162">
      <c r="C162" s="784"/>
      <c r="K162" s="771"/>
    </row>
    <row r="163">
      <c r="C163" s="784"/>
      <c r="K163" s="771"/>
    </row>
    <row r="164">
      <c r="C164" s="784"/>
      <c r="K164" s="771"/>
    </row>
    <row r="165">
      <c r="C165" s="784"/>
      <c r="K165" s="771"/>
    </row>
    <row r="166">
      <c r="C166" s="784"/>
      <c r="K166" s="771"/>
    </row>
    <row r="167">
      <c r="C167" s="784"/>
      <c r="K167" s="771"/>
    </row>
    <row r="168">
      <c r="C168" s="784"/>
      <c r="K168" s="771"/>
    </row>
    <row r="169">
      <c r="C169" s="784"/>
      <c r="K169" s="771"/>
    </row>
    <row r="170">
      <c r="C170" s="784"/>
      <c r="K170" s="771"/>
    </row>
    <row r="171">
      <c r="C171" s="784"/>
      <c r="K171" s="771"/>
    </row>
    <row r="172">
      <c r="C172" s="784"/>
      <c r="K172" s="771"/>
    </row>
    <row r="173">
      <c r="C173" s="784"/>
      <c r="K173" s="771"/>
    </row>
    <row r="174">
      <c r="C174" s="784"/>
      <c r="K174" s="771"/>
    </row>
    <row r="175">
      <c r="C175" s="784"/>
      <c r="K175" s="771"/>
    </row>
    <row r="176">
      <c r="C176" s="784"/>
      <c r="K176" s="771"/>
    </row>
    <row r="177">
      <c r="C177" s="784"/>
      <c r="K177" s="771"/>
    </row>
    <row r="178">
      <c r="C178" s="784"/>
      <c r="K178" s="771"/>
    </row>
    <row r="179">
      <c r="C179" s="784"/>
      <c r="K179" s="771"/>
    </row>
    <row r="180">
      <c r="C180" s="784"/>
      <c r="K180" s="771"/>
    </row>
    <row r="181">
      <c r="C181" s="784"/>
      <c r="K181" s="771"/>
    </row>
    <row r="182">
      <c r="C182" s="784"/>
      <c r="K182" s="771"/>
    </row>
    <row r="183">
      <c r="C183" s="784"/>
      <c r="K183" s="771"/>
    </row>
    <row r="184">
      <c r="C184" s="784"/>
      <c r="K184" s="771"/>
    </row>
    <row r="185">
      <c r="C185" s="784"/>
      <c r="K185" s="771"/>
    </row>
    <row r="186">
      <c r="C186" s="784"/>
      <c r="K186" s="771"/>
    </row>
    <row r="187">
      <c r="C187" s="784"/>
      <c r="K187" s="771"/>
    </row>
    <row r="188">
      <c r="C188" s="784"/>
      <c r="K188" s="771"/>
    </row>
    <row r="189">
      <c r="C189" s="784"/>
      <c r="K189" s="771"/>
    </row>
    <row r="190">
      <c r="C190" s="784"/>
      <c r="K190" s="771"/>
    </row>
    <row r="191">
      <c r="C191" s="784"/>
      <c r="K191" s="771"/>
    </row>
    <row r="192">
      <c r="C192" s="784"/>
      <c r="K192" s="771"/>
    </row>
    <row r="193">
      <c r="C193" s="784"/>
      <c r="K193" s="771"/>
    </row>
    <row r="194">
      <c r="C194" s="784"/>
      <c r="K194" s="771"/>
    </row>
    <row r="195">
      <c r="C195" s="784"/>
      <c r="K195" s="771"/>
    </row>
    <row r="196">
      <c r="C196" s="784"/>
      <c r="K196" s="771"/>
    </row>
    <row r="197">
      <c r="C197" s="784"/>
      <c r="K197" s="771"/>
    </row>
    <row r="198">
      <c r="C198" s="784"/>
      <c r="K198" s="771"/>
    </row>
    <row r="199">
      <c r="C199" s="784"/>
      <c r="K199" s="771"/>
    </row>
    <row r="200">
      <c r="C200" s="784"/>
      <c r="K200" s="771"/>
    </row>
    <row r="201">
      <c r="C201" s="784"/>
      <c r="K201" s="771"/>
    </row>
    <row r="202">
      <c r="C202" s="784"/>
      <c r="K202" s="771"/>
    </row>
    <row r="203">
      <c r="C203" s="784"/>
      <c r="K203" s="771"/>
    </row>
    <row r="204">
      <c r="C204" s="784"/>
      <c r="K204" s="771"/>
    </row>
    <row r="205">
      <c r="C205" s="784"/>
      <c r="K205" s="771"/>
    </row>
    <row r="206">
      <c r="C206" s="784"/>
      <c r="K206" s="771"/>
    </row>
    <row r="207">
      <c r="C207" s="784"/>
      <c r="K207" s="771"/>
    </row>
    <row r="208">
      <c r="C208" s="784"/>
      <c r="K208" s="771"/>
    </row>
    <row r="209">
      <c r="C209" s="784"/>
      <c r="K209" s="771"/>
    </row>
    <row r="210">
      <c r="C210" s="784"/>
      <c r="K210" s="771"/>
    </row>
    <row r="211">
      <c r="C211" s="784"/>
      <c r="K211" s="771"/>
    </row>
    <row r="212">
      <c r="C212" s="784"/>
      <c r="K212" s="771"/>
    </row>
    <row r="213">
      <c r="C213" s="784"/>
      <c r="K213" s="771"/>
    </row>
    <row r="214">
      <c r="C214" s="784"/>
      <c r="K214" s="771"/>
    </row>
    <row r="215">
      <c r="C215" s="784"/>
      <c r="K215" s="771"/>
    </row>
    <row r="216">
      <c r="C216" s="784"/>
      <c r="K216" s="771"/>
    </row>
    <row r="217">
      <c r="C217" s="784"/>
      <c r="K217" s="771"/>
    </row>
    <row r="218">
      <c r="C218" s="784"/>
      <c r="K218" s="771"/>
    </row>
    <row r="219">
      <c r="C219" s="784"/>
      <c r="K219" s="771"/>
    </row>
    <row r="220">
      <c r="C220" s="784"/>
      <c r="K220" s="771"/>
    </row>
    <row r="221">
      <c r="C221" s="784"/>
      <c r="K221" s="771"/>
    </row>
    <row r="222">
      <c r="C222" s="784"/>
      <c r="K222" s="771"/>
    </row>
    <row r="223">
      <c r="C223" s="784"/>
      <c r="K223" s="771"/>
    </row>
    <row r="224">
      <c r="C224" s="784"/>
      <c r="K224" s="771"/>
    </row>
    <row r="225">
      <c r="C225" s="784"/>
      <c r="K225" s="771"/>
    </row>
    <row r="226">
      <c r="C226" s="784"/>
      <c r="K226" s="771"/>
    </row>
    <row r="227">
      <c r="C227" s="784"/>
      <c r="K227" s="771"/>
    </row>
    <row r="228">
      <c r="C228" s="784"/>
      <c r="K228" s="771"/>
    </row>
    <row r="229">
      <c r="C229" s="784"/>
      <c r="K229" s="771"/>
    </row>
    <row r="230">
      <c r="C230" s="784"/>
      <c r="K230" s="771"/>
    </row>
    <row r="231">
      <c r="C231" s="784"/>
      <c r="K231" s="771"/>
    </row>
    <row r="232">
      <c r="C232" s="784"/>
      <c r="K232" s="771"/>
    </row>
    <row r="233">
      <c r="C233" s="784"/>
      <c r="K233" s="771"/>
    </row>
    <row r="234">
      <c r="C234" s="784"/>
      <c r="K234" s="771"/>
    </row>
    <row r="235">
      <c r="C235" s="784"/>
      <c r="K235" s="771"/>
    </row>
    <row r="236">
      <c r="C236" s="784"/>
      <c r="K236" s="771"/>
    </row>
    <row r="237">
      <c r="C237" s="784"/>
      <c r="K237" s="771"/>
    </row>
    <row r="238">
      <c r="C238" s="784"/>
      <c r="K238" s="771"/>
    </row>
    <row r="239">
      <c r="C239" s="784"/>
      <c r="K239" s="771"/>
    </row>
    <row r="240">
      <c r="C240" s="784"/>
      <c r="K240" s="771"/>
    </row>
    <row r="241">
      <c r="C241" s="784"/>
      <c r="K241" s="771"/>
    </row>
    <row r="242">
      <c r="C242" s="784"/>
      <c r="K242" s="771"/>
    </row>
    <row r="243">
      <c r="C243" s="784"/>
      <c r="K243" s="771"/>
    </row>
    <row r="244">
      <c r="C244" s="784"/>
      <c r="K244" s="771"/>
    </row>
    <row r="245">
      <c r="C245" s="784"/>
      <c r="K245" s="771"/>
    </row>
    <row r="246">
      <c r="C246" s="784"/>
      <c r="K246" s="771"/>
    </row>
    <row r="247">
      <c r="C247" s="784"/>
      <c r="K247" s="771"/>
    </row>
    <row r="248">
      <c r="C248" s="784"/>
      <c r="K248" s="771"/>
    </row>
    <row r="249">
      <c r="C249" s="784"/>
      <c r="K249" s="771"/>
    </row>
    <row r="250">
      <c r="C250" s="784"/>
      <c r="K250" s="771"/>
    </row>
    <row r="251">
      <c r="C251" s="784"/>
      <c r="K251" s="771"/>
    </row>
    <row r="252">
      <c r="C252" s="784"/>
      <c r="K252" s="771"/>
    </row>
    <row r="253">
      <c r="C253" s="784"/>
      <c r="K253" s="771"/>
    </row>
    <row r="254">
      <c r="C254" s="784"/>
      <c r="K254" s="771"/>
    </row>
    <row r="255">
      <c r="C255" s="784"/>
      <c r="K255" s="771"/>
    </row>
    <row r="256">
      <c r="C256" s="784"/>
      <c r="K256" s="771"/>
    </row>
    <row r="257">
      <c r="C257" s="784"/>
      <c r="K257" s="771"/>
    </row>
    <row r="258">
      <c r="C258" s="784"/>
      <c r="K258" s="771"/>
    </row>
    <row r="259">
      <c r="C259" s="784"/>
      <c r="K259" s="771"/>
    </row>
    <row r="260">
      <c r="C260" s="784"/>
      <c r="K260" s="771"/>
    </row>
    <row r="261">
      <c r="C261" s="784"/>
      <c r="K261" s="771"/>
    </row>
    <row r="262">
      <c r="C262" s="784"/>
      <c r="K262" s="771"/>
    </row>
    <row r="263">
      <c r="C263" s="784"/>
      <c r="K263" s="771"/>
    </row>
    <row r="264">
      <c r="C264" s="784"/>
      <c r="K264" s="771"/>
    </row>
    <row r="265">
      <c r="C265" s="784"/>
      <c r="K265" s="771"/>
    </row>
    <row r="266">
      <c r="C266" s="784"/>
      <c r="K266" s="771"/>
    </row>
    <row r="267">
      <c r="C267" s="784"/>
      <c r="K267" s="771"/>
    </row>
    <row r="268">
      <c r="C268" s="784"/>
      <c r="K268" s="771"/>
    </row>
    <row r="269">
      <c r="C269" s="784"/>
      <c r="K269" s="771"/>
    </row>
    <row r="270">
      <c r="C270" s="784"/>
      <c r="K270" s="771"/>
    </row>
    <row r="271">
      <c r="C271" s="784"/>
      <c r="K271" s="771"/>
    </row>
    <row r="272">
      <c r="C272" s="784"/>
      <c r="K272" s="771"/>
    </row>
    <row r="273">
      <c r="C273" s="784"/>
      <c r="K273" s="771"/>
    </row>
    <row r="274">
      <c r="C274" s="784"/>
      <c r="K274" s="771"/>
    </row>
    <row r="275">
      <c r="C275" s="784"/>
      <c r="K275" s="771"/>
    </row>
    <row r="276">
      <c r="C276" s="784"/>
      <c r="K276" s="771"/>
    </row>
    <row r="277">
      <c r="C277" s="784"/>
      <c r="K277" s="771"/>
    </row>
    <row r="278">
      <c r="C278" s="784"/>
      <c r="K278" s="771"/>
    </row>
    <row r="279">
      <c r="C279" s="784"/>
      <c r="K279" s="771"/>
    </row>
    <row r="280">
      <c r="C280" s="784"/>
      <c r="K280" s="771"/>
    </row>
    <row r="281">
      <c r="C281" s="784"/>
      <c r="K281" s="771"/>
    </row>
    <row r="282">
      <c r="C282" s="784"/>
      <c r="K282" s="771"/>
    </row>
    <row r="283">
      <c r="C283" s="784"/>
      <c r="K283" s="771"/>
    </row>
    <row r="284">
      <c r="C284" s="784"/>
      <c r="K284" s="771"/>
    </row>
    <row r="285">
      <c r="C285" s="784"/>
      <c r="K285" s="771"/>
    </row>
    <row r="286">
      <c r="C286" s="784"/>
      <c r="K286" s="771"/>
    </row>
    <row r="287">
      <c r="C287" s="784"/>
      <c r="K287" s="771"/>
    </row>
    <row r="288">
      <c r="C288" s="784"/>
      <c r="K288" s="771"/>
    </row>
    <row r="289">
      <c r="C289" s="784"/>
      <c r="K289" s="771"/>
    </row>
    <row r="290">
      <c r="C290" s="784"/>
      <c r="K290" s="771"/>
    </row>
    <row r="291">
      <c r="C291" s="784"/>
      <c r="K291" s="771"/>
    </row>
    <row r="292">
      <c r="C292" s="784"/>
      <c r="K292" s="771"/>
    </row>
    <row r="293">
      <c r="C293" s="784"/>
      <c r="K293" s="771"/>
    </row>
    <row r="294">
      <c r="C294" s="784"/>
      <c r="K294" s="771"/>
    </row>
    <row r="295">
      <c r="C295" s="784"/>
      <c r="K295" s="771"/>
    </row>
    <row r="296">
      <c r="C296" s="784"/>
      <c r="K296" s="771"/>
    </row>
    <row r="297">
      <c r="C297" s="784"/>
      <c r="K297" s="771"/>
    </row>
    <row r="298">
      <c r="C298" s="784"/>
      <c r="K298" s="771"/>
    </row>
    <row r="299">
      <c r="C299" s="784"/>
      <c r="K299" s="771"/>
    </row>
    <row r="300">
      <c r="C300" s="784"/>
      <c r="K300" s="771"/>
    </row>
    <row r="301">
      <c r="C301" s="784"/>
      <c r="K301" s="771"/>
    </row>
    <row r="302">
      <c r="C302" s="784"/>
      <c r="K302" s="771"/>
    </row>
    <row r="303">
      <c r="C303" s="784"/>
      <c r="K303" s="771"/>
    </row>
    <row r="304">
      <c r="C304" s="784"/>
      <c r="K304" s="771"/>
    </row>
    <row r="305">
      <c r="C305" s="784"/>
      <c r="K305" s="771"/>
    </row>
    <row r="306">
      <c r="C306" s="784"/>
      <c r="K306" s="771"/>
    </row>
    <row r="307">
      <c r="C307" s="784"/>
      <c r="K307" s="771"/>
    </row>
    <row r="308">
      <c r="C308" s="784"/>
      <c r="K308" s="771"/>
    </row>
    <row r="309">
      <c r="C309" s="784"/>
      <c r="K309" s="771"/>
    </row>
    <row r="310">
      <c r="C310" s="784"/>
      <c r="K310" s="771"/>
    </row>
    <row r="311">
      <c r="C311" s="784"/>
      <c r="K311" s="771"/>
    </row>
    <row r="312">
      <c r="C312" s="784"/>
      <c r="K312" s="771"/>
    </row>
    <row r="313">
      <c r="C313" s="784"/>
      <c r="K313" s="771"/>
    </row>
    <row r="314">
      <c r="C314" s="784"/>
      <c r="K314" s="771"/>
    </row>
    <row r="315">
      <c r="C315" s="784"/>
      <c r="K315" s="771"/>
    </row>
    <row r="316">
      <c r="C316" s="784"/>
      <c r="K316" s="771"/>
    </row>
    <row r="317">
      <c r="C317" s="784"/>
      <c r="K317" s="771"/>
    </row>
    <row r="318">
      <c r="C318" s="784"/>
      <c r="K318" s="771"/>
    </row>
    <row r="319">
      <c r="C319" s="784"/>
      <c r="K319" s="771"/>
    </row>
    <row r="320">
      <c r="C320" s="784"/>
      <c r="K320" s="771"/>
    </row>
    <row r="321">
      <c r="C321" s="784"/>
      <c r="K321" s="771"/>
    </row>
    <row r="322">
      <c r="C322" s="784"/>
      <c r="K322" s="771"/>
    </row>
    <row r="323">
      <c r="C323" s="784"/>
      <c r="K323" s="771"/>
    </row>
    <row r="324">
      <c r="C324" s="784"/>
      <c r="K324" s="771"/>
    </row>
    <row r="325">
      <c r="C325" s="784"/>
      <c r="K325" s="771"/>
    </row>
    <row r="326">
      <c r="C326" s="784"/>
      <c r="K326" s="771"/>
    </row>
    <row r="327">
      <c r="C327" s="784"/>
      <c r="K327" s="771"/>
    </row>
    <row r="328">
      <c r="C328" s="784"/>
      <c r="K328" s="771"/>
    </row>
    <row r="329">
      <c r="C329" s="784"/>
      <c r="K329" s="771"/>
    </row>
    <row r="330">
      <c r="C330" s="784"/>
      <c r="K330" s="771"/>
    </row>
    <row r="331">
      <c r="C331" s="784"/>
      <c r="K331" s="771"/>
    </row>
    <row r="332">
      <c r="C332" s="784"/>
      <c r="K332" s="771"/>
    </row>
    <row r="333">
      <c r="C333" s="784"/>
      <c r="K333" s="771"/>
    </row>
    <row r="334">
      <c r="C334" s="784"/>
      <c r="K334" s="771"/>
    </row>
    <row r="335">
      <c r="C335" s="784"/>
      <c r="K335" s="771"/>
    </row>
    <row r="336">
      <c r="C336" s="784"/>
      <c r="K336" s="771"/>
    </row>
    <row r="337">
      <c r="C337" s="784"/>
      <c r="K337" s="771"/>
    </row>
    <row r="338">
      <c r="C338" s="784"/>
      <c r="K338" s="771"/>
    </row>
    <row r="339">
      <c r="C339" s="784"/>
      <c r="K339" s="771"/>
    </row>
    <row r="340">
      <c r="C340" s="784"/>
      <c r="K340" s="771"/>
    </row>
    <row r="341">
      <c r="C341" s="784"/>
      <c r="K341" s="771"/>
    </row>
    <row r="342">
      <c r="C342" s="784"/>
      <c r="K342" s="771"/>
    </row>
    <row r="343">
      <c r="C343" s="784"/>
      <c r="K343" s="771"/>
    </row>
    <row r="344">
      <c r="C344" s="784"/>
      <c r="K344" s="771"/>
    </row>
    <row r="345">
      <c r="C345" s="784"/>
      <c r="K345" s="771"/>
    </row>
    <row r="346">
      <c r="C346" s="784"/>
      <c r="K346" s="771"/>
    </row>
    <row r="347">
      <c r="C347" s="784"/>
      <c r="K347" s="771"/>
    </row>
    <row r="348">
      <c r="C348" s="784"/>
      <c r="K348" s="771"/>
    </row>
    <row r="349">
      <c r="C349" s="784"/>
      <c r="K349" s="771"/>
    </row>
    <row r="350">
      <c r="C350" s="784"/>
      <c r="K350" s="771"/>
    </row>
    <row r="351">
      <c r="C351" s="784"/>
      <c r="K351" s="771"/>
    </row>
    <row r="352">
      <c r="C352" s="784"/>
      <c r="K352" s="771"/>
    </row>
    <row r="353">
      <c r="C353" s="784"/>
      <c r="K353" s="771"/>
    </row>
    <row r="354">
      <c r="C354" s="784"/>
      <c r="K354" s="771"/>
    </row>
    <row r="355">
      <c r="C355" s="784"/>
      <c r="K355" s="771"/>
    </row>
    <row r="356">
      <c r="C356" s="784"/>
      <c r="K356" s="771"/>
    </row>
    <row r="357">
      <c r="C357" s="784"/>
      <c r="K357" s="771"/>
    </row>
    <row r="358">
      <c r="C358" s="784"/>
      <c r="K358" s="771"/>
    </row>
    <row r="359">
      <c r="C359" s="784"/>
      <c r="K359" s="771"/>
    </row>
    <row r="360">
      <c r="C360" s="784"/>
      <c r="K360" s="771"/>
    </row>
    <row r="361">
      <c r="C361" s="784"/>
      <c r="K361" s="771"/>
    </row>
    <row r="362">
      <c r="C362" s="784"/>
      <c r="K362" s="771"/>
    </row>
    <row r="363">
      <c r="C363" s="784"/>
      <c r="K363" s="771"/>
    </row>
    <row r="364">
      <c r="C364" s="784"/>
      <c r="K364" s="771"/>
    </row>
    <row r="365">
      <c r="C365" s="784"/>
      <c r="K365" s="771"/>
    </row>
    <row r="366">
      <c r="C366" s="784"/>
      <c r="K366" s="771"/>
    </row>
    <row r="367">
      <c r="C367" s="784"/>
      <c r="K367" s="771"/>
    </row>
    <row r="368">
      <c r="C368" s="784"/>
      <c r="K368" s="771"/>
    </row>
    <row r="369">
      <c r="C369" s="784"/>
      <c r="K369" s="771"/>
    </row>
    <row r="370">
      <c r="C370" s="784"/>
      <c r="K370" s="771"/>
    </row>
    <row r="371">
      <c r="C371" s="784"/>
      <c r="K371" s="771"/>
    </row>
    <row r="372">
      <c r="C372" s="784"/>
      <c r="K372" s="771"/>
    </row>
    <row r="373">
      <c r="C373" s="784"/>
      <c r="K373" s="771"/>
    </row>
    <row r="374">
      <c r="C374" s="784"/>
      <c r="K374" s="771"/>
    </row>
    <row r="375">
      <c r="C375" s="784"/>
      <c r="K375" s="771"/>
    </row>
    <row r="376">
      <c r="C376" s="784"/>
      <c r="K376" s="771"/>
    </row>
    <row r="377">
      <c r="C377" s="784"/>
      <c r="K377" s="771"/>
    </row>
    <row r="378">
      <c r="C378" s="784"/>
      <c r="K378" s="771"/>
    </row>
    <row r="379">
      <c r="C379" s="784"/>
      <c r="K379" s="771"/>
    </row>
    <row r="380">
      <c r="C380" s="784"/>
      <c r="K380" s="771"/>
    </row>
    <row r="381">
      <c r="C381" s="784"/>
      <c r="K381" s="771"/>
    </row>
    <row r="382">
      <c r="C382" s="784"/>
      <c r="K382" s="771"/>
    </row>
    <row r="383">
      <c r="C383" s="784"/>
      <c r="K383" s="771"/>
    </row>
    <row r="384">
      <c r="C384" s="784"/>
      <c r="K384" s="771"/>
    </row>
    <row r="385">
      <c r="C385" s="784"/>
      <c r="K385" s="771"/>
    </row>
    <row r="386">
      <c r="C386" s="784"/>
      <c r="K386" s="771"/>
    </row>
    <row r="387">
      <c r="C387" s="784"/>
      <c r="K387" s="771"/>
    </row>
    <row r="388">
      <c r="C388" s="784"/>
      <c r="K388" s="771"/>
    </row>
    <row r="389">
      <c r="C389" s="784"/>
      <c r="K389" s="771"/>
    </row>
    <row r="390">
      <c r="C390" s="784"/>
      <c r="K390" s="771"/>
    </row>
    <row r="391">
      <c r="C391" s="784"/>
      <c r="K391" s="771"/>
    </row>
    <row r="392">
      <c r="C392" s="784"/>
      <c r="K392" s="771"/>
    </row>
    <row r="393">
      <c r="C393" s="784"/>
      <c r="K393" s="771"/>
    </row>
    <row r="394">
      <c r="C394" s="784"/>
      <c r="K394" s="771"/>
    </row>
    <row r="395">
      <c r="C395" s="784"/>
      <c r="K395" s="771"/>
    </row>
    <row r="396">
      <c r="C396" s="784"/>
      <c r="K396" s="771"/>
    </row>
    <row r="397">
      <c r="C397" s="784"/>
      <c r="K397" s="771"/>
    </row>
    <row r="398">
      <c r="C398" s="784"/>
      <c r="K398" s="771"/>
    </row>
    <row r="399">
      <c r="C399" s="784"/>
      <c r="K399" s="771"/>
    </row>
    <row r="400">
      <c r="C400" s="784"/>
      <c r="K400" s="771"/>
    </row>
    <row r="401">
      <c r="C401" s="784"/>
      <c r="K401" s="771"/>
    </row>
    <row r="402">
      <c r="C402" s="784"/>
      <c r="K402" s="771"/>
    </row>
    <row r="403">
      <c r="C403" s="784"/>
      <c r="K403" s="771"/>
    </row>
    <row r="404">
      <c r="C404" s="784"/>
      <c r="K404" s="771"/>
    </row>
    <row r="405">
      <c r="C405" s="784"/>
      <c r="K405" s="771"/>
    </row>
    <row r="406">
      <c r="C406" s="784"/>
      <c r="K406" s="771"/>
    </row>
    <row r="407">
      <c r="C407" s="784"/>
      <c r="K407" s="771"/>
    </row>
    <row r="408">
      <c r="C408" s="784"/>
      <c r="K408" s="771"/>
    </row>
    <row r="409">
      <c r="C409" s="784"/>
      <c r="K409" s="771"/>
    </row>
    <row r="410">
      <c r="C410" s="784"/>
      <c r="K410" s="771"/>
    </row>
    <row r="411">
      <c r="C411" s="784"/>
      <c r="K411" s="771"/>
    </row>
    <row r="412">
      <c r="C412" s="784"/>
      <c r="K412" s="771"/>
    </row>
    <row r="413">
      <c r="C413" s="784"/>
      <c r="K413" s="771"/>
    </row>
    <row r="414">
      <c r="C414" s="784"/>
      <c r="K414" s="771"/>
    </row>
    <row r="415">
      <c r="C415" s="784"/>
      <c r="K415" s="771"/>
    </row>
    <row r="416">
      <c r="C416" s="784"/>
      <c r="K416" s="771"/>
    </row>
    <row r="417">
      <c r="C417" s="784"/>
      <c r="K417" s="771"/>
    </row>
    <row r="418">
      <c r="C418" s="784"/>
      <c r="K418" s="771"/>
    </row>
    <row r="419">
      <c r="C419" s="784"/>
      <c r="K419" s="771"/>
    </row>
    <row r="420">
      <c r="C420" s="784"/>
      <c r="K420" s="771"/>
    </row>
    <row r="421">
      <c r="C421" s="784"/>
      <c r="K421" s="771"/>
    </row>
    <row r="422">
      <c r="C422" s="784"/>
      <c r="K422" s="771"/>
    </row>
    <row r="423">
      <c r="C423" s="784"/>
      <c r="K423" s="771"/>
    </row>
    <row r="424">
      <c r="C424" s="784"/>
      <c r="K424" s="771"/>
    </row>
    <row r="425">
      <c r="C425" s="784"/>
      <c r="K425" s="771"/>
    </row>
    <row r="426">
      <c r="C426" s="784"/>
      <c r="K426" s="771"/>
    </row>
    <row r="427">
      <c r="C427" s="784"/>
      <c r="K427" s="771"/>
    </row>
    <row r="428">
      <c r="C428" s="784"/>
      <c r="K428" s="771"/>
    </row>
    <row r="429">
      <c r="C429" s="784"/>
      <c r="K429" s="771"/>
    </row>
    <row r="430">
      <c r="C430" s="784"/>
      <c r="K430" s="771"/>
    </row>
    <row r="431">
      <c r="C431" s="784"/>
      <c r="K431" s="771"/>
    </row>
    <row r="432">
      <c r="C432" s="784"/>
      <c r="K432" s="771"/>
    </row>
    <row r="433">
      <c r="C433" s="784"/>
      <c r="K433" s="771"/>
    </row>
    <row r="434">
      <c r="C434" s="784"/>
      <c r="K434" s="771"/>
    </row>
    <row r="435">
      <c r="C435" s="784"/>
      <c r="K435" s="771"/>
    </row>
    <row r="436">
      <c r="C436" s="784"/>
      <c r="K436" s="771"/>
    </row>
    <row r="437">
      <c r="C437" s="784"/>
      <c r="K437" s="771"/>
    </row>
    <row r="438">
      <c r="C438" s="784"/>
      <c r="K438" s="771"/>
    </row>
    <row r="439">
      <c r="C439" s="784"/>
      <c r="K439" s="771"/>
    </row>
    <row r="440">
      <c r="C440" s="784"/>
      <c r="K440" s="771"/>
    </row>
    <row r="441">
      <c r="C441" s="784"/>
      <c r="K441" s="771"/>
    </row>
    <row r="442">
      <c r="C442" s="784"/>
      <c r="K442" s="771"/>
    </row>
    <row r="443">
      <c r="C443" s="784"/>
      <c r="K443" s="771"/>
    </row>
    <row r="444">
      <c r="C444" s="784"/>
      <c r="K444" s="771"/>
    </row>
    <row r="445">
      <c r="C445" s="784"/>
      <c r="K445" s="771"/>
    </row>
    <row r="446">
      <c r="C446" s="784"/>
      <c r="K446" s="771"/>
    </row>
    <row r="447">
      <c r="C447" s="784"/>
      <c r="K447" s="771"/>
    </row>
    <row r="448">
      <c r="C448" s="784"/>
      <c r="K448" s="771"/>
    </row>
    <row r="449">
      <c r="C449" s="784"/>
      <c r="K449" s="771"/>
    </row>
    <row r="450">
      <c r="C450" s="784"/>
      <c r="K450" s="771"/>
    </row>
    <row r="451">
      <c r="C451" s="784"/>
      <c r="K451" s="771"/>
    </row>
    <row r="452">
      <c r="C452" s="784"/>
      <c r="K452" s="771"/>
    </row>
    <row r="453">
      <c r="C453" s="784"/>
      <c r="K453" s="771"/>
    </row>
    <row r="454">
      <c r="C454" s="784"/>
      <c r="K454" s="771"/>
    </row>
    <row r="455">
      <c r="C455" s="784"/>
      <c r="K455" s="771"/>
    </row>
    <row r="456">
      <c r="C456" s="784"/>
      <c r="K456" s="771"/>
    </row>
    <row r="457">
      <c r="C457" s="784"/>
      <c r="K457" s="771"/>
    </row>
    <row r="458">
      <c r="C458" s="784"/>
      <c r="K458" s="771"/>
    </row>
    <row r="459">
      <c r="C459" s="784"/>
      <c r="K459" s="771"/>
    </row>
    <row r="460">
      <c r="C460" s="784"/>
      <c r="K460" s="771"/>
    </row>
    <row r="461">
      <c r="C461" s="784"/>
      <c r="K461" s="771"/>
    </row>
    <row r="462">
      <c r="C462" s="784"/>
      <c r="K462" s="771"/>
    </row>
    <row r="463">
      <c r="C463" s="784"/>
      <c r="K463" s="771"/>
    </row>
    <row r="464">
      <c r="C464" s="784"/>
      <c r="K464" s="771"/>
    </row>
    <row r="465">
      <c r="C465" s="784"/>
      <c r="K465" s="771"/>
    </row>
    <row r="466">
      <c r="C466" s="784"/>
      <c r="K466" s="771"/>
    </row>
    <row r="467">
      <c r="C467" s="784"/>
      <c r="K467" s="771"/>
    </row>
    <row r="468">
      <c r="C468" s="784"/>
      <c r="K468" s="771"/>
    </row>
    <row r="469">
      <c r="C469" s="784"/>
      <c r="K469" s="771"/>
    </row>
    <row r="470">
      <c r="C470" s="784"/>
      <c r="K470" s="771"/>
    </row>
    <row r="471">
      <c r="C471" s="784"/>
      <c r="K471" s="771"/>
    </row>
    <row r="472">
      <c r="C472" s="784"/>
      <c r="K472" s="771"/>
    </row>
    <row r="473">
      <c r="C473" s="784"/>
      <c r="K473" s="771"/>
    </row>
    <row r="474">
      <c r="C474" s="784"/>
      <c r="K474" s="771"/>
    </row>
    <row r="475">
      <c r="C475" s="784"/>
      <c r="K475" s="771"/>
    </row>
    <row r="476">
      <c r="C476" s="784"/>
      <c r="K476" s="771"/>
    </row>
    <row r="477">
      <c r="C477" s="784"/>
      <c r="K477" s="771"/>
    </row>
    <row r="478">
      <c r="C478" s="784"/>
      <c r="K478" s="771"/>
    </row>
    <row r="479">
      <c r="C479" s="784"/>
      <c r="K479" s="771"/>
    </row>
    <row r="480">
      <c r="C480" s="784"/>
      <c r="K480" s="771"/>
    </row>
    <row r="481">
      <c r="C481" s="784"/>
      <c r="K481" s="771"/>
    </row>
    <row r="482">
      <c r="C482" s="784"/>
      <c r="K482" s="771"/>
    </row>
    <row r="483">
      <c r="C483" s="784"/>
      <c r="K483" s="771"/>
    </row>
    <row r="484">
      <c r="C484" s="784"/>
      <c r="K484" s="771"/>
    </row>
    <row r="485">
      <c r="C485" s="784"/>
      <c r="K485" s="771"/>
    </row>
    <row r="486">
      <c r="C486" s="784"/>
      <c r="K486" s="771"/>
    </row>
    <row r="487">
      <c r="C487" s="784"/>
      <c r="K487" s="771"/>
    </row>
    <row r="488">
      <c r="C488" s="784"/>
      <c r="K488" s="771"/>
    </row>
    <row r="489">
      <c r="C489" s="784"/>
      <c r="K489" s="771"/>
    </row>
    <row r="490">
      <c r="C490" s="784"/>
      <c r="K490" s="771"/>
    </row>
    <row r="491">
      <c r="C491" s="784"/>
      <c r="K491" s="771"/>
    </row>
    <row r="492">
      <c r="C492" s="784"/>
      <c r="K492" s="771"/>
    </row>
    <row r="493">
      <c r="C493" s="784"/>
      <c r="K493" s="771"/>
    </row>
    <row r="494">
      <c r="C494" s="784"/>
      <c r="K494" s="771"/>
    </row>
    <row r="495">
      <c r="C495" s="784"/>
      <c r="K495" s="771"/>
    </row>
    <row r="496">
      <c r="C496" s="784"/>
      <c r="K496" s="771"/>
    </row>
    <row r="497">
      <c r="C497" s="784"/>
      <c r="K497" s="771"/>
    </row>
    <row r="498">
      <c r="C498" s="784"/>
      <c r="K498" s="771"/>
    </row>
    <row r="499">
      <c r="C499" s="784"/>
      <c r="K499" s="771"/>
    </row>
    <row r="500">
      <c r="C500" s="784"/>
      <c r="K500" s="771"/>
    </row>
    <row r="501">
      <c r="C501" s="784"/>
      <c r="K501" s="771"/>
    </row>
    <row r="502">
      <c r="C502" s="784"/>
      <c r="K502" s="771"/>
    </row>
    <row r="503">
      <c r="C503" s="784"/>
      <c r="K503" s="771"/>
    </row>
    <row r="504">
      <c r="C504" s="784"/>
      <c r="K504" s="771"/>
    </row>
    <row r="505">
      <c r="C505" s="784"/>
      <c r="K505" s="771"/>
    </row>
    <row r="506">
      <c r="C506" s="784"/>
      <c r="K506" s="771"/>
    </row>
    <row r="507">
      <c r="C507" s="784"/>
      <c r="K507" s="771"/>
    </row>
    <row r="508">
      <c r="C508" s="784"/>
      <c r="K508" s="771"/>
    </row>
    <row r="509">
      <c r="C509" s="784"/>
      <c r="K509" s="771"/>
    </row>
    <row r="510">
      <c r="C510" s="784"/>
      <c r="K510" s="771"/>
    </row>
    <row r="511">
      <c r="C511" s="784"/>
      <c r="K511" s="771"/>
    </row>
    <row r="512">
      <c r="C512" s="784"/>
      <c r="K512" s="771"/>
    </row>
    <row r="513">
      <c r="C513" s="784"/>
      <c r="K513" s="771"/>
    </row>
    <row r="514">
      <c r="C514" s="784"/>
      <c r="K514" s="771"/>
    </row>
    <row r="515">
      <c r="C515" s="784"/>
      <c r="K515" s="771"/>
    </row>
    <row r="516">
      <c r="C516" s="784"/>
      <c r="K516" s="771"/>
    </row>
    <row r="517">
      <c r="C517" s="784"/>
      <c r="K517" s="771"/>
    </row>
    <row r="518">
      <c r="C518" s="784"/>
      <c r="K518" s="771"/>
    </row>
    <row r="519">
      <c r="C519" s="784"/>
      <c r="K519" s="771"/>
    </row>
    <row r="520">
      <c r="C520" s="784"/>
      <c r="K520" s="771"/>
    </row>
    <row r="521">
      <c r="C521" s="784"/>
      <c r="K521" s="771"/>
    </row>
    <row r="522">
      <c r="C522" s="784"/>
      <c r="K522" s="771"/>
    </row>
    <row r="523">
      <c r="C523" s="784"/>
      <c r="K523" s="771"/>
    </row>
    <row r="524">
      <c r="C524" s="784"/>
      <c r="K524" s="771"/>
    </row>
    <row r="525">
      <c r="C525" s="784"/>
      <c r="K525" s="771"/>
    </row>
    <row r="526">
      <c r="C526" s="784"/>
      <c r="K526" s="771"/>
    </row>
    <row r="527">
      <c r="C527" s="784"/>
      <c r="K527" s="771"/>
    </row>
    <row r="528">
      <c r="C528" s="784"/>
      <c r="K528" s="771"/>
    </row>
    <row r="529">
      <c r="C529" s="784"/>
      <c r="K529" s="771"/>
    </row>
    <row r="530">
      <c r="C530" s="784"/>
      <c r="K530" s="771"/>
    </row>
    <row r="531">
      <c r="C531" s="784"/>
      <c r="K531" s="771"/>
    </row>
    <row r="532">
      <c r="C532" s="784"/>
      <c r="K532" s="771"/>
    </row>
    <row r="533">
      <c r="C533" s="784"/>
      <c r="K533" s="771"/>
    </row>
    <row r="534">
      <c r="C534" s="784"/>
      <c r="K534" s="771"/>
    </row>
    <row r="535">
      <c r="C535" s="784"/>
      <c r="K535" s="771"/>
    </row>
    <row r="536">
      <c r="C536" s="784"/>
      <c r="K536" s="771"/>
    </row>
    <row r="537">
      <c r="C537" s="784"/>
      <c r="K537" s="771"/>
    </row>
    <row r="538">
      <c r="C538" s="784"/>
      <c r="K538" s="771"/>
    </row>
    <row r="539">
      <c r="C539" s="784"/>
      <c r="K539" s="771"/>
    </row>
    <row r="540">
      <c r="C540" s="784"/>
      <c r="K540" s="771"/>
    </row>
    <row r="541">
      <c r="C541" s="784"/>
      <c r="K541" s="771"/>
    </row>
    <row r="542">
      <c r="C542" s="784"/>
      <c r="K542" s="771"/>
    </row>
    <row r="543">
      <c r="C543" s="784"/>
      <c r="K543" s="771"/>
    </row>
    <row r="544">
      <c r="C544" s="784"/>
      <c r="K544" s="771"/>
    </row>
    <row r="545">
      <c r="C545" s="784"/>
      <c r="K545" s="771"/>
    </row>
    <row r="546">
      <c r="C546" s="784"/>
      <c r="K546" s="771"/>
    </row>
    <row r="547">
      <c r="C547" s="784"/>
      <c r="K547" s="771"/>
    </row>
    <row r="548">
      <c r="C548" s="784"/>
      <c r="K548" s="771"/>
    </row>
    <row r="549">
      <c r="C549" s="784"/>
      <c r="K549" s="771"/>
    </row>
    <row r="550">
      <c r="C550" s="784"/>
      <c r="K550" s="771"/>
    </row>
    <row r="551">
      <c r="C551" s="784"/>
      <c r="K551" s="771"/>
    </row>
    <row r="552">
      <c r="C552" s="784"/>
      <c r="K552" s="771"/>
    </row>
    <row r="553">
      <c r="C553" s="784"/>
      <c r="K553" s="771"/>
    </row>
    <row r="554">
      <c r="C554" s="784"/>
      <c r="K554" s="771"/>
    </row>
    <row r="555">
      <c r="C555" s="784"/>
      <c r="K555" s="771"/>
    </row>
    <row r="556">
      <c r="C556" s="784"/>
      <c r="K556" s="771"/>
    </row>
    <row r="557">
      <c r="C557" s="784"/>
      <c r="K557" s="771"/>
    </row>
    <row r="558">
      <c r="C558" s="784"/>
      <c r="K558" s="771"/>
    </row>
    <row r="559">
      <c r="C559" s="784"/>
      <c r="K559" s="771"/>
    </row>
    <row r="560">
      <c r="C560" s="784"/>
      <c r="K560" s="771"/>
    </row>
    <row r="561">
      <c r="C561" s="784"/>
      <c r="K561" s="771"/>
    </row>
    <row r="562">
      <c r="C562" s="784"/>
      <c r="K562" s="771"/>
    </row>
    <row r="563">
      <c r="C563" s="784"/>
      <c r="K563" s="771"/>
    </row>
    <row r="564">
      <c r="C564" s="784"/>
      <c r="K564" s="771"/>
    </row>
    <row r="565">
      <c r="C565" s="784"/>
      <c r="K565" s="771"/>
    </row>
    <row r="566">
      <c r="C566" s="784"/>
      <c r="K566" s="771"/>
    </row>
    <row r="567">
      <c r="C567" s="784"/>
      <c r="K567" s="771"/>
    </row>
    <row r="568">
      <c r="C568" s="784"/>
      <c r="K568" s="771"/>
    </row>
    <row r="569">
      <c r="C569" s="784"/>
      <c r="K569" s="771"/>
    </row>
    <row r="570">
      <c r="C570" s="784"/>
      <c r="K570" s="771"/>
    </row>
    <row r="571">
      <c r="C571" s="784"/>
      <c r="K571" s="771"/>
    </row>
    <row r="572">
      <c r="C572" s="784"/>
      <c r="K572" s="771"/>
    </row>
    <row r="573">
      <c r="C573" s="784"/>
      <c r="K573" s="771"/>
    </row>
    <row r="574">
      <c r="C574" s="784"/>
      <c r="K574" s="771"/>
    </row>
    <row r="575">
      <c r="C575" s="784"/>
      <c r="K575" s="771"/>
    </row>
    <row r="576">
      <c r="C576" s="784"/>
      <c r="K576" s="771"/>
    </row>
    <row r="577">
      <c r="C577" s="784"/>
      <c r="K577" s="771"/>
    </row>
    <row r="578">
      <c r="C578" s="784"/>
      <c r="K578" s="771"/>
    </row>
    <row r="579">
      <c r="C579" s="784"/>
      <c r="K579" s="771"/>
    </row>
    <row r="580">
      <c r="C580" s="784"/>
      <c r="K580" s="771"/>
    </row>
    <row r="581">
      <c r="C581" s="784"/>
      <c r="K581" s="771"/>
    </row>
    <row r="582">
      <c r="C582" s="784"/>
      <c r="K582" s="771"/>
    </row>
    <row r="583">
      <c r="C583" s="784"/>
      <c r="K583" s="771"/>
    </row>
    <row r="584">
      <c r="C584" s="784"/>
      <c r="K584" s="771"/>
    </row>
    <row r="585">
      <c r="C585" s="784"/>
      <c r="K585" s="771"/>
    </row>
    <row r="586">
      <c r="C586" s="784"/>
      <c r="K586" s="771"/>
    </row>
    <row r="587">
      <c r="C587" s="784"/>
      <c r="K587" s="771"/>
    </row>
    <row r="588">
      <c r="C588" s="784"/>
      <c r="K588" s="771"/>
    </row>
    <row r="589">
      <c r="C589" s="784"/>
      <c r="K589" s="771"/>
    </row>
    <row r="590">
      <c r="C590" s="784"/>
      <c r="K590" s="771"/>
    </row>
    <row r="591">
      <c r="C591" s="784"/>
      <c r="K591" s="771"/>
    </row>
    <row r="592">
      <c r="C592" s="784"/>
      <c r="K592" s="771"/>
    </row>
    <row r="593">
      <c r="C593" s="784"/>
      <c r="K593" s="771"/>
    </row>
    <row r="594">
      <c r="C594" s="784"/>
      <c r="K594" s="771"/>
    </row>
    <row r="595">
      <c r="C595" s="784"/>
      <c r="K595" s="771"/>
    </row>
    <row r="596">
      <c r="C596" s="784"/>
      <c r="K596" s="771"/>
    </row>
    <row r="597">
      <c r="C597" s="784"/>
      <c r="K597" s="771"/>
    </row>
    <row r="598">
      <c r="C598" s="784"/>
      <c r="K598" s="771"/>
    </row>
    <row r="599">
      <c r="C599" s="784"/>
      <c r="K599" s="771"/>
    </row>
    <row r="600">
      <c r="C600" s="784"/>
      <c r="K600" s="771"/>
    </row>
    <row r="601">
      <c r="C601" s="784"/>
      <c r="K601" s="771"/>
    </row>
    <row r="602">
      <c r="C602" s="784"/>
      <c r="K602" s="771"/>
    </row>
    <row r="603">
      <c r="C603" s="784"/>
      <c r="K603" s="771"/>
    </row>
    <row r="604">
      <c r="C604" s="784"/>
      <c r="K604" s="771"/>
    </row>
    <row r="605">
      <c r="C605" s="784"/>
      <c r="K605" s="771"/>
    </row>
    <row r="606">
      <c r="C606" s="784"/>
      <c r="K606" s="771"/>
    </row>
    <row r="607">
      <c r="C607" s="784"/>
      <c r="K607" s="771"/>
    </row>
    <row r="608">
      <c r="C608" s="784"/>
      <c r="K608" s="771"/>
    </row>
    <row r="609">
      <c r="C609" s="784"/>
      <c r="K609" s="771"/>
    </row>
    <row r="610">
      <c r="C610" s="784"/>
      <c r="K610" s="771"/>
    </row>
    <row r="611">
      <c r="C611" s="784"/>
      <c r="K611" s="771"/>
    </row>
    <row r="612">
      <c r="C612" s="784"/>
      <c r="K612" s="771"/>
    </row>
    <row r="613">
      <c r="C613" s="784"/>
      <c r="K613" s="771"/>
    </row>
    <row r="614">
      <c r="C614" s="784"/>
      <c r="K614" s="771"/>
    </row>
    <row r="615">
      <c r="C615" s="784"/>
      <c r="K615" s="771"/>
    </row>
    <row r="616">
      <c r="C616" s="784"/>
      <c r="K616" s="771"/>
    </row>
    <row r="617">
      <c r="C617" s="784"/>
      <c r="K617" s="771"/>
    </row>
    <row r="618">
      <c r="C618" s="784"/>
      <c r="K618" s="771"/>
    </row>
    <row r="619">
      <c r="C619" s="784"/>
      <c r="K619" s="771"/>
    </row>
    <row r="620">
      <c r="C620" s="784"/>
      <c r="K620" s="771"/>
    </row>
    <row r="621">
      <c r="C621" s="784"/>
      <c r="K621" s="771"/>
    </row>
    <row r="622">
      <c r="C622" s="784"/>
      <c r="K622" s="771"/>
    </row>
    <row r="623">
      <c r="C623" s="784"/>
      <c r="K623" s="771"/>
    </row>
    <row r="624">
      <c r="C624" s="784"/>
      <c r="K624" s="771"/>
    </row>
    <row r="625">
      <c r="C625" s="784"/>
      <c r="K625" s="771"/>
    </row>
    <row r="626">
      <c r="C626" s="784"/>
      <c r="K626" s="771"/>
    </row>
    <row r="627">
      <c r="C627" s="784"/>
      <c r="K627" s="771"/>
    </row>
    <row r="628">
      <c r="C628" s="784"/>
      <c r="K628" s="771"/>
    </row>
    <row r="629">
      <c r="C629" s="784"/>
      <c r="K629" s="771"/>
    </row>
    <row r="630">
      <c r="C630" s="784"/>
      <c r="K630" s="771"/>
    </row>
    <row r="631">
      <c r="C631" s="784"/>
      <c r="K631" s="771"/>
    </row>
    <row r="632">
      <c r="C632" s="784"/>
      <c r="K632" s="771"/>
    </row>
    <row r="633">
      <c r="C633" s="784"/>
      <c r="K633" s="771"/>
    </row>
    <row r="634">
      <c r="C634" s="784"/>
      <c r="K634" s="771"/>
    </row>
    <row r="635">
      <c r="C635" s="784"/>
      <c r="K635" s="771"/>
    </row>
    <row r="636">
      <c r="C636" s="784"/>
      <c r="K636" s="771"/>
    </row>
    <row r="637">
      <c r="C637" s="784"/>
      <c r="K637" s="771"/>
    </row>
    <row r="638">
      <c r="C638" s="784"/>
      <c r="K638" s="771"/>
    </row>
    <row r="639">
      <c r="C639" s="784"/>
      <c r="K639" s="771"/>
    </row>
    <row r="640">
      <c r="C640" s="784"/>
      <c r="K640" s="771"/>
    </row>
    <row r="641">
      <c r="C641" s="784"/>
      <c r="K641" s="771"/>
    </row>
    <row r="642">
      <c r="C642" s="784"/>
      <c r="K642" s="771"/>
    </row>
    <row r="643">
      <c r="C643" s="784"/>
      <c r="K643" s="771"/>
    </row>
    <row r="644">
      <c r="C644" s="784"/>
      <c r="K644" s="771"/>
    </row>
    <row r="645">
      <c r="C645" s="784"/>
      <c r="K645" s="771"/>
    </row>
    <row r="646">
      <c r="C646" s="784"/>
      <c r="K646" s="771"/>
    </row>
    <row r="647">
      <c r="C647" s="784"/>
      <c r="K647" s="771"/>
    </row>
    <row r="648">
      <c r="C648" s="784"/>
      <c r="K648" s="771"/>
    </row>
    <row r="649">
      <c r="C649" s="784"/>
      <c r="K649" s="771"/>
    </row>
    <row r="650">
      <c r="C650" s="784"/>
      <c r="K650" s="771"/>
    </row>
    <row r="651">
      <c r="C651" s="784"/>
      <c r="K651" s="771"/>
    </row>
    <row r="652">
      <c r="C652" s="784"/>
      <c r="K652" s="771"/>
    </row>
    <row r="653">
      <c r="C653" s="784"/>
      <c r="K653" s="771"/>
    </row>
    <row r="654">
      <c r="C654" s="784"/>
      <c r="K654" s="771"/>
    </row>
    <row r="655">
      <c r="C655" s="784"/>
      <c r="K655" s="771"/>
    </row>
    <row r="656">
      <c r="C656" s="784"/>
      <c r="K656" s="771"/>
    </row>
    <row r="657">
      <c r="C657" s="784"/>
      <c r="K657" s="771"/>
    </row>
    <row r="658">
      <c r="C658" s="784"/>
      <c r="K658" s="771"/>
    </row>
    <row r="659">
      <c r="C659" s="784"/>
      <c r="K659" s="771"/>
    </row>
    <row r="660">
      <c r="C660" s="784"/>
      <c r="K660" s="771"/>
    </row>
    <row r="661">
      <c r="C661" s="784"/>
      <c r="K661" s="771"/>
    </row>
    <row r="662">
      <c r="C662" s="784"/>
      <c r="K662" s="771"/>
    </row>
    <row r="663">
      <c r="C663" s="784"/>
      <c r="K663" s="771"/>
    </row>
    <row r="664">
      <c r="C664" s="784"/>
      <c r="K664" s="771"/>
    </row>
    <row r="665">
      <c r="C665" s="784"/>
      <c r="K665" s="771"/>
    </row>
    <row r="666">
      <c r="C666" s="784"/>
      <c r="K666" s="771"/>
    </row>
    <row r="667">
      <c r="C667" s="784"/>
      <c r="K667" s="771"/>
    </row>
    <row r="668">
      <c r="C668" s="784"/>
      <c r="K668" s="771"/>
    </row>
    <row r="669">
      <c r="C669" s="784"/>
      <c r="K669" s="771"/>
    </row>
    <row r="670">
      <c r="C670" s="784"/>
      <c r="K670" s="771"/>
    </row>
    <row r="671">
      <c r="C671" s="784"/>
      <c r="K671" s="771"/>
    </row>
    <row r="672">
      <c r="C672" s="784"/>
      <c r="K672" s="771"/>
    </row>
    <row r="673">
      <c r="C673" s="784"/>
      <c r="K673" s="771"/>
    </row>
    <row r="674">
      <c r="C674" s="784"/>
      <c r="K674" s="771"/>
    </row>
    <row r="675">
      <c r="C675" s="784"/>
      <c r="K675" s="771"/>
    </row>
    <row r="676">
      <c r="C676" s="784"/>
      <c r="K676" s="771"/>
    </row>
    <row r="677">
      <c r="C677" s="784"/>
      <c r="K677" s="771"/>
    </row>
    <row r="678">
      <c r="C678" s="784"/>
      <c r="K678" s="771"/>
    </row>
    <row r="679">
      <c r="C679" s="784"/>
      <c r="K679" s="771"/>
    </row>
    <row r="680">
      <c r="C680" s="784"/>
      <c r="K680" s="771"/>
    </row>
    <row r="681">
      <c r="C681" s="784"/>
      <c r="K681" s="771"/>
    </row>
    <row r="682">
      <c r="C682" s="784"/>
      <c r="K682" s="771"/>
    </row>
    <row r="683">
      <c r="C683" s="784"/>
      <c r="K683" s="771"/>
    </row>
    <row r="684">
      <c r="C684" s="784"/>
      <c r="K684" s="771"/>
    </row>
    <row r="685">
      <c r="C685" s="784"/>
      <c r="K685" s="771"/>
    </row>
    <row r="686">
      <c r="C686" s="784"/>
      <c r="K686" s="771"/>
    </row>
    <row r="687">
      <c r="C687" s="784"/>
      <c r="K687" s="771"/>
    </row>
    <row r="688">
      <c r="C688" s="784"/>
      <c r="K688" s="771"/>
    </row>
    <row r="689">
      <c r="C689" s="784"/>
      <c r="K689" s="771"/>
    </row>
    <row r="690">
      <c r="C690" s="784"/>
      <c r="K690" s="771"/>
    </row>
    <row r="691">
      <c r="C691" s="784"/>
      <c r="K691" s="771"/>
    </row>
    <row r="692">
      <c r="C692" s="784"/>
      <c r="K692" s="771"/>
    </row>
    <row r="693">
      <c r="C693" s="784"/>
      <c r="K693" s="771"/>
    </row>
    <row r="694">
      <c r="C694" s="784"/>
      <c r="K694" s="771"/>
    </row>
    <row r="695">
      <c r="C695" s="784"/>
      <c r="K695" s="771"/>
    </row>
    <row r="696">
      <c r="C696" s="784"/>
      <c r="K696" s="771"/>
    </row>
    <row r="697">
      <c r="C697" s="784"/>
      <c r="K697" s="771"/>
    </row>
    <row r="698">
      <c r="C698" s="784"/>
      <c r="K698" s="771"/>
    </row>
    <row r="699">
      <c r="C699" s="784"/>
      <c r="K699" s="771"/>
    </row>
    <row r="700">
      <c r="C700" s="784"/>
      <c r="K700" s="771"/>
    </row>
    <row r="701">
      <c r="C701" s="784"/>
      <c r="K701" s="771"/>
    </row>
    <row r="702">
      <c r="C702" s="784"/>
      <c r="K702" s="771"/>
    </row>
    <row r="703">
      <c r="C703" s="784"/>
      <c r="K703" s="771"/>
    </row>
    <row r="704">
      <c r="C704" s="784"/>
      <c r="K704" s="771"/>
    </row>
    <row r="705">
      <c r="C705" s="784"/>
      <c r="K705" s="771"/>
    </row>
    <row r="706">
      <c r="C706" s="784"/>
      <c r="K706" s="771"/>
    </row>
    <row r="707">
      <c r="C707" s="784"/>
      <c r="K707" s="771"/>
    </row>
    <row r="708">
      <c r="C708" s="784"/>
      <c r="K708" s="771"/>
    </row>
    <row r="709">
      <c r="C709" s="784"/>
      <c r="K709" s="771"/>
    </row>
    <row r="710">
      <c r="C710" s="784"/>
      <c r="K710" s="771"/>
    </row>
    <row r="711">
      <c r="C711" s="784"/>
      <c r="K711" s="771"/>
    </row>
    <row r="712">
      <c r="C712" s="784"/>
      <c r="K712" s="771"/>
    </row>
    <row r="713">
      <c r="C713" s="784"/>
      <c r="K713" s="771"/>
    </row>
    <row r="714">
      <c r="C714" s="784"/>
      <c r="K714" s="771"/>
    </row>
    <row r="715">
      <c r="C715" s="784"/>
      <c r="K715" s="771"/>
    </row>
    <row r="716">
      <c r="C716" s="784"/>
      <c r="K716" s="771"/>
    </row>
    <row r="717">
      <c r="C717" s="784"/>
      <c r="K717" s="771"/>
    </row>
    <row r="718">
      <c r="C718" s="784"/>
      <c r="K718" s="771"/>
    </row>
    <row r="719">
      <c r="C719" s="784"/>
      <c r="K719" s="771"/>
    </row>
    <row r="720">
      <c r="C720" s="784"/>
      <c r="K720" s="771"/>
    </row>
    <row r="721">
      <c r="C721" s="784"/>
      <c r="K721" s="771"/>
    </row>
    <row r="722">
      <c r="C722" s="784"/>
      <c r="K722" s="771"/>
    </row>
    <row r="723">
      <c r="C723" s="784"/>
      <c r="K723" s="771"/>
    </row>
    <row r="724">
      <c r="C724" s="784"/>
      <c r="K724" s="771"/>
    </row>
    <row r="725">
      <c r="C725" s="784"/>
      <c r="K725" s="771"/>
    </row>
    <row r="726">
      <c r="C726" s="784"/>
      <c r="K726" s="771"/>
    </row>
    <row r="727">
      <c r="C727" s="784"/>
      <c r="K727" s="771"/>
    </row>
    <row r="728">
      <c r="C728" s="784"/>
      <c r="K728" s="771"/>
    </row>
    <row r="729">
      <c r="C729" s="784"/>
      <c r="K729" s="771"/>
    </row>
    <row r="730">
      <c r="C730" s="784"/>
      <c r="K730" s="771"/>
    </row>
    <row r="731">
      <c r="C731" s="784"/>
      <c r="K731" s="771"/>
    </row>
    <row r="732">
      <c r="C732" s="784"/>
      <c r="K732" s="771"/>
    </row>
    <row r="733">
      <c r="C733" s="784"/>
      <c r="K733" s="771"/>
    </row>
    <row r="734">
      <c r="C734" s="784"/>
      <c r="K734" s="771"/>
    </row>
    <row r="735">
      <c r="C735" s="784"/>
      <c r="K735" s="771"/>
    </row>
    <row r="736">
      <c r="C736" s="784"/>
      <c r="K736" s="771"/>
    </row>
    <row r="737">
      <c r="C737" s="784"/>
      <c r="K737" s="771"/>
    </row>
    <row r="738">
      <c r="C738" s="784"/>
      <c r="K738" s="771"/>
    </row>
    <row r="739">
      <c r="C739" s="784"/>
      <c r="K739" s="771"/>
    </row>
    <row r="740">
      <c r="C740" s="784"/>
      <c r="K740" s="771"/>
    </row>
    <row r="741">
      <c r="C741" s="784"/>
      <c r="K741" s="771"/>
    </row>
    <row r="742">
      <c r="C742" s="784"/>
      <c r="K742" s="771"/>
    </row>
    <row r="743">
      <c r="C743" s="784"/>
      <c r="K743" s="771"/>
    </row>
    <row r="744">
      <c r="C744" s="784"/>
      <c r="K744" s="771"/>
    </row>
    <row r="745">
      <c r="C745" s="784"/>
      <c r="K745" s="771"/>
    </row>
    <row r="746">
      <c r="C746" s="784"/>
      <c r="K746" s="771"/>
    </row>
    <row r="747">
      <c r="C747" s="784"/>
      <c r="K747" s="771"/>
    </row>
    <row r="748">
      <c r="C748" s="784"/>
      <c r="K748" s="771"/>
    </row>
    <row r="749">
      <c r="C749" s="784"/>
      <c r="K749" s="771"/>
    </row>
    <row r="750">
      <c r="C750" s="784"/>
      <c r="K750" s="771"/>
    </row>
    <row r="751">
      <c r="C751" s="784"/>
      <c r="K751" s="771"/>
    </row>
    <row r="752">
      <c r="C752" s="784"/>
      <c r="K752" s="771"/>
    </row>
    <row r="753">
      <c r="C753" s="784"/>
      <c r="K753" s="771"/>
    </row>
    <row r="754">
      <c r="C754" s="784"/>
      <c r="K754" s="771"/>
    </row>
    <row r="755">
      <c r="C755" s="784"/>
      <c r="K755" s="771"/>
    </row>
    <row r="756">
      <c r="C756" s="784"/>
      <c r="K756" s="771"/>
    </row>
    <row r="757">
      <c r="C757" s="784"/>
      <c r="K757" s="771"/>
    </row>
    <row r="758">
      <c r="C758" s="784"/>
      <c r="K758" s="771"/>
    </row>
    <row r="759">
      <c r="C759" s="784"/>
      <c r="K759" s="771"/>
    </row>
    <row r="760">
      <c r="C760" s="784"/>
      <c r="K760" s="771"/>
    </row>
    <row r="761">
      <c r="C761" s="784"/>
      <c r="K761" s="771"/>
    </row>
    <row r="762">
      <c r="C762" s="784"/>
      <c r="K762" s="771"/>
    </row>
    <row r="763">
      <c r="C763" s="784"/>
      <c r="K763" s="771"/>
    </row>
    <row r="764">
      <c r="C764" s="784"/>
      <c r="K764" s="771"/>
    </row>
    <row r="765">
      <c r="C765" s="784"/>
      <c r="K765" s="771"/>
    </row>
    <row r="766">
      <c r="C766" s="784"/>
      <c r="K766" s="771"/>
    </row>
    <row r="767">
      <c r="C767" s="784"/>
      <c r="K767" s="771"/>
    </row>
    <row r="768">
      <c r="C768" s="784"/>
      <c r="K768" s="771"/>
    </row>
    <row r="769">
      <c r="C769" s="784"/>
      <c r="K769" s="771"/>
    </row>
    <row r="770">
      <c r="C770" s="784"/>
      <c r="K770" s="771"/>
    </row>
    <row r="771">
      <c r="C771" s="784"/>
      <c r="K771" s="771"/>
    </row>
    <row r="772">
      <c r="C772" s="784"/>
      <c r="K772" s="771"/>
    </row>
    <row r="773">
      <c r="C773" s="784"/>
      <c r="K773" s="771"/>
    </row>
    <row r="774">
      <c r="C774" s="784"/>
      <c r="K774" s="771"/>
    </row>
    <row r="775">
      <c r="C775" s="784"/>
      <c r="K775" s="771"/>
    </row>
    <row r="776">
      <c r="C776" s="784"/>
      <c r="K776" s="771"/>
    </row>
    <row r="777">
      <c r="C777" s="784"/>
      <c r="K777" s="771"/>
    </row>
    <row r="778">
      <c r="C778" s="784"/>
      <c r="K778" s="771"/>
    </row>
    <row r="779">
      <c r="C779" s="784"/>
      <c r="K779" s="771"/>
    </row>
    <row r="780">
      <c r="C780" s="784"/>
      <c r="K780" s="771"/>
    </row>
    <row r="781">
      <c r="C781" s="784"/>
      <c r="K781" s="771"/>
    </row>
    <row r="782">
      <c r="C782" s="784"/>
      <c r="K782" s="771"/>
    </row>
    <row r="783">
      <c r="C783" s="784"/>
      <c r="K783" s="771"/>
    </row>
    <row r="784">
      <c r="C784" s="784"/>
      <c r="K784" s="771"/>
    </row>
    <row r="785">
      <c r="C785" s="784"/>
      <c r="K785" s="771"/>
    </row>
    <row r="786">
      <c r="C786" s="784"/>
      <c r="K786" s="771"/>
    </row>
    <row r="787">
      <c r="C787" s="784"/>
      <c r="K787" s="771"/>
    </row>
    <row r="788">
      <c r="C788" s="784"/>
      <c r="K788" s="771"/>
    </row>
    <row r="789">
      <c r="C789" s="784"/>
      <c r="K789" s="771"/>
    </row>
    <row r="790">
      <c r="C790" s="784"/>
      <c r="K790" s="771"/>
    </row>
    <row r="791">
      <c r="C791" s="784"/>
      <c r="K791" s="771"/>
    </row>
    <row r="792">
      <c r="C792" s="784"/>
      <c r="K792" s="771"/>
    </row>
    <row r="793">
      <c r="C793" s="784"/>
      <c r="K793" s="771"/>
    </row>
    <row r="794">
      <c r="C794" s="784"/>
      <c r="K794" s="771"/>
    </row>
    <row r="795">
      <c r="C795" s="784"/>
      <c r="K795" s="771"/>
    </row>
    <row r="796">
      <c r="C796" s="784"/>
      <c r="K796" s="771"/>
    </row>
    <row r="797">
      <c r="C797" s="784"/>
      <c r="K797" s="771"/>
    </row>
    <row r="798">
      <c r="C798" s="784"/>
      <c r="K798" s="771"/>
    </row>
    <row r="799">
      <c r="C799" s="784"/>
      <c r="K799" s="771"/>
    </row>
    <row r="800">
      <c r="C800" s="784"/>
      <c r="K800" s="771"/>
    </row>
    <row r="801">
      <c r="C801" s="784"/>
      <c r="K801" s="771"/>
    </row>
    <row r="802">
      <c r="C802" s="784"/>
      <c r="K802" s="771"/>
    </row>
    <row r="803">
      <c r="C803" s="784"/>
      <c r="K803" s="771"/>
    </row>
    <row r="804">
      <c r="C804" s="784"/>
      <c r="K804" s="771"/>
    </row>
    <row r="805">
      <c r="C805" s="784"/>
      <c r="K805" s="771"/>
    </row>
    <row r="806">
      <c r="C806" s="784"/>
      <c r="K806" s="771"/>
    </row>
    <row r="807">
      <c r="C807" s="784"/>
      <c r="K807" s="771"/>
    </row>
    <row r="808">
      <c r="C808" s="784"/>
      <c r="K808" s="771"/>
    </row>
    <row r="809">
      <c r="C809" s="784"/>
      <c r="K809" s="771"/>
    </row>
    <row r="810">
      <c r="C810" s="784"/>
      <c r="K810" s="771"/>
    </row>
    <row r="811">
      <c r="C811" s="784"/>
      <c r="K811" s="771"/>
    </row>
    <row r="812">
      <c r="C812" s="784"/>
      <c r="K812" s="771"/>
    </row>
    <row r="813">
      <c r="C813" s="784"/>
      <c r="K813" s="771"/>
    </row>
    <row r="814">
      <c r="C814" s="784"/>
      <c r="K814" s="771"/>
    </row>
    <row r="815">
      <c r="C815" s="784"/>
      <c r="K815" s="771"/>
    </row>
    <row r="816">
      <c r="C816" s="784"/>
      <c r="K816" s="771"/>
    </row>
    <row r="817">
      <c r="C817" s="784"/>
      <c r="K817" s="771"/>
    </row>
    <row r="818">
      <c r="C818" s="784"/>
      <c r="K818" s="771"/>
    </row>
    <row r="819">
      <c r="C819" s="784"/>
      <c r="K819" s="771"/>
    </row>
    <row r="820">
      <c r="C820" s="784"/>
      <c r="K820" s="771"/>
    </row>
    <row r="821">
      <c r="C821" s="784"/>
      <c r="K821" s="771"/>
    </row>
    <row r="822">
      <c r="C822" s="784"/>
      <c r="K822" s="771"/>
    </row>
    <row r="823">
      <c r="C823" s="784"/>
      <c r="K823" s="771"/>
    </row>
    <row r="824">
      <c r="C824" s="784"/>
      <c r="K824" s="771"/>
    </row>
    <row r="825">
      <c r="C825" s="784"/>
      <c r="K825" s="771"/>
    </row>
    <row r="826">
      <c r="C826" s="784"/>
      <c r="K826" s="771"/>
    </row>
    <row r="827">
      <c r="C827" s="784"/>
      <c r="K827" s="771"/>
    </row>
    <row r="828">
      <c r="C828" s="784"/>
      <c r="K828" s="771"/>
    </row>
    <row r="829">
      <c r="C829" s="784"/>
      <c r="K829" s="771"/>
    </row>
    <row r="830">
      <c r="C830" s="784"/>
      <c r="K830" s="771"/>
    </row>
    <row r="831">
      <c r="C831" s="784"/>
      <c r="K831" s="771"/>
    </row>
    <row r="832">
      <c r="C832" s="784"/>
      <c r="K832" s="771"/>
    </row>
    <row r="833">
      <c r="C833" s="784"/>
      <c r="K833" s="771"/>
    </row>
    <row r="834">
      <c r="C834" s="784"/>
      <c r="K834" s="771"/>
    </row>
    <row r="835">
      <c r="C835" s="784"/>
      <c r="K835" s="771"/>
    </row>
    <row r="836">
      <c r="C836" s="784"/>
      <c r="K836" s="771"/>
    </row>
    <row r="837">
      <c r="C837" s="784"/>
      <c r="K837" s="771"/>
    </row>
    <row r="838">
      <c r="C838" s="784"/>
      <c r="K838" s="771"/>
    </row>
    <row r="839">
      <c r="C839" s="784"/>
      <c r="K839" s="771"/>
    </row>
    <row r="840">
      <c r="C840" s="784"/>
      <c r="K840" s="771"/>
    </row>
    <row r="841">
      <c r="C841" s="784"/>
      <c r="K841" s="771"/>
    </row>
    <row r="842">
      <c r="C842" s="784"/>
      <c r="K842" s="771"/>
    </row>
    <row r="843">
      <c r="C843" s="784"/>
      <c r="K843" s="771"/>
    </row>
    <row r="844">
      <c r="C844" s="784"/>
      <c r="K844" s="771"/>
    </row>
    <row r="845">
      <c r="C845" s="784"/>
      <c r="K845" s="771"/>
    </row>
    <row r="846">
      <c r="C846" s="784"/>
      <c r="K846" s="771"/>
    </row>
    <row r="847">
      <c r="C847" s="784"/>
      <c r="K847" s="771"/>
    </row>
    <row r="848">
      <c r="C848" s="784"/>
      <c r="K848" s="771"/>
    </row>
    <row r="849">
      <c r="C849" s="784"/>
      <c r="K849" s="771"/>
    </row>
    <row r="850">
      <c r="C850" s="784"/>
      <c r="K850" s="771"/>
    </row>
    <row r="851">
      <c r="C851" s="784"/>
      <c r="K851" s="771"/>
    </row>
    <row r="852">
      <c r="C852" s="784"/>
      <c r="K852" s="771"/>
    </row>
    <row r="853">
      <c r="C853" s="784"/>
      <c r="K853" s="771"/>
    </row>
    <row r="854">
      <c r="C854" s="784"/>
      <c r="K854" s="771"/>
    </row>
    <row r="855">
      <c r="C855" s="784"/>
      <c r="K855" s="771"/>
    </row>
    <row r="856">
      <c r="C856" s="784"/>
      <c r="K856" s="771"/>
    </row>
    <row r="857">
      <c r="C857" s="784"/>
      <c r="K857" s="771"/>
    </row>
    <row r="858">
      <c r="C858" s="784"/>
      <c r="K858" s="771"/>
    </row>
    <row r="859">
      <c r="C859" s="784"/>
      <c r="K859" s="771"/>
    </row>
    <row r="860">
      <c r="C860" s="784"/>
      <c r="K860" s="771"/>
    </row>
    <row r="861">
      <c r="C861" s="784"/>
      <c r="K861" s="771"/>
    </row>
    <row r="862">
      <c r="C862" s="784"/>
      <c r="K862" s="771"/>
    </row>
    <row r="863">
      <c r="C863" s="784"/>
      <c r="K863" s="771"/>
    </row>
    <row r="864">
      <c r="C864" s="784"/>
      <c r="K864" s="771"/>
    </row>
    <row r="865">
      <c r="C865" s="784"/>
      <c r="K865" s="771"/>
    </row>
    <row r="866">
      <c r="C866" s="784"/>
      <c r="K866" s="771"/>
    </row>
    <row r="867">
      <c r="C867" s="784"/>
      <c r="K867" s="771"/>
    </row>
    <row r="868">
      <c r="C868" s="784"/>
      <c r="K868" s="771"/>
    </row>
    <row r="869">
      <c r="C869" s="784"/>
      <c r="K869" s="771"/>
    </row>
    <row r="870">
      <c r="C870" s="784"/>
      <c r="K870" s="771"/>
    </row>
    <row r="871">
      <c r="C871" s="784"/>
      <c r="K871" s="771"/>
    </row>
    <row r="872">
      <c r="C872" s="784"/>
      <c r="K872" s="771"/>
    </row>
    <row r="873">
      <c r="C873" s="784"/>
      <c r="K873" s="771"/>
    </row>
    <row r="874">
      <c r="C874" s="784"/>
      <c r="K874" s="771"/>
    </row>
    <row r="875">
      <c r="C875" s="784"/>
      <c r="K875" s="771"/>
    </row>
    <row r="876">
      <c r="C876" s="784"/>
      <c r="K876" s="771"/>
    </row>
    <row r="877">
      <c r="C877" s="784"/>
      <c r="K877" s="771"/>
    </row>
    <row r="878">
      <c r="C878" s="784"/>
      <c r="K878" s="771"/>
    </row>
    <row r="879">
      <c r="C879" s="784"/>
      <c r="K879" s="771"/>
    </row>
    <row r="880">
      <c r="C880" s="784"/>
      <c r="K880" s="771"/>
    </row>
    <row r="881">
      <c r="C881" s="784"/>
      <c r="K881" s="771"/>
    </row>
    <row r="882">
      <c r="C882" s="784"/>
      <c r="K882" s="771"/>
    </row>
    <row r="883">
      <c r="C883" s="784"/>
      <c r="K883" s="771"/>
    </row>
    <row r="884">
      <c r="C884" s="784"/>
      <c r="K884" s="771"/>
    </row>
    <row r="885">
      <c r="C885" s="784"/>
      <c r="K885" s="771"/>
    </row>
    <row r="886">
      <c r="C886" s="784"/>
      <c r="K886" s="771"/>
    </row>
    <row r="887">
      <c r="C887" s="784"/>
      <c r="K887" s="771"/>
    </row>
    <row r="888">
      <c r="C888" s="784"/>
      <c r="K888" s="771"/>
    </row>
    <row r="889">
      <c r="C889" s="784"/>
      <c r="K889" s="771"/>
    </row>
    <row r="890">
      <c r="C890" s="784"/>
      <c r="K890" s="771"/>
    </row>
    <row r="891">
      <c r="C891" s="784"/>
      <c r="K891" s="771"/>
    </row>
    <row r="892">
      <c r="C892" s="784"/>
      <c r="K892" s="771"/>
    </row>
    <row r="893">
      <c r="C893" s="784"/>
      <c r="K893" s="771"/>
    </row>
    <row r="894">
      <c r="C894" s="784"/>
      <c r="K894" s="771"/>
    </row>
    <row r="895">
      <c r="C895" s="784"/>
      <c r="K895" s="771"/>
    </row>
    <row r="896">
      <c r="C896" s="784"/>
      <c r="K896" s="771"/>
    </row>
    <row r="897">
      <c r="C897" s="784"/>
      <c r="K897" s="771"/>
    </row>
    <row r="898">
      <c r="C898" s="784"/>
      <c r="K898" s="771"/>
    </row>
    <row r="899">
      <c r="C899" s="784"/>
      <c r="K899" s="771"/>
    </row>
    <row r="900">
      <c r="C900" s="784"/>
      <c r="K900" s="771"/>
    </row>
    <row r="901">
      <c r="C901" s="784"/>
      <c r="K901" s="771"/>
    </row>
    <row r="902">
      <c r="C902" s="784"/>
      <c r="K902" s="771"/>
    </row>
    <row r="903">
      <c r="C903" s="784"/>
      <c r="K903" s="771"/>
    </row>
    <row r="904">
      <c r="C904" s="784"/>
      <c r="K904" s="771"/>
    </row>
    <row r="905">
      <c r="C905" s="784"/>
      <c r="K905" s="771"/>
    </row>
    <row r="906">
      <c r="C906" s="784"/>
      <c r="K906" s="771"/>
    </row>
    <row r="907">
      <c r="C907" s="784"/>
      <c r="K907" s="771"/>
    </row>
    <row r="908">
      <c r="C908" s="784"/>
      <c r="K908" s="771"/>
    </row>
    <row r="909">
      <c r="C909" s="784"/>
      <c r="K909" s="771"/>
    </row>
    <row r="910">
      <c r="C910" s="784"/>
      <c r="K910" s="771"/>
    </row>
    <row r="911">
      <c r="C911" s="784"/>
      <c r="K911" s="771"/>
    </row>
    <row r="912">
      <c r="C912" s="784"/>
      <c r="K912" s="771"/>
    </row>
    <row r="913">
      <c r="C913" s="784"/>
      <c r="K913" s="771"/>
    </row>
    <row r="914">
      <c r="C914" s="784"/>
      <c r="K914" s="771"/>
    </row>
    <row r="915">
      <c r="C915" s="784"/>
      <c r="K915" s="771"/>
    </row>
    <row r="916">
      <c r="C916" s="784"/>
      <c r="K916" s="771"/>
    </row>
    <row r="917">
      <c r="C917" s="784"/>
      <c r="K917" s="771"/>
    </row>
    <row r="918">
      <c r="C918" s="784"/>
      <c r="K918" s="771"/>
    </row>
    <row r="919">
      <c r="C919" s="784"/>
      <c r="K919" s="771"/>
    </row>
    <row r="920">
      <c r="C920" s="784"/>
      <c r="K920" s="771"/>
    </row>
    <row r="921">
      <c r="C921" s="784"/>
      <c r="K921" s="771"/>
    </row>
    <row r="922">
      <c r="C922" s="784"/>
      <c r="K922" s="771"/>
    </row>
    <row r="923">
      <c r="C923" s="784"/>
      <c r="K923" s="771"/>
    </row>
    <row r="924">
      <c r="C924" s="784"/>
      <c r="K924" s="771"/>
    </row>
    <row r="925">
      <c r="C925" s="784"/>
      <c r="K925" s="771"/>
    </row>
    <row r="926">
      <c r="C926" s="784"/>
      <c r="K926" s="771"/>
    </row>
    <row r="927">
      <c r="C927" s="784"/>
      <c r="K927" s="771"/>
    </row>
    <row r="928">
      <c r="C928" s="784"/>
      <c r="K928" s="771"/>
    </row>
    <row r="929">
      <c r="C929" s="784"/>
      <c r="K929" s="771"/>
    </row>
    <row r="930">
      <c r="C930" s="784"/>
      <c r="K930" s="771"/>
    </row>
    <row r="931">
      <c r="C931" s="784"/>
      <c r="K931" s="771"/>
    </row>
    <row r="932">
      <c r="C932" s="784"/>
      <c r="K932" s="771"/>
    </row>
    <row r="933">
      <c r="C933" s="784"/>
      <c r="K933" s="771"/>
    </row>
    <row r="934">
      <c r="C934" s="784"/>
      <c r="K934" s="771"/>
    </row>
    <row r="935">
      <c r="C935" s="784"/>
      <c r="K935" s="771"/>
    </row>
    <row r="936">
      <c r="C936" s="784"/>
      <c r="K936" s="771"/>
    </row>
    <row r="937">
      <c r="C937" s="784"/>
      <c r="K937" s="771"/>
    </row>
    <row r="938">
      <c r="C938" s="784"/>
      <c r="K938" s="771"/>
    </row>
    <row r="939">
      <c r="C939" s="784"/>
      <c r="K939" s="771"/>
    </row>
    <row r="940">
      <c r="C940" s="784"/>
      <c r="K940" s="771"/>
    </row>
    <row r="941">
      <c r="C941" s="784"/>
      <c r="K941" s="771"/>
    </row>
    <row r="942">
      <c r="C942" s="784"/>
      <c r="K942" s="771"/>
    </row>
    <row r="943">
      <c r="C943" s="784"/>
      <c r="K943" s="771"/>
    </row>
    <row r="944">
      <c r="C944" s="784"/>
      <c r="K944" s="771"/>
    </row>
    <row r="945">
      <c r="C945" s="784"/>
      <c r="K945" s="771"/>
    </row>
    <row r="946">
      <c r="C946" s="784"/>
      <c r="K946" s="771"/>
    </row>
    <row r="947">
      <c r="C947" s="784"/>
      <c r="K947" s="771"/>
    </row>
    <row r="948">
      <c r="C948" s="784"/>
      <c r="K948" s="771"/>
    </row>
    <row r="949">
      <c r="C949" s="784"/>
      <c r="K949" s="771"/>
    </row>
    <row r="950">
      <c r="C950" s="784"/>
      <c r="K950" s="771"/>
    </row>
    <row r="951">
      <c r="C951" s="784"/>
      <c r="K951" s="771"/>
    </row>
    <row r="952">
      <c r="C952" s="784"/>
      <c r="K952" s="771"/>
    </row>
    <row r="953">
      <c r="C953" s="784"/>
      <c r="K953" s="771"/>
    </row>
    <row r="954">
      <c r="C954" s="784"/>
      <c r="K954" s="771"/>
    </row>
    <row r="955">
      <c r="C955" s="784"/>
      <c r="K955" s="771"/>
    </row>
    <row r="956">
      <c r="C956" s="784"/>
      <c r="K956" s="771"/>
    </row>
    <row r="957">
      <c r="C957" s="784"/>
      <c r="K957" s="771"/>
    </row>
    <row r="958">
      <c r="C958" s="784"/>
      <c r="K958" s="771"/>
    </row>
    <row r="959">
      <c r="C959" s="784"/>
      <c r="K959" s="771"/>
    </row>
    <row r="960">
      <c r="C960" s="784"/>
      <c r="K960" s="771"/>
    </row>
    <row r="961">
      <c r="C961" s="784"/>
      <c r="K961" s="771"/>
    </row>
    <row r="962">
      <c r="C962" s="784"/>
      <c r="K962" s="771"/>
    </row>
    <row r="963">
      <c r="C963" s="784"/>
      <c r="K963" s="771"/>
    </row>
    <row r="964">
      <c r="C964" s="784"/>
      <c r="K964" s="771"/>
    </row>
    <row r="965">
      <c r="C965" s="784"/>
      <c r="K965" s="771"/>
    </row>
    <row r="966">
      <c r="C966" s="784"/>
      <c r="K966" s="771"/>
    </row>
    <row r="967">
      <c r="C967" s="784"/>
      <c r="K967" s="771"/>
    </row>
    <row r="968">
      <c r="C968" s="784"/>
      <c r="K968" s="771"/>
    </row>
    <row r="969">
      <c r="C969" s="784"/>
      <c r="K969" s="771"/>
    </row>
    <row r="970">
      <c r="C970" s="784"/>
      <c r="K970" s="771"/>
    </row>
    <row r="971">
      <c r="C971" s="784"/>
      <c r="K971" s="771"/>
    </row>
    <row r="972">
      <c r="C972" s="784"/>
      <c r="K972" s="771"/>
    </row>
    <row r="973">
      <c r="C973" s="784"/>
      <c r="K973" s="771"/>
    </row>
    <row r="974">
      <c r="C974" s="784"/>
      <c r="K974" s="771"/>
    </row>
    <row r="975">
      <c r="C975" s="784"/>
      <c r="K975" s="771"/>
    </row>
    <row r="976">
      <c r="C976" s="784"/>
      <c r="K976" s="771"/>
    </row>
    <row r="977">
      <c r="C977" s="784"/>
      <c r="K977" s="771"/>
    </row>
    <row r="978">
      <c r="C978" s="784"/>
      <c r="K978" s="771"/>
    </row>
    <row r="979">
      <c r="C979" s="784"/>
      <c r="K979" s="771"/>
    </row>
    <row r="980">
      <c r="C980" s="784"/>
      <c r="K980" s="771"/>
    </row>
    <row r="981">
      <c r="C981" s="784"/>
      <c r="K981" s="771"/>
    </row>
    <row r="982">
      <c r="C982" s="784"/>
      <c r="K982" s="771"/>
    </row>
    <row r="983">
      <c r="C983" s="784"/>
      <c r="K983" s="771"/>
    </row>
    <row r="984">
      <c r="C984" s="784"/>
      <c r="K984" s="771"/>
    </row>
    <row r="985">
      <c r="C985" s="784"/>
      <c r="K985" s="771"/>
    </row>
    <row r="986">
      <c r="C986" s="784"/>
      <c r="K986" s="771"/>
    </row>
    <row r="987">
      <c r="C987" s="784"/>
      <c r="K987" s="771"/>
    </row>
    <row r="988">
      <c r="C988" s="784"/>
      <c r="K988" s="771"/>
    </row>
    <row r="989">
      <c r="C989" s="784"/>
      <c r="K989" s="771"/>
    </row>
    <row r="990">
      <c r="C990" s="784"/>
      <c r="K990" s="771"/>
    </row>
    <row r="991">
      <c r="C991" s="784"/>
      <c r="K991" s="771"/>
    </row>
    <row r="992">
      <c r="C992" s="784"/>
      <c r="K992" s="771"/>
    </row>
    <row r="993">
      <c r="C993" s="784"/>
      <c r="K993" s="771"/>
    </row>
    <row r="994">
      <c r="C994" s="784"/>
      <c r="K994" s="771"/>
    </row>
    <row r="995">
      <c r="C995" s="784"/>
      <c r="K995" s="771"/>
    </row>
    <row r="996">
      <c r="C996" s="784"/>
      <c r="K996" s="771"/>
    </row>
    <row r="997">
      <c r="C997" s="784"/>
      <c r="K997" s="771"/>
    </row>
    <row r="998">
      <c r="C998" s="784"/>
      <c r="K998" s="771"/>
    </row>
    <row r="999">
      <c r="C999" s="784"/>
      <c r="K999" s="771"/>
    </row>
    <row r="1000">
      <c r="C1000" s="784"/>
      <c r="K1000" s="771"/>
    </row>
  </sheetData>
  <autoFilter ref="$A$7:$G$32"/>
  <mergeCells count="2">
    <mergeCell ref="A6:H6"/>
    <mergeCell ref="A36:I36"/>
  </mergeCells>
  <conditionalFormatting sqref="A8:H33">
    <cfRule type="expression" dxfId="8" priority="1">
      <formula>$E8="Sin información de avance"</formula>
    </cfRule>
  </conditionalFormatting>
  <conditionalFormatting sqref="A8:H33">
    <cfRule type="expression" dxfId="9" priority="2">
      <formula>$E8="12. Radicación CNA"</formula>
    </cfRule>
  </conditionalFormatting>
  <conditionalFormatting sqref="A8:H33">
    <cfRule type="expression" dxfId="10" priority="3">
      <formula>$E8="11.Entrega de documento"</formula>
    </cfRule>
  </conditionalFormatting>
  <conditionalFormatting sqref="A8:H33">
    <cfRule type="expression" dxfId="11" priority="4">
      <formula>$E8="10. Plan de Mejoramiento"</formula>
    </cfRule>
  </conditionalFormatting>
  <conditionalFormatting sqref="A8:H33">
    <cfRule type="expression" dxfId="12" priority="5">
      <formula>$E8="9. Informe"</formula>
    </cfRule>
  </conditionalFormatting>
  <conditionalFormatting sqref="A8:H33">
    <cfRule type="expression" dxfId="13" priority="6">
      <formula>$E8="8. Socialización del proceso"</formula>
    </cfRule>
  </conditionalFormatting>
  <conditionalFormatting sqref="A8:H33">
    <cfRule type="expression" dxfId="14" priority="7">
      <formula>$E8="7. Análisis"</formula>
    </cfRule>
  </conditionalFormatting>
  <conditionalFormatting sqref="A8:H33">
    <cfRule type="expression" dxfId="15" priority="8">
      <formula>$E8="6. Calificación"</formula>
    </cfRule>
  </conditionalFormatting>
  <conditionalFormatting sqref="A8:H33">
    <cfRule type="expression" dxfId="16" priority="9">
      <formula>$E8="5. Aplicación de instrumentos"</formula>
    </cfRule>
  </conditionalFormatting>
  <conditionalFormatting sqref="A8:H33">
    <cfRule type="expression" dxfId="17" priority="10">
      <formula>$E8="4. Ponderación"</formula>
    </cfRule>
  </conditionalFormatting>
  <conditionalFormatting sqref="A8:H33">
    <cfRule type="expression" dxfId="18" priority="11">
      <formula>$E8="3. Modelo de Autoevaluación"</formula>
    </cfRule>
  </conditionalFormatting>
  <conditionalFormatting sqref="A8:H33">
    <cfRule type="expression" dxfId="19" priority="12">
      <formula>$E8="2. PEP"</formula>
    </cfRule>
  </conditionalFormatting>
  <conditionalFormatting sqref="A8:H33">
    <cfRule type="expression" dxfId="20" priority="13">
      <formula>$E8="1. Elaboración de cronograma"</formula>
    </cfRule>
  </conditionalFormatting>
  <conditionalFormatting sqref="K8:K25">
    <cfRule type="colorScale" priority="14">
      <colorScale>
        <cfvo type="min"/>
        <cfvo type="percentile" val="50"/>
        <cfvo type="max"/>
        <color rgb="FFF8696B"/>
        <color rgb="FFFFEB84"/>
        <color rgb="FF63BE7B"/>
      </colorScale>
    </cfRule>
  </conditionalFormatting>
  <dataValidations>
    <dataValidation type="list" allowBlank="1" showErrorMessage="1" sqref="F8:F33 I38:I58">
      <formula1>'Listas (2)'!$H$7:$H$8</formula1>
    </dataValidation>
    <dataValidation type="list" allowBlank="1" showErrorMessage="1" sqref="E8:E33">
      <formula1>'Listas (2)'!$J$7:$J$25</formula1>
    </dataValidation>
  </dataValidations>
  <hyperlinks>
    <hyperlink r:id="rId1" ref="H12"/>
    <hyperlink r:id="rId2" ref="H13"/>
    <hyperlink r:id="rId3" ref="H16"/>
    <hyperlink r:id="rId4" ref="H21"/>
    <hyperlink r:id="rId5" ref="H24"/>
    <hyperlink r:id="rId6" ref="H26"/>
    <hyperlink r:id="rId7" ref="H27"/>
    <hyperlink r:id="rId8" ref="H28"/>
    <hyperlink r:id="rId9" ref="H29"/>
    <hyperlink r:id="rId10" ref="D58"/>
  </hyperlinks>
  <printOptions/>
  <pageMargins bottom="0.75" footer="0.0" header="0.0" left="0.7" right="0.7" top="0.75"/>
  <pageSetup fitToHeight="0" orientation="landscape"/>
  <drawing r:id="rId1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FF00"/>
    <pageSetUpPr/>
  </sheetPr>
  <sheetViews>
    <sheetView workbookViewId="0">
      <pane xSplit="4.0" ySplit="6.0" topLeftCell="E7" activePane="bottomRight" state="frozen"/>
      <selection activeCell="E1" sqref="E1" pane="topRight"/>
      <selection activeCell="A7" sqref="A7" pane="bottomLeft"/>
      <selection activeCell="E7" sqref="E7" pane="bottomRight"/>
    </sheetView>
  </sheetViews>
  <sheetFormatPr customHeight="1" defaultColWidth="12.63" defaultRowHeight="15.0"/>
  <cols>
    <col customWidth="1" min="1" max="1" width="7.75"/>
    <col customWidth="1" min="2" max="2" width="35.88"/>
    <col customWidth="1" min="3" max="3" width="43.0"/>
    <col customWidth="1" min="4" max="4" width="10.38"/>
    <col customWidth="1" min="5" max="5" width="14.88"/>
    <col customWidth="1" min="6" max="9" width="10.38"/>
    <col customWidth="1" min="10" max="10" width="18.38"/>
    <col customWidth="1" min="11" max="11" width="12.75"/>
    <col customWidth="1" min="12" max="12" width="12.25"/>
    <col customWidth="1" min="13" max="13" width="13.75"/>
    <col customWidth="1" min="14" max="14" width="13.13"/>
    <col customWidth="1" min="15" max="15" width="12.38"/>
    <col customWidth="1" min="16" max="16" width="12.25"/>
    <col customWidth="1" min="17" max="17" width="8.88"/>
    <col customWidth="1" min="18" max="18" width="18.38"/>
    <col customWidth="1" min="19" max="19" width="12.75"/>
    <col customWidth="1" min="20" max="20" width="12.13"/>
    <col customWidth="1" min="21" max="21" width="13.75"/>
    <col customWidth="1" min="22" max="22" width="10.13"/>
    <col customWidth="1" min="23" max="23" width="13.13"/>
    <col customWidth="1" min="24" max="24" width="12.25"/>
    <col customWidth="1" min="25" max="25" width="8.88"/>
    <col customWidth="1" min="26" max="26" width="18.38"/>
    <col customWidth="1" min="27" max="27" width="12.75"/>
    <col customWidth="1" min="28" max="28" width="12.25"/>
    <col customWidth="1" min="29" max="29" width="13.75"/>
    <col customWidth="1" min="30" max="30" width="13.13"/>
    <col customWidth="1" min="31" max="31" width="12.38"/>
    <col customWidth="1" min="32" max="32" width="12.25"/>
    <col customWidth="1" min="33" max="33" width="8.88"/>
    <col customWidth="1" min="34" max="34" width="18.38"/>
    <col customWidth="1" min="35" max="35" width="12.75"/>
    <col customWidth="1" min="36" max="36" width="12.25"/>
    <col customWidth="1" min="37" max="37" width="13.75"/>
    <col customWidth="1" min="38" max="38" width="13.13"/>
    <col customWidth="1" min="39" max="39" width="12.38"/>
    <col customWidth="1" min="40" max="40" width="12.25"/>
    <col customWidth="1" min="41" max="41" width="8.88"/>
    <col customWidth="1" min="42" max="42" width="18.38"/>
    <col customWidth="1" min="43" max="43" width="12.75"/>
    <col customWidth="1" min="44" max="44" width="12.25"/>
    <col customWidth="1" min="45" max="45" width="13.75"/>
    <col customWidth="1" min="46" max="46" width="13.13"/>
    <col customWidth="1" min="47" max="47" width="12.38"/>
    <col customWidth="1" min="48" max="48" width="12.25"/>
    <col customWidth="1" min="49" max="49" width="8.88"/>
    <col customWidth="1" min="50" max="50" width="18.38"/>
    <col customWidth="1" min="51" max="51" width="12.75"/>
    <col customWidth="1" min="52" max="52" width="12.25"/>
    <col customWidth="1" min="53" max="53" width="13.75"/>
    <col customWidth="1" min="54" max="54" width="13.13"/>
    <col customWidth="1" min="55" max="55" width="12.38"/>
    <col customWidth="1" min="56" max="56" width="12.25"/>
    <col customWidth="1" min="57" max="57" width="8.88"/>
    <col customWidth="1" min="58" max="58" width="18.38"/>
    <col customWidth="1" min="59" max="59" width="12.75"/>
    <col customWidth="1" min="60" max="60" width="12.25"/>
    <col customWidth="1" min="61" max="61" width="13.75"/>
    <col customWidth="1" min="62" max="62" width="13.13"/>
    <col customWidth="1" min="63" max="63" width="12.38"/>
    <col customWidth="1" min="64" max="64" width="12.25"/>
    <col customWidth="1" min="65" max="65" width="8.88"/>
    <col customWidth="1" min="66" max="66" width="18.38"/>
    <col customWidth="1" min="67" max="67" width="12.75"/>
    <col customWidth="1" min="68" max="68" width="12.25"/>
    <col customWidth="1" min="69" max="69" width="13.75"/>
    <col customWidth="1" min="70" max="70" width="13.13"/>
    <col customWidth="1" min="71" max="71" width="12.38"/>
    <col customWidth="1" min="72" max="72" width="12.25"/>
    <col customWidth="1" min="73" max="73" width="8.88"/>
    <col customWidth="1" min="74" max="96" width="11.38"/>
  </cols>
  <sheetData>
    <row r="2" ht="12.75" customHeight="1">
      <c r="A2" s="785"/>
      <c r="B2" s="32" t="s">
        <v>0</v>
      </c>
      <c r="D2" s="38"/>
      <c r="E2" s="38"/>
      <c r="F2" s="38"/>
      <c r="G2" s="38"/>
      <c r="H2" s="38"/>
      <c r="I2" s="38"/>
      <c r="J2" s="38"/>
      <c r="K2" s="38"/>
      <c r="L2" s="786"/>
      <c r="M2" s="38"/>
      <c r="N2" s="787"/>
      <c r="O2" s="32"/>
      <c r="P2" s="38"/>
      <c r="Q2" s="38"/>
      <c r="R2" s="38"/>
      <c r="S2" s="38"/>
      <c r="T2" s="38"/>
      <c r="U2" s="38"/>
      <c r="V2" s="38"/>
      <c r="W2" s="38"/>
      <c r="X2" s="38"/>
      <c r="Y2" s="38"/>
      <c r="Z2" s="38"/>
      <c r="AA2" s="38"/>
      <c r="AB2" s="786"/>
      <c r="AC2" s="38"/>
      <c r="AD2" s="787"/>
      <c r="AE2" s="32"/>
      <c r="AF2" s="38"/>
      <c r="AG2" s="38"/>
      <c r="AH2" s="38"/>
      <c r="AI2" s="38"/>
      <c r="AJ2" s="786"/>
      <c r="AK2" s="38"/>
      <c r="AL2" s="787"/>
      <c r="AM2" s="32"/>
      <c r="AN2" s="38"/>
      <c r="AO2" s="38"/>
      <c r="AP2" s="225"/>
      <c r="AQ2" s="225"/>
      <c r="AR2" s="225"/>
      <c r="AS2" s="225"/>
      <c r="AT2" s="225"/>
      <c r="AU2" s="225"/>
      <c r="AV2" s="225"/>
      <c r="AW2" s="225"/>
      <c r="AX2" s="225"/>
      <c r="AY2" s="225"/>
      <c r="AZ2" s="225"/>
      <c r="BA2" s="225"/>
      <c r="BB2" s="225"/>
      <c r="BC2" s="225"/>
      <c r="BD2" s="225"/>
      <c r="BE2" s="225"/>
      <c r="BF2" s="225"/>
      <c r="BG2" s="225"/>
      <c r="BH2" s="225"/>
      <c r="BI2" s="225"/>
      <c r="BJ2" s="225"/>
      <c r="BK2" s="225"/>
      <c r="BL2" s="225"/>
      <c r="BM2" s="225"/>
      <c r="BN2" s="225"/>
      <c r="BO2" s="225"/>
      <c r="BP2" s="225"/>
      <c r="BQ2" s="225"/>
      <c r="BR2" s="225"/>
      <c r="BS2" s="225"/>
      <c r="BT2" s="225"/>
      <c r="BU2" s="225"/>
      <c r="BV2" s="225"/>
      <c r="BW2" s="225"/>
      <c r="BX2" s="225"/>
    </row>
    <row r="3" ht="12.75" customHeight="1">
      <c r="A3" s="785"/>
      <c r="B3" s="32" t="s">
        <v>1194</v>
      </c>
      <c r="D3" s="38"/>
      <c r="E3" s="38"/>
      <c r="F3" s="38"/>
      <c r="G3" s="38"/>
      <c r="H3" s="38"/>
      <c r="I3" s="38"/>
      <c r="J3" s="38"/>
      <c r="K3" s="38"/>
      <c r="L3" s="788"/>
      <c r="M3" s="38"/>
      <c r="N3" s="789"/>
      <c r="O3" s="32"/>
      <c r="P3" s="38"/>
      <c r="Q3" s="38"/>
      <c r="R3" s="38"/>
      <c r="S3" s="38"/>
      <c r="T3" s="38"/>
      <c r="U3" s="38"/>
      <c r="V3" s="38"/>
      <c r="W3" s="38"/>
      <c r="X3" s="38"/>
      <c r="Y3" s="38"/>
      <c r="Z3" s="38"/>
      <c r="AA3" s="38"/>
      <c r="AB3" s="788"/>
      <c r="AC3" s="38"/>
      <c r="AD3" s="789"/>
      <c r="AE3" s="32"/>
      <c r="AF3" s="38"/>
      <c r="AG3" s="38"/>
      <c r="AH3" s="38"/>
      <c r="AI3" s="38"/>
      <c r="AJ3" s="788"/>
      <c r="AK3" s="38"/>
      <c r="AL3" s="789"/>
      <c r="AM3" s="32"/>
      <c r="AN3" s="38"/>
      <c r="AO3" s="38"/>
      <c r="AP3" s="225"/>
      <c r="AQ3" s="225"/>
      <c r="AR3" s="225"/>
      <c r="AS3" s="225"/>
      <c r="AT3" s="225"/>
      <c r="AU3" s="225"/>
      <c r="AV3" s="225"/>
      <c r="AW3" s="225"/>
      <c r="AX3" s="225"/>
      <c r="AY3" s="225"/>
      <c r="AZ3" s="225"/>
      <c r="BA3" s="225"/>
      <c r="BB3" s="225"/>
      <c r="BC3" s="225"/>
      <c r="BD3" s="225"/>
      <c r="BE3" s="225"/>
      <c r="BF3" s="225"/>
      <c r="BG3" s="225"/>
      <c r="BH3" s="225"/>
      <c r="BI3" s="225"/>
      <c r="BJ3" s="225"/>
      <c r="BK3" s="225"/>
      <c r="BL3" s="225"/>
      <c r="BM3" s="225"/>
      <c r="BN3" s="225"/>
      <c r="BO3" s="225"/>
      <c r="BP3" s="225"/>
      <c r="BQ3" s="225"/>
      <c r="BR3" s="225"/>
      <c r="BS3" s="225"/>
      <c r="BT3" s="225"/>
      <c r="BU3" s="225"/>
      <c r="BV3" s="225"/>
      <c r="BW3" s="225"/>
      <c r="BX3" s="225"/>
    </row>
    <row r="4" ht="12.75" customHeight="1">
      <c r="A4" s="790"/>
      <c r="B4" s="791" t="s">
        <v>1195</v>
      </c>
      <c r="D4" s="38"/>
      <c r="E4" s="38"/>
      <c r="F4" s="38"/>
      <c r="G4" s="38"/>
      <c r="H4" s="38"/>
      <c r="I4" s="38"/>
      <c r="J4" s="38"/>
      <c r="K4" s="38"/>
      <c r="L4" s="792"/>
      <c r="M4" s="38"/>
      <c r="N4" s="793"/>
      <c r="O4" s="32"/>
      <c r="P4" s="38"/>
      <c r="Q4" s="38"/>
      <c r="R4" s="38"/>
      <c r="S4" s="38"/>
      <c r="T4" s="38"/>
      <c r="U4" s="38"/>
      <c r="V4" s="38"/>
      <c r="W4" s="38"/>
      <c r="X4" s="38"/>
      <c r="Y4" s="38"/>
      <c r="Z4" s="38"/>
      <c r="AA4" s="38"/>
      <c r="AB4" s="792"/>
      <c r="AC4" s="38"/>
      <c r="AD4" s="793"/>
      <c r="AE4" s="32"/>
      <c r="AF4" s="38"/>
      <c r="AG4" s="38"/>
      <c r="AH4" s="38"/>
      <c r="AI4" s="38"/>
      <c r="AJ4" s="792"/>
      <c r="AK4" s="38"/>
      <c r="AL4" s="793"/>
      <c r="AM4" s="32"/>
      <c r="AN4" s="38"/>
      <c r="AO4" s="38"/>
      <c r="AP4" s="225"/>
      <c r="AQ4" s="225"/>
      <c r="AR4" s="225"/>
      <c r="AS4" s="225"/>
      <c r="AT4" s="225"/>
      <c r="AU4" s="225"/>
      <c r="AV4" s="225"/>
      <c r="AW4" s="225"/>
      <c r="AX4" s="225"/>
      <c r="AY4" s="225"/>
      <c r="AZ4" s="225"/>
      <c r="BA4" s="225"/>
      <c r="BB4" s="225"/>
      <c r="BC4" s="225"/>
      <c r="BD4" s="225"/>
      <c r="BE4" s="225"/>
      <c r="BF4" s="225"/>
      <c r="BG4" s="225"/>
      <c r="BH4" s="225"/>
      <c r="BI4" s="225"/>
      <c r="BJ4" s="225"/>
      <c r="BK4" s="225"/>
      <c r="BL4" s="225"/>
      <c r="BM4" s="225"/>
      <c r="BN4" s="225"/>
      <c r="BO4" s="225"/>
      <c r="BP4" s="225"/>
      <c r="BQ4" s="225"/>
      <c r="BR4" s="225"/>
      <c r="BS4" s="225"/>
      <c r="BT4" s="225"/>
      <c r="BU4" s="225"/>
      <c r="BV4" s="225"/>
      <c r="BW4" s="225"/>
      <c r="BX4" s="225"/>
    </row>
    <row r="5" ht="12.75" customHeight="1">
      <c r="A5" s="794"/>
      <c r="B5" s="604"/>
      <c r="C5" s="604"/>
      <c r="D5" s="604"/>
      <c r="E5" s="604"/>
      <c r="F5" s="604"/>
      <c r="G5" s="604"/>
      <c r="H5" s="604"/>
      <c r="I5" s="604"/>
      <c r="J5" s="38"/>
      <c r="K5" s="38"/>
      <c r="L5" s="38"/>
      <c r="M5" s="38"/>
      <c r="N5" s="38"/>
      <c r="O5" s="38"/>
      <c r="P5" s="38"/>
      <c r="Q5" s="38"/>
      <c r="R5" s="38"/>
      <c r="S5" s="38"/>
      <c r="T5" s="38"/>
      <c r="U5" s="38"/>
      <c r="V5" s="38"/>
      <c r="W5" s="38"/>
      <c r="X5" s="38"/>
      <c r="Y5" s="38"/>
      <c r="Z5" s="38"/>
      <c r="AA5" s="38"/>
      <c r="AB5" s="38"/>
      <c r="AC5" s="38"/>
      <c r="AD5" s="38"/>
      <c r="AE5" s="38"/>
      <c r="AF5" s="38"/>
      <c r="AG5" s="38"/>
      <c r="AH5" s="38"/>
      <c r="AI5" s="38"/>
      <c r="AJ5" s="38"/>
      <c r="AK5" s="38"/>
      <c r="AL5" s="38"/>
      <c r="AM5" s="38"/>
      <c r="AN5" s="38"/>
      <c r="AO5" s="38"/>
      <c r="AP5" s="795"/>
      <c r="AQ5" s="795"/>
      <c r="AR5" s="795"/>
      <c r="AS5" s="795"/>
      <c r="AT5" s="795"/>
      <c r="AU5" s="795"/>
      <c r="AV5" s="795"/>
      <c r="AW5" s="795"/>
      <c r="AX5" s="795"/>
      <c r="AY5" s="795"/>
      <c r="AZ5" s="795"/>
      <c r="BA5" s="795"/>
      <c r="BB5" s="795"/>
      <c r="BC5" s="795"/>
      <c r="BD5" s="795"/>
      <c r="BE5" s="795"/>
      <c r="BF5" s="795"/>
      <c r="BG5" s="795"/>
      <c r="BH5" s="795"/>
      <c r="BI5" s="795"/>
      <c r="BJ5" s="795"/>
      <c r="BK5" s="795"/>
      <c r="BL5" s="795"/>
      <c r="BM5" s="795"/>
      <c r="BN5" s="795"/>
      <c r="BO5" s="795"/>
      <c r="BP5" s="795"/>
      <c r="BQ5" s="795"/>
      <c r="BR5" s="795"/>
      <c r="BS5" s="795"/>
      <c r="BT5" s="795"/>
      <c r="BU5" s="795"/>
      <c r="BV5" s="795"/>
      <c r="BW5" s="795"/>
      <c r="BX5" s="795"/>
    </row>
    <row r="6" ht="32.25" customHeight="1">
      <c r="A6" s="796" t="s">
        <v>1196</v>
      </c>
      <c r="B6" s="797" t="s">
        <v>19</v>
      </c>
      <c r="C6" s="797" t="s">
        <v>20</v>
      </c>
      <c r="D6" s="797" t="s">
        <v>23</v>
      </c>
      <c r="E6" s="798" t="s">
        <v>1197</v>
      </c>
      <c r="F6" s="799" t="s">
        <v>1198</v>
      </c>
      <c r="G6" s="799" t="s">
        <v>1199</v>
      </c>
      <c r="H6" s="799" t="s">
        <v>1200</v>
      </c>
      <c r="I6" s="799" t="s">
        <v>1201</v>
      </c>
      <c r="J6" s="800" t="s">
        <v>1202</v>
      </c>
      <c r="K6" s="800" t="s">
        <v>1203</v>
      </c>
      <c r="L6" s="801" t="s">
        <v>1204</v>
      </c>
      <c r="M6" s="798" t="s">
        <v>1205</v>
      </c>
      <c r="N6" s="799" t="s">
        <v>1198</v>
      </c>
      <c r="O6" s="799" t="s">
        <v>1199</v>
      </c>
      <c r="P6" s="799" t="s">
        <v>1200</v>
      </c>
      <c r="Q6" s="799" t="s">
        <v>1201</v>
      </c>
      <c r="R6" s="800" t="s">
        <v>1202</v>
      </c>
      <c r="S6" s="800" t="s">
        <v>1203</v>
      </c>
      <c r="T6" s="801" t="s">
        <v>1206</v>
      </c>
      <c r="U6" s="798" t="s">
        <v>1207</v>
      </c>
      <c r="V6" s="799" t="s">
        <v>1198</v>
      </c>
      <c r="W6" s="799" t="s">
        <v>1199</v>
      </c>
      <c r="X6" s="799" t="s">
        <v>1200</v>
      </c>
      <c r="Y6" s="799" t="s">
        <v>1201</v>
      </c>
      <c r="Z6" s="800" t="s">
        <v>1202</v>
      </c>
      <c r="AA6" s="800" t="s">
        <v>1203</v>
      </c>
      <c r="AB6" s="801" t="s">
        <v>1208</v>
      </c>
      <c r="AC6" s="802" t="s">
        <v>1209</v>
      </c>
      <c r="AD6" s="799" t="s">
        <v>1198</v>
      </c>
      <c r="AE6" s="799" t="s">
        <v>1199</v>
      </c>
      <c r="AF6" s="799" t="s">
        <v>1200</v>
      </c>
      <c r="AG6" s="799" t="s">
        <v>1201</v>
      </c>
      <c r="AH6" s="800" t="s">
        <v>1202</v>
      </c>
      <c r="AI6" s="800" t="s">
        <v>1203</v>
      </c>
      <c r="AJ6" s="801" t="s">
        <v>1210</v>
      </c>
      <c r="AK6" s="798" t="s">
        <v>1211</v>
      </c>
      <c r="AL6" s="799" t="s">
        <v>1198</v>
      </c>
      <c r="AM6" s="799" t="s">
        <v>1199</v>
      </c>
      <c r="AN6" s="799" t="s">
        <v>1200</v>
      </c>
      <c r="AO6" s="799" t="s">
        <v>1201</v>
      </c>
      <c r="AP6" s="800" t="s">
        <v>1202</v>
      </c>
      <c r="AQ6" s="800" t="s">
        <v>1203</v>
      </c>
      <c r="AR6" s="803" t="s">
        <v>1212</v>
      </c>
      <c r="AS6" s="804" t="s">
        <v>1213</v>
      </c>
      <c r="AT6" s="799" t="s">
        <v>1198</v>
      </c>
      <c r="AU6" s="799" t="s">
        <v>1199</v>
      </c>
      <c r="AV6" s="799" t="s">
        <v>1200</v>
      </c>
      <c r="AW6" s="799" t="s">
        <v>1201</v>
      </c>
      <c r="AX6" s="800" t="s">
        <v>1202</v>
      </c>
      <c r="AY6" s="800" t="s">
        <v>1203</v>
      </c>
      <c r="AZ6" s="801" t="s">
        <v>1214</v>
      </c>
      <c r="BA6" s="798" t="s">
        <v>1215</v>
      </c>
      <c r="BB6" s="799" t="s">
        <v>1198</v>
      </c>
      <c r="BC6" s="799" t="s">
        <v>1199</v>
      </c>
      <c r="BD6" s="799" t="s">
        <v>1200</v>
      </c>
      <c r="BE6" s="799" t="s">
        <v>1201</v>
      </c>
      <c r="BF6" s="800" t="s">
        <v>1202</v>
      </c>
      <c r="BG6" s="800" t="s">
        <v>1203</v>
      </c>
      <c r="BH6" s="801" t="s">
        <v>1216</v>
      </c>
      <c r="BI6" s="798" t="s">
        <v>1217</v>
      </c>
      <c r="BJ6" s="799" t="s">
        <v>1198</v>
      </c>
      <c r="BK6" s="799" t="s">
        <v>1199</v>
      </c>
      <c r="BL6" s="799" t="s">
        <v>1200</v>
      </c>
      <c r="BM6" s="799" t="s">
        <v>1201</v>
      </c>
      <c r="BN6" s="800" t="s">
        <v>1202</v>
      </c>
      <c r="BO6" s="800" t="s">
        <v>1203</v>
      </c>
      <c r="BP6" s="801" t="s">
        <v>1218</v>
      </c>
      <c r="BQ6" s="798" t="s">
        <v>1219</v>
      </c>
      <c r="BR6" s="799" t="s">
        <v>1198</v>
      </c>
      <c r="BS6" s="799" t="s">
        <v>1199</v>
      </c>
      <c r="BT6" s="799" t="s">
        <v>1200</v>
      </c>
      <c r="BU6" s="799" t="s">
        <v>1201</v>
      </c>
      <c r="BV6" s="800" t="s">
        <v>1202</v>
      </c>
      <c r="BW6" s="800" t="s">
        <v>1203</v>
      </c>
      <c r="BX6" s="805" t="s">
        <v>1220</v>
      </c>
    </row>
    <row r="7" ht="30.0" customHeight="1">
      <c r="A7" s="806">
        <v>1.0</v>
      </c>
      <c r="B7" s="807" t="s">
        <v>74</v>
      </c>
      <c r="C7" s="807" t="s">
        <v>75</v>
      </c>
      <c r="D7" s="728">
        <v>224.0</v>
      </c>
      <c r="E7" s="808"/>
      <c r="F7" s="808"/>
      <c r="G7" s="808"/>
      <c r="H7" s="808"/>
      <c r="I7" s="808"/>
      <c r="J7" s="809"/>
      <c r="K7" s="810"/>
      <c r="L7" s="810"/>
      <c r="M7" s="808"/>
      <c r="N7" s="808"/>
      <c r="O7" s="808"/>
      <c r="P7" s="808"/>
      <c r="Q7" s="808"/>
      <c r="R7" s="809"/>
      <c r="S7" s="810"/>
      <c r="T7" s="810"/>
      <c r="U7" s="808"/>
      <c r="V7" s="808"/>
      <c r="W7" s="808"/>
      <c r="X7" s="808"/>
      <c r="Y7" s="808"/>
      <c r="Z7" s="808"/>
      <c r="AA7" s="809"/>
      <c r="AB7" s="810"/>
      <c r="AC7" s="808"/>
      <c r="AD7" s="808"/>
      <c r="AE7" s="808"/>
      <c r="AF7" s="808"/>
      <c r="AG7" s="808"/>
      <c r="AH7" s="808"/>
      <c r="AI7" s="809"/>
      <c r="AJ7" s="810"/>
      <c r="AK7" s="808"/>
      <c r="AL7" s="808"/>
      <c r="AM7" s="808"/>
      <c r="AN7" s="808"/>
      <c r="AO7" s="808"/>
      <c r="AP7" s="808"/>
      <c r="AQ7" s="809"/>
      <c r="AR7" s="810"/>
      <c r="AS7" s="808"/>
      <c r="AT7" s="808"/>
      <c r="AU7" s="808"/>
      <c r="AV7" s="808"/>
      <c r="AW7" s="808"/>
      <c r="AX7" s="808"/>
      <c r="AY7" s="809"/>
      <c r="AZ7" s="810"/>
      <c r="BA7" s="808"/>
      <c r="BB7" s="808"/>
      <c r="BC7" s="808"/>
      <c r="BD7" s="808"/>
      <c r="BE7" s="808"/>
      <c r="BF7" s="808"/>
      <c r="BG7" s="809"/>
      <c r="BH7" s="810"/>
      <c r="BI7" s="808"/>
      <c r="BJ7" s="808"/>
      <c r="BK7" s="808"/>
      <c r="BL7" s="808"/>
      <c r="BM7" s="808"/>
      <c r="BN7" s="808"/>
      <c r="BO7" s="809"/>
      <c r="BP7" s="810"/>
      <c r="BQ7" s="808"/>
      <c r="BR7" s="808"/>
      <c r="BS7" s="808"/>
      <c r="BT7" s="808"/>
      <c r="BU7" s="808"/>
      <c r="BV7" s="808"/>
      <c r="BW7" s="809"/>
      <c r="BX7" s="811"/>
    </row>
    <row r="8" ht="30.0" customHeight="1">
      <c r="A8" s="806">
        <v>2.0</v>
      </c>
      <c r="B8" s="807" t="s">
        <v>74</v>
      </c>
      <c r="C8" s="807" t="s">
        <v>1055</v>
      </c>
      <c r="D8" s="728">
        <v>11067.0</v>
      </c>
      <c r="E8" s="808"/>
      <c r="F8" s="808"/>
      <c r="G8" s="808"/>
      <c r="H8" s="808"/>
      <c r="I8" s="808"/>
      <c r="J8" s="809"/>
      <c r="K8" s="810"/>
      <c r="L8" s="810"/>
      <c r="M8" s="808"/>
      <c r="N8" s="808"/>
      <c r="O8" s="808"/>
      <c r="P8" s="808"/>
      <c r="Q8" s="808"/>
      <c r="R8" s="808"/>
      <c r="S8" s="809"/>
      <c r="T8" s="810"/>
      <c r="U8" s="809"/>
      <c r="V8" s="808"/>
      <c r="W8" s="809"/>
      <c r="X8" s="809"/>
      <c r="Y8" s="808"/>
      <c r="Z8" s="808"/>
      <c r="AA8" s="809"/>
      <c r="AB8" s="810"/>
      <c r="AC8" s="812"/>
      <c r="AD8" s="808"/>
      <c r="AE8" s="808"/>
      <c r="AF8" s="808"/>
      <c r="AG8" s="808"/>
      <c r="AH8" s="808"/>
      <c r="AI8" s="809"/>
      <c r="AJ8" s="810"/>
      <c r="AK8" s="812"/>
      <c r="AL8" s="808"/>
      <c r="AM8" s="808"/>
      <c r="AN8" s="808"/>
      <c r="AO8" s="808"/>
      <c r="AP8" s="808"/>
      <c r="AQ8" s="809"/>
      <c r="AR8" s="813"/>
      <c r="AS8" s="808"/>
      <c r="AT8" s="808"/>
      <c r="AU8" s="808"/>
      <c r="AV8" s="808"/>
      <c r="AW8" s="808"/>
      <c r="AX8" s="808"/>
      <c r="AY8" s="809"/>
      <c r="AZ8" s="810"/>
      <c r="BA8" s="808"/>
      <c r="BB8" s="808"/>
      <c r="BC8" s="808"/>
      <c r="BD8" s="808"/>
      <c r="BE8" s="808"/>
      <c r="BF8" s="808"/>
      <c r="BG8" s="809"/>
      <c r="BH8" s="810"/>
      <c r="BI8" s="812"/>
      <c r="BJ8" s="808"/>
      <c r="BK8" s="808"/>
      <c r="BL8" s="808"/>
      <c r="BM8" s="808"/>
      <c r="BN8" s="808"/>
      <c r="BO8" s="809"/>
      <c r="BP8" s="810"/>
      <c r="BQ8" s="812"/>
      <c r="BR8" s="808"/>
      <c r="BS8" s="808"/>
      <c r="BT8" s="808"/>
      <c r="BU8" s="808"/>
      <c r="BV8" s="808"/>
      <c r="BW8" s="809"/>
      <c r="BX8" s="811"/>
    </row>
    <row r="9" ht="30.0" customHeight="1">
      <c r="A9" s="806">
        <v>3.0</v>
      </c>
      <c r="B9" s="807" t="s">
        <v>74</v>
      </c>
      <c r="C9" s="807" t="s">
        <v>1054</v>
      </c>
      <c r="D9" s="728">
        <v>4963.0</v>
      </c>
      <c r="E9" s="808"/>
      <c r="F9" s="808"/>
      <c r="G9" s="808"/>
      <c r="H9" s="808"/>
      <c r="I9" s="808"/>
      <c r="J9" s="809"/>
      <c r="K9" s="810"/>
      <c r="L9" s="810"/>
      <c r="M9" s="808"/>
      <c r="N9" s="808"/>
      <c r="O9" s="808"/>
      <c r="P9" s="808"/>
      <c r="Q9" s="808"/>
      <c r="R9" s="808"/>
      <c r="S9" s="809"/>
      <c r="T9" s="810"/>
      <c r="U9" s="809" t="s">
        <v>1108</v>
      </c>
      <c r="V9" s="808" t="s">
        <v>1221</v>
      </c>
      <c r="W9" s="809" t="s">
        <v>1222</v>
      </c>
      <c r="X9" s="809"/>
      <c r="Y9" s="808" t="s">
        <v>1223</v>
      </c>
      <c r="Z9" s="808" t="s">
        <v>1224</v>
      </c>
      <c r="AA9" s="809"/>
      <c r="AB9" s="810"/>
      <c r="AC9" s="812"/>
      <c r="AD9" s="808"/>
      <c r="AE9" s="808"/>
      <c r="AF9" s="808"/>
      <c r="AG9" s="808"/>
      <c r="AH9" s="808"/>
      <c r="AI9" s="809"/>
      <c r="AJ9" s="810"/>
      <c r="AK9" s="812"/>
      <c r="AL9" s="808"/>
      <c r="AM9" s="808"/>
      <c r="AN9" s="808"/>
      <c r="AO9" s="808"/>
      <c r="AP9" s="808"/>
      <c r="AQ9" s="809"/>
      <c r="AR9" s="813"/>
      <c r="AS9" s="808"/>
      <c r="AT9" s="808"/>
      <c r="AU9" s="808"/>
      <c r="AV9" s="808"/>
      <c r="AW9" s="808"/>
      <c r="AX9" s="808"/>
      <c r="AY9" s="809"/>
      <c r="AZ9" s="810"/>
      <c r="BA9" s="808"/>
      <c r="BB9" s="808"/>
      <c r="BC9" s="808"/>
      <c r="BD9" s="808"/>
      <c r="BE9" s="808"/>
      <c r="BF9" s="808"/>
      <c r="BG9" s="809"/>
      <c r="BH9" s="810"/>
      <c r="BI9" s="812"/>
      <c r="BJ9" s="808"/>
      <c r="BK9" s="808"/>
      <c r="BL9" s="808"/>
      <c r="BM9" s="808"/>
      <c r="BN9" s="808"/>
      <c r="BO9" s="809"/>
      <c r="BP9" s="810"/>
      <c r="BQ9" s="812"/>
      <c r="BR9" s="808"/>
      <c r="BS9" s="808"/>
      <c r="BT9" s="808"/>
      <c r="BU9" s="808"/>
      <c r="BV9" s="808"/>
      <c r="BW9" s="809"/>
      <c r="BX9" s="811"/>
    </row>
    <row r="10" ht="30.0" customHeight="1">
      <c r="A10" s="806">
        <v>4.0</v>
      </c>
      <c r="B10" s="807" t="s">
        <v>74</v>
      </c>
      <c r="C10" s="807" t="s">
        <v>1225</v>
      </c>
      <c r="D10" s="728">
        <v>106085.0</v>
      </c>
      <c r="E10" s="808"/>
      <c r="F10" s="808"/>
      <c r="G10" s="808"/>
      <c r="H10" s="808"/>
      <c r="I10" s="808"/>
      <c r="J10" s="809"/>
      <c r="K10" s="810"/>
      <c r="L10" s="810"/>
      <c r="M10" s="808"/>
      <c r="N10" s="808"/>
      <c r="O10" s="808"/>
      <c r="P10" s="808"/>
      <c r="Q10" s="808"/>
      <c r="R10" s="808"/>
      <c r="S10" s="809"/>
      <c r="T10" s="810"/>
      <c r="U10" s="809"/>
      <c r="V10" s="808"/>
      <c r="W10" s="809"/>
      <c r="X10" s="809"/>
      <c r="Y10" s="808"/>
      <c r="Z10" s="808"/>
      <c r="AA10" s="809"/>
      <c r="AB10" s="810"/>
      <c r="AC10" s="812"/>
      <c r="AD10" s="808"/>
      <c r="AE10" s="808"/>
      <c r="AF10" s="808"/>
      <c r="AG10" s="808"/>
      <c r="AH10" s="808"/>
      <c r="AI10" s="809"/>
      <c r="AJ10" s="810"/>
      <c r="AK10" s="812"/>
      <c r="AL10" s="808"/>
      <c r="AM10" s="808"/>
      <c r="AN10" s="808"/>
      <c r="AO10" s="808"/>
      <c r="AP10" s="808"/>
      <c r="AQ10" s="809"/>
      <c r="AR10" s="813"/>
      <c r="AS10" s="808"/>
      <c r="AT10" s="808"/>
      <c r="AU10" s="808"/>
      <c r="AV10" s="808"/>
      <c r="AW10" s="808"/>
      <c r="AX10" s="808"/>
      <c r="AY10" s="809"/>
      <c r="AZ10" s="810"/>
      <c r="BA10" s="808"/>
      <c r="BB10" s="808"/>
      <c r="BC10" s="808"/>
      <c r="BD10" s="808"/>
      <c r="BE10" s="808"/>
      <c r="BF10" s="808"/>
      <c r="BG10" s="809"/>
      <c r="BH10" s="810"/>
      <c r="BI10" s="812"/>
      <c r="BJ10" s="808"/>
      <c r="BK10" s="808"/>
      <c r="BL10" s="808"/>
      <c r="BM10" s="808"/>
      <c r="BN10" s="808"/>
      <c r="BO10" s="809"/>
      <c r="BP10" s="810"/>
      <c r="BQ10" s="812"/>
      <c r="BR10" s="808"/>
      <c r="BS10" s="808"/>
      <c r="BT10" s="808"/>
      <c r="BU10" s="808"/>
      <c r="BV10" s="808"/>
      <c r="BW10" s="809"/>
      <c r="BX10" s="811"/>
    </row>
    <row r="11" ht="30.0" customHeight="1">
      <c r="A11" s="806">
        <v>5.0</v>
      </c>
      <c r="B11" s="807" t="s">
        <v>74</v>
      </c>
      <c r="C11" s="807" t="s">
        <v>1226</v>
      </c>
      <c r="D11" s="728">
        <v>225.0</v>
      </c>
      <c r="E11" s="808"/>
      <c r="F11" s="808"/>
      <c r="G11" s="808"/>
      <c r="H11" s="808"/>
      <c r="I11" s="808"/>
      <c r="J11" s="809"/>
      <c r="K11" s="810"/>
      <c r="L11" s="810"/>
      <c r="M11" s="808"/>
      <c r="N11" s="808"/>
      <c r="O11" s="808"/>
      <c r="P11" s="808"/>
      <c r="Q11" s="808"/>
      <c r="R11" s="808"/>
      <c r="S11" s="809"/>
      <c r="T11" s="810"/>
      <c r="U11" s="809"/>
      <c r="V11" s="808"/>
      <c r="W11" s="809"/>
      <c r="X11" s="809"/>
      <c r="Y11" s="808"/>
      <c r="Z11" s="808"/>
      <c r="AA11" s="809"/>
      <c r="AB11" s="810"/>
      <c r="AC11" s="812" t="s">
        <v>1108</v>
      </c>
      <c r="AD11" s="808" t="s">
        <v>1227</v>
      </c>
      <c r="AE11" s="808" t="s">
        <v>1222</v>
      </c>
      <c r="AF11" s="808"/>
      <c r="AG11" s="808" t="s">
        <v>1228</v>
      </c>
      <c r="AH11" s="808" t="s">
        <v>1224</v>
      </c>
      <c r="AI11" s="809" t="s">
        <v>89</v>
      </c>
      <c r="AJ11" s="810"/>
      <c r="AK11" s="812"/>
      <c r="AL11" s="808"/>
      <c r="AM11" s="808"/>
      <c r="AN11" s="808"/>
      <c r="AO11" s="808"/>
      <c r="AP11" s="808"/>
      <c r="AQ11" s="809"/>
      <c r="AR11" s="813"/>
      <c r="AS11" s="808"/>
      <c r="AT11" s="808"/>
      <c r="AU11" s="808"/>
      <c r="AV11" s="808"/>
      <c r="AW11" s="808"/>
      <c r="AX11" s="808"/>
      <c r="AY11" s="809"/>
      <c r="AZ11" s="810"/>
      <c r="BA11" s="808"/>
      <c r="BB11" s="808"/>
      <c r="BC11" s="808"/>
      <c r="BD11" s="808"/>
      <c r="BE11" s="808"/>
      <c r="BF11" s="808"/>
      <c r="BG11" s="809"/>
      <c r="BH11" s="810"/>
      <c r="BI11" s="812"/>
      <c r="BJ11" s="808"/>
      <c r="BK11" s="808"/>
      <c r="BL11" s="808"/>
      <c r="BM11" s="808"/>
      <c r="BN11" s="808"/>
      <c r="BO11" s="809"/>
      <c r="BP11" s="810"/>
      <c r="BQ11" s="812"/>
      <c r="BR11" s="808"/>
      <c r="BS11" s="808"/>
      <c r="BT11" s="808"/>
      <c r="BU11" s="808"/>
      <c r="BV11" s="808"/>
      <c r="BW11" s="809"/>
      <c r="BX11" s="811"/>
    </row>
    <row r="12" ht="30.0" customHeight="1">
      <c r="A12" s="806">
        <v>6.0</v>
      </c>
      <c r="B12" s="807" t="s">
        <v>74</v>
      </c>
      <c r="C12" s="807" t="s">
        <v>90</v>
      </c>
      <c r="D12" s="728">
        <v>104526.0</v>
      </c>
      <c r="E12" s="808"/>
      <c r="F12" s="808"/>
      <c r="G12" s="808"/>
      <c r="H12" s="808"/>
      <c r="I12" s="808"/>
      <c r="J12" s="809"/>
      <c r="K12" s="810"/>
      <c r="L12" s="810"/>
      <c r="M12" s="808"/>
      <c r="N12" s="808"/>
      <c r="O12" s="808"/>
      <c r="P12" s="808"/>
      <c r="Q12" s="808"/>
      <c r="R12" s="808"/>
      <c r="S12" s="809"/>
      <c r="T12" s="810"/>
      <c r="U12" s="809"/>
      <c r="V12" s="808"/>
      <c r="W12" s="809"/>
      <c r="X12" s="809"/>
      <c r="Y12" s="808"/>
      <c r="Z12" s="808"/>
      <c r="AA12" s="809"/>
      <c r="AB12" s="810"/>
      <c r="AC12" s="812"/>
      <c r="AD12" s="808"/>
      <c r="AE12" s="808"/>
      <c r="AF12" s="808"/>
      <c r="AG12" s="808"/>
      <c r="AH12" s="808"/>
      <c r="AI12" s="809"/>
      <c r="AJ12" s="810"/>
      <c r="AK12" s="812"/>
      <c r="AL12" s="808"/>
      <c r="AM12" s="808"/>
      <c r="AN12" s="808"/>
      <c r="AO12" s="808"/>
      <c r="AP12" s="808"/>
      <c r="AQ12" s="809"/>
      <c r="AR12" s="813"/>
      <c r="AS12" s="808"/>
      <c r="AT12" s="808"/>
      <c r="AU12" s="808"/>
      <c r="AV12" s="808"/>
      <c r="AW12" s="808"/>
      <c r="AX12" s="808"/>
      <c r="AY12" s="809"/>
      <c r="AZ12" s="810"/>
      <c r="BA12" s="808"/>
      <c r="BB12" s="808"/>
      <c r="BC12" s="808"/>
      <c r="BD12" s="808"/>
      <c r="BE12" s="808"/>
      <c r="BF12" s="808"/>
      <c r="BG12" s="809"/>
      <c r="BH12" s="810"/>
      <c r="BI12" s="812"/>
      <c r="BJ12" s="808"/>
      <c r="BK12" s="808"/>
      <c r="BL12" s="808"/>
      <c r="BM12" s="808"/>
      <c r="BN12" s="808"/>
      <c r="BO12" s="809"/>
      <c r="BP12" s="810"/>
      <c r="BQ12" s="812"/>
      <c r="BR12" s="808"/>
      <c r="BS12" s="808"/>
      <c r="BT12" s="808"/>
      <c r="BU12" s="808"/>
      <c r="BV12" s="808"/>
      <c r="BW12" s="809"/>
      <c r="BX12" s="811"/>
    </row>
    <row r="13" ht="30.0" customHeight="1">
      <c r="A13" s="806">
        <v>7.0</v>
      </c>
      <c r="B13" s="807" t="s">
        <v>74</v>
      </c>
      <c r="C13" s="807" t="s">
        <v>110</v>
      </c>
      <c r="D13" s="728">
        <v>54801.0</v>
      </c>
      <c r="E13" s="808"/>
      <c r="F13" s="808"/>
      <c r="G13" s="808"/>
      <c r="H13" s="808"/>
      <c r="I13" s="808"/>
      <c r="J13" s="809"/>
      <c r="K13" s="810"/>
      <c r="L13" s="810"/>
      <c r="M13" s="808"/>
      <c r="N13" s="808"/>
      <c r="O13" s="808"/>
      <c r="P13" s="808"/>
      <c r="Q13" s="808"/>
      <c r="R13" s="808"/>
      <c r="S13" s="809"/>
      <c r="T13" s="810"/>
      <c r="U13" s="809"/>
      <c r="V13" s="808"/>
      <c r="W13" s="809"/>
      <c r="X13" s="809"/>
      <c r="Y13" s="808"/>
      <c r="Z13" s="808"/>
      <c r="AA13" s="809"/>
      <c r="AB13" s="810"/>
      <c r="AC13" s="812"/>
      <c r="AD13" s="808"/>
      <c r="AE13" s="808"/>
      <c r="AF13" s="808"/>
      <c r="AG13" s="808"/>
      <c r="AH13" s="808"/>
      <c r="AI13" s="809"/>
      <c r="AJ13" s="810"/>
      <c r="AK13" s="812"/>
      <c r="AL13" s="808"/>
      <c r="AM13" s="808"/>
      <c r="AN13" s="808"/>
      <c r="AO13" s="808"/>
      <c r="AP13" s="808"/>
      <c r="AQ13" s="809"/>
      <c r="AR13" s="813"/>
      <c r="AS13" s="808"/>
      <c r="AT13" s="808"/>
      <c r="AU13" s="808"/>
      <c r="AV13" s="808"/>
      <c r="AW13" s="808"/>
      <c r="AX13" s="808"/>
      <c r="AY13" s="809"/>
      <c r="AZ13" s="810"/>
      <c r="BA13" s="808"/>
      <c r="BB13" s="808"/>
      <c r="BC13" s="808"/>
      <c r="BD13" s="808"/>
      <c r="BE13" s="808"/>
      <c r="BF13" s="808"/>
      <c r="BG13" s="809"/>
      <c r="BH13" s="810"/>
      <c r="BI13" s="812"/>
      <c r="BJ13" s="808"/>
      <c r="BK13" s="808"/>
      <c r="BL13" s="808"/>
      <c r="BM13" s="808"/>
      <c r="BN13" s="808"/>
      <c r="BO13" s="809"/>
      <c r="BP13" s="810"/>
      <c r="BQ13" s="812"/>
      <c r="BR13" s="808"/>
      <c r="BS13" s="808"/>
      <c r="BT13" s="808"/>
      <c r="BU13" s="808"/>
      <c r="BV13" s="808"/>
      <c r="BW13" s="809"/>
      <c r="BX13" s="811"/>
    </row>
    <row r="14" ht="30.0" customHeight="1">
      <c r="A14" s="814">
        <v>8.0</v>
      </c>
      <c r="B14" s="807" t="s">
        <v>130</v>
      </c>
      <c r="C14" s="807" t="s">
        <v>165</v>
      </c>
      <c r="D14" s="728">
        <v>103231.0</v>
      </c>
      <c r="E14" s="808"/>
      <c r="F14" s="808"/>
      <c r="G14" s="808"/>
      <c r="H14" s="808"/>
      <c r="I14" s="808"/>
      <c r="J14" s="809"/>
      <c r="K14" s="810"/>
      <c r="L14" s="810"/>
      <c r="M14" s="808"/>
      <c r="N14" s="808"/>
      <c r="O14" s="808"/>
      <c r="P14" s="808"/>
      <c r="Q14" s="808"/>
      <c r="R14" s="808"/>
      <c r="S14" s="809"/>
      <c r="T14" s="810"/>
      <c r="U14" s="809" t="s">
        <v>1108</v>
      </c>
      <c r="V14" s="808" t="s">
        <v>1227</v>
      </c>
      <c r="W14" s="809" t="s">
        <v>1229</v>
      </c>
      <c r="X14" s="809"/>
      <c r="Y14" s="808" t="s">
        <v>1223</v>
      </c>
      <c r="Z14" s="808" t="s">
        <v>1224</v>
      </c>
      <c r="AA14" s="809"/>
      <c r="AB14" s="810"/>
      <c r="AC14" s="812"/>
      <c r="AD14" s="808"/>
      <c r="AE14" s="808"/>
      <c r="AF14" s="808"/>
      <c r="AG14" s="808"/>
      <c r="AH14" s="808"/>
      <c r="AI14" s="809"/>
      <c r="AJ14" s="810"/>
      <c r="AK14" s="812"/>
      <c r="AL14" s="808"/>
      <c r="AM14" s="808"/>
      <c r="AN14" s="808"/>
      <c r="AO14" s="808"/>
      <c r="AP14" s="808"/>
      <c r="AQ14" s="809"/>
      <c r="AR14" s="813"/>
      <c r="AS14" s="808"/>
      <c r="AT14" s="808"/>
      <c r="AU14" s="808"/>
      <c r="AV14" s="808"/>
      <c r="AW14" s="808"/>
      <c r="AX14" s="808"/>
      <c r="AY14" s="809"/>
      <c r="AZ14" s="810"/>
      <c r="BA14" s="808"/>
      <c r="BB14" s="808"/>
      <c r="BC14" s="808"/>
      <c r="BD14" s="808"/>
      <c r="BE14" s="808"/>
      <c r="BF14" s="808"/>
      <c r="BG14" s="809"/>
      <c r="BH14" s="810"/>
      <c r="BI14" s="812"/>
      <c r="BJ14" s="808"/>
      <c r="BK14" s="808"/>
      <c r="BL14" s="808"/>
      <c r="BM14" s="808"/>
      <c r="BN14" s="808"/>
      <c r="BO14" s="809"/>
      <c r="BP14" s="810"/>
      <c r="BQ14" s="812"/>
      <c r="BR14" s="808"/>
      <c r="BS14" s="808"/>
      <c r="BT14" s="808"/>
      <c r="BU14" s="808"/>
      <c r="BV14" s="808"/>
      <c r="BW14" s="809"/>
      <c r="BX14" s="811"/>
    </row>
    <row r="15" ht="30.0" customHeight="1">
      <c r="A15" s="814">
        <v>9.0</v>
      </c>
      <c r="B15" s="807" t="s">
        <v>130</v>
      </c>
      <c r="C15" s="807" t="s">
        <v>1111</v>
      </c>
      <c r="D15" s="728">
        <v>104845.0</v>
      </c>
      <c r="E15" s="808"/>
      <c r="F15" s="808"/>
      <c r="G15" s="808"/>
      <c r="H15" s="808"/>
      <c r="I15" s="808"/>
      <c r="J15" s="809"/>
      <c r="K15" s="810"/>
      <c r="L15" s="810"/>
      <c r="M15" s="808"/>
      <c r="N15" s="808"/>
      <c r="O15" s="808"/>
      <c r="P15" s="808"/>
      <c r="Q15" s="808"/>
      <c r="R15" s="808"/>
      <c r="S15" s="809"/>
      <c r="T15" s="810"/>
      <c r="U15" s="809"/>
      <c r="V15" s="808"/>
      <c r="W15" s="809"/>
      <c r="X15" s="809"/>
      <c r="Y15" s="808"/>
      <c r="Z15" s="808"/>
      <c r="AA15" s="809"/>
      <c r="AB15" s="810"/>
      <c r="AC15" s="812"/>
      <c r="AD15" s="808"/>
      <c r="AE15" s="808"/>
      <c r="AF15" s="808"/>
      <c r="AG15" s="808"/>
      <c r="AH15" s="808"/>
      <c r="AI15" s="809"/>
      <c r="AJ15" s="810"/>
      <c r="AK15" s="812"/>
      <c r="AL15" s="808"/>
      <c r="AM15" s="808"/>
      <c r="AN15" s="808"/>
      <c r="AO15" s="808"/>
      <c r="AP15" s="808"/>
      <c r="AQ15" s="809"/>
      <c r="AR15" s="813"/>
      <c r="AS15" s="808"/>
      <c r="AT15" s="808"/>
      <c r="AU15" s="808"/>
      <c r="AV15" s="808"/>
      <c r="AW15" s="808"/>
      <c r="AX15" s="808"/>
      <c r="AY15" s="809"/>
      <c r="AZ15" s="810"/>
      <c r="BA15" s="808"/>
      <c r="BB15" s="808"/>
      <c r="BC15" s="808"/>
      <c r="BD15" s="808"/>
      <c r="BE15" s="808"/>
      <c r="BF15" s="808"/>
      <c r="BG15" s="809"/>
      <c r="BH15" s="810"/>
      <c r="BI15" s="812"/>
      <c r="BJ15" s="808"/>
      <c r="BK15" s="808"/>
      <c r="BL15" s="808"/>
      <c r="BM15" s="808"/>
      <c r="BN15" s="808"/>
      <c r="BO15" s="809"/>
      <c r="BP15" s="810"/>
      <c r="BQ15" s="812"/>
      <c r="BR15" s="808"/>
      <c r="BS15" s="808"/>
      <c r="BT15" s="808"/>
      <c r="BU15" s="808"/>
      <c r="BV15" s="808"/>
      <c r="BW15" s="809"/>
      <c r="BX15" s="811"/>
    </row>
    <row r="16" ht="30.0" customHeight="1">
      <c r="A16" s="814">
        <v>10.0</v>
      </c>
      <c r="B16" s="807" t="s">
        <v>130</v>
      </c>
      <c r="C16" s="807" t="s">
        <v>151</v>
      </c>
      <c r="D16" s="728">
        <v>104846.0</v>
      </c>
      <c r="E16" s="808"/>
      <c r="F16" s="808"/>
      <c r="G16" s="808"/>
      <c r="H16" s="808"/>
      <c r="I16" s="808"/>
      <c r="J16" s="809"/>
      <c r="K16" s="810"/>
      <c r="L16" s="810"/>
      <c r="M16" s="808"/>
      <c r="N16" s="808"/>
      <c r="O16" s="808"/>
      <c r="P16" s="808"/>
      <c r="Q16" s="808"/>
      <c r="R16" s="808"/>
      <c r="S16" s="809"/>
      <c r="T16" s="810"/>
      <c r="U16" s="809"/>
      <c r="V16" s="808"/>
      <c r="W16" s="809"/>
      <c r="X16" s="809"/>
      <c r="Y16" s="808"/>
      <c r="Z16" s="808"/>
      <c r="AA16" s="809"/>
      <c r="AB16" s="810"/>
      <c r="AC16" s="812"/>
      <c r="AD16" s="808"/>
      <c r="AE16" s="808"/>
      <c r="AF16" s="808"/>
      <c r="AG16" s="808"/>
      <c r="AH16" s="808"/>
      <c r="AI16" s="809"/>
      <c r="AJ16" s="810"/>
      <c r="AK16" s="812"/>
      <c r="AL16" s="808"/>
      <c r="AM16" s="808"/>
      <c r="AN16" s="808"/>
      <c r="AO16" s="808"/>
      <c r="AP16" s="808"/>
      <c r="AQ16" s="809"/>
      <c r="AR16" s="813"/>
      <c r="AS16" s="808"/>
      <c r="AT16" s="808"/>
      <c r="AU16" s="808"/>
      <c r="AV16" s="808"/>
      <c r="AW16" s="808"/>
      <c r="AX16" s="808"/>
      <c r="AY16" s="809"/>
      <c r="AZ16" s="810"/>
      <c r="BA16" s="808"/>
      <c r="BB16" s="808"/>
      <c r="BC16" s="808"/>
      <c r="BD16" s="808"/>
      <c r="BE16" s="808"/>
      <c r="BF16" s="808"/>
      <c r="BG16" s="809"/>
      <c r="BH16" s="810"/>
      <c r="BI16" s="812"/>
      <c r="BJ16" s="808"/>
      <c r="BK16" s="808"/>
      <c r="BL16" s="808"/>
      <c r="BM16" s="808"/>
      <c r="BN16" s="808"/>
      <c r="BO16" s="809"/>
      <c r="BP16" s="810"/>
      <c r="BQ16" s="812"/>
      <c r="BR16" s="808"/>
      <c r="BS16" s="808"/>
      <c r="BT16" s="808"/>
      <c r="BU16" s="808"/>
      <c r="BV16" s="808"/>
      <c r="BW16" s="809"/>
      <c r="BX16" s="811"/>
    </row>
    <row r="17" ht="30.0" customHeight="1">
      <c r="A17" s="814">
        <v>11.0</v>
      </c>
      <c r="B17" s="807" t="s">
        <v>130</v>
      </c>
      <c r="C17" s="807" t="s">
        <v>143</v>
      </c>
      <c r="D17" s="728">
        <v>103292.0</v>
      </c>
      <c r="E17" s="808" t="s">
        <v>1108</v>
      </c>
      <c r="F17" s="808" t="s">
        <v>1227</v>
      </c>
      <c r="G17" s="808" t="s">
        <v>1229</v>
      </c>
      <c r="H17" s="808"/>
      <c r="I17" s="808" t="s">
        <v>1223</v>
      </c>
      <c r="J17" s="809" t="s">
        <v>1230</v>
      </c>
      <c r="K17" s="810"/>
      <c r="L17" s="810"/>
      <c r="M17" s="808"/>
      <c r="N17" s="808"/>
      <c r="O17" s="808"/>
      <c r="P17" s="808"/>
      <c r="Q17" s="808"/>
      <c r="R17" s="808"/>
      <c r="S17" s="809"/>
      <c r="T17" s="810"/>
      <c r="U17" s="809"/>
      <c r="V17" s="808"/>
      <c r="W17" s="809"/>
      <c r="X17" s="809"/>
      <c r="Y17" s="808"/>
      <c r="Z17" s="808"/>
      <c r="AA17" s="809"/>
      <c r="AB17" s="810"/>
      <c r="AC17" s="812"/>
      <c r="AD17" s="808"/>
      <c r="AE17" s="808"/>
      <c r="AF17" s="808"/>
      <c r="AG17" s="808"/>
      <c r="AH17" s="808"/>
      <c r="AI17" s="809"/>
      <c r="AJ17" s="810"/>
      <c r="AK17" s="812"/>
      <c r="AL17" s="808"/>
      <c r="AM17" s="808"/>
      <c r="AN17" s="808"/>
      <c r="AO17" s="808"/>
      <c r="AP17" s="808"/>
      <c r="AQ17" s="809"/>
      <c r="AR17" s="813"/>
      <c r="AS17" s="808"/>
      <c r="AT17" s="808"/>
      <c r="AU17" s="808"/>
      <c r="AV17" s="808"/>
      <c r="AW17" s="808"/>
      <c r="AX17" s="808"/>
      <c r="AY17" s="809"/>
      <c r="AZ17" s="810"/>
      <c r="BA17" s="808"/>
      <c r="BB17" s="808"/>
      <c r="BC17" s="808"/>
      <c r="BD17" s="808"/>
      <c r="BE17" s="808"/>
      <c r="BF17" s="808"/>
      <c r="BG17" s="809"/>
      <c r="BH17" s="810"/>
      <c r="BI17" s="812"/>
      <c r="BJ17" s="808"/>
      <c r="BK17" s="808"/>
      <c r="BL17" s="808"/>
      <c r="BM17" s="808"/>
      <c r="BN17" s="808"/>
      <c r="BO17" s="809"/>
      <c r="BP17" s="810"/>
      <c r="BQ17" s="812"/>
      <c r="BR17" s="808"/>
      <c r="BS17" s="808"/>
      <c r="BT17" s="808"/>
      <c r="BU17" s="808"/>
      <c r="BV17" s="808"/>
      <c r="BW17" s="809"/>
      <c r="BX17" s="811"/>
    </row>
    <row r="18" ht="30.0" customHeight="1">
      <c r="A18" s="814">
        <v>12.0</v>
      </c>
      <c r="B18" s="807" t="s">
        <v>130</v>
      </c>
      <c r="C18" s="807" t="s">
        <v>143</v>
      </c>
      <c r="D18" s="728">
        <v>103386.0</v>
      </c>
      <c r="E18" s="808"/>
      <c r="F18" s="808"/>
      <c r="G18" s="808"/>
      <c r="H18" s="808"/>
      <c r="I18" s="808"/>
      <c r="J18" s="809"/>
      <c r="K18" s="810"/>
      <c r="L18" s="810"/>
      <c r="M18" s="808"/>
      <c r="N18" s="808"/>
      <c r="O18" s="808"/>
      <c r="P18" s="808"/>
      <c r="Q18" s="808"/>
      <c r="R18" s="808"/>
      <c r="S18" s="809"/>
      <c r="T18" s="810"/>
      <c r="U18" s="809"/>
      <c r="V18" s="808"/>
      <c r="W18" s="809"/>
      <c r="X18" s="809"/>
      <c r="Y18" s="808"/>
      <c r="Z18" s="808"/>
      <c r="AA18" s="809"/>
      <c r="AB18" s="810"/>
      <c r="AC18" s="812"/>
      <c r="AD18" s="808"/>
      <c r="AE18" s="808"/>
      <c r="AF18" s="808"/>
      <c r="AG18" s="808"/>
      <c r="AH18" s="808"/>
      <c r="AI18" s="809"/>
      <c r="AJ18" s="810"/>
      <c r="AK18" s="812"/>
      <c r="AL18" s="808"/>
      <c r="AM18" s="808"/>
      <c r="AN18" s="808"/>
      <c r="AO18" s="808"/>
      <c r="AP18" s="808"/>
      <c r="AQ18" s="809"/>
      <c r="AR18" s="813"/>
      <c r="AS18" s="808"/>
      <c r="AT18" s="808"/>
      <c r="AU18" s="808"/>
      <c r="AV18" s="808"/>
      <c r="AW18" s="808"/>
      <c r="AX18" s="808"/>
      <c r="AY18" s="809"/>
      <c r="AZ18" s="810"/>
      <c r="BA18" s="808"/>
      <c r="BB18" s="808"/>
      <c r="BC18" s="808"/>
      <c r="BD18" s="808"/>
      <c r="BE18" s="808"/>
      <c r="BF18" s="808"/>
      <c r="BG18" s="809"/>
      <c r="BH18" s="810"/>
      <c r="BI18" s="812"/>
      <c r="BJ18" s="808"/>
      <c r="BK18" s="808"/>
      <c r="BL18" s="808"/>
      <c r="BM18" s="808"/>
      <c r="BN18" s="808"/>
      <c r="BO18" s="809"/>
      <c r="BP18" s="810"/>
      <c r="BQ18" s="812"/>
      <c r="BR18" s="808"/>
      <c r="BS18" s="808"/>
      <c r="BT18" s="808"/>
      <c r="BU18" s="808"/>
      <c r="BV18" s="808"/>
      <c r="BW18" s="809"/>
      <c r="BX18" s="811"/>
    </row>
    <row r="19" ht="30.0" customHeight="1">
      <c r="A19" s="814">
        <v>13.0</v>
      </c>
      <c r="B19" s="807" t="s">
        <v>130</v>
      </c>
      <c r="C19" s="807" t="s">
        <v>1231</v>
      </c>
      <c r="D19" s="728">
        <v>103303.0</v>
      </c>
      <c r="E19" s="808" t="s">
        <v>1108</v>
      </c>
      <c r="F19" s="808" t="s">
        <v>1227</v>
      </c>
      <c r="G19" s="808" t="s">
        <v>1229</v>
      </c>
      <c r="H19" s="808"/>
      <c r="I19" s="808" t="s">
        <v>1223</v>
      </c>
      <c r="J19" s="809" t="s">
        <v>1230</v>
      </c>
      <c r="K19" s="810"/>
      <c r="L19" s="810"/>
      <c r="M19" s="808"/>
      <c r="N19" s="808"/>
      <c r="O19" s="808"/>
      <c r="P19" s="808"/>
      <c r="Q19" s="808"/>
      <c r="R19" s="808"/>
      <c r="S19" s="809"/>
      <c r="T19" s="810"/>
      <c r="U19" s="809"/>
      <c r="V19" s="808"/>
      <c r="W19" s="809"/>
      <c r="X19" s="809"/>
      <c r="Y19" s="808"/>
      <c r="Z19" s="808"/>
      <c r="AA19" s="809"/>
      <c r="AB19" s="810"/>
      <c r="AC19" s="812"/>
      <c r="AD19" s="808"/>
      <c r="AE19" s="808"/>
      <c r="AF19" s="808"/>
      <c r="AG19" s="808"/>
      <c r="AH19" s="808"/>
      <c r="AI19" s="809"/>
      <c r="AJ19" s="810"/>
      <c r="AK19" s="812"/>
      <c r="AL19" s="808"/>
      <c r="AM19" s="808"/>
      <c r="AN19" s="808"/>
      <c r="AO19" s="808"/>
      <c r="AP19" s="808"/>
      <c r="AQ19" s="809"/>
      <c r="AR19" s="813"/>
      <c r="AS19" s="808"/>
      <c r="AT19" s="808"/>
      <c r="AU19" s="808"/>
      <c r="AV19" s="808"/>
      <c r="AW19" s="808"/>
      <c r="AX19" s="808"/>
      <c r="AY19" s="809"/>
      <c r="AZ19" s="810"/>
      <c r="BA19" s="808"/>
      <c r="BB19" s="808"/>
      <c r="BC19" s="808"/>
      <c r="BD19" s="808"/>
      <c r="BE19" s="808"/>
      <c r="BF19" s="808"/>
      <c r="BG19" s="809"/>
      <c r="BH19" s="810"/>
      <c r="BI19" s="812"/>
      <c r="BJ19" s="808"/>
      <c r="BK19" s="808"/>
      <c r="BL19" s="808"/>
      <c r="BM19" s="808"/>
      <c r="BN19" s="808"/>
      <c r="BO19" s="809"/>
      <c r="BP19" s="810"/>
      <c r="BQ19" s="812"/>
      <c r="BR19" s="808"/>
      <c r="BS19" s="808"/>
      <c r="BT19" s="808"/>
      <c r="BU19" s="808"/>
      <c r="BV19" s="808"/>
      <c r="BW19" s="809"/>
      <c r="BX19" s="811"/>
    </row>
    <row r="20" ht="30.0" customHeight="1">
      <c r="A20" s="814">
        <v>14.0</v>
      </c>
      <c r="B20" s="807" t="s">
        <v>130</v>
      </c>
      <c r="C20" s="807" t="s">
        <v>1232</v>
      </c>
      <c r="D20" s="728">
        <v>3833.0</v>
      </c>
      <c r="E20" s="808"/>
      <c r="F20" s="808"/>
      <c r="G20" s="808"/>
      <c r="H20" s="808"/>
      <c r="I20" s="808"/>
      <c r="J20" s="809"/>
      <c r="K20" s="810"/>
      <c r="L20" s="810"/>
      <c r="M20" s="808" t="s">
        <v>1108</v>
      </c>
      <c r="N20" s="808" t="s">
        <v>1233</v>
      </c>
      <c r="O20" s="808" t="s">
        <v>1222</v>
      </c>
      <c r="P20" s="808"/>
      <c r="Q20" s="808" t="s">
        <v>1228</v>
      </c>
      <c r="R20" s="808" t="s">
        <v>1224</v>
      </c>
      <c r="S20" s="809"/>
      <c r="T20" s="810"/>
      <c r="U20" s="809"/>
      <c r="V20" s="808"/>
      <c r="W20" s="809"/>
      <c r="X20" s="809"/>
      <c r="Y20" s="808"/>
      <c r="Z20" s="808"/>
      <c r="AA20" s="809"/>
      <c r="AB20" s="810"/>
      <c r="AC20" s="812"/>
      <c r="AD20" s="808"/>
      <c r="AE20" s="808"/>
      <c r="AF20" s="808"/>
      <c r="AG20" s="808"/>
      <c r="AH20" s="808"/>
      <c r="AI20" s="809"/>
      <c r="AJ20" s="810"/>
      <c r="AK20" s="812"/>
      <c r="AL20" s="808"/>
      <c r="AM20" s="808"/>
      <c r="AN20" s="808"/>
      <c r="AO20" s="808"/>
      <c r="AP20" s="808"/>
      <c r="AQ20" s="809"/>
      <c r="AR20" s="813"/>
      <c r="AS20" s="808"/>
      <c r="AT20" s="808"/>
      <c r="AU20" s="808"/>
      <c r="AV20" s="808"/>
      <c r="AW20" s="808"/>
      <c r="AX20" s="808"/>
      <c r="AY20" s="809"/>
      <c r="AZ20" s="810"/>
      <c r="BA20" s="808"/>
      <c r="BB20" s="808"/>
      <c r="BC20" s="808"/>
      <c r="BD20" s="808"/>
      <c r="BE20" s="808"/>
      <c r="BF20" s="808"/>
      <c r="BG20" s="809"/>
      <c r="BH20" s="810"/>
      <c r="BI20" s="812"/>
      <c r="BJ20" s="808"/>
      <c r="BK20" s="808"/>
      <c r="BL20" s="808"/>
      <c r="BM20" s="808"/>
      <c r="BN20" s="808"/>
      <c r="BO20" s="809"/>
      <c r="BP20" s="810"/>
      <c r="BQ20" s="812"/>
      <c r="BR20" s="808"/>
      <c r="BS20" s="808"/>
      <c r="BT20" s="808"/>
      <c r="BU20" s="808"/>
      <c r="BV20" s="808"/>
      <c r="BW20" s="809"/>
      <c r="BX20" s="811"/>
    </row>
    <row r="21" ht="30.0" customHeight="1">
      <c r="A21" s="814">
        <v>15.0</v>
      </c>
      <c r="B21" s="807" t="s">
        <v>130</v>
      </c>
      <c r="C21" s="807" t="s">
        <v>970</v>
      </c>
      <c r="D21" s="728">
        <v>7171.0</v>
      </c>
      <c r="E21" s="808"/>
      <c r="F21" s="808"/>
      <c r="G21" s="808"/>
      <c r="H21" s="808"/>
      <c r="I21" s="808"/>
      <c r="J21" s="809"/>
      <c r="K21" s="810"/>
      <c r="L21" s="810"/>
      <c r="M21" s="808" t="s">
        <v>1108</v>
      </c>
      <c r="N21" s="808" t="s">
        <v>1233</v>
      </c>
      <c r="O21" s="808" t="s">
        <v>1222</v>
      </c>
      <c r="P21" s="808"/>
      <c r="Q21" s="808" t="s">
        <v>1223</v>
      </c>
      <c r="R21" s="808" t="s">
        <v>1224</v>
      </c>
      <c r="S21" s="809"/>
      <c r="T21" s="810"/>
      <c r="U21" s="809"/>
      <c r="V21" s="808"/>
      <c r="W21" s="809"/>
      <c r="X21" s="809"/>
      <c r="Y21" s="808"/>
      <c r="Z21" s="808"/>
      <c r="AA21" s="809"/>
      <c r="AB21" s="810"/>
      <c r="AC21" s="812" t="s">
        <v>1108</v>
      </c>
      <c r="AD21" s="808" t="s">
        <v>1233</v>
      </c>
      <c r="AE21" s="808" t="s">
        <v>1229</v>
      </c>
      <c r="AF21" s="808"/>
      <c r="AG21" s="808" t="s">
        <v>1223</v>
      </c>
      <c r="AH21" s="808" t="s">
        <v>1224</v>
      </c>
      <c r="AI21" s="809"/>
      <c r="AJ21" s="810"/>
      <c r="AK21" s="812"/>
      <c r="AL21" s="808"/>
      <c r="AM21" s="808"/>
      <c r="AN21" s="808"/>
      <c r="AO21" s="808"/>
      <c r="AP21" s="808"/>
      <c r="AQ21" s="809"/>
      <c r="AR21" s="813"/>
      <c r="AS21" s="808"/>
      <c r="AT21" s="808"/>
      <c r="AU21" s="808"/>
      <c r="AV21" s="808"/>
      <c r="AW21" s="808"/>
      <c r="AX21" s="808"/>
      <c r="AY21" s="809"/>
      <c r="AZ21" s="810"/>
      <c r="BA21" s="808"/>
      <c r="BB21" s="808"/>
      <c r="BC21" s="808"/>
      <c r="BD21" s="808"/>
      <c r="BE21" s="808"/>
      <c r="BF21" s="808"/>
      <c r="BG21" s="809"/>
      <c r="BH21" s="810"/>
      <c r="BI21" s="812"/>
      <c r="BJ21" s="808"/>
      <c r="BK21" s="808"/>
      <c r="BL21" s="808"/>
      <c r="BM21" s="808"/>
      <c r="BN21" s="808"/>
      <c r="BO21" s="809"/>
      <c r="BP21" s="810"/>
      <c r="BQ21" s="812"/>
      <c r="BR21" s="808"/>
      <c r="BS21" s="808"/>
      <c r="BT21" s="808"/>
      <c r="BU21" s="808"/>
      <c r="BV21" s="808"/>
      <c r="BW21" s="809"/>
      <c r="BX21" s="811"/>
    </row>
    <row r="22" ht="30.0" customHeight="1">
      <c r="A22" s="814">
        <v>16.0</v>
      </c>
      <c r="B22" s="807" t="s">
        <v>130</v>
      </c>
      <c r="C22" s="807" t="s">
        <v>1058</v>
      </c>
      <c r="D22" s="728">
        <v>9833.0</v>
      </c>
      <c r="E22" s="808"/>
      <c r="F22" s="808"/>
      <c r="G22" s="808"/>
      <c r="H22" s="808"/>
      <c r="I22" s="808"/>
      <c r="J22" s="809"/>
      <c r="K22" s="810"/>
      <c r="L22" s="810"/>
      <c r="M22" s="808"/>
      <c r="N22" s="808"/>
      <c r="O22" s="808"/>
      <c r="P22" s="808"/>
      <c r="Q22" s="808"/>
      <c r="R22" s="808"/>
      <c r="S22" s="809"/>
      <c r="T22" s="810"/>
      <c r="U22" s="809"/>
      <c r="V22" s="808"/>
      <c r="W22" s="809"/>
      <c r="X22" s="809"/>
      <c r="Y22" s="808"/>
      <c r="Z22" s="808"/>
      <c r="AA22" s="809"/>
      <c r="AB22" s="810"/>
      <c r="AC22" s="812"/>
      <c r="AD22" s="808"/>
      <c r="AE22" s="808"/>
      <c r="AF22" s="808"/>
      <c r="AG22" s="808"/>
      <c r="AH22" s="808"/>
      <c r="AI22" s="809"/>
      <c r="AJ22" s="810"/>
      <c r="AK22" s="812"/>
      <c r="AL22" s="808"/>
      <c r="AM22" s="808"/>
      <c r="AN22" s="808"/>
      <c r="AO22" s="808"/>
      <c r="AP22" s="808"/>
      <c r="AQ22" s="809"/>
      <c r="AR22" s="813"/>
      <c r="AS22" s="808"/>
      <c r="AT22" s="808"/>
      <c r="AU22" s="808"/>
      <c r="AV22" s="808"/>
      <c r="AW22" s="808"/>
      <c r="AX22" s="808"/>
      <c r="AY22" s="809"/>
      <c r="AZ22" s="810"/>
      <c r="BA22" s="808"/>
      <c r="BB22" s="808"/>
      <c r="BC22" s="808"/>
      <c r="BD22" s="808"/>
      <c r="BE22" s="808"/>
      <c r="BF22" s="808"/>
      <c r="BG22" s="809"/>
      <c r="BH22" s="810"/>
      <c r="BI22" s="812"/>
      <c r="BJ22" s="808"/>
      <c r="BK22" s="808"/>
      <c r="BL22" s="808"/>
      <c r="BM22" s="808"/>
      <c r="BN22" s="808"/>
      <c r="BO22" s="809"/>
      <c r="BP22" s="810"/>
      <c r="BQ22" s="812"/>
      <c r="BR22" s="808"/>
      <c r="BS22" s="808"/>
      <c r="BT22" s="808"/>
      <c r="BU22" s="808"/>
      <c r="BV22" s="808"/>
      <c r="BW22" s="809"/>
      <c r="BX22" s="811"/>
    </row>
    <row r="23" ht="30.0" customHeight="1">
      <c r="A23" s="814">
        <v>17.0</v>
      </c>
      <c r="B23" s="807" t="s">
        <v>130</v>
      </c>
      <c r="C23" s="807" t="s">
        <v>158</v>
      </c>
      <c r="D23" s="728">
        <v>104677.0</v>
      </c>
      <c r="E23" s="808"/>
      <c r="F23" s="808"/>
      <c r="G23" s="808"/>
      <c r="H23" s="808"/>
      <c r="I23" s="808"/>
      <c r="J23" s="809"/>
      <c r="K23" s="810"/>
      <c r="L23" s="810"/>
      <c r="M23" s="808"/>
      <c r="N23" s="808"/>
      <c r="O23" s="808"/>
      <c r="P23" s="808"/>
      <c r="Q23" s="808"/>
      <c r="R23" s="808"/>
      <c r="S23" s="809"/>
      <c r="T23" s="810"/>
      <c r="U23" s="809" t="s">
        <v>1108</v>
      </c>
      <c r="V23" s="808" t="s">
        <v>1227</v>
      </c>
      <c r="W23" s="809" t="s">
        <v>1229</v>
      </c>
      <c r="X23" s="809"/>
      <c r="Y23" s="808" t="s">
        <v>1223</v>
      </c>
      <c r="Z23" s="808" t="s">
        <v>1224</v>
      </c>
      <c r="AA23" s="809"/>
      <c r="AB23" s="810"/>
      <c r="AC23" s="812"/>
      <c r="AD23" s="808"/>
      <c r="AE23" s="808"/>
      <c r="AF23" s="808"/>
      <c r="AG23" s="808"/>
      <c r="AH23" s="808"/>
      <c r="AI23" s="809"/>
      <c r="AJ23" s="810"/>
      <c r="AK23" s="812"/>
      <c r="AL23" s="808"/>
      <c r="AM23" s="808"/>
      <c r="AN23" s="808"/>
      <c r="AO23" s="808"/>
      <c r="AP23" s="808"/>
      <c r="AQ23" s="809"/>
      <c r="AR23" s="813"/>
      <c r="AS23" s="808"/>
      <c r="AT23" s="808"/>
      <c r="AU23" s="808"/>
      <c r="AV23" s="808"/>
      <c r="AW23" s="808"/>
      <c r="AX23" s="808"/>
      <c r="AY23" s="809"/>
      <c r="AZ23" s="810"/>
      <c r="BA23" s="808"/>
      <c r="BB23" s="808"/>
      <c r="BC23" s="808"/>
      <c r="BD23" s="808"/>
      <c r="BE23" s="808"/>
      <c r="BF23" s="808"/>
      <c r="BG23" s="809"/>
      <c r="BH23" s="810"/>
      <c r="BI23" s="812"/>
      <c r="BJ23" s="808"/>
      <c r="BK23" s="808"/>
      <c r="BL23" s="808"/>
      <c r="BM23" s="808"/>
      <c r="BN23" s="808"/>
      <c r="BO23" s="809"/>
      <c r="BP23" s="810"/>
      <c r="BQ23" s="812"/>
      <c r="BR23" s="808"/>
      <c r="BS23" s="808"/>
      <c r="BT23" s="808"/>
      <c r="BU23" s="808"/>
      <c r="BV23" s="808"/>
      <c r="BW23" s="809"/>
      <c r="BX23" s="811"/>
    </row>
    <row r="24" ht="30.0" customHeight="1">
      <c r="A24" s="814">
        <v>18.0</v>
      </c>
      <c r="B24" s="807" t="s">
        <v>130</v>
      </c>
      <c r="C24" s="807" t="s">
        <v>1110</v>
      </c>
      <c r="D24" s="728">
        <v>104369.0</v>
      </c>
      <c r="E24" s="808"/>
      <c r="F24" s="808"/>
      <c r="G24" s="808"/>
      <c r="H24" s="808"/>
      <c r="I24" s="808"/>
      <c r="J24" s="809"/>
      <c r="K24" s="810"/>
      <c r="L24" s="810"/>
      <c r="M24" s="808"/>
      <c r="N24" s="808"/>
      <c r="O24" s="808"/>
      <c r="P24" s="808"/>
      <c r="Q24" s="808"/>
      <c r="R24" s="808"/>
      <c r="S24" s="809"/>
      <c r="T24" s="810"/>
      <c r="U24" s="809"/>
      <c r="V24" s="808"/>
      <c r="W24" s="809"/>
      <c r="X24" s="809"/>
      <c r="Y24" s="808"/>
      <c r="Z24" s="808"/>
      <c r="AA24" s="809"/>
      <c r="AB24" s="810"/>
      <c r="AC24" s="812"/>
      <c r="AD24" s="808"/>
      <c r="AE24" s="808"/>
      <c r="AF24" s="808"/>
      <c r="AG24" s="808"/>
      <c r="AH24" s="808"/>
      <c r="AI24" s="809"/>
      <c r="AJ24" s="810"/>
      <c r="AK24" s="812"/>
      <c r="AL24" s="808"/>
      <c r="AM24" s="808"/>
      <c r="AN24" s="808"/>
      <c r="AO24" s="808"/>
      <c r="AP24" s="808"/>
      <c r="AQ24" s="809"/>
      <c r="AR24" s="813"/>
      <c r="AS24" s="808"/>
      <c r="AT24" s="808"/>
      <c r="AU24" s="808"/>
      <c r="AV24" s="808"/>
      <c r="AW24" s="808"/>
      <c r="AX24" s="808"/>
      <c r="AY24" s="809"/>
      <c r="AZ24" s="810"/>
      <c r="BA24" s="808"/>
      <c r="BB24" s="808"/>
      <c r="BC24" s="808"/>
      <c r="BD24" s="808"/>
      <c r="BE24" s="808"/>
      <c r="BF24" s="808"/>
      <c r="BG24" s="809"/>
      <c r="BH24" s="810"/>
      <c r="BI24" s="812"/>
      <c r="BJ24" s="808"/>
      <c r="BK24" s="808"/>
      <c r="BL24" s="808"/>
      <c r="BM24" s="808"/>
      <c r="BN24" s="808"/>
      <c r="BO24" s="809"/>
      <c r="BP24" s="810"/>
      <c r="BQ24" s="812"/>
      <c r="BR24" s="808"/>
      <c r="BS24" s="808"/>
      <c r="BT24" s="808"/>
      <c r="BU24" s="808"/>
      <c r="BV24" s="808"/>
      <c r="BW24" s="809"/>
      <c r="BX24" s="811"/>
    </row>
    <row r="25" ht="30.0" customHeight="1">
      <c r="A25" s="814">
        <v>19.0</v>
      </c>
      <c r="B25" s="807" t="s">
        <v>130</v>
      </c>
      <c r="C25" s="807" t="s">
        <v>1109</v>
      </c>
      <c r="D25" s="728">
        <v>17387.0</v>
      </c>
      <c r="E25" s="808"/>
      <c r="F25" s="808"/>
      <c r="G25" s="808"/>
      <c r="H25" s="808"/>
      <c r="I25" s="808"/>
      <c r="J25" s="809"/>
      <c r="K25" s="810"/>
      <c r="L25" s="810"/>
      <c r="M25" s="808"/>
      <c r="N25" s="808"/>
      <c r="O25" s="808"/>
      <c r="P25" s="808"/>
      <c r="Q25" s="808"/>
      <c r="R25" s="808"/>
      <c r="S25" s="809"/>
      <c r="T25" s="810"/>
      <c r="U25" s="809"/>
      <c r="V25" s="808"/>
      <c r="W25" s="809"/>
      <c r="X25" s="809"/>
      <c r="Y25" s="808"/>
      <c r="Z25" s="808"/>
      <c r="AA25" s="809"/>
      <c r="AB25" s="810"/>
      <c r="AC25" s="812"/>
      <c r="AD25" s="808"/>
      <c r="AE25" s="808"/>
      <c r="AF25" s="808"/>
      <c r="AG25" s="808"/>
      <c r="AH25" s="808"/>
      <c r="AI25" s="809"/>
      <c r="AJ25" s="810"/>
      <c r="AK25" s="812"/>
      <c r="AL25" s="808"/>
      <c r="AM25" s="808"/>
      <c r="AN25" s="808"/>
      <c r="AO25" s="808"/>
      <c r="AP25" s="808"/>
      <c r="AQ25" s="809"/>
      <c r="AR25" s="813"/>
      <c r="AS25" s="808"/>
      <c r="AT25" s="808"/>
      <c r="AU25" s="808"/>
      <c r="AV25" s="808"/>
      <c r="AW25" s="808"/>
      <c r="AX25" s="808"/>
      <c r="AY25" s="809"/>
      <c r="AZ25" s="810"/>
      <c r="BA25" s="808"/>
      <c r="BB25" s="808"/>
      <c r="BC25" s="808"/>
      <c r="BD25" s="808"/>
      <c r="BE25" s="808"/>
      <c r="BF25" s="808"/>
      <c r="BG25" s="809"/>
      <c r="BH25" s="810"/>
      <c r="BI25" s="812"/>
      <c r="BJ25" s="808"/>
      <c r="BK25" s="808"/>
      <c r="BL25" s="808"/>
      <c r="BM25" s="808"/>
      <c r="BN25" s="808"/>
      <c r="BO25" s="809"/>
      <c r="BP25" s="810"/>
      <c r="BQ25" s="812"/>
      <c r="BR25" s="808"/>
      <c r="BS25" s="808"/>
      <c r="BT25" s="808"/>
      <c r="BU25" s="808"/>
      <c r="BV25" s="808"/>
      <c r="BW25" s="809"/>
      <c r="BX25" s="811"/>
    </row>
    <row r="26" ht="30.0" customHeight="1">
      <c r="A26" s="814">
        <v>20.0</v>
      </c>
      <c r="B26" s="807" t="s">
        <v>130</v>
      </c>
      <c r="C26" s="66" t="s">
        <v>1027</v>
      </c>
      <c r="D26" s="65">
        <v>106793.0</v>
      </c>
      <c r="E26" s="808"/>
      <c r="F26" s="808"/>
      <c r="G26" s="808"/>
      <c r="H26" s="808"/>
      <c r="I26" s="808"/>
      <c r="J26" s="809"/>
      <c r="K26" s="810"/>
      <c r="L26" s="810"/>
      <c r="M26" s="808"/>
      <c r="N26" s="808"/>
      <c r="O26" s="808"/>
      <c r="P26" s="808"/>
      <c r="Q26" s="808"/>
      <c r="R26" s="808"/>
      <c r="S26" s="809"/>
      <c r="T26" s="810"/>
      <c r="U26" s="809"/>
      <c r="V26" s="808"/>
      <c r="W26" s="809"/>
      <c r="X26" s="809"/>
      <c r="Y26" s="808"/>
      <c r="Z26" s="808"/>
      <c r="AA26" s="809"/>
      <c r="AB26" s="810"/>
      <c r="AC26" s="812"/>
      <c r="AD26" s="808"/>
      <c r="AE26" s="808"/>
      <c r="AF26" s="808"/>
      <c r="AG26" s="808"/>
      <c r="AH26" s="808"/>
      <c r="AI26" s="809"/>
      <c r="AJ26" s="810"/>
      <c r="AK26" s="812"/>
      <c r="AL26" s="808"/>
      <c r="AM26" s="808"/>
      <c r="AN26" s="808"/>
      <c r="AO26" s="808"/>
      <c r="AP26" s="808"/>
      <c r="AQ26" s="809"/>
      <c r="AR26" s="813"/>
      <c r="AS26" s="808"/>
      <c r="AT26" s="808"/>
      <c r="AU26" s="808"/>
      <c r="AV26" s="808"/>
      <c r="AW26" s="808"/>
      <c r="AX26" s="808"/>
      <c r="AY26" s="809"/>
      <c r="AZ26" s="810"/>
      <c r="BA26" s="808"/>
      <c r="BB26" s="808"/>
      <c r="BC26" s="808"/>
      <c r="BD26" s="808"/>
      <c r="BE26" s="808"/>
      <c r="BF26" s="808"/>
      <c r="BG26" s="809"/>
      <c r="BH26" s="810"/>
      <c r="BI26" s="812"/>
      <c r="BJ26" s="808"/>
      <c r="BK26" s="808"/>
      <c r="BL26" s="808"/>
      <c r="BM26" s="808"/>
      <c r="BN26" s="808"/>
      <c r="BO26" s="809"/>
      <c r="BP26" s="810"/>
      <c r="BQ26" s="812"/>
      <c r="BR26" s="808"/>
      <c r="BS26" s="808"/>
      <c r="BT26" s="808"/>
      <c r="BU26" s="808"/>
      <c r="BV26" s="808"/>
      <c r="BW26" s="809"/>
      <c r="BX26" s="811"/>
    </row>
    <row r="27" ht="30.0" customHeight="1">
      <c r="A27" s="814">
        <v>21.0</v>
      </c>
      <c r="B27" s="807" t="s">
        <v>130</v>
      </c>
      <c r="C27" s="66" t="s">
        <v>1028</v>
      </c>
      <c r="D27" s="65">
        <v>106792.0</v>
      </c>
      <c r="E27" s="808"/>
      <c r="F27" s="808"/>
      <c r="G27" s="808"/>
      <c r="H27" s="808"/>
      <c r="I27" s="808"/>
      <c r="J27" s="809"/>
      <c r="K27" s="810"/>
      <c r="L27" s="810"/>
      <c r="M27" s="808"/>
      <c r="N27" s="808"/>
      <c r="O27" s="808"/>
      <c r="P27" s="808"/>
      <c r="Q27" s="808"/>
      <c r="R27" s="808"/>
      <c r="S27" s="809"/>
      <c r="T27" s="810"/>
      <c r="U27" s="809"/>
      <c r="V27" s="808"/>
      <c r="W27" s="809"/>
      <c r="X27" s="809"/>
      <c r="Y27" s="808"/>
      <c r="Z27" s="808"/>
      <c r="AA27" s="809"/>
      <c r="AB27" s="810"/>
      <c r="AC27" s="812"/>
      <c r="AD27" s="808"/>
      <c r="AE27" s="808"/>
      <c r="AF27" s="808"/>
      <c r="AG27" s="808"/>
      <c r="AH27" s="808"/>
      <c r="AI27" s="809"/>
      <c r="AJ27" s="810"/>
      <c r="AK27" s="812"/>
      <c r="AL27" s="808"/>
      <c r="AM27" s="808"/>
      <c r="AN27" s="808"/>
      <c r="AO27" s="808"/>
      <c r="AP27" s="808"/>
      <c r="AQ27" s="809"/>
      <c r="AR27" s="813"/>
      <c r="AS27" s="808"/>
      <c r="AT27" s="808"/>
      <c r="AU27" s="808"/>
      <c r="AV27" s="808"/>
      <c r="AW27" s="808"/>
      <c r="AX27" s="808"/>
      <c r="AY27" s="809"/>
      <c r="AZ27" s="810"/>
      <c r="BA27" s="808"/>
      <c r="BB27" s="808"/>
      <c r="BC27" s="808"/>
      <c r="BD27" s="808"/>
      <c r="BE27" s="808"/>
      <c r="BF27" s="808"/>
      <c r="BG27" s="809"/>
      <c r="BH27" s="810"/>
      <c r="BI27" s="812"/>
      <c r="BJ27" s="808"/>
      <c r="BK27" s="808"/>
      <c r="BL27" s="808"/>
      <c r="BM27" s="808"/>
      <c r="BN27" s="808"/>
      <c r="BO27" s="809"/>
      <c r="BP27" s="810"/>
      <c r="BQ27" s="812"/>
      <c r="BR27" s="808"/>
      <c r="BS27" s="808"/>
      <c r="BT27" s="808"/>
      <c r="BU27" s="808"/>
      <c r="BV27" s="808"/>
      <c r="BW27" s="809"/>
      <c r="BX27" s="811"/>
    </row>
    <row r="28" ht="30.0" customHeight="1">
      <c r="A28" s="815">
        <v>22.0</v>
      </c>
      <c r="B28" s="807" t="s">
        <v>182</v>
      </c>
      <c r="C28" s="807" t="s">
        <v>1059</v>
      </c>
      <c r="D28" s="728">
        <v>234.0</v>
      </c>
      <c r="E28" s="808"/>
      <c r="F28" s="808"/>
      <c r="G28" s="808"/>
      <c r="H28" s="808"/>
      <c r="I28" s="808"/>
      <c r="J28" s="809"/>
      <c r="K28" s="810"/>
      <c r="L28" s="810"/>
      <c r="M28" s="808" t="s">
        <v>1108</v>
      </c>
      <c r="N28" s="808" t="s">
        <v>1233</v>
      </c>
      <c r="O28" s="808" t="s">
        <v>1222</v>
      </c>
      <c r="P28" s="808"/>
      <c r="Q28" s="808" t="s">
        <v>1223</v>
      </c>
      <c r="R28" s="808" t="s">
        <v>1224</v>
      </c>
      <c r="S28" s="809"/>
      <c r="T28" s="810"/>
      <c r="U28" s="809"/>
      <c r="V28" s="808"/>
      <c r="W28" s="809"/>
      <c r="X28" s="809"/>
      <c r="Y28" s="808"/>
      <c r="Z28" s="808"/>
      <c r="AA28" s="809"/>
      <c r="AB28" s="810"/>
      <c r="AC28" s="812"/>
      <c r="AD28" s="808"/>
      <c r="AE28" s="808"/>
      <c r="AF28" s="808"/>
      <c r="AG28" s="808"/>
      <c r="AH28" s="808"/>
      <c r="AI28" s="809"/>
      <c r="AJ28" s="810"/>
      <c r="AK28" s="812"/>
      <c r="AL28" s="808"/>
      <c r="AM28" s="808"/>
      <c r="AN28" s="808"/>
      <c r="AO28" s="808"/>
      <c r="AP28" s="808"/>
      <c r="AQ28" s="809"/>
      <c r="AR28" s="813"/>
      <c r="AS28" s="808"/>
      <c r="AT28" s="808"/>
      <c r="AU28" s="808"/>
      <c r="AV28" s="808"/>
      <c r="AW28" s="808"/>
      <c r="AX28" s="808"/>
      <c r="AY28" s="809"/>
      <c r="AZ28" s="810"/>
      <c r="BA28" s="808"/>
      <c r="BB28" s="808"/>
      <c r="BC28" s="808"/>
      <c r="BD28" s="808"/>
      <c r="BE28" s="808"/>
      <c r="BF28" s="808"/>
      <c r="BG28" s="809"/>
      <c r="BH28" s="810"/>
      <c r="BI28" s="812"/>
      <c r="BJ28" s="808"/>
      <c r="BK28" s="808"/>
      <c r="BL28" s="808"/>
      <c r="BM28" s="808"/>
      <c r="BN28" s="808"/>
      <c r="BO28" s="809"/>
      <c r="BP28" s="810"/>
      <c r="BQ28" s="812"/>
      <c r="BR28" s="808"/>
      <c r="BS28" s="808"/>
      <c r="BT28" s="808"/>
      <c r="BU28" s="808"/>
      <c r="BV28" s="808"/>
      <c r="BW28" s="809"/>
      <c r="BX28" s="811"/>
    </row>
    <row r="29" ht="30.0" customHeight="1">
      <c r="A29" s="815">
        <v>23.0</v>
      </c>
      <c r="B29" s="807" t="s">
        <v>182</v>
      </c>
      <c r="C29" s="807" t="s">
        <v>1234</v>
      </c>
      <c r="D29" s="728">
        <v>105715.0</v>
      </c>
      <c r="E29" s="808"/>
      <c r="F29" s="808"/>
      <c r="G29" s="808"/>
      <c r="H29" s="808"/>
      <c r="I29" s="808"/>
      <c r="J29" s="809"/>
      <c r="K29" s="810"/>
      <c r="L29" s="810"/>
      <c r="M29" s="808"/>
      <c r="N29" s="808"/>
      <c r="O29" s="808"/>
      <c r="P29" s="808"/>
      <c r="Q29" s="808"/>
      <c r="R29" s="808"/>
      <c r="S29" s="809"/>
      <c r="T29" s="810"/>
      <c r="U29" s="809"/>
      <c r="V29" s="808"/>
      <c r="W29" s="809"/>
      <c r="X29" s="809"/>
      <c r="Y29" s="808"/>
      <c r="Z29" s="808"/>
      <c r="AA29" s="809"/>
      <c r="AB29" s="810"/>
      <c r="AC29" s="812"/>
      <c r="AD29" s="808"/>
      <c r="AE29" s="808"/>
      <c r="AF29" s="808"/>
      <c r="AG29" s="808"/>
      <c r="AH29" s="808"/>
      <c r="AI29" s="809"/>
      <c r="AJ29" s="810"/>
      <c r="AK29" s="812"/>
      <c r="AL29" s="808"/>
      <c r="AM29" s="808"/>
      <c r="AN29" s="808"/>
      <c r="AO29" s="808"/>
      <c r="AP29" s="808"/>
      <c r="AQ29" s="809"/>
      <c r="AR29" s="813"/>
      <c r="AS29" s="808"/>
      <c r="AT29" s="808"/>
      <c r="AU29" s="808"/>
      <c r="AV29" s="808"/>
      <c r="AW29" s="808"/>
      <c r="AX29" s="808"/>
      <c r="AY29" s="809"/>
      <c r="AZ29" s="810"/>
      <c r="BA29" s="808"/>
      <c r="BB29" s="808"/>
      <c r="BC29" s="808"/>
      <c r="BD29" s="808"/>
      <c r="BE29" s="808"/>
      <c r="BF29" s="808"/>
      <c r="BG29" s="809"/>
      <c r="BH29" s="810"/>
      <c r="BI29" s="812"/>
      <c r="BJ29" s="808"/>
      <c r="BK29" s="808"/>
      <c r="BL29" s="808"/>
      <c r="BM29" s="808"/>
      <c r="BN29" s="808"/>
      <c r="BO29" s="809"/>
      <c r="BP29" s="810"/>
      <c r="BQ29" s="812"/>
      <c r="BR29" s="808"/>
      <c r="BS29" s="808"/>
      <c r="BT29" s="808"/>
      <c r="BU29" s="808"/>
      <c r="BV29" s="808"/>
      <c r="BW29" s="809"/>
      <c r="BX29" s="811"/>
    </row>
    <row r="30" ht="30.0" customHeight="1">
      <c r="A30" s="815">
        <v>24.0</v>
      </c>
      <c r="B30" s="807" t="s">
        <v>182</v>
      </c>
      <c r="C30" s="807" t="s">
        <v>1235</v>
      </c>
      <c r="D30" s="728">
        <v>235.0</v>
      </c>
      <c r="E30" s="808"/>
      <c r="F30" s="808"/>
      <c r="G30" s="808"/>
      <c r="H30" s="808"/>
      <c r="I30" s="808"/>
      <c r="J30" s="809"/>
      <c r="K30" s="810"/>
      <c r="L30" s="810"/>
      <c r="M30" s="808"/>
      <c r="N30" s="808"/>
      <c r="O30" s="808"/>
      <c r="P30" s="808"/>
      <c r="Q30" s="808"/>
      <c r="R30" s="808"/>
      <c r="S30" s="809"/>
      <c r="T30" s="810"/>
      <c r="U30" s="809"/>
      <c r="V30" s="808"/>
      <c r="W30" s="809"/>
      <c r="X30" s="809"/>
      <c r="Y30" s="808"/>
      <c r="Z30" s="808"/>
      <c r="AA30" s="809"/>
      <c r="AB30" s="810"/>
      <c r="AC30" s="812"/>
      <c r="AD30" s="808"/>
      <c r="AE30" s="808"/>
      <c r="AF30" s="808"/>
      <c r="AG30" s="808"/>
      <c r="AH30" s="808"/>
      <c r="AI30" s="809"/>
      <c r="AJ30" s="810"/>
      <c r="AK30" s="812"/>
      <c r="AL30" s="808"/>
      <c r="AM30" s="808"/>
      <c r="AN30" s="808"/>
      <c r="AO30" s="808"/>
      <c r="AP30" s="808"/>
      <c r="AQ30" s="809"/>
      <c r="AR30" s="813"/>
      <c r="AS30" s="808"/>
      <c r="AT30" s="808"/>
      <c r="AU30" s="808"/>
      <c r="AV30" s="808"/>
      <c r="AW30" s="808"/>
      <c r="AX30" s="808"/>
      <c r="AY30" s="809"/>
      <c r="AZ30" s="810"/>
      <c r="BA30" s="808"/>
      <c r="BB30" s="808"/>
      <c r="BC30" s="808"/>
      <c r="BD30" s="808"/>
      <c r="BE30" s="808"/>
      <c r="BF30" s="808"/>
      <c r="BG30" s="809"/>
      <c r="BH30" s="810"/>
      <c r="BI30" s="812"/>
      <c r="BJ30" s="808"/>
      <c r="BK30" s="808"/>
      <c r="BL30" s="808"/>
      <c r="BM30" s="808"/>
      <c r="BN30" s="808"/>
      <c r="BO30" s="809"/>
      <c r="BP30" s="810"/>
      <c r="BQ30" s="812"/>
      <c r="BR30" s="808"/>
      <c r="BS30" s="808"/>
      <c r="BT30" s="808"/>
      <c r="BU30" s="808"/>
      <c r="BV30" s="808"/>
      <c r="BW30" s="809"/>
      <c r="BX30" s="811"/>
    </row>
    <row r="31" ht="30.0" customHeight="1">
      <c r="A31" s="815">
        <v>25.0</v>
      </c>
      <c r="B31" s="807" t="s">
        <v>182</v>
      </c>
      <c r="C31" s="807" t="s">
        <v>1060</v>
      </c>
      <c r="D31" s="728">
        <v>8441.0</v>
      </c>
      <c r="E31" s="808"/>
      <c r="F31" s="808"/>
      <c r="G31" s="808"/>
      <c r="H31" s="808"/>
      <c r="I31" s="808"/>
      <c r="J31" s="809"/>
      <c r="K31" s="810"/>
      <c r="L31" s="810"/>
      <c r="M31" s="808"/>
      <c r="N31" s="808"/>
      <c r="O31" s="808"/>
      <c r="P31" s="808"/>
      <c r="Q31" s="808"/>
      <c r="R31" s="808"/>
      <c r="S31" s="809"/>
      <c r="T31" s="810"/>
      <c r="U31" s="809"/>
      <c r="V31" s="808"/>
      <c r="W31" s="809"/>
      <c r="X31" s="809"/>
      <c r="Y31" s="808"/>
      <c r="Z31" s="808"/>
      <c r="AA31" s="809"/>
      <c r="AB31" s="810"/>
      <c r="AC31" s="812" t="s">
        <v>1108</v>
      </c>
      <c r="AD31" s="808" t="s">
        <v>1233</v>
      </c>
      <c r="AE31" s="808" t="s">
        <v>1222</v>
      </c>
      <c r="AF31" s="808"/>
      <c r="AG31" s="808" t="s">
        <v>1223</v>
      </c>
      <c r="AH31" s="808" t="s">
        <v>1224</v>
      </c>
      <c r="AI31" s="809"/>
      <c r="AJ31" s="810"/>
      <c r="AK31" s="812"/>
      <c r="AL31" s="808"/>
      <c r="AM31" s="808"/>
      <c r="AN31" s="808"/>
      <c r="AO31" s="808"/>
      <c r="AP31" s="808"/>
      <c r="AQ31" s="809"/>
      <c r="AR31" s="813"/>
      <c r="AS31" s="808"/>
      <c r="AT31" s="808"/>
      <c r="AU31" s="808"/>
      <c r="AV31" s="808"/>
      <c r="AW31" s="808"/>
      <c r="AX31" s="808"/>
      <c r="AY31" s="809"/>
      <c r="AZ31" s="810"/>
      <c r="BA31" s="808"/>
      <c r="BB31" s="808"/>
      <c r="BC31" s="808"/>
      <c r="BD31" s="808"/>
      <c r="BE31" s="808"/>
      <c r="BF31" s="808"/>
      <c r="BG31" s="809"/>
      <c r="BH31" s="810"/>
      <c r="BI31" s="812"/>
      <c r="BJ31" s="808"/>
      <c r="BK31" s="808"/>
      <c r="BL31" s="808"/>
      <c r="BM31" s="808"/>
      <c r="BN31" s="808"/>
      <c r="BO31" s="809"/>
      <c r="BP31" s="810"/>
      <c r="BQ31" s="812"/>
      <c r="BR31" s="808"/>
      <c r="BS31" s="808"/>
      <c r="BT31" s="808"/>
      <c r="BU31" s="808"/>
      <c r="BV31" s="808"/>
      <c r="BW31" s="809"/>
      <c r="BX31" s="811"/>
    </row>
    <row r="32" ht="30.0" customHeight="1">
      <c r="A32" s="815">
        <v>26.0</v>
      </c>
      <c r="B32" s="807" t="s">
        <v>182</v>
      </c>
      <c r="C32" s="807" t="s">
        <v>1236</v>
      </c>
      <c r="D32" s="728">
        <v>10083.0</v>
      </c>
      <c r="E32" s="808"/>
      <c r="F32" s="808"/>
      <c r="G32" s="808"/>
      <c r="H32" s="808"/>
      <c r="I32" s="808"/>
      <c r="J32" s="809"/>
      <c r="K32" s="810"/>
      <c r="L32" s="810"/>
      <c r="M32" s="808"/>
      <c r="N32" s="808"/>
      <c r="O32" s="808"/>
      <c r="P32" s="808"/>
      <c r="Q32" s="808"/>
      <c r="R32" s="808"/>
      <c r="S32" s="809"/>
      <c r="T32" s="810"/>
      <c r="U32" s="809"/>
      <c r="V32" s="808"/>
      <c r="W32" s="809"/>
      <c r="X32" s="809"/>
      <c r="Y32" s="808"/>
      <c r="Z32" s="808"/>
      <c r="AA32" s="809"/>
      <c r="AB32" s="810"/>
      <c r="AC32" s="812"/>
      <c r="AD32" s="808"/>
      <c r="AE32" s="808"/>
      <c r="AF32" s="808"/>
      <c r="AG32" s="808"/>
      <c r="AH32" s="808"/>
      <c r="AI32" s="809"/>
      <c r="AJ32" s="810"/>
      <c r="AK32" s="812"/>
      <c r="AL32" s="808"/>
      <c r="AM32" s="808"/>
      <c r="AN32" s="808"/>
      <c r="AO32" s="808"/>
      <c r="AP32" s="808"/>
      <c r="AQ32" s="809"/>
      <c r="AR32" s="813"/>
      <c r="AS32" s="808"/>
      <c r="AT32" s="808"/>
      <c r="AU32" s="808"/>
      <c r="AV32" s="808"/>
      <c r="AW32" s="808"/>
      <c r="AX32" s="808"/>
      <c r="AY32" s="809"/>
      <c r="AZ32" s="810"/>
      <c r="BA32" s="808"/>
      <c r="BB32" s="808"/>
      <c r="BC32" s="808"/>
      <c r="BD32" s="808"/>
      <c r="BE32" s="808"/>
      <c r="BF32" s="808"/>
      <c r="BG32" s="809"/>
      <c r="BH32" s="810"/>
      <c r="BI32" s="812"/>
      <c r="BJ32" s="808"/>
      <c r="BK32" s="808"/>
      <c r="BL32" s="808"/>
      <c r="BM32" s="808"/>
      <c r="BN32" s="808"/>
      <c r="BO32" s="809"/>
      <c r="BP32" s="810"/>
      <c r="BQ32" s="812"/>
      <c r="BR32" s="808"/>
      <c r="BS32" s="808"/>
      <c r="BT32" s="808"/>
      <c r="BU32" s="808"/>
      <c r="BV32" s="808"/>
      <c r="BW32" s="809"/>
      <c r="BX32" s="811"/>
    </row>
    <row r="33" ht="30.0" customHeight="1">
      <c r="A33" s="815">
        <v>27.0</v>
      </c>
      <c r="B33" s="807" t="s">
        <v>182</v>
      </c>
      <c r="C33" s="807" t="s">
        <v>192</v>
      </c>
      <c r="D33" s="728">
        <v>2970.0</v>
      </c>
      <c r="E33" s="808" t="s">
        <v>1108</v>
      </c>
      <c r="F33" s="808" t="s">
        <v>1227</v>
      </c>
      <c r="G33" s="808" t="s">
        <v>1222</v>
      </c>
      <c r="H33" s="808"/>
      <c r="I33" s="808" t="s">
        <v>1223</v>
      </c>
      <c r="J33" s="809" t="s">
        <v>1224</v>
      </c>
      <c r="K33" s="810"/>
      <c r="L33" s="810"/>
      <c r="M33" s="808"/>
      <c r="N33" s="808"/>
      <c r="O33" s="808"/>
      <c r="P33" s="808"/>
      <c r="Q33" s="808"/>
      <c r="R33" s="808"/>
      <c r="S33" s="809"/>
      <c r="T33" s="810"/>
      <c r="U33" s="816" t="s">
        <v>1108</v>
      </c>
      <c r="V33" s="808" t="s">
        <v>1227</v>
      </c>
      <c r="W33" s="809" t="s">
        <v>1222</v>
      </c>
      <c r="X33" s="809"/>
      <c r="Y33" s="808" t="s">
        <v>1223</v>
      </c>
      <c r="Z33" s="808" t="s">
        <v>1224</v>
      </c>
      <c r="AA33" s="809"/>
      <c r="AB33" s="810"/>
      <c r="AC33" s="812"/>
      <c r="AD33" s="808"/>
      <c r="AE33" s="808"/>
      <c r="AF33" s="808"/>
      <c r="AG33" s="808"/>
      <c r="AH33" s="808"/>
      <c r="AI33" s="809"/>
      <c r="AJ33" s="810"/>
      <c r="AK33" s="812"/>
      <c r="AL33" s="808"/>
      <c r="AM33" s="808"/>
      <c r="AN33" s="808"/>
      <c r="AO33" s="808"/>
      <c r="AP33" s="808"/>
      <c r="AQ33" s="809"/>
      <c r="AR33" s="813"/>
      <c r="AS33" s="808"/>
      <c r="AT33" s="808"/>
      <c r="AU33" s="808"/>
      <c r="AV33" s="808"/>
      <c r="AW33" s="808"/>
      <c r="AX33" s="808"/>
      <c r="AY33" s="809"/>
      <c r="AZ33" s="810"/>
      <c r="BA33" s="808"/>
      <c r="BB33" s="808"/>
      <c r="BC33" s="808"/>
      <c r="BD33" s="808"/>
      <c r="BE33" s="808"/>
      <c r="BF33" s="808"/>
      <c r="BG33" s="809"/>
      <c r="BH33" s="810"/>
      <c r="BI33" s="812"/>
      <c r="BJ33" s="808"/>
      <c r="BK33" s="808"/>
      <c r="BL33" s="808"/>
      <c r="BM33" s="808"/>
      <c r="BN33" s="808"/>
      <c r="BO33" s="809"/>
      <c r="BP33" s="810"/>
      <c r="BQ33" s="812"/>
      <c r="BR33" s="808"/>
      <c r="BS33" s="808"/>
      <c r="BT33" s="808"/>
      <c r="BU33" s="808"/>
      <c r="BV33" s="808"/>
      <c r="BW33" s="809"/>
      <c r="BX33" s="811"/>
    </row>
    <row r="34" ht="30.0" customHeight="1">
      <c r="A34" s="815">
        <v>28.0</v>
      </c>
      <c r="B34" s="807" t="s">
        <v>182</v>
      </c>
      <c r="C34" s="807" t="s">
        <v>1237</v>
      </c>
      <c r="D34" s="728">
        <v>102109.0</v>
      </c>
      <c r="E34" s="808"/>
      <c r="F34" s="808"/>
      <c r="G34" s="808"/>
      <c r="H34" s="808"/>
      <c r="I34" s="808"/>
      <c r="J34" s="809"/>
      <c r="K34" s="810"/>
      <c r="L34" s="810"/>
      <c r="M34" s="808" t="s">
        <v>1108</v>
      </c>
      <c r="N34" s="808" t="s">
        <v>1227</v>
      </c>
      <c r="O34" s="808" t="s">
        <v>1222</v>
      </c>
      <c r="P34" s="808"/>
      <c r="Q34" s="808" t="s">
        <v>1223</v>
      </c>
      <c r="R34" s="808" t="s">
        <v>1224</v>
      </c>
      <c r="S34" s="809"/>
      <c r="T34" s="810"/>
      <c r="U34" s="809"/>
      <c r="V34" s="808"/>
      <c r="W34" s="809"/>
      <c r="X34" s="809"/>
      <c r="Y34" s="808"/>
      <c r="Z34" s="808"/>
      <c r="AA34" s="809"/>
      <c r="AB34" s="810"/>
      <c r="AC34" s="812" t="s">
        <v>1108</v>
      </c>
      <c r="AD34" s="808" t="s">
        <v>1227</v>
      </c>
      <c r="AE34" s="808" t="s">
        <v>1229</v>
      </c>
      <c r="AF34" s="808"/>
      <c r="AG34" s="808" t="s">
        <v>1223</v>
      </c>
      <c r="AH34" s="808" t="s">
        <v>1224</v>
      </c>
      <c r="AI34" s="809"/>
      <c r="AJ34" s="810"/>
      <c r="AK34" s="812"/>
      <c r="AL34" s="808"/>
      <c r="AM34" s="808"/>
      <c r="AN34" s="808"/>
      <c r="AO34" s="808"/>
      <c r="AP34" s="808"/>
      <c r="AQ34" s="809"/>
      <c r="AR34" s="813"/>
      <c r="AS34" s="808"/>
      <c r="AT34" s="808"/>
      <c r="AU34" s="808"/>
      <c r="AV34" s="808"/>
      <c r="AW34" s="808"/>
      <c r="AX34" s="808"/>
      <c r="AY34" s="809"/>
      <c r="AZ34" s="810"/>
      <c r="BA34" s="808"/>
      <c r="BB34" s="808"/>
      <c r="BC34" s="808"/>
      <c r="BD34" s="808"/>
      <c r="BE34" s="808"/>
      <c r="BF34" s="808"/>
      <c r="BG34" s="809"/>
      <c r="BH34" s="810"/>
      <c r="BI34" s="812"/>
      <c r="BJ34" s="808"/>
      <c r="BK34" s="808"/>
      <c r="BL34" s="808"/>
      <c r="BM34" s="808"/>
      <c r="BN34" s="808"/>
      <c r="BO34" s="809"/>
      <c r="BP34" s="810"/>
      <c r="BQ34" s="812"/>
      <c r="BR34" s="808"/>
      <c r="BS34" s="808"/>
      <c r="BT34" s="808"/>
      <c r="BU34" s="808"/>
      <c r="BV34" s="808"/>
      <c r="BW34" s="809"/>
      <c r="BX34" s="811"/>
    </row>
    <row r="35" ht="30.0" customHeight="1">
      <c r="A35" s="815">
        <v>29.0</v>
      </c>
      <c r="B35" s="807" t="s">
        <v>182</v>
      </c>
      <c r="C35" s="807" t="s">
        <v>1238</v>
      </c>
      <c r="D35" s="728">
        <v>3613.0</v>
      </c>
      <c r="E35" s="808"/>
      <c r="F35" s="808"/>
      <c r="G35" s="808"/>
      <c r="H35" s="808"/>
      <c r="I35" s="808"/>
      <c r="J35" s="809"/>
      <c r="K35" s="810"/>
      <c r="L35" s="810"/>
      <c r="M35" s="808"/>
      <c r="N35" s="808"/>
      <c r="O35" s="808"/>
      <c r="P35" s="808"/>
      <c r="Q35" s="808"/>
      <c r="R35" s="808"/>
      <c r="S35" s="809"/>
      <c r="T35" s="810"/>
      <c r="U35" s="809"/>
      <c r="V35" s="808"/>
      <c r="W35" s="809"/>
      <c r="X35" s="809"/>
      <c r="Y35" s="808"/>
      <c r="Z35" s="808"/>
      <c r="AA35" s="809"/>
      <c r="AB35" s="810"/>
      <c r="AC35" s="812"/>
      <c r="AD35" s="808"/>
      <c r="AE35" s="808"/>
      <c r="AF35" s="808"/>
      <c r="AG35" s="808"/>
      <c r="AH35" s="808"/>
      <c r="AI35" s="809"/>
      <c r="AJ35" s="810"/>
      <c r="AK35" s="812"/>
      <c r="AL35" s="808"/>
      <c r="AM35" s="808"/>
      <c r="AN35" s="808"/>
      <c r="AO35" s="808"/>
      <c r="AP35" s="808"/>
      <c r="AQ35" s="809"/>
      <c r="AR35" s="813"/>
      <c r="AS35" s="808"/>
      <c r="AT35" s="808"/>
      <c r="AU35" s="808"/>
      <c r="AV35" s="808"/>
      <c r="AW35" s="808"/>
      <c r="AX35" s="808"/>
      <c r="AY35" s="809"/>
      <c r="AZ35" s="810"/>
      <c r="BA35" s="808"/>
      <c r="BB35" s="808"/>
      <c r="BC35" s="808"/>
      <c r="BD35" s="808"/>
      <c r="BE35" s="808"/>
      <c r="BF35" s="808"/>
      <c r="BG35" s="809"/>
      <c r="BH35" s="810"/>
      <c r="BI35" s="812"/>
      <c r="BJ35" s="808"/>
      <c r="BK35" s="808"/>
      <c r="BL35" s="808"/>
      <c r="BM35" s="808"/>
      <c r="BN35" s="808"/>
      <c r="BO35" s="809"/>
      <c r="BP35" s="810"/>
      <c r="BQ35" s="812"/>
      <c r="BR35" s="808"/>
      <c r="BS35" s="808"/>
      <c r="BT35" s="808"/>
      <c r="BU35" s="808"/>
      <c r="BV35" s="808"/>
      <c r="BW35" s="809"/>
      <c r="BX35" s="811"/>
    </row>
    <row r="36" ht="30.0" customHeight="1">
      <c r="A36" s="815">
        <v>30.0</v>
      </c>
      <c r="B36" s="807" t="s">
        <v>182</v>
      </c>
      <c r="C36" s="807" t="s">
        <v>209</v>
      </c>
      <c r="D36" s="728">
        <v>15358.0</v>
      </c>
      <c r="E36" s="808" t="s">
        <v>1108</v>
      </c>
      <c r="F36" s="808" t="s">
        <v>1227</v>
      </c>
      <c r="G36" s="808" t="s">
        <v>1222</v>
      </c>
      <c r="H36" s="808"/>
      <c r="I36" s="808" t="s">
        <v>1223</v>
      </c>
      <c r="J36" s="809" t="s">
        <v>1224</v>
      </c>
      <c r="K36" s="810"/>
      <c r="L36" s="810"/>
      <c r="M36" s="808"/>
      <c r="N36" s="808"/>
      <c r="O36" s="808"/>
      <c r="P36" s="808"/>
      <c r="Q36" s="808"/>
      <c r="R36" s="808"/>
      <c r="S36" s="809"/>
      <c r="T36" s="810"/>
      <c r="U36" s="809"/>
      <c r="V36" s="808"/>
      <c r="W36" s="809"/>
      <c r="X36" s="809"/>
      <c r="Y36" s="808"/>
      <c r="Z36" s="808"/>
      <c r="AA36" s="809"/>
      <c r="AB36" s="810"/>
      <c r="AC36" s="812" t="s">
        <v>1108</v>
      </c>
      <c r="AD36" s="808" t="s">
        <v>1227</v>
      </c>
      <c r="AE36" s="808" t="s">
        <v>1222</v>
      </c>
      <c r="AF36" s="808"/>
      <c r="AG36" s="808" t="s">
        <v>1223</v>
      </c>
      <c r="AH36" s="808" t="s">
        <v>1224</v>
      </c>
      <c r="AI36" s="809"/>
      <c r="AJ36" s="810"/>
      <c r="AK36" s="812"/>
      <c r="AL36" s="808"/>
      <c r="AM36" s="808"/>
      <c r="AN36" s="808"/>
      <c r="AO36" s="808"/>
      <c r="AP36" s="808"/>
      <c r="AQ36" s="809"/>
      <c r="AR36" s="813"/>
      <c r="AS36" s="808"/>
      <c r="AT36" s="808"/>
      <c r="AU36" s="808"/>
      <c r="AV36" s="808"/>
      <c r="AW36" s="808"/>
      <c r="AX36" s="808"/>
      <c r="AY36" s="809"/>
      <c r="AZ36" s="810"/>
      <c r="BA36" s="808"/>
      <c r="BB36" s="808"/>
      <c r="BC36" s="808"/>
      <c r="BD36" s="808"/>
      <c r="BE36" s="808"/>
      <c r="BF36" s="808"/>
      <c r="BG36" s="809"/>
      <c r="BH36" s="810"/>
      <c r="BI36" s="812"/>
      <c r="BJ36" s="808"/>
      <c r="BK36" s="808"/>
      <c r="BL36" s="808"/>
      <c r="BM36" s="808"/>
      <c r="BN36" s="808"/>
      <c r="BO36" s="809"/>
      <c r="BP36" s="810"/>
      <c r="BQ36" s="812"/>
      <c r="BR36" s="808"/>
      <c r="BS36" s="808"/>
      <c r="BT36" s="808"/>
      <c r="BU36" s="808"/>
      <c r="BV36" s="808"/>
      <c r="BW36" s="809"/>
      <c r="BX36" s="811"/>
    </row>
    <row r="37" ht="30.0" customHeight="1">
      <c r="A37" s="815">
        <v>31.0</v>
      </c>
      <c r="B37" s="807" t="s">
        <v>182</v>
      </c>
      <c r="C37" s="807" t="s">
        <v>1239</v>
      </c>
      <c r="D37" s="728">
        <v>15924.0</v>
      </c>
      <c r="E37" s="808" t="s">
        <v>1108</v>
      </c>
      <c r="F37" s="808" t="s">
        <v>1227</v>
      </c>
      <c r="G37" s="808" t="s">
        <v>1222</v>
      </c>
      <c r="H37" s="808"/>
      <c r="I37" s="808" t="s">
        <v>1223</v>
      </c>
      <c r="J37" s="809" t="s">
        <v>1224</v>
      </c>
      <c r="K37" s="810"/>
      <c r="L37" s="810"/>
      <c r="M37" s="808"/>
      <c r="N37" s="808"/>
      <c r="O37" s="808"/>
      <c r="P37" s="808"/>
      <c r="Q37" s="808"/>
      <c r="R37" s="808"/>
      <c r="S37" s="809"/>
      <c r="T37" s="810"/>
      <c r="U37" s="809"/>
      <c r="V37" s="808"/>
      <c r="W37" s="809"/>
      <c r="X37" s="809"/>
      <c r="Y37" s="808"/>
      <c r="Z37" s="808"/>
      <c r="AA37" s="809"/>
      <c r="AB37" s="810"/>
      <c r="AC37" s="812" t="s">
        <v>1108</v>
      </c>
      <c r="AD37" s="808" t="s">
        <v>1227</v>
      </c>
      <c r="AE37" s="808" t="s">
        <v>1229</v>
      </c>
      <c r="AF37" s="808"/>
      <c r="AG37" s="808" t="s">
        <v>1223</v>
      </c>
      <c r="AH37" s="808" t="s">
        <v>1224</v>
      </c>
      <c r="AI37" s="809"/>
      <c r="AJ37" s="810"/>
      <c r="AK37" s="812"/>
      <c r="AL37" s="808"/>
      <c r="AM37" s="808"/>
      <c r="AN37" s="808"/>
      <c r="AO37" s="808"/>
      <c r="AP37" s="808"/>
      <c r="AQ37" s="809"/>
      <c r="AR37" s="813"/>
      <c r="AS37" s="808"/>
      <c r="AT37" s="808"/>
      <c r="AU37" s="808"/>
      <c r="AV37" s="808"/>
      <c r="AW37" s="808"/>
      <c r="AX37" s="808"/>
      <c r="AY37" s="809"/>
      <c r="AZ37" s="810"/>
      <c r="BA37" s="808"/>
      <c r="BB37" s="808"/>
      <c r="BC37" s="808"/>
      <c r="BD37" s="808"/>
      <c r="BE37" s="808"/>
      <c r="BF37" s="808"/>
      <c r="BG37" s="809"/>
      <c r="BH37" s="810"/>
      <c r="BI37" s="812"/>
      <c r="BJ37" s="808"/>
      <c r="BK37" s="808"/>
      <c r="BL37" s="808"/>
      <c r="BM37" s="808"/>
      <c r="BN37" s="808"/>
      <c r="BO37" s="809"/>
      <c r="BP37" s="810"/>
      <c r="BQ37" s="812"/>
      <c r="BR37" s="808"/>
      <c r="BS37" s="808"/>
      <c r="BT37" s="808"/>
      <c r="BU37" s="808"/>
      <c r="BV37" s="808"/>
      <c r="BW37" s="809"/>
      <c r="BX37" s="811"/>
    </row>
    <row r="38" ht="30.0" customHeight="1">
      <c r="A38" s="815">
        <v>32.0</v>
      </c>
      <c r="B38" s="807" t="s">
        <v>182</v>
      </c>
      <c r="C38" s="807" t="s">
        <v>1240</v>
      </c>
      <c r="D38" s="728">
        <v>103753.0</v>
      </c>
      <c r="E38" s="808"/>
      <c r="F38" s="808"/>
      <c r="G38" s="808"/>
      <c r="H38" s="808"/>
      <c r="I38" s="808"/>
      <c r="J38" s="809"/>
      <c r="K38" s="810"/>
      <c r="L38" s="810"/>
      <c r="M38" s="808"/>
      <c r="N38" s="808"/>
      <c r="O38" s="808"/>
      <c r="P38" s="808"/>
      <c r="Q38" s="808"/>
      <c r="R38" s="808"/>
      <c r="S38" s="809"/>
      <c r="T38" s="810"/>
      <c r="U38" s="809"/>
      <c r="V38" s="808"/>
      <c r="W38" s="809"/>
      <c r="X38" s="809"/>
      <c r="Y38" s="808"/>
      <c r="Z38" s="808"/>
      <c r="AA38" s="809"/>
      <c r="AB38" s="810"/>
      <c r="AC38" s="812"/>
      <c r="AD38" s="808"/>
      <c r="AE38" s="808"/>
      <c r="AF38" s="808"/>
      <c r="AG38" s="808"/>
      <c r="AH38" s="808"/>
      <c r="AI38" s="809"/>
      <c r="AJ38" s="810"/>
      <c r="AK38" s="812"/>
      <c r="AL38" s="808"/>
      <c r="AM38" s="808"/>
      <c r="AN38" s="808"/>
      <c r="AO38" s="808"/>
      <c r="AP38" s="808"/>
      <c r="AQ38" s="809"/>
      <c r="AR38" s="813"/>
      <c r="AS38" s="808"/>
      <c r="AT38" s="808"/>
      <c r="AU38" s="808"/>
      <c r="AV38" s="808"/>
      <c r="AW38" s="808"/>
      <c r="AX38" s="808"/>
      <c r="AY38" s="809"/>
      <c r="AZ38" s="810"/>
      <c r="BA38" s="808"/>
      <c r="BB38" s="808"/>
      <c r="BC38" s="808"/>
      <c r="BD38" s="808"/>
      <c r="BE38" s="808"/>
      <c r="BF38" s="808"/>
      <c r="BG38" s="809"/>
      <c r="BH38" s="810"/>
      <c r="BI38" s="812"/>
      <c r="BJ38" s="808"/>
      <c r="BK38" s="808"/>
      <c r="BL38" s="808"/>
      <c r="BM38" s="808"/>
      <c r="BN38" s="808"/>
      <c r="BO38" s="809"/>
      <c r="BP38" s="810"/>
      <c r="BQ38" s="812"/>
      <c r="BR38" s="808"/>
      <c r="BS38" s="808"/>
      <c r="BT38" s="808"/>
      <c r="BU38" s="808"/>
      <c r="BV38" s="808"/>
      <c r="BW38" s="809"/>
      <c r="BX38" s="811"/>
    </row>
    <row r="39" ht="30.0" customHeight="1">
      <c r="A39" s="815">
        <v>33.0</v>
      </c>
      <c r="B39" s="807" t="s">
        <v>182</v>
      </c>
      <c r="C39" s="807" t="s">
        <v>1241</v>
      </c>
      <c r="D39" s="728">
        <v>104679.0</v>
      </c>
      <c r="E39" s="808"/>
      <c r="F39" s="808"/>
      <c r="G39" s="808"/>
      <c r="H39" s="808"/>
      <c r="I39" s="808"/>
      <c r="J39" s="809"/>
      <c r="K39" s="810"/>
      <c r="L39" s="810"/>
      <c r="M39" s="808"/>
      <c r="N39" s="808"/>
      <c r="O39" s="808"/>
      <c r="P39" s="808"/>
      <c r="Q39" s="808"/>
      <c r="R39" s="808"/>
      <c r="S39" s="809"/>
      <c r="T39" s="810"/>
      <c r="U39" s="809"/>
      <c r="V39" s="808"/>
      <c r="W39" s="809"/>
      <c r="X39" s="809"/>
      <c r="Y39" s="808"/>
      <c r="Z39" s="808"/>
      <c r="AA39" s="809"/>
      <c r="AB39" s="810"/>
      <c r="AC39" s="812"/>
      <c r="AD39" s="808"/>
      <c r="AE39" s="808"/>
      <c r="AF39" s="808"/>
      <c r="AG39" s="808"/>
      <c r="AH39" s="808"/>
      <c r="AI39" s="809"/>
      <c r="AJ39" s="810"/>
      <c r="AK39" s="812"/>
      <c r="AL39" s="808"/>
      <c r="AM39" s="808"/>
      <c r="AN39" s="808"/>
      <c r="AO39" s="808"/>
      <c r="AP39" s="808"/>
      <c r="AQ39" s="809"/>
      <c r="AR39" s="813"/>
      <c r="AS39" s="808"/>
      <c r="AT39" s="808"/>
      <c r="AU39" s="808"/>
      <c r="AV39" s="808"/>
      <c r="AW39" s="808"/>
      <c r="AX39" s="808"/>
      <c r="AY39" s="809"/>
      <c r="AZ39" s="810"/>
      <c r="BA39" s="808"/>
      <c r="BB39" s="808"/>
      <c r="BC39" s="808"/>
      <c r="BD39" s="808"/>
      <c r="BE39" s="808"/>
      <c r="BF39" s="808"/>
      <c r="BG39" s="809"/>
      <c r="BH39" s="810"/>
      <c r="BI39" s="812"/>
      <c r="BJ39" s="808"/>
      <c r="BK39" s="808"/>
      <c r="BL39" s="808"/>
      <c r="BM39" s="808"/>
      <c r="BN39" s="808"/>
      <c r="BO39" s="809"/>
      <c r="BP39" s="810"/>
      <c r="BQ39" s="812"/>
      <c r="BR39" s="808"/>
      <c r="BS39" s="808"/>
      <c r="BT39" s="808"/>
      <c r="BU39" s="808"/>
      <c r="BV39" s="808"/>
      <c r="BW39" s="809"/>
      <c r="BX39" s="811"/>
    </row>
    <row r="40" ht="30.0" customHeight="1">
      <c r="A40" s="815">
        <v>34.0</v>
      </c>
      <c r="B40" s="807" t="s">
        <v>182</v>
      </c>
      <c r="C40" s="807" t="s">
        <v>1242</v>
      </c>
      <c r="D40" s="728">
        <v>104698.0</v>
      </c>
      <c r="E40" s="808"/>
      <c r="F40" s="808"/>
      <c r="G40" s="808"/>
      <c r="H40" s="808"/>
      <c r="I40" s="808"/>
      <c r="J40" s="809"/>
      <c r="K40" s="810"/>
      <c r="L40" s="810"/>
      <c r="M40" s="808"/>
      <c r="N40" s="808"/>
      <c r="O40" s="808"/>
      <c r="P40" s="808"/>
      <c r="Q40" s="808"/>
      <c r="R40" s="808"/>
      <c r="S40" s="809"/>
      <c r="T40" s="810"/>
      <c r="U40" s="809"/>
      <c r="V40" s="808"/>
      <c r="W40" s="809"/>
      <c r="X40" s="809"/>
      <c r="Y40" s="808"/>
      <c r="Z40" s="808"/>
      <c r="AA40" s="809"/>
      <c r="AB40" s="810"/>
      <c r="AC40" s="812"/>
      <c r="AD40" s="808"/>
      <c r="AE40" s="808"/>
      <c r="AF40" s="808"/>
      <c r="AG40" s="808"/>
      <c r="AH40" s="808"/>
      <c r="AI40" s="809"/>
      <c r="AJ40" s="810"/>
      <c r="AK40" s="812"/>
      <c r="AL40" s="808"/>
      <c r="AM40" s="808"/>
      <c r="AN40" s="808"/>
      <c r="AO40" s="808"/>
      <c r="AP40" s="808"/>
      <c r="AQ40" s="809"/>
      <c r="AR40" s="813"/>
      <c r="AS40" s="808"/>
      <c r="AT40" s="808"/>
      <c r="AU40" s="808"/>
      <c r="AV40" s="808"/>
      <c r="AW40" s="808"/>
      <c r="AX40" s="808"/>
      <c r="AY40" s="809"/>
      <c r="AZ40" s="810"/>
      <c r="BA40" s="808"/>
      <c r="BB40" s="808"/>
      <c r="BC40" s="808"/>
      <c r="BD40" s="808"/>
      <c r="BE40" s="808"/>
      <c r="BF40" s="808"/>
      <c r="BG40" s="809"/>
      <c r="BH40" s="810"/>
      <c r="BI40" s="812"/>
      <c r="BJ40" s="808"/>
      <c r="BK40" s="808"/>
      <c r="BL40" s="808"/>
      <c r="BM40" s="808"/>
      <c r="BN40" s="808"/>
      <c r="BO40" s="809"/>
      <c r="BP40" s="810"/>
      <c r="BQ40" s="812"/>
      <c r="BR40" s="808"/>
      <c r="BS40" s="808"/>
      <c r="BT40" s="808"/>
      <c r="BU40" s="808"/>
      <c r="BV40" s="808"/>
      <c r="BW40" s="809"/>
      <c r="BX40" s="811"/>
    </row>
    <row r="41" ht="30.0" customHeight="1">
      <c r="A41" s="815">
        <v>35.0</v>
      </c>
      <c r="B41" s="807" t="s">
        <v>182</v>
      </c>
      <c r="C41" s="807" t="s">
        <v>1113</v>
      </c>
      <c r="D41" s="728">
        <v>104192.0</v>
      </c>
      <c r="E41" s="808"/>
      <c r="F41" s="808"/>
      <c r="G41" s="808"/>
      <c r="H41" s="808"/>
      <c r="I41" s="808"/>
      <c r="J41" s="809"/>
      <c r="K41" s="810"/>
      <c r="L41" s="810"/>
      <c r="M41" s="808"/>
      <c r="N41" s="808"/>
      <c r="O41" s="808"/>
      <c r="P41" s="808"/>
      <c r="Q41" s="808"/>
      <c r="R41" s="808"/>
      <c r="S41" s="809"/>
      <c r="T41" s="810"/>
      <c r="U41" s="809"/>
      <c r="V41" s="808"/>
      <c r="W41" s="809"/>
      <c r="X41" s="809"/>
      <c r="Y41" s="808"/>
      <c r="Z41" s="808"/>
      <c r="AA41" s="809"/>
      <c r="AB41" s="810"/>
      <c r="AC41" s="812"/>
      <c r="AD41" s="808"/>
      <c r="AE41" s="808"/>
      <c r="AF41" s="808"/>
      <c r="AG41" s="808"/>
      <c r="AH41" s="808"/>
      <c r="AI41" s="809"/>
      <c r="AJ41" s="810"/>
      <c r="AK41" s="812"/>
      <c r="AL41" s="808"/>
      <c r="AM41" s="808"/>
      <c r="AN41" s="808"/>
      <c r="AO41" s="808"/>
      <c r="AP41" s="808"/>
      <c r="AQ41" s="809"/>
      <c r="AR41" s="813"/>
      <c r="AS41" s="808"/>
      <c r="AT41" s="808"/>
      <c r="AU41" s="808"/>
      <c r="AV41" s="808"/>
      <c r="AW41" s="808"/>
      <c r="AX41" s="808"/>
      <c r="AY41" s="809"/>
      <c r="AZ41" s="810"/>
      <c r="BA41" s="808"/>
      <c r="BB41" s="808"/>
      <c r="BC41" s="808"/>
      <c r="BD41" s="808"/>
      <c r="BE41" s="808"/>
      <c r="BF41" s="808"/>
      <c r="BG41" s="809"/>
      <c r="BH41" s="810"/>
      <c r="BI41" s="812"/>
      <c r="BJ41" s="808"/>
      <c r="BK41" s="808"/>
      <c r="BL41" s="808"/>
      <c r="BM41" s="808"/>
      <c r="BN41" s="808"/>
      <c r="BO41" s="809"/>
      <c r="BP41" s="810"/>
      <c r="BQ41" s="812"/>
      <c r="BR41" s="808"/>
      <c r="BS41" s="808"/>
      <c r="BT41" s="808"/>
      <c r="BU41" s="808"/>
      <c r="BV41" s="808"/>
      <c r="BW41" s="809"/>
      <c r="BX41" s="811"/>
    </row>
    <row r="42" ht="30.0" customHeight="1">
      <c r="A42" s="815">
        <v>36.0</v>
      </c>
      <c r="B42" s="807" t="s">
        <v>182</v>
      </c>
      <c r="C42" s="807" t="s">
        <v>1114</v>
      </c>
      <c r="D42" s="728">
        <v>104292.0</v>
      </c>
      <c r="E42" s="808"/>
      <c r="F42" s="808"/>
      <c r="G42" s="808"/>
      <c r="H42" s="808"/>
      <c r="I42" s="808"/>
      <c r="J42" s="809"/>
      <c r="K42" s="810"/>
      <c r="L42" s="810"/>
      <c r="M42" s="808"/>
      <c r="N42" s="808"/>
      <c r="O42" s="808"/>
      <c r="P42" s="808"/>
      <c r="Q42" s="808"/>
      <c r="R42" s="808"/>
      <c r="S42" s="809"/>
      <c r="T42" s="810"/>
      <c r="U42" s="809"/>
      <c r="V42" s="808"/>
      <c r="W42" s="809"/>
      <c r="X42" s="809"/>
      <c r="Y42" s="808"/>
      <c r="Z42" s="808"/>
      <c r="AA42" s="809"/>
      <c r="AB42" s="810"/>
      <c r="AC42" s="812"/>
      <c r="AD42" s="808"/>
      <c r="AE42" s="808"/>
      <c r="AF42" s="808"/>
      <c r="AG42" s="808"/>
      <c r="AH42" s="808"/>
      <c r="AI42" s="809"/>
      <c r="AJ42" s="810"/>
      <c r="AK42" s="812"/>
      <c r="AL42" s="808"/>
      <c r="AM42" s="808"/>
      <c r="AN42" s="808"/>
      <c r="AO42" s="808"/>
      <c r="AP42" s="808"/>
      <c r="AQ42" s="809"/>
      <c r="AR42" s="813"/>
      <c r="AS42" s="808"/>
      <c r="AT42" s="808"/>
      <c r="AU42" s="808"/>
      <c r="AV42" s="808"/>
      <c r="AW42" s="808"/>
      <c r="AX42" s="808"/>
      <c r="AY42" s="809"/>
      <c r="AZ42" s="810"/>
      <c r="BA42" s="808"/>
      <c r="BB42" s="808"/>
      <c r="BC42" s="808"/>
      <c r="BD42" s="808"/>
      <c r="BE42" s="808"/>
      <c r="BF42" s="808"/>
      <c r="BG42" s="809"/>
      <c r="BH42" s="810"/>
      <c r="BI42" s="812"/>
      <c r="BJ42" s="808"/>
      <c r="BK42" s="808"/>
      <c r="BL42" s="808"/>
      <c r="BM42" s="808"/>
      <c r="BN42" s="808"/>
      <c r="BO42" s="809"/>
      <c r="BP42" s="810"/>
      <c r="BQ42" s="812"/>
      <c r="BR42" s="808"/>
      <c r="BS42" s="808"/>
      <c r="BT42" s="808"/>
      <c r="BU42" s="808"/>
      <c r="BV42" s="808"/>
      <c r="BW42" s="809"/>
      <c r="BX42" s="811"/>
    </row>
    <row r="43" ht="30.0" customHeight="1">
      <c r="A43" s="815">
        <v>37.0</v>
      </c>
      <c r="B43" s="807" t="s">
        <v>182</v>
      </c>
      <c r="C43" s="807" t="s">
        <v>1243</v>
      </c>
      <c r="D43" s="728">
        <v>103818.0</v>
      </c>
      <c r="E43" s="808"/>
      <c r="F43" s="808"/>
      <c r="G43" s="808"/>
      <c r="H43" s="808"/>
      <c r="I43" s="808"/>
      <c r="J43" s="809"/>
      <c r="K43" s="810"/>
      <c r="L43" s="810"/>
      <c r="M43" s="808"/>
      <c r="N43" s="808"/>
      <c r="O43" s="808"/>
      <c r="P43" s="808"/>
      <c r="Q43" s="808"/>
      <c r="R43" s="808"/>
      <c r="S43" s="809"/>
      <c r="T43" s="810"/>
      <c r="U43" s="809"/>
      <c r="V43" s="808"/>
      <c r="W43" s="809"/>
      <c r="X43" s="809"/>
      <c r="Y43" s="808"/>
      <c r="Z43" s="808"/>
      <c r="AA43" s="809"/>
      <c r="AB43" s="810"/>
      <c r="AC43" s="812"/>
      <c r="AD43" s="808"/>
      <c r="AE43" s="808"/>
      <c r="AF43" s="808"/>
      <c r="AG43" s="808"/>
      <c r="AH43" s="808"/>
      <c r="AI43" s="809"/>
      <c r="AJ43" s="810"/>
      <c r="AK43" s="812"/>
      <c r="AL43" s="808"/>
      <c r="AM43" s="808"/>
      <c r="AN43" s="808"/>
      <c r="AO43" s="808"/>
      <c r="AP43" s="808"/>
      <c r="AQ43" s="809"/>
      <c r="AR43" s="813"/>
      <c r="AS43" s="808"/>
      <c r="AT43" s="808"/>
      <c r="AU43" s="808"/>
      <c r="AV43" s="808"/>
      <c r="AW43" s="808"/>
      <c r="AX43" s="808"/>
      <c r="AY43" s="809"/>
      <c r="AZ43" s="810"/>
      <c r="BA43" s="808"/>
      <c r="BB43" s="808"/>
      <c r="BC43" s="808"/>
      <c r="BD43" s="808"/>
      <c r="BE43" s="808"/>
      <c r="BF43" s="808"/>
      <c r="BG43" s="809"/>
      <c r="BH43" s="810"/>
      <c r="BI43" s="812"/>
      <c r="BJ43" s="808"/>
      <c r="BK43" s="808"/>
      <c r="BL43" s="808"/>
      <c r="BM43" s="808"/>
      <c r="BN43" s="808"/>
      <c r="BO43" s="809"/>
      <c r="BP43" s="810"/>
      <c r="BQ43" s="812"/>
      <c r="BR43" s="808"/>
      <c r="BS43" s="808"/>
      <c r="BT43" s="808"/>
      <c r="BU43" s="808"/>
      <c r="BV43" s="808"/>
      <c r="BW43" s="809"/>
      <c r="BX43" s="811"/>
    </row>
    <row r="44" ht="30.0" customHeight="1">
      <c r="A44" s="815">
        <v>38.0</v>
      </c>
      <c r="B44" s="807" t="s">
        <v>182</v>
      </c>
      <c r="C44" s="807" t="s">
        <v>1061</v>
      </c>
      <c r="D44" s="728">
        <v>55045.0</v>
      </c>
      <c r="E44" s="808"/>
      <c r="F44" s="808"/>
      <c r="G44" s="808"/>
      <c r="H44" s="808"/>
      <c r="I44" s="808"/>
      <c r="J44" s="809"/>
      <c r="K44" s="810"/>
      <c r="L44" s="810"/>
      <c r="M44" s="808"/>
      <c r="N44" s="808"/>
      <c r="O44" s="808"/>
      <c r="P44" s="808"/>
      <c r="Q44" s="808"/>
      <c r="R44" s="808"/>
      <c r="S44" s="809"/>
      <c r="T44" s="810"/>
      <c r="U44" s="809"/>
      <c r="V44" s="808"/>
      <c r="W44" s="809"/>
      <c r="X44" s="809"/>
      <c r="Y44" s="808"/>
      <c r="Z44" s="808"/>
      <c r="AA44" s="809"/>
      <c r="AB44" s="810"/>
      <c r="AC44" s="812"/>
      <c r="AD44" s="808"/>
      <c r="AE44" s="808"/>
      <c r="AF44" s="808"/>
      <c r="AG44" s="808"/>
      <c r="AH44" s="808"/>
      <c r="AI44" s="809"/>
      <c r="AJ44" s="810"/>
      <c r="AK44" s="812"/>
      <c r="AL44" s="808"/>
      <c r="AM44" s="808"/>
      <c r="AN44" s="808"/>
      <c r="AO44" s="808"/>
      <c r="AP44" s="808"/>
      <c r="AQ44" s="809"/>
      <c r="AR44" s="813"/>
      <c r="AS44" s="808"/>
      <c r="AT44" s="808"/>
      <c r="AU44" s="808"/>
      <c r="AV44" s="808"/>
      <c r="AW44" s="808"/>
      <c r="AX44" s="808"/>
      <c r="AY44" s="809"/>
      <c r="AZ44" s="810"/>
      <c r="BA44" s="808"/>
      <c r="BB44" s="808"/>
      <c r="BC44" s="808"/>
      <c r="BD44" s="808"/>
      <c r="BE44" s="808"/>
      <c r="BF44" s="808"/>
      <c r="BG44" s="809"/>
      <c r="BH44" s="810"/>
      <c r="BI44" s="812"/>
      <c r="BJ44" s="808"/>
      <c r="BK44" s="808"/>
      <c r="BL44" s="808"/>
      <c r="BM44" s="808"/>
      <c r="BN44" s="808"/>
      <c r="BO44" s="809"/>
      <c r="BP44" s="810"/>
      <c r="BQ44" s="812"/>
      <c r="BR44" s="808"/>
      <c r="BS44" s="808"/>
      <c r="BT44" s="808"/>
      <c r="BU44" s="808"/>
      <c r="BV44" s="808"/>
      <c r="BW44" s="809"/>
      <c r="BX44" s="811"/>
    </row>
    <row r="45" ht="30.0" customHeight="1">
      <c r="A45" s="815">
        <v>39.0</v>
      </c>
      <c r="B45" s="807" t="s">
        <v>182</v>
      </c>
      <c r="C45" s="807" t="s">
        <v>1112</v>
      </c>
      <c r="D45" s="728">
        <v>103477.0</v>
      </c>
      <c r="E45" s="808"/>
      <c r="F45" s="808"/>
      <c r="G45" s="808"/>
      <c r="H45" s="808"/>
      <c r="I45" s="808"/>
      <c r="J45" s="809"/>
      <c r="K45" s="810"/>
      <c r="L45" s="810"/>
      <c r="M45" s="808"/>
      <c r="N45" s="808"/>
      <c r="O45" s="808"/>
      <c r="P45" s="808"/>
      <c r="Q45" s="808"/>
      <c r="R45" s="808"/>
      <c r="S45" s="809"/>
      <c r="T45" s="810"/>
      <c r="U45" s="809"/>
      <c r="V45" s="808"/>
      <c r="W45" s="809"/>
      <c r="X45" s="809"/>
      <c r="Y45" s="808"/>
      <c r="Z45" s="808"/>
      <c r="AA45" s="809"/>
      <c r="AB45" s="810"/>
      <c r="AC45" s="812"/>
      <c r="AD45" s="808"/>
      <c r="AE45" s="808"/>
      <c r="AF45" s="808"/>
      <c r="AG45" s="808"/>
      <c r="AH45" s="808"/>
      <c r="AI45" s="809"/>
      <c r="AJ45" s="810"/>
      <c r="AK45" s="812"/>
      <c r="AL45" s="808"/>
      <c r="AM45" s="808"/>
      <c r="AN45" s="808"/>
      <c r="AO45" s="808"/>
      <c r="AP45" s="808"/>
      <c r="AQ45" s="809"/>
      <c r="AR45" s="813"/>
      <c r="AS45" s="808"/>
      <c r="AT45" s="808"/>
      <c r="AU45" s="808"/>
      <c r="AV45" s="808"/>
      <c r="AW45" s="808"/>
      <c r="AX45" s="808"/>
      <c r="AY45" s="809"/>
      <c r="AZ45" s="810"/>
      <c r="BA45" s="808"/>
      <c r="BB45" s="808"/>
      <c r="BC45" s="808"/>
      <c r="BD45" s="808"/>
      <c r="BE45" s="808"/>
      <c r="BF45" s="808"/>
      <c r="BG45" s="809"/>
      <c r="BH45" s="810"/>
      <c r="BI45" s="812"/>
      <c r="BJ45" s="808"/>
      <c r="BK45" s="808"/>
      <c r="BL45" s="808"/>
      <c r="BM45" s="808"/>
      <c r="BN45" s="808"/>
      <c r="BO45" s="809"/>
      <c r="BP45" s="810"/>
      <c r="BQ45" s="812"/>
      <c r="BR45" s="808"/>
      <c r="BS45" s="808"/>
      <c r="BT45" s="808"/>
      <c r="BU45" s="808"/>
      <c r="BV45" s="808"/>
      <c r="BW45" s="809"/>
      <c r="BX45" s="811"/>
    </row>
    <row r="46" ht="30.0" customHeight="1">
      <c r="A46" s="815">
        <v>40.0</v>
      </c>
      <c r="B46" s="807" t="s">
        <v>182</v>
      </c>
      <c r="C46" s="807" t="s">
        <v>1029</v>
      </c>
      <c r="D46" s="728">
        <v>18679.0</v>
      </c>
      <c r="E46" s="808"/>
      <c r="F46" s="808"/>
      <c r="G46" s="808"/>
      <c r="H46" s="808"/>
      <c r="I46" s="808"/>
      <c r="J46" s="809"/>
      <c r="K46" s="810"/>
      <c r="L46" s="810"/>
      <c r="M46" s="808"/>
      <c r="N46" s="808"/>
      <c r="O46" s="808"/>
      <c r="P46" s="808"/>
      <c r="Q46" s="808"/>
      <c r="R46" s="808"/>
      <c r="S46" s="809"/>
      <c r="T46" s="810"/>
      <c r="U46" s="809"/>
      <c r="V46" s="808"/>
      <c r="W46" s="809"/>
      <c r="X46" s="809"/>
      <c r="Y46" s="808"/>
      <c r="Z46" s="808"/>
      <c r="AA46" s="809"/>
      <c r="AB46" s="810"/>
      <c r="AC46" s="812"/>
      <c r="AD46" s="808"/>
      <c r="AE46" s="808"/>
      <c r="AF46" s="808"/>
      <c r="AG46" s="808"/>
      <c r="AH46" s="808"/>
      <c r="AI46" s="809"/>
      <c r="AJ46" s="810"/>
      <c r="AK46" s="812"/>
      <c r="AL46" s="808"/>
      <c r="AM46" s="808"/>
      <c r="AN46" s="808"/>
      <c r="AO46" s="808"/>
      <c r="AP46" s="808"/>
      <c r="AQ46" s="809"/>
      <c r="AR46" s="813"/>
      <c r="AS46" s="808"/>
      <c r="AT46" s="808"/>
      <c r="AU46" s="808"/>
      <c r="AV46" s="808"/>
      <c r="AW46" s="808"/>
      <c r="AX46" s="808"/>
      <c r="AY46" s="809"/>
      <c r="AZ46" s="810"/>
      <c r="BA46" s="808"/>
      <c r="BB46" s="808"/>
      <c r="BC46" s="808"/>
      <c r="BD46" s="808"/>
      <c r="BE46" s="808"/>
      <c r="BF46" s="808"/>
      <c r="BG46" s="809"/>
      <c r="BH46" s="810"/>
      <c r="BI46" s="812"/>
      <c r="BJ46" s="808"/>
      <c r="BK46" s="808"/>
      <c r="BL46" s="808"/>
      <c r="BM46" s="808"/>
      <c r="BN46" s="808"/>
      <c r="BO46" s="809"/>
      <c r="BP46" s="810"/>
      <c r="BQ46" s="812"/>
      <c r="BR46" s="808"/>
      <c r="BS46" s="808"/>
      <c r="BT46" s="808"/>
      <c r="BU46" s="808"/>
      <c r="BV46" s="808"/>
      <c r="BW46" s="809"/>
      <c r="BX46" s="811"/>
    </row>
    <row r="47" ht="30.0" customHeight="1">
      <c r="A47" s="815">
        <v>41.0</v>
      </c>
      <c r="B47" s="807" t="s">
        <v>182</v>
      </c>
      <c r="C47" s="66" t="s">
        <v>1116</v>
      </c>
      <c r="D47" s="65">
        <v>107251.0</v>
      </c>
      <c r="E47" s="808"/>
      <c r="F47" s="808"/>
      <c r="G47" s="808"/>
      <c r="H47" s="808"/>
      <c r="I47" s="808"/>
      <c r="J47" s="809"/>
      <c r="K47" s="810"/>
      <c r="L47" s="810"/>
      <c r="M47" s="808"/>
      <c r="N47" s="808"/>
      <c r="O47" s="808"/>
      <c r="P47" s="808"/>
      <c r="Q47" s="808"/>
      <c r="R47" s="808"/>
      <c r="S47" s="809"/>
      <c r="T47" s="810"/>
      <c r="U47" s="809"/>
      <c r="V47" s="808"/>
      <c r="W47" s="809"/>
      <c r="X47" s="809"/>
      <c r="Y47" s="808"/>
      <c r="Z47" s="808"/>
      <c r="AA47" s="809"/>
      <c r="AB47" s="810"/>
      <c r="AC47" s="812"/>
      <c r="AD47" s="808"/>
      <c r="AE47" s="808"/>
      <c r="AF47" s="808"/>
      <c r="AG47" s="808"/>
      <c r="AH47" s="808"/>
      <c r="AI47" s="809"/>
      <c r="AJ47" s="810"/>
      <c r="AK47" s="812"/>
      <c r="AL47" s="808"/>
      <c r="AM47" s="808"/>
      <c r="AN47" s="808"/>
      <c r="AO47" s="808"/>
      <c r="AP47" s="808"/>
      <c r="AQ47" s="809"/>
      <c r="AR47" s="813"/>
      <c r="AS47" s="808"/>
      <c r="AT47" s="808"/>
      <c r="AU47" s="808"/>
      <c r="AV47" s="808"/>
      <c r="AW47" s="808"/>
      <c r="AX47" s="808"/>
      <c r="AY47" s="809"/>
      <c r="AZ47" s="810"/>
      <c r="BA47" s="808"/>
      <c r="BB47" s="808"/>
      <c r="BC47" s="808"/>
      <c r="BD47" s="808"/>
      <c r="BE47" s="808"/>
      <c r="BF47" s="808"/>
      <c r="BG47" s="809"/>
      <c r="BH47" s="810"/>
      <c r="BI47" s="812"/>
      <c r="BJ47" s="808"/>
      <c r="BK47" s="808"/>
      <c r="BL47" s="808"/>
      <c r="BM47" s="808"/>
      <c r="BN47" s="808"/>
      <c r="BO47" s="809"/>
      <c r="BP47" s="810"/>
      <c r="BQ47" s="812"/>
      <c r="BR47" s="808"/>
      <c r="BS47" s="808"/>
      <c r="BT47" s="808"/>
      <c r="BU47" s="808"/>
      <c r="BV47" s="808"/>
      <c r="BW47" s="809"/>
      <c r="BX47" s="811"/>
    </row>
    <row r="48" ht="30.0" customHeight="1">
      <c r="A48" s="815">
        <v>42.0</v>
      </c>
      <c r="B48" s="807" t="s">
        <v>182</v>
      </c>
      <c r="C48" s="66" t="s">
        <v>1117</v>
      </c>
      <c r="D48" s="65">
        <v>107268.0</v>
      </c>
      <c r="E48" s="808"/>
      <c r="F48" s="808"/>
      <c r="G48" s="808"/>
      <c r="H48" s="808"/>
      <c r="I48" s="808"/>
      <c r="J48" s="809"/>
      <c r="K48" s="810"/>
      <c r="L48" s="810"/>
      <c r="M48" s="808"/>
      <c r="N48" s="808"/>
      <c r="O48" s="808"/>
      <c r="P48" s="808"/>
      <c r="Q48" s="808"/>
      <c r="R48" s="808"/>
      <c r="S48" s="809"/>
      <c r="T48" s="810"/>
      <c r="U48" s="809"/>
      <c r="V48" s="808"/>
      <c r="W48" s="809"/>
      <c r="X48" s="809"/>
      <c r="Y48" s="808"/>
      <c r="Z48" s="808"/>
      <c r="AA48" s="809"/>
      <c r="AB48" s="810"/>
      <c r="AC48" s="812"/>
      <c r="AD48" s="808"/>
      <c r="AE48" s="808"/>
      <c r="AF48" s="808"/>
      <c r="AG48" s="808"/>
      <c r="AH48" s="808"/>
      <c r="AI48" s="809"/>
      <c r="AJ48" s="810"/>
      <c r="AK48" s="812"/>
      <c r="AL48" s="808"/>
      <c r="AM48" s="808"/>
      <c r="AN48" s="808"/>
      <c r="AO48" s="808"/>
      <c r="AP48" s="808"/>
      <c r="AQ48" s="809"/>
      <c r="AR48" s="813"/>
      <c r="AS48" s="808"/>
      <c r="AT48" s="808"/>
      <c r="AU48" s="808"/>
      <c r="AV48" s="808"/>
      <c r="AW48" s="808"/>
      <c r="AX48" s="808"/>
      <c r="AY48" s="809"/>
      <c r="AZ48" s="810"/>
      <c r="BA48" s="808"/>
      <c r="BB48" s="808"/>
      <c r="BC48" s="808"/>
      <c r="BD48" s="808"/>
      <c r="BE48" s="808"/>
      <c r="BF48" s="808"/>
      <c r="BG48" s="809"/>
      <c r="BH48" s="810"/>
      <c r="BI48" s="812"/>
      <c r="BJ48" s="808"/>
      <c r="BK48" s="808"/>
      <c r="BL48" s="808"/>
      <c r="BM48" s="808"/>
      <c r="BN48" s="808"/>
      <c r="BO48" s="809"/>
      <c r="BP48" s="810"/>
      <c r="BQ48" s="812"/>
      <c r="BR48" s="808"/>
      <c r="BS48" s="808"/>
      <c r="BT48" s="808"/>
      <c r="BU48" s="808"/>
      <c r="BV48" s="808"/>
      <c r="BW48" s="809"/>
      <c r="BX48" s="811"/>
    </row>
    <row r="49" ht="30.0" customHeight="1">
      <c r="A49" s="817">
        <v>43.0</v>
      </c>
      <c r="B49" s="807" t="s">
        <v>255</v>
      </c>
      <c r="C49" s="807" t="s">
        <v>285</v>
      </c>
      <c r="D49" s="728">
        <v>230.0</v>
      </c>
      <c r="E49" s="808"/>
      <c r="F49" s="808"/>
      <c r="G49" s="808"/>
      <c r="H49" s="808"/>
      <c r="I49" s="808"/>
      <c r="J49" s="809"/>
      <c r="K49" s="810"/>
      <c r="L49" s="810"/>
      <c r="M49" s="808"/>
      <c r="N49" s="808"/>
      <c r="O49" s="808"/>
      <c r="P49" s="808"/>
      <c r="Q49" s="808"/>
      <c r="R49" s="808"/>
      <c r="S49" s="809"/>
      <c r="T49" s="810"/>
      <c r="U49" s="809"/>
      <c r="V49" s="808"/>
      <c r="W49" s="809"/>
      <c r="X49" s="809"/>
      <c r="Y49" s="808"/>
      <c r="Z49" s="808"/>
      <c r="AA49" s="809"/>
      <c r="AB49" s="810"/>
      <c r="AC49" s="812"/>
      <c r="AD49" s="808"/>
      <c r="AE49" s="808"/>
      <c r="AF49" s="808"/>
      <c r="AG49" s="808"/>
      <c r="AH49" s="808"/>
      <c r="AI49" s="809"/>
      <c r="AJ49" s="810"/>
      <c r="AK49" s="812"/>
      <c r="AL49" s="808"/>
      <c r="AM49" s="808"/>
      <c r="AN49" s="808"/>
      <c r="AO49" s="808"/>
      <c r="AP49" s="808"/>
      <c r="AQ49" s="809"/>
      <c r="AR49" s="813"/>
      <c r="AS49" s="808"/>
      <c r="AT49" s="808"/>
      <c r="AU49" s="808"/>
      <c r="AV49" s="808"/>
      <c r="AW49" s="808"/>
      <c r="AX49" s="808"/>
      <c r="AY49" s="809"/>
      <c r="AZ49" s="810"/>
      <c r="BA49" s="808"/>
      <c r="BB49" s="808"/>
      <c r="BC49" s="808"/>
      <c r="BD49" s="808"/>
      <c r="BE49" s="808"/>
      <c r="BF49" s="808"/>
      <c r="BG49" s="809"/>
      <c r="BH49" s="810"/>
      <c r="BI49" s="812"/>
      <c r="BJ49" s="808"/>
      <c r="BK49" s="808"/>
      <c r="BL49" s="808"/>
      <c r="BM49" s="808"/>
      <c r="BN49" s="808"/>
      <c r="BO49" s="809"/>
      <c r="BP49" s="810"/>
      <c r="BQ49" s="812"/>
      <c r="BR49" s="808"/>
      <c r="BS49" s="808"/>
      <c r="BT49" s="808"/>
      <c r="BU49" s="808"/>
      <c r="BV49" s="808"/>
      <c r="BW49" s="809"/>
      <c r="BX49" s="811"/>
    </row>
    <row r="50" ht="30.0" customHeight="1">
      <c r="A50" s="817">
        <v>44.0</v>
      </c>
      <c r="B50" s="807" t="s">
        <v>255</v>
      </c>
      <c r="C50" s="807" t="s">
        <v>1244</v>
      </c>
      <c r="D50" s="728">
        <v>8265.0</v>
      </c>
      <c r="E50" s="808"/>
      <c r="F50" s="808"/>
      <c r="G50" s="808"/>
      <c r="H50" s="808"/>
      <c r="I50" s="808"/>
      <c r="J50" s="809"/>
      <c r="K50" s="810"/>
      <c r="L50" s="810"/>
      <c r="M50" s="808"/>
      <c r="N50" s="808"/>
      <c r="O50" s="808"/>
      <c r="P50" s="808"/>
      <c r="Q50" s="808"/>
      <c r="R50" s="808"/>
      <c r="S50" s="809"/>
      <c r="T50" s="810"/>
      <c r="U50" s="809"/>
      <c r="V50" s="808"/>
      <c r="W50" s="809"/>
      <c r="X50" s="809"/>
      <c r="Y50" s="808"/>
      <c r="Z50" s="808"/>
      <c r="AA50" s="809"/>
      <c r="AB50" s="810"/>
      <c r="AC50" s="812"/>
      <c r="AD50" s="808"/>
      <c r="AE50" s="808"/>
      <c r="AF50" s="808"/>
      <c r="AG50" s="808"/>
      <c r="AH50" s="808"/>
      <c r="AI50" s="809"/>
      <c r="AJ50" s="810"/>
      <c r="AK50" s="812"/>
      <c r="AL50" s="808"/>
      <c r="AM50" s="808"/>
      <c r="AN50" s="808"/>
      <c r="AO50" s="808"/>
      <c r="AP50" s="808"/>
      <c r="AQ50" s="809"/>
      <c r="AR50" s="813"/>
      <c r="AS50" s="808"/>
      <c r="AT50" s="808"/>
      <c r="AU50" s="808"/>
      <c r="AV50" s="808"/>
      <c r="AW50" s="808"/>
      <c r="AX50" s="808"/>
      <c r="AY50" s="809"/>
      <c r="AZ50" s="810"/>
      <c r="BA50" s="808"/>
      <c r="BB50" s="808"/>
      <c r="BC50" s="808"/>
      <c r="BD50" s="808"/>
      <c r="BE50" s="808"/>
      <c r="BF50" s="808"/>
      <c r="BG50" s="809"/>
      <c r="BH50" s="810"/>
      <c r="BI50" s="812"/>
      <c r="BJ50" s="808"/>
      <c r="BK50" s="808"/>
      <c r="BL50" s="808"/>
      <c r="BM50" s="808"/>
      <c r="BN50" s="808"/>
      <c r="BO50" s="809"/>
      <c r="BP50" s="810"/>
      <c r="BQ50" s="812"/>
      <c r="BR50" s="808"/>
      <c r="BS50" s="808"/>
      <c r="BT50" s="808"/>
      <c r="BU50" s="808"/>
      <c r="BV50" s="808"/>
      <c r="BW50" s="809"/>
      <c r="BX50" s="811"/>
    </row>
    <row r="51" ht="30.0" customHeight="1">
      <c r="A51" s="817">
        <v>45.0</v>
      </c>
      <c r="B51" s="807" t="s">
        <v>255</v>
      </c>
      <c r="C51" s="807" t="s">
        <v>1062</v>
      </c>
      <c r="D51" s="728">
        <v>239.0</v>
      </c>
      <c r="E51" s="808"/>
      <c r="F51" s="808"/>
      <c r="G51" s="808"/>
      <c r="H51" s="808"/>
      <c r="I51" s="808"/>
      <c r="J51" s="809"/>
      <c r="K51" s="810"/>
      <c r="L51" s="810"/>
      <c r="M51" s="808"/>
      <c r="N51" s="808"/>
      <c r="O51" s="808"/>
      <c r="P51" s="808"/>
      <c r="Q51" s="808"/>
      <c r="R51" s="808"/>
      <c r="S51" s="809"/>
      <c r="T51" s="810"/>
      <c r="U51" s="809"/>
      <c r="V51" s="808"/>
      <c r="W51" s="809"/>
      <c r="X51" s="809"/>
      <c r="Y51" s="808"/>
      <c r="Z51" s="808"/>
      <c r="AA51" s="809"/>
      <c r="AB51" s="810"/>
      <c r="AC51" s="812"/>
      <c r="AD51" s="808"/>
      <c r="AE51" s="808"/>
      <c r="AF51" s="808"/>
      <c r="AG51" s="808"/>
      <c r="AH51" s="808"/>
      <c r="AI51" s="809"/>
      <c r="AJ51" s="810"/>
      <c r="AK51" s="812"/>
      <c r="AL51" s="808"/>
      <c r="AM51" s="808"/>
      <c r="AN51" s="808"/>
      <c r="AO51" s="808"/>
      <c r="AP51" s="808"/>
      <c r="AQ51" s="809"/>
      <c r="AR51" s="813"/>
      <c r="AS51" s="808"/>
      <c r="AT51" s="808"/>
      <c r="AU51" s="808"/>
      <c r="AV51" s="808"/>
      <c r="AW51" s="808"/>
      <c r="AX51" s="808"/>
      <c r="AY51" s="809"/>
      <c r="AZ51" s="810"/>
      <c r="BA51" s="808"/>
      <c r="BB51" s="808"/>
      <c r="BC51" s="808"/>
      <c r="BD51" s="808"/>
      <c r="BE51" s="808"/>
      <c r="BF51" s="808"/>
      <c r="BG51" s="809"/>
      <c r="BH51" s="810"/>
      <c r="BI51" s="812"/>
      <c r="BJ51" s="808"/>
      <c r="BK51" s="808"/>
      <c r="BL51" s="808"/>
      <c r="BM51" s="808"/>
      <c r="BN51" s="808"/>
      <c r="BO51" s="809"/>
      <c r="BP51" s="810"/>
      <c r="BQ51" s="812"/>
      <c r="BR51" s="808"/>
      <c r="BS51" s="808"/>
      <c r="BT51" s="808"/>
      <c r="BU51" s="808"/>
      <c r="BV51" s="808"/>
      <c r="BW51" s="809"/>
      <c r="BX51" s="811"/>
    </row>
    <row r="52" ht="30.0" customHeight="1">
      <c r="A52" s="817">
        <v>46.0</v>
      </c>
      <c r="B52" s="807" t="s">
        <v>255</v>
      </c>
      <c r="C52" s="807" t="s">
        <v>266</v>
      </c>
      <c r="D52" s="728">
        <v>240.0</v>
      </c>
      <c r="E52" s="808"/>
      <c r="F52" s="808"/>
      <c r="G52" s="808"/>
      <c r="H52" s="808"/>
      <c r="I52" s="808"/>
      <c r="J52" s="809"/>
      <c r="K52" s="810"/>
      <c r="L52" s="810"/>
      <c r="M52" s="808"/>
      <c r="N52" s="808"/>
      <c r="O52" s="808"/>
      <c r="P52" s="808"/>
      <c r="Q52" s="808"/>
      <c r="R52" s="808"/>
      <c r="S52" s="809"/>
      <c r="T52" s="810"/>
      <c r="U52" s="809"/>
      <c r="V52" s="808"/>
      <c r="W52" s="809"/>
      <c r="X52" s="809"/>
      <c r="Y52" s="808"/>
      <c r="Z52" s="808"/>
      <c r="AA52" s="809"/>
      <c r="AB52" s="810"/>
      <c r="AC52" s="812"/>
      <c r="AD52" s="808"/>
      <c r="AE52" s="808"/>
      <c r="AF52" s="808"/>
      <c r="AG52" s="808"/>
      <c r="AH52" s="808"/>
      <c r="AI52" s="809"/>
      <c r="AJ52" s="810"/>
      <c r="AK52" s="812"/>
      <c r="AL52" s="808"/>
      <c r="AM52" s="808"/>
      <c r="AN52" s="808"/>
      <c r="AO52" s="808"/>
      <c r="AP52" s="808"/>
      <c r="AQ52" s="809"/>
      <c r="AR52" s="813"/>
      <c r="AS52" s="808"/>
      <c r="AT52" s="808"/>
      <c r="AU52" s="808"/>
      <c r="AV52" s="808"/>
      <c r="AW52" s="808"/>
      <c r="AX52" s="808"/>
      <c r="AY52" s="809"/>
      <c r="AZ52" s="810"/>
      <c r="BA52" s="808"/>
      <c r="BB52" s="808"/>
      <c r="BC52" s="808"/>
      <c r="BD52" s="808"/>
      <c r="BE52" s="808"/>
      <c r="BF52" s="808"/>
      <c r="BG52" s="809"/>
      <c r="BH52" s="810"/>
      <c r="BI52" s="812"/>
      <c r="BJ52" s="808"/>
      <c r="BK52" s="808"/>
      <c r="BL52" s="808"/>
      <c r="BM52" s="808"/>
      <c r="BN52" s="808"/>
      <c r="BO52" s="809"/>
      <c r="BP52" s="810"/>
      <c r="BQ52" s="812"/>
      <c r="BR52" s="808"/>
      <c r="BS52" s="808"/>
      <c r="BT52" s="808"/>
      <c r="BU52" s="808"/>
      <c r="BV52" s="808"/>
      <c r="BW52" s="809"/>
      <c r="BX52" s="811"/>
    </row>
    <row r="53" ht="30.0" customHeight="1">
      <c r="A53" s="817">
        <v>47.0</v>
      </c>
      <c r="B53" s="807" t="s">
        <v>255</v>
      </c>
      <c r="C53" s="807" t="s">
        <v>1245</v>
      </c>
      <c r="D53" s="728">
        <v>52113.0</v>
      </c>
      <c r="E53" s="808"/>
      <c r="F53" s="808"/>
      <c r="G53" s="808"/>
      <c r="H53" s="808"/>
      <c r="I53" s="808"/>
      <c r="J53" s="809"/>
      <c r="K53" s="810"/>
      <c r="L53" s="810"/>
      <c r="M53" s="808"/>
      <c r="N53" s="808"/>
      <c r="O53" s="808"/>
      <c r="P53" s="808"/>
      <c r="Q53" s="808"/>
      <c r="R53" s="808"/>
      <c r="S53" s="809"/>
      <c r="T53" s="810"/>
      <c r="U53" s="809"/>
      <c r="V53" s="808"/>
      <c r="W53" s="809"/>
      <c r="X53" s="809"/>
      <c r="Y53" s="808"/>
      <c r="Z53" s="808"/>
      <c r="AA53" s="809"/>
      <c r="AB53" s="810"/>
      <c r="AC53" s="812"/>
      <c r="AD53" s="808"/>
      <c r="AE53" s="808"/>
      <c r="AF53" s="808"/>
      <c r="AG53" s="808"/>
      <c r="AH53" s="808"/>
      <c r="AI53" s="809"/>
      <c r="AJ53" s="810"/>
      <c r="AK53" s="812"/>
      <c r="AL53" s="808"/>
      <c r="AM53" s="808"/>
      <c r="AN53" s="808"/>
      <c r="AO53" s="808"/>
      <c r="AP53" s="808"/>
      <c r="AQ53" s="809"/>
      <c r="AR53" s="813"/>
      <c r="AS53" s="808"/>
      <c r="AT53" s="808"/>
      <c r="AU53" s="808"/>
      <c r="AV53" s="808"/>
      <c r="AW53" s="808"/>
      <c r="AX53" s="808"/>
      <c r="AY53" s="809"/>
      <c r="AZ53" s="810"/>
      <c r="BA53" s="808"/>
      <c r="BB53" s="808"/>
      <c r="BC53" s="808"/>
      <c r="BD53" s="808"/>
      <c r="BE53" s="808"/>
      <c r="BF53" s="808"/>
      <c r="BG53" s="809"/>
      <c r="BH53" s="810"/>
      <c r="BI53" s="812"/>
      <c r="BJ53" s="808"/>
      <c r="BK53" s="808"/>
      <c r="BL53" s="808"/>
      <c r="BM53" s="808"/>
      <c r="BN53" s="808"/>
      <c r="BO53" s="809"/>
      <c r="BP53" s="810"/>
      <c r="BQ53" s="812"/>
      <c r="BR53" s="808"/>
      <c r="BS53" s="808"/>
      <c r="BT53" s="808"/>
      <c r="BU53" s="808"/>
      <c r="BV53" s="808"/>
      <c r="BW53" s="809"/>
      <c r="BX53" s="811"/>
    </row>
    <row r="54" ht="30.0" customHeight="1">
      <c r="A54" s="817">
        <v>48.0</v>
      </c>
      <c r="B54" s="807" t="s">
        <v>255</v>
      </c>
      <c r="C54" s="807" t="s">
        <v>280</v>
      </c>
      <c r="D54" s="728">
        <v>241.0</v>
      </c>
      <c r="E54" s="808"/>
      <c r="F54" s="808"/>
      <c r="G54" s="808"/>
      <c r="H54" s="808"/>
      <c r="I54" s="808"/>
      <c r="J54" s="809"/>
      <c r="K54" s="810"/>
      <c r="L54" s="810"/>
      <c r="M54" s="808"/>
      <c r="N54" s="808"/>
      <c r="O54" s="808"/>
      <c r="P54" s="808"/>
      <c r="Q54" s="808"/>
      <c r="R54" s="808"/>
      <c r="S54" s="809"/>
      <c r="T54" s="810"/>
      <c r="U54" s="809"/>
      <c r="V54" s="808"/>
      <c r="W54" s="809"/>
      <c r="X54" s="809"/>
      <c r="Y54" s="808"/>
      <c r="Z54" s="808"/>
      <c r="AA54" s="809"/>
      <c r="AB54" s="810"/>
      <c r="AC54" s="812"/>
      <c r="AD54" s="808"/>
      <c r="AE54" s="808"/>
      <c r="AF54" s="808"/>
      <c r="AG54" s="808"/>
      <c r="AH54" s="808"/>
      <c r="AI54" s="809"/>
      <c r="AJ54" s="810"/>
      <c r="AK54" s="812"/>
      <c r="AL54" s="808"/>
      <c r="AM54" s="808"/>
      <c r="AN54" s="808"/>
      <c r="AO54" s="808"/>
      <c r="AP54" s="808"/>
      <c r="AQ54" s="809"/>
      <c r="AR54" s="813"/>
      <c r="AS54" s="808"/>
      <c r="AT54" s="808"/>
      <c r="AU54" s="808"/>
      <c r="AV54" s="808"/>
      <c r="AW54" s="808"/>
      <c r="AX54" s="808"/>
      <c r="AY54" s="809"/>
      <c r="AZ54" s="810"/>
      <c r="BA54" s="808"/>
      <c r="BB54" s="808"/>
      <c r="BC54" s="808"/>
      <c r="BD54" s="808"/>
      <c r="BE54" s="808"/>
      <c r="BF54" s="808"/>
      <c r="BG54" s="809"/>
      <c r="BH54" s="810"/>
      <c r="BI54" s="812"/>
      <c r="BJ54" s="808"/>
      <c r="BK54" s="808"/>
      <c r="BL54" s="808"/>
      <c r="BM54" s="808"/>
      <c r="BN54" s="808"/>
      <c r="BO54" s="809"/>
      <c r="BP54" s="810"/>
      <c r="BQ54" s="812"/>
      <c r="BR54" s="808"/>
      <c r="BS54" s="808"/>
      <c r="BT54" s="808"/>
      <c r="BU54" s="808"/>
      <c r="BV54" s="808"/>
      <c r="BW54" s="809"/>
      <c r="BX54" s="811"/>
    </row>
    <row r="55" ht="30.0" customHeight="1">
      <c r="A55" s="817">
        <v>49.0</v>
      </c>
      <c r="B55" s="807" t="s">
        <v>255</v>
      </c>
      <c r="C55" s="807" t="s">
        <v>275</v>
      </c>
      <c r="D55" s="728">
        <v>242.0</v>
      </c>
      <c r="E55" s="808"/>
      <c r="F55" s="808"/>
      <c r="G55" s="808"/>
      <c r="H55" s="808"/>
      <c r="I55" s="808"/>
      <c r="J55" s="809"/>
      <c r="K55" s="810"/>
      <c r="L55" s="810"/>
      <c r="M55" s="808"/>
      <c r="N55" s="808"/>
      <c r="O55" s="808"/>
      <c r="P55" s="808"/>
      <c r="Q55" s="808"/>
      <c r="R55" s="808"/>
      <c r="S55" s="809"/>
      <c r="T55" s="810"/>
      <c r="U55" s="809"/>
      <c r="V55" s="808"/>
      <c r="W55" s="809"/>
      <c r="X55" s="809"/>
      <c r="Y55" s="808"/>
      <c r="Z55" s="808"/>
      <c r="AA55" s="809"/>
      <c r="AB55" s="810"/>
      <c r="AC55" s="812"/>
      <c r="AD55" s="808"/>
      <c r="AE55" s="808"/>
      <c r="AF55" s="808"/>
      <c r="AG55" s="808"/>
      <c r="AH55" s="808"/>
      <c r="AI55" s="809"/>
      <c r="AJ55" s="810"/>
      <c r="AK55" s="812"/>
      <c r="AL55" s="808"/>
      <c r="AM55" s="808"/>
      <c r="AN55" s="808"/>
      <c r="AO55" s="808"/>
      <c r="AP55" s="808"/>
      <c r="AQ55" s="809"/>
      <c r="AR55" s="813"/>
      <c r="AS55" s="808"/>
      <c r="AT55" s="808"/>
      <c r="AU55" s="808"/>
      <c r="AV55" s="808"/>
      <c r="AW55" s="808"/>
      <c r="AX55" s="808"/>
      <c r="AY55" s="809"/>
      <c r="AZ55" s="810"/>
      <c r="BA55" s="808"/>
      <c r="BB55" s="808"/>
      <c r="BC55" s="808"/>
      <c r="BD55" s="808"/>
      <c r="BE55" s="808"/>
      <c r="BF55" s="808"/>
      <c r="BG55" s="809"/>
      <c r="BH55" s="810"/>
      <c r="BI55" s="812"/>
      <c r="BJ55" s="808"/>
      <c r="BK55" s="808"/>
      <c r="BL55" s="808"/>
      <c r="BM55" s="808"/>
      <c r="BN55" s="808"/>
      <c r="BO55" s="809"/>
      <c r="BP55" s="810"/>
      <c r="BQ55" s="812"/>
      <c r="BR55" s="808"/>
      <c r="BS55" s="808"/>
      <c r="BT55" s="808"/>
      <c r="BU55" s="808"/>
      <c r="BV55" s="808"/>
      <c r="BW55" s="809"/>
      <c r="BX55" s="811"/>
    </row>
    <row r="56" ht="30.0" customHeight="1">
      <c r="A56" s="817">
        <v>50.0</v>
      </c>
      <c r="B56" s="807" t="s">
        <v>255</v>
      </c>
      <c r="C56" s="807" t="s">
        <v>292</v>
      </c>
      <c r="D56" s="728">
        <v>105964.0</v>
      </c>
      <c r="E56" s="808"/>
      <c r="F56" s="808"/>
      <c r="G56" s="808"/>
      <c r="H56" s="808"/>
      <c r="I56" s="808"/>
      <c r="J56" s="809"/>
      <c r="K56" s="810"/>
      <c r="L56" s="810"/>
      <c r="M56" s="808"/>
      <c r="N56" s="808"/>
      <c r="O56" s="808"/>
      <c r="P56" s="808"/>
      <c r="Q56" s="808"/>
      <c r="R56" s="808"/>
      <c r="S56" s="809"/>
      <c r="T56" s="810"/>
      <c r="U56" s="809"/>
      <c r="V56" s="808"/>
      <c r="W56" s="809"/>
      <c r="X56" s="809"/>
      <c r="Y56" s="808"/>
      <c r="Z56" s="808"/>
      <c r="AA56" s="809"/>
      <c r="AB56" s="810"/>
      <c r="AC56" s="812"/>
      <c r="AD56" s="808"/>
      <c r="AE56" s="808"/>
      <c r="AF56" s="808"/>
      <c r="AG56" s="808"/>
      <c r="AH56" s="808"/>
      <c r="AI56" s="809"/>
      <c r="AJ56" s="810"/>
      <c r="AK56" s="812"/>
      <c r="AL56" s="808"/>
      <c r="AM56" s="808"/>
      <c r="AN56" s="808"/>
      <c r="AO56" s="808"/>
      <c r="AP56" s="808"/>
      <c r="AQ56" s="809"/>
      <c r="AR56" s="813"/>
      <c r="AS56" s="808"/>
      <c r="AT56" s="808"/>
      <c r="AU56" s="808"/>
      <c r="AV56" s="808"/>
      <c r="AW56" s="808"/>
      <c r="AX56" s="808"/>
      <c r="AY56" s="809"/>
      <c r="AZ56" s="810"/>
      <c r="BA56" s="808"/>
      <c r="BB56" s="808"/>
      <c r="BC56" s="808"/>
      <c r="BD56" s="808"/>
      <c r="BE56" s="808"/>
      <c r="BF56" s="808"/>
      <c r="BG56" s="809"/>
      <c r="BH56" s="810"/>
      <c r="BI56" s="812"/>
      <c r="BJ56" s="808"/>
      <c r="BK56" s="808"/>
      <c r="BL56" s="808"/>
      <c r="BM56" s="808"/>
      <c r="BN56" s="808"/>
      <c r="BO56" s="809"/>
      <c r="BP56" s="810"/>
      <c r="BQ56" s="812"/>
      <c r="BR56" s="808"/>
      <c r="BS56" s="808"/>
      <c r="BT56" s="808"/>
      <c r="BU56" s="808"/>
      <c r="BV56" s="808"/>
      <c r="BW56" s="809"/>
      <c r="BX56" s="811"/>
    </row>
    <row r="57" ht="30.0" customHeight="1">
      <c r="A57" s="817">
        <v>51.0</v>
      </c>
      <c r="B57" s="807" t="s">
        <v>255</v>
      </c>
      <c r="C57" s="807" t="s">
        <v>1118</v>
      </c>
      <c r="D57" s="728">
        <v>11546.0</v>
      </c>
      <c r="E57" s="808"/>
      <c r="F57" s="808"/>
      <c r="G57" s="808"/>
      <c r="H57" s="808"/>
      <c r="I57" s="808"/>
      <c r="J57" s="809"/>
      <c r="K57" s="810"/>
      <c r="L57" s="810"/>
      <c r="M57" s="808"/>
      <c r="N57" s="808"/>
      <c r="O57" s="808"/>
      <c r="P57" s="808"/>
      <c r="Q57" s="808"/>
      <c r="R57" s="808"/>
      <c r="S57" s="809"/>
      <c r="T57" s="810"/>
      <c r="U57" s="809"/>
      <c r="V57" s="808"/>
      <c r="W57" s="809"/>
      <c r="X57" s="809"/>
      <c r="Y57" s="808"/>
      <c r="Z57" s="808"/>
      <c r="AA57" s="809"/>
      <c r="AB57" s="810"/>
      <c r="AC57" s="812"/>
      <c r="AD57" s="808"/>
      <c r="AE57" s="808"/>
      <c r="AF57" s="808"/>
      <c r="AG57" s="808"/>
      <c r="AH57" s="808"/>
      <c r="AI57" s="809"/>
      <c r="AJ57" s="810"/>
      <c r="AK57" s="812"/>
      <c r="AL57" s="808"/>
      <c r="AM57" s="808"/>
      <c r="AN57" s="808"/>
      <c r="AO57" s="808"/>
      <c r="AP57" s="808"/>
      <c r="AQ57" s="809"/>
      <c r="AR57" s="813"/>
      <c r="AS57" s="808"/>
      <c r="AT57" s="808"/>
      <c r="AU57" s="808"/>
      <c r="AV57" s="808"/>
      <c r="AW57" s="808"/>
      <c r="AX57" s="808"/>
      <c r="AY57" s="809"/>
      <c r="AZ57" s="810"/>
      <c r="BA57" s="808"/>
      <c r="BB57" s="808"/>
      <c r="BC57" s="808"/>
      <c r="BD57" s="808"/>
      <c r="BE57" s="808"/>
      <c r="BF57" s="808"/>
      <c r="BG57" s="809"/>
      <c r="BH57" s="810"/>
      <c r="BI57" s="812"/>
      <c r="BJ57" s="808"/>
      <c r="BK57" s="808"/>
      <c r="BL57" s="808"/>
      <c r="BM57" s="808"/>
      <c r="BN57" s="808"/>
      <c r="BO57" s="809"/>
      <c r="BP57" s="810"/>
      <c r="BQ57" s="812"/>
      <c r="BR57" s="808"/>
      <c r="BS57" s="808"/>
      <c r="BT57" s="808"/>
      <c r="BU57" s="808"/>
      <c r="BV57" s="808"/>
      <c r="BW57" s="809"/>
      <c r="BX57" s="811"/>
    </row>
    <row r="58" ht="30.0" customHeight="1">
      <c r="A58" s="817">
        <v>52.0</v>
      </c>
      <c r="B58" s="807" t="s">
        <v>255</v>
      </c>
      <c r="C58" s="807" t="s">
        <v>296</v>
      </c>
      <c r="D58" s="728">
        <v>243.0</v>
      </c>
      <c r="E58" s="808"/>
      <c r="F58" s="808"/>
      <c r="G58" s="808"/>
      <c r="H58" s="808"/>
      <c r="I58" s="808"/>
      <c r="J58" s="809"/>
      <c r="K58" s="810"/>
      <c r="L58" s="810"/>
      <c r="M58" s="808"/>
      <c r="N58" s="808"/>
      <c r="O58" s="808"/>
      <c r="P58" s="808"/>
      <c r="Q58" s="808"/>
      <c r="R58" s="808"/>
      <c r="S58" s="809"/>
      <c r="T58" s="810"/>
      <c r="U58" s="809"/>
      <c r="V58" s="808"/>
      <c r="W58" s="809"/>
      <c r="X58" s="809"/>
      <c r="Y58" s="808"/>
      <c r="Z58" s="808"/>
      <c r="AA58" s="809"/>
      <c r="AB58" s="810"/>
      <c r="AC58" s="812"/>
      <c r="AD58" s="808"/>
      <c r="AE58" s="808"/>
      <c r="AF58" s="808"/>
      <c r="AG58" s="808"/>
      <c r="AH58" s="808"/>
      <c r="AI58" s="809"/>
      <c r="AJ58" s="810"/>
      <c r="AK58" s="812"/>
      <c r="AL58" s="808"/>
      <c r="AM58" s="808"/>
      <c r="AN58" s="808"/>
      <c r="AO58" s="808"/>
      <c r="AP58" s="808"/>
      <c r="AQ58" s="809"/>
      <c r="AR58" s="813"/>
      <c r="AS58" s="808"/>
      <c r="AT58" s="808"/>
      <c r="AU58" s="808"/>
      <c r="AV58" s="808"/>
      <c r="AW58" s="808"/>
      <c r="AX58" s="808"/>
      <c r="AY58" s="809"/>
      <c r="AZ58" s="810"/>
      <c r="BA58" s="808"/>
      <c r="BB58" s="808"/>
      <c r="BC58" s="808"/>
      <c r="BD58" s="808"/>
      <c r="BE58" s="808"/>
      <c r="BF58" s="808"/>
      <c r="BG58" s="809"/>
      <c r="BH58" s="810"/>
      <c r="BI58" s="812"/>
      <c r="BJ58" s="808"/>
      <c r="BK58" s="808"/>
      <c r="BL58" s="808"/>
      <c r="BM58" s="808"/>
      <c r="BN58" s="808"/>
      <c r="BO58" s="809"/>
      <c r="BP58" s="810"/>
      <c r="BQ58" s="812"/>
      <c r="BR58" s="808"/>
      <c r="BS58" s="808"/>
      <c r="BT58" s="808"/>
      <c r="BU58" s="808"/>
      <c r="BV58" s="808"/>
      <c r="BW58" s="809"/>
      <c r="BX58" s="811"/>
    </row>
    <row r="59" ht="30.0" customHeight="1">
      <c r="A59" s="817">
        <v>53.0</v>
      </c>
      <c r="B59" s="807" t="s">
        <v>255</v>
      </c>
      <c r="C59" s="807" t="s">
        <v>1119</v>
      </c>
      <c r="D59" s="728">
        <v>104917.0</v>
      </c>
      <c r="E59" s="808"/>
      <c r="F59" s="808"/>
      <c r="G59" s="808"/>
      <c r="H59" s="808"/>
      <c r="I59" s="808"/>
      <c r="J59" s="809"/>
      <c r="K59" s="810"/>
      <c r="L59" s="810"/>
      <c r="M59" s="808"/>
      <c r="N59" s="808"/>
      <c r="O59" s="808"/>
      <c r="P59" s="808"/>
      <c r="Q59" s="808"/>
      <c r="R59" s="808"/>
      <c r="S59" s="809"/>
      <c r="T59" s="810"/>
      <c r="U59" s="809"/>
      <c r="V59" s="808"/>
      <c r="W59" s="809"/>
      <c r="X59" s="809"/>
      <c r="Y59" s="808"/>
      <c r="Z59" s="808"/>
      <c r="AA59" s="809"/>
      <c r="AB59" s="810"/>
      <c r="AC59" s="812"/>
      <c r="AD59" s="808"/>
      <c r="AE59" s="808"/>
      <c r="AF59" s="808"/>
      <c r="AG59" s="808"/>
      <c r="AH59" s="808"/>
      <c r="AI59" s="809"/>
      <c r="AJ59" s="810"/>
      <c r="AK59" s="812"/>
      <c r="AL59" s="808"/>
      <c r="AM59" s="808"/>
      <c r="AN59" s="808"/>
      <c r="AO59" s="808"/>
      <c r="AP59" s="808"/>
      <c r="AQ59" s="809"/>
      <c r="AR59" s="813"/>
      <c r="AS59" s="808"/>
      <c r="AT59" s="808"/>
      <c r="AU59" s="808"/>
      <c r="AV59" s="808"/>
      <c r="AW59" s="808"/>
      <c r="AX59" s="808"/>
      <c r="AY59" s="809"/>
      <c r="AZ59" s="810"/>
      <c r="BA59" s="808"/>
      <c r="BB59" s="808"/>
      <c r="BC59" s="808"/>
      <c r="BD59" s="808"/>
      <c r="BE59" s="808"/>
      <c r="BF59" s="808"/>
      <c r="BG59" s="809"/>
      <c r="BH59" s="810"/>
      <c r="BI59" s="812"/>
      <c r="BJ59" s="808"/>
      <c r="BK59" s="808"/>
      <c r="BL59" s="808"/>
      <c r="BM59" s="808"/>
      <c r="BN59" s="808"/>
      <c r="BO59" s="809"/>
      <c r="BP59" s="810"/>
      <c r="BQ59" s="812"/>
      <c r="BR59" s="808"/>
      <c r="BS59" s="808"/>
      <c r="BT59" s="808"/>
      <c r="BU59" s="808"/>
      <c r="BV59" s="808"/>
      <c r="BW59" s="809"/>
      <c r="BX59" s="811"/>
    </row>
    <row r="60" ht="30.0" customHeight="1">
      <c r="A60" s="817">
        <v>54.0</v>
      </c>
      <c r="B60" s="807" t="s">
        <v>255</v>
      </c>
      <c r="C60" s="807" t="s">
        <v>271</v>
      </c>
      <c r="D60" s="728">
        <v>244.0</v>
      </c>
      <c r="E60" s="808"/>
      <c r="F60" s="808"/>
      <c r="G60" s="808"/>
      <c r="H60" s="808"/>
      <c r="I60" s="808"/>
      <c r="J60" s="809"/>
      <c r="K60" s="810"/>
      <c r="L60" s="810"/>
      <c r="M60" s="808"/>
      <c r="N60" s="808"/>
      <c r="O60" s="808"/>
      <c r="P60" s="808"/>
      <c r="Q60" s="808"/>
      <c r="R60" s="808"/>
      <c r="S60" s="809"/>
      <c r="T60" s="810"/>
      <c r="U60" s="809" t="s">
        <v>1108</v>
      </c>
      <c r="V60" s="808" t="s">
        <v>1233</v>
      </c>
      <c r="W60" s="809" t="s">
        <v>1246</v>
      </c>
      <c r="X60" s="809">
        <v>44153.0</v>
      </c>
      <c r="Y60" s="808" t="s">
        <v>1228</v>
      </c>
      <c r="Z60" s="808" t="s">
        <v>1247</v>
      </c>
      <c r="AA60" s="809" t="s">
        <v>89</v>
      </c>
      <c r="AB60" s="810"/>
      <c r="AC60" s="812"/>
      <c r="AD60" s="808"/>
      <c r="AE60" s="808"/>
      <c r="AF60" s="808"/>
      <c r="AG60" s="808"/>
      <c r="AH60" s="808"/>
      <c r="AI60" s="809"/>
      <c r="AJ60" s="810"/>
      <c r="AK60" s="812"/>
      <c r="AL60" s="808"/>
      <c r="AM60" s="808"/>
      <c r="AN60" s="808"/>
      <c r="AO60" s="808"/>
      <c r="AP60" s="808"/>
      <c r="AQ60" s="809"/>
      <c r="AR60" s="813"/>
      <c r="AS60" s="808"/>
      <c r="AT60" s="808"/>
      <c r="AU60" s="808"/>
      <c r="AV60" s="808"/>
      <c r="AW60" s="808"/>
      <c r="AX60" s="808"/>
      <c r="AY60" s="809"/>
      <c r="AZ60" s="810"/>
      <c r="BA60" s="808"/>
      <c r="BB60" s="808"/>
      <c r="BC60" s="808"/>
      <c r="BD60" s="808"/>
      <c r="BE60" s="808"/>
      <c r="BF60" s="808"/>
      <c r="BG60" s="809"/>
      <c r="BH60" s="810"/>
      <c r="BI60" s="812"/>
      <c r="BJ60" s="808"/>
      <c r="BK60" s="808"/>
      <c r="BL60" s="808"/>
      <c r="BM60" s="808"/>
      <c r="BN60" s="808"/>
      <c r="BO60" s="809"/>
      <c r="BP60" s="810"/>
      <c r="BQ60" s="812"/>
      <c r="BR60" s="808"/>
      <c r="BS60" s="808"/>
      <c r="BT60" s="808"/>
      <c r="BU60" s="808"/>
      <c r="BV60" s="808"/>
      <c r="BW60" s="809"/>
      <c r="BX60" s="811"/>
    </row>
    <row r="61" ht="30.0" customHeight="1">
      <c r="A61" s="817">
        <v>55.0</v>
      </c>
      <c r="B61" s="807" t="s">
        <v>255</v>
      </c>
      <c r="C61" s="807" t="s">
        <v>318</v>
      </c>
      <c r="D61" s="728">
        <v>106126.0</v>
      </c>
      <c r="E61" s="808"/>
      <c r="F61" s="808"/>
      <c r="G61" s="808"/>
      <c r="H61" s="808"/>
      <c r="I61" s="808"/>
      <c r="J61" s="809"/>
      <c r="K61" s="810"/>
      <c r="L61" s="810"/>
      <c r="M61" s="808"/>
      <c r="N61" s="808"/>
      <c r="O61" s="808"/>
      <c r="P61" s="808"/>
      <c r="Q61" s="808"/>
      <c r="R61" s="808"/>
      <c r="S61" s="809"/>
      <c r="T61" s="810"/>
      <c r="U61" s="809"/>
      <c r="V61" s="808"/>
      <c r="W61" s="809"/>
      <c r="X61" s="809"/>
      <c r="Y61" s="808"/>
      <c r="Z61" s="808"/>
      <c r="AA61" s="809"/>
      <c r="AB61" s="810"/>
      <c r="AC61" s="812"/>
      <c r="AD61" s="808"/>
      <c r="AE61" s="808"/>
      <c r="AF61" s="808"/>
      <c r="AG61" s="808"/>
      <c r="AH61" s="808"/>
      <c r="AI61" s="809"/>
      <c r="AJ61" s="810"/>
      <c r="AK61" s="812"/>
      <c r="AL61" s="808"/>
      <c r="AM61" s="808"/>
      <c r="AN61" s="808"/>
      <c r="AO61" s="808"/>
      <c r="AP61" s="808"/>
      <c r="AQ61" s="809"/>
      <c r="AR61" s="813"/>
      <c r="AS61" s="808"/>
      <c r="AT61" s="808"/>
      <c r="AU61" s="808"/>
      <c r="AV61" s="808"/>
      <c r="AW61" s="808"/>
      <c r="AX61" s="808"/>
      <c r="AY61" s="809"/>
      <c r="AZ61" s="810"/>
      <c r="BA61" s="808"/>
      <c r="BB61" s="808"/>
      <c r="BC61" s="808"/>
      <c r="BD61" s="808"/>
      <c r="BE61" s="808"/>
      <c r="BF61" s="808"/>
      <c r="BG61" s="809"/>
      <c r="BH61" s="810"/>
      <c r="BI61" s="812"/>
      <c r="BJ61" s="808"/>
      <c r="BK61" s="808"/>
      <c r="BL61" s="808"/>
      <c r="BM61" s="808"/>
      <c r="BN61" s="808"/>
      <c r="BO61" s="809"/>
      <c r="BP61" s="810"/>
      <c r="BQ61" s="812"/>
      <c r="BR61" s="808"/>
      <c r="BS61" s="808"/>
      <c r="BT61" s="808"/>
      <c r="BU61" s="808"/>
      <c r="BV61" s="808"/>
      <c r="BW61" s="809"/>
      <c r="BX61" s="811"/>
    </row>
    <row r="62" ht="30.0" customHeight="1">
      <c r="A62" s="817">
        <v>56.0</v>
      </c>
      <c r="B62" s="807" t="s">
        <v>255</v>
      </c>
      <c r="C62" s="807" t="s">
        <v>310</v>
      </c>
      <c r="D62" s="728">
        <v>5269.0</v>
      </c>
      <c r="E62" s="808"/>
      <c r="F62" s="808"/>
      <c r="G62" s="808"/>
      <c r="H62" s="808"/>
      <c r="I62" s="808"/>
      <c r="J62" s="809"/>
      <c r="K62" s="810"/>
      <c r="L62" s="810"/>
      <c r="M62" s="808"/>
      <c r="N62" s="808"/>
      <c r="O62" s="808"/>
      <c r="P62" s="808"/>
      <c r="Q62" s="808"/>
      <c r="R62" s="808"/>
      <c r="S62" s="809"/>
      <c r="T62" s="810"/>
      <c r="U62" s="809"/>
      <c r="V62" s="808"/>
      <c r="W62" s="809"/>
      <c r="X62" s="809"/>
      <c r="Y62" s="808"/>
      <c r="Z62" s="808"/>
      <c r="AA62" s="809"/>
      <c r="AB62" s="810"/>
      <c r="AC62" s="812" t="s">
        <v>1108</v>
      </c>
      <c r="AD62" s="808" t="s">
        <v>1221</v>
      </c>
      <c r="AE62" s="808" t="s">
        <v>1222</v>
      </c>
      <c r="AF62" s="808"/>
      <c r="AG62" s="808" t="s">
        <v>1223</v>
      </c>
      <c r="AH62" s="808" t="s">
        <v>1224</v>
      </c>
      <c r="AI62" s="809"/>
      <c r="AJ62" s="810"/>
      <c r="AK62" s="812"/>
      <c r="AL62" s="808"/>
      <c r="AM62" s="808"/>
      <c r="AN62" s="808"/>
      <c r="AO62" s="808"/>
      <c r="AP62" s="808"/>
      <c r="AQ62" s="809"/>
      <c r="AR62" s="813"/>
      <c r="AS62" s="808"/>
      <c r="AT62" s="808"/>
      <c r="AU62" s="808"/>
      <c r="AV62" s="808"/>
      <c r="AW62" s="808"/>
      <c r="AX62" s="808"/>
      <c r="AY62" s="809"/>
      <c r="AZ62" s="810"/>
      <c r="BA62" s="808"/>
      <c r="BB62" s="808"/>
      <c r="BC62" s="808"/>
      <c r="BD62" s="808"/>
      <c r="BE62" s="808"/>
      <c r="BF62" s="808"/>
      <c r="BG62" s="809"/>
      <c r="BH62" s="810"/>
      <c r="BI62" s="812"/>
      <c r="BJ62" s="808"/>
      <c r="BK62" s="808"/>
      <c r="BL62" s="808"/>
      <c r="BM62" s="808"/>
      <c r="BN62" s="808"/>
      <c r="BO62" s="809"/>
      <c r="BP62" s="810"/>
      <c r="BQ62" s="812"/>
      <c r="BR62" s="808"/>
      <c r="BS62" s="808"/>
      <c r="BT62" s="808"/>
      <c r="BU62" s="808"/>
      <c r="BV62" s="808"/>
      <c r="BW62" s="809"/>
      <c r="BX62" s="811"/>
    </row>
    <row r="63" ht="30.0" customHeight="1">
      <c r="A63" s="817">
        <v>57.0</v>
      </c>
      <c r="B63" s="807" t="s">
        <v>255</v>
      </c>
      <c r="C63" s="807" t="s">
        <v>260</v>
      </c>
      <c r="D63" s="728">
        <v>5268.0</v>
      </c>
      <c r="E63" s="808"/>
      <c r="F63" s="808"/>
      <c r="G63" s="808"/>
      <c r="H63" s="808"/>
      <c r="I63" s="808"/>
      <c r="J63" s="809"/>
      <c r="K63" s="810"/>
      <c r="L63" s="810"/>
      <c r="M63" s="808" t="s">
        <v>1108</v>
      </c>
      <c r="N63" s="808" t="s">
        <v>1233</v>
      </c>
      <c r="O63" s="808" t="s">
        <v>1222</v>
      </c>
      <c r="P63" s="808"/>
      <c r="Q63" s="808" t="s">
        <v>1223</v>
      </c>
      <c r="R63" s="808" t="s">
        <v>1224</v>
      </c>
      <c r="S63" s="809"/>
      <c r="T63" s="810"/>
      <c r="U63" s="809"/>
      <c r="V63" s="808"/>
      <c r="W63" s="809"/>
      <c r="X63" s="809"/>
      <c r="Y63" s="808"/>
      <c r="Z63" s="808"/>
      <c r="AA63" s="809"/>
      <c r="AB63" s="810"/>
      <c r="AC63" s="812"/>
      <c r="AD63" s="808"/>
      <c r="AE63" s="808"/>
      <c r="AF63" s="808"/>
      <c r="AG63" s="808"/>
      <c r="AH63" s="808"/>
      <c r="AI63" s="809"/>
      <c r="AJ63" s="810"/>
      <c r="AK63" s="812"/>
      <c r="AL63" s="808"/>
      <c r="AM63" s="808"/>
      <c r="AN63" s="808"/>
      <c r="AO63" s="808"/>
      <c r="AP63" s="808"/>
      <c r="AQ63" s="809"/>
      <c r="AR63" s="813"/>
      <c r="AS63" s="808"/>
      <c r="AT63" s="808"/>
      <c r="AU63" s="808"/>
      <c r="AV63" s="808"/>
      <c r="AW63" s="808"/>
      <c r="AX63" s="808"/>
      <c r="AY63" s="809"/>
      <c r="AZ63" s="810"/>
      <c r="BA63" s="808"/>
      <c r="BB63" s="808"/>
      <c r="BC63" s="808"/>
      <c r="BD63" s="808"/>
      <c r="BE63" s="808"/>
      <c r="BF63" s="808"/>
      <c r="BG63" s="809"/>
      <c r="BH63" s="810"/>
      <c r="BI63" s="812"/>
      <c r="BJ63" s="808"/>
      <c r="BK63" s="808"/>
      <c r="BL63" s="808"/>
      <c r="BM63" s="808"/>
      <c r="BN63" s="808"/>
      <c r="BO63" s="809"/>
      <c r="BP63" s="810"/>
      <c r="BQ63" s="812"/>
      <c r="BR63" s="808"/>
      <c r="BS63" s="808"/>
      <c r="BT63" s="808"/>
      <c r="BU63" s="808"/>
      <c r="BV63" s="808"/>
      <c r="BW63" s="809"/>
      <c r="BX63" s="811"/>
    </row>
    <row r="64" ht="30.0" customHeight="1">
      <c r="A64" s="817">
        <v>58.0</v>
      </c>
      <c r="B64" s="807" t="s">
        <v>255</v>
      </c>
      <c r="C64" s="807" t="s">
        <v>972</v>
      </c>
      <c r="D64" s="728">
        <v>55202.0</v>
      </c>
      <c r="E64" s="808" t="s">
        <v>1108</v>
      </c>
      <c r="F64" s="808" t="s">
        <v>1221</v>
      </c>
      <c r="G64" s="808" t="s">
        <v>1222</v>
      </c>
      <c r="H64" s="808"/>
      <c r="I64" s="808" t="s">
        <v>1228</v>
      </c>
      <c r="J64" s="808" t="s">
        <v>1224</v>
      </c>
      <c r="K64" s="810"/>
      <c r="L64" s="810"/>
      <c r="M64" s="808"/>
      <c r="N64" s="808"/>
      <c r="O64" s="808"/>
      <c r="P64" s="808"/>
      <c r="Q64" s="808"/>
      <c r="R64" s="808"/>
      <c r="S64" s="809"/>
      <c r="T64" s="810"/>
      <c r="U64" s="809"/>
      <c r="V64" s="808"/>
      <c r="W64" s="809"/>
      <c r="X64" s="809"/>
      <c r="Y64" s="808"/>
      <c r="Z64" s="808"/>
      <c r="AA64" s="809"/>
      <c r="AB64" s="810"/>
      <c r="AC64" s="812"/>
      <c r="AD64" s="808"/>
      <c r="AE64" s="808"/>
      <c r="AF64" s="808"/>
      <c r="AG64" s="808"/>
      <c r="AH64" s="808"/>
      <c r="AI64" s="809"/>
      <c r="AJ64" s="810"/>
      <c r="AK64" s="812"/>
      <c r="AL64" s="808"/>
      <c r="AM64" s="808"/>
      <c r="AN64" s="808"/>
      <c r="AO64" s="808"/>
      <c r="AP64" s="808"/>
      <c r="AQ64" s="809"/>
      <c r="AR64" s="813"/>
      <c r="AS64" s="808"/>
      <c r="AT64" s="808"/>
      <c r="AU64" s="808"/>
      <c r="AV64" s="808"/>
      <c r="AW64" s="808"/>
      <c r="AX64" s="808"/>
      <c r="AY64" s="809"/>
      <c r="AZ64" s="810"/>
      <c r="BA64" s="808"/>
      <c r="BB64" s="808"/>
      <c r="BC64" s="808"/>
      <c r="BD64" s="808"/>
      <c r="BE64" s="808"/>
      <c r="BF64" s="808"/>
      <c r="BG64" s="809"/>
      <c r="BH64" s="810"/>
      <c r="BI64" s="812"/>
      <c r="BJ64" s="808"/>
      <c r="BK64" s="808"/>
      <c r="BL64" s="808"/>
      <c r="BM64" s="808"/>
      <c r="BN64" s="808"/>
      <c r="BO64" s="809"/>
      <c r="BP64" s="810"/>
      <c r="BQ64" s="812"/>
      <c r="BR64" s="808"/>
      <c r="BS64" s="808"/>
      <c r="BT64" s="808"/>
      <c r="BU64" s="808"/>
      <c r="BV64" s="808"/>
      <c r="BW64" s="809"/>
      <c r="BX64" s="811"/>
    </row>
    <row r="65" ht="30.0" customHeight="1">
      <c r="A65" s="818">
        <v>59.0</v>
      </c>
      <c r="B65" s="807" t="s">
        <v>333</v>
      </c>
      <c r="C65" s="807" t="s">
        <v>408</v>
      </c>
      <c r="D65" s="728">
        <v>232.0</v>
      </c>
      <c r="E65" s="808"/>
      <c r="F65" s="808"/>
      <c r="G65" s="808"/>
      <c r="H65" s="808"/>
      <c r="I65" s="808"/>
      <c r="J65" s="809"/>
      <c r="K65" s="810"/>
      <c r="L65" s="810"/>
      <c r="M65" s="808"/>
      <c r="N65" s="808"/>
      <c r="O65" s="808"/>
      <c r="P65" s="808"/>
      <c r="Q65" s="808"/>
      <c r="R65" s="808"/>
      <c r="S65" s="809"/>
      <c r="T65" s="810"/>
      <c r="U65" s="809"/>
      <c r="V65" s="808"/>
      <c r="W65" s="809"/>
      <c r="X65" s="809"/>
      <c r="Y65" s="808"/>
      <c r="Z65" s="808"/>
      <c r="AA65" s="809"/>
      <c r="AB65" s="810"/>
      <c r="AC65" s="812"/>
      <c r="AD65" s="808"/>
      <c r="AE65" s="808"/>
      <c r="AF65" s="808"/>
      <c r="AG65" s="808"/>
      <c r="AH65" s="808"/>
      <c r="AI65" s="809"/>
      <c r="AJ65" s="810"/>
      <c r="AK65" s="812" t="s">
        <v>1108</v>
      </c>
      <c r="AL65" s="808" t="s">
        <v>1221</v>
      </c>
      <c r="AM65" s="808" t="s">
        <v>1222</v>
      </c>
      <c r="AN65" s="808"/>
      <c r="AO65" s="808" t="s">
        <v>1223</v>
      </c>
      <c r="AP65" s="808" t="s">
        <v>1224</v>
      </c>
      <c r="AQ65" s="809"/>
      <c r="AR65" s="813"/>
      <c r="AS65" s="808"/>
      <c r="AT65" s="808"/>
      <c r="AU65" s="808"/>
      <c r="AV65" s="808"/>
      <c r="AW65" s="808"/>
      <c r="AX65" s="808"/>
      <c r="AY65" s="809"/>
      <c r="AZ65" s="810"/>
      <c r="BA65" s="808" t="s">
        <v>1108</v>
      </c>
      <c r="BB65" s="808" t="s">
        <v>1227</v>
      </c>
      <c r="BC65" s="808" t="s">
        <v>1229</v>
      </c>
      <c r="BD65" s="808"/>
      <c r="BE65" s="808" t="s">
        <v>1223</v>
      </c>
      <c r="BF65" s="808" t="s">
        <v>1224</v>
      </c>
      <c r="BG65" s="809"/>
      <c r="BH65" s="810"/>
      <c r="BI65" s="812"/>
      <c r="BJ65" s="808"/>
      <c r="BK65" s="808"/>
      <c r="BL65" s="808"/>
      <c r="BM65" s="808"/>
      <c r="BN65" s="808"/>
      <c r="BO65" s="809"/>
      <c r="BP65" s="810"/>
      <c r="BQ65" s="812"/>
      <c r="BR65" s="808"/>
      <c r="BS65" s="808"/>
      <c r="BT65" s="808"/>
      <c r="BU65" s="808"/>
      <c r="BV65" s="808"/>
      <c r="BW65" s="809"/>
      <c r="BX65" s="811"/>
    </row>
    <row r="66" ht="30.0" customHeight="1">
      <c r="A66" s="818">
        <v>60.0</v>
      </c>
      <c r="B66" s="807" t="s">
        <v>333</v>
      </c>
      <c r="C66" s="807" t="s">
        <v>351</v>
      </c>
      <c r="D66" s="728">
        <v>51767.0</v>
      </c>
      <c r="E66" s="808" t="s">
        <v>1108</v>
      </c>
      <c r="F66" s="808" t="s">
        <v>1227</v>
      </c>
      <c r="G66" s="808" t="s">
        <v>1222</v>
      </c>
      <c r="H66" s="808"/>
      <c r="I66" s="808" t="s">
        <v>1223</v>
      </c>
      <c r="J66" s="809" t="s">
        <v>1224</v>
      </c>
      <c r="K66" s="810"/>
      <c r="L66" s="810"/>
      <c r="M66" s="808"/>
      <c r="N66" s="808"/>
      <c r="O66" s="808"/>
      <c r="P66" s="808"/>
      <c r="Q66" s="808"/>
      <c r="R66" s="808"/>
      <c r="S66" s="809"/>
      <c r="T66" s="810"/>
      <c r="U66" s="809"/>
      <c r="V66" s="808"/>
      <c r="W66" s="809"/>
      <c r="X66" s="809"/>
      <c r="Y66" s="808"/>
      <c r="Z66" s="808"/>
      <c r="AA66" s="809"/>
      <c r="AB66" s="810"/>
      <c r="AC66" s="812" t="s">
        <v>1108</v>
      </c>
      <c r="AD66" s="808" t="s">
        <v>1227</v>
      </c>
      <c r="AE66" s="808" t="s">
        <v>1229</v>
      </c>
      <c r="AF66" s="808"/>
      <c r="AG66" s="808" t="s">
        <v>1223</v>
      </c>
      <c r="AH66" s="808" t="s">
        <v>1224</v>
      </c>
      <c r="AI66" s="809"/>
      <c r="AJ66" s="810"/>
      <c r="AK66" s="812"/>
      <c r="AL66" s="808"/>
      <c r="AM66" s="808"/>
      <c r="AN66" s="808"/>
      <c r="AO66" s="808"/>
      <c r="AP66" s="808"/>
      <c r="AQ66" s="809"/>
      <c r="AR66" s="813"/>
      <c r="AS66" s="808"/>
      <c r="AT66" s="808"/>
      <c r="AU66" s="808"/>
      <c r="AV66" s="808"/>
      <c r="AW66" s="808"/>
      <c r="AX66" s="808"/>
      <c r="AY66" s="809"/>
      <c r="AZ66" s="810"/>
      <c r="BA66" s="808"/>
      <c r="BB66" s="808"/>
      <c r="BC66" s="808"/>
      <c r="BD66" s="808"/>
      <c r="BE66" s="808"/>
      <c r="BF66" s="808"/>
      <c r="BG66" s="809"/>
      <c r="BH66" s="810"/>
      <c r="BI66" s="812"/>
      <c r="BJ66" s="808"/>
      <c r="BK66" s="808"/>
      <c r="BL66" s="808"/>
      <c r="BM66" s="808"/>
      <c r="BN66" s="808"/>
      <c r="BO66" s="809"/>
      <c r="BP66" s="810"/>
      <c r="BQ66" s="812"/>
      <c r="BR66" s="808"/>
      <c r="BS66" s="808"/>
      <c r="BT66" s="808"/>
      <c r="BU66" s="808"/>
      <c r="BV66" s="808"/>
      <c r="BW66" s="809"/>
      <c r="BX66" s="811"/>
    </row>
    <row r="67" ht="30.0" customHeight="1">
      <c r="A67" s="818">
        <v>61.0</v>
      </c>
      <c r="B67" s="807" t="s">
        <v>333</v>
      </c>
      <c r="C67" s="807" t="s">
        <v>367</v>
      </c>
      <c r="D67" s="728">
        <v>105733.0</v>
      </c>
      <c r="E67" s="808"/>
      <c r="F67" s="808"/>
      <c r="G67" s="808"/>
      <c r="H67" s="808"/>
      <c r="I67" s="808"/>
      <c r="J67" s="809"/>
      <c r="K67" s="810"/>
      <c r="L67" s="810"/>
      <c r="M67" s="808"/>
      <c r="N67" s="808"/>
      <c r="O67" s="808"/>
      <c r="P67" s="808"/>
      <c r="Q67" s="808"/>
      <c r="R67" s="808"/>
      <c r="S67" s="809"/>
      <c r="T67" s="810"/>
      <c r="U67" s="809"/>
      <c r="V67" s="808"/>
      <c r="W67" s="809"/>
      <c r="X67" s="809"/>
      <c r="Y67" s="808"/>
      <c r="Z67" s="808"/>
      <c r="AA67" s="809"/>
      <c r="AB67" s="810"/>
      <c r="AC67" s="812"/>
      <c r="AD67" s="808"/>
      <c r="AE67" s="808"/>
      <c r="AF67" s="808"/>
      <c r="AG67" s="808"/>
      <c r="AH67" s="808"/>
      <c r="AI67" s="809"/>
      <c r="AJ67" s="810"/>
      <c r="AK67" s="812"/>
      <c r="AL67" s="808"/>
      <c r="AM67" s="808"/>
      <c r="AN67" s="808"/>
      <c r="AO67" s="808"/>
      <c r="AP67" s="808"/>
      <c r="AQ67" s="809"/>
      <c r="AR67" s="813"/>
      <c r="AS67" s="808"/>
      <c r="AT67" s="808"/>
      <c r="AU67" s="808"/>
      <c r="AV67" s="808"/>
      <c r="AW67" s="808"/>
      <c r="AX67" s="808"/>
      <c r="AY67" s="809"/>
      <c r="AZ67" s="810"/>
      <c r="BA67" s="808"/>
      <c r="BB67" s="808"/>
      <c r="BC67" s="808"/>
      <c r="BD67" s="808"/>
      <c r="BE67" s="808"/>
      <c r="BF67" s="808"/>
      <c r="BG67" s="809"/>
      <c r="BH67" s="810"/>
      <c r="BI67" s="812"/>
      <c r="BJ67" s="808"/>
      <c r="BK67" s="808"/>
      <c r="BL67" s="808"/>
      <c r="BM67" s="808"/>
      <c r="BN67" s="808"/>
      <c r="BO67" s="809"/>
      <c r="BP67" s="810"/>
      <c r="BQ67" s="812"/>
      <c r="BR67" s="808"/>
      <c r="BS67" s="808"/>
      <c r="BT67" s="808"/>
      <c r="BU67" s="808"/>
      <c r="BV67" s="808"/>
      <c r="BW67" s="809"/>
      <c r="BX67" s="811"/>
    </row>
    <row r="68" ht="30.0" customHeight="1">
      <c r="A68" s="818">
        <v>62.0</v>
      </c>
      <c r="B68" s="807" t="s">
        <v>333</v>
      </c>
      <c r="C68" s="807" t="s">
        <v>1125</v>
      </c>
      <c r="D68" s="728">
        <v>105457.0</v>
      </c>
      <c r="E68" s="808"/>
      <c r="F68" s="808"/>
      <c r="G68" s="808"/>
      <c r="H68" s="808"/>
      <c r="I68" s="808"/>
      <c r="J68" s="809"/>
      <c r="K68" s="810"/>
      <c r="L68" s="810"/>
      <c r="M68" s="808"/>
      <c r="N68" s="808"/>
      <c r="O68" s="808"/>
      <c r="P68" s="808"/>
      <c r="Q68" s="808"/>
      <c r="R68" s="808"/>
      <c r="S68" s="809"/>
      <c r="T68" s="810"/>
      <c r="U68" s="809"/>
      <c r="V68" s="808"/>
      <c r="W68" s="809"/>
      <c r="X68" s="809"/>
      <c r="Y68" s="808"/>
      <c r="Z68" s="808"/>
      <c r="AA68" s="809"/>
      <c r="AB68" s="810"/>
      <c r="AC68" s="812"/>
      <c r="AD68" s="808"/>
      <c r="AE68" s="808"/>
      <c r="AF68" s="808"/>
      <c r="AG68" s="808"/>
      <c r="AH68" s="808"/>
      <c r="AI68" s="809"/>
      <c r="AJ68" s="810"/>
      <c r="AK68" s="812"/>
      <c r="AL68" s="808"/>
      <c r="AM68" s="808"/>
      <c r="AN68" s="808"/>
      <c r="AO68" s="808"/>
      <c r="AP68" s="808"/>
      <c r="AQ68" s="809"/>
      <c r="AR68" s="813"/>
      <c r="AS68" s="808"/>
      <c r="AT68" s="808"/>
      <c r="AU68" s="808"/>
      <c r="AV68" s="808"/>
      <c r="AW68" s="808"/>
      <c r="AX68" s="808"/>
      <c r="AY68" s="809"/>
      <c r="AZ68" s="810"/>
      <c r="BA68" s="808"/>
      <c r="BB68" s="808"/>
      <c r="BC68" s="808"/>
      <c r="BD68" s="808"/>
      <c r="BE68" s="808"/>
      <c r="BF68" s="808"/>
      <c r="BG68" s="809"/>
      <c r="BH68" s="810"/>
      <c r="BI68" s="812"/>
      <c r="BJ68" s="808"/>
      <c r="BK68" s="808"/>
      <c r="BL68" s="808"/>
      <c r="BM68" s="808"/>
      <c r="BN68" s="808"/>
      <c r="BO68" s="809"/>
      <c r="BP68" s="810"/>
      <c r="BQ68" s="812"/>
      <c r="BR68" s="808"/>
      <c r="BS68" s="808"/>
      <c r="BT68" s="808"/>
      <c r="BU68" s="808"/>
      <c r="BV68" s="808"/>
      <c r="BW68" s="809"/>
      <c r="BX68" s="811"/>
    </row>
    <row r="69" ht="30.0" customHeight="1">
      <c r="A69" s="818">
        <v>63.0</v>
      </c>
      <c r="B69" s="807" t="s">
        <v>333</v>
      </c>
      <c r="C69" s="807" t="s">
        <v>1064</v>
      </c>
      <c r="D69" s="728">
        <v>11967.0</v>
      </c>
      <c r="E69" s="808"/>
      <c r="F69" s="808"/>
      <c r="G69" s="808"/>
      <c r="H69" s="808"/>
      <c r="I69" s="808"/>
      <c r="J69" s="809"/>
      <c r="K69" s="810"/>
      <c r="L69" s="810"/>
      <c r="M69" s="808" t="s">
        <v>1108</v>
      </c>
      <c r="N69" s="808" t="s">
        <v>1221</v>
      </c>
      <c r="O69" s="808" t="s">
        <v>1222</v>
      </c>
      <c r="P69" s="808"/>
      <c r="Q69" s="808" t="s">
        <v>1223</v>
      </c>
      <c r="R69" s="808" t="s">
        <v>1224</v>
      </c>
      <c r="S69" s="809"/>
      <c r="T69" s="810"/>
      <c r="U69" s="809"/>
      <c r="V69" s="808"/>
      <c r="W69" s="809"/>
      <c r="X69" s="809"/>
      <c r="Y69" s="808"/>
      <c r="Z69" s="808"/>
      <c r="AA69" s="809"/>
      <c r="AB69" s="810"/>
      <c r="AC69" s="812"/>
      <c r="AD69" s="808"/>
      <c r="AE69" s="808"/>
      <c r="AF69" s="808"/>
      <c r="AG69" s="808"/>
      <c r="AH69" s="808"/>
      <c r="AI69" s="809"/>
      <c r="AJ69" s="810"/>
      <c r="AK69" s="812"/>
      <c r="AL69" s="808"/>
      <c r="AM69" s="808"/>
      <c r="AN69" s="808"/>
      <c r="AO69" s="808"/>
      <c r="AP69" s="808"/>
      <c r="AQ69" s="809"/>
      <c r="AR69" s="813"/>
      <c r="AS69" s="808"/>
      <c r="AT69" s="808"/>
      <c r="AU69" s="808"/>
      <c r="AV69" s="808"/>
      <c r="AW69" s="808"/>
      <c r="AX69" s="808"/>
      <c r="AY69" s="809"/>
      <c r="AZ69" s="810"/>
      <c r="BA69" s="808"/>
      <c r="BB69" s="808"/>
      <c r="BC69" s="808"/>
      <c r="BD69" s="808"/>
      <c r="BE69" s="808"/>
      <c r="BF69" s="808"/>
      <c r="BG69" s="809"/>
      <c r="BH69" s="810"/>
      <c r="BI69" s="812"/>
      <c r="BJ69" s="808"/>
      <c r="BK69" s="808"/>
      <c r="BL69" s="808"/>
      <c r="BM69" s="808"/>
      <c r="BN69" s="808"/>
      <c r="BO69" s="809"/>
      <c r="BP69" s="810"/>
      <c r="BQ69" s="812"/>
      <c r="BR69" s="808"/>
      <c r="BS69" s="808"/>
      <c r="BT69" s="808"/>
      <c r="BU69" s="808"/>
      <c r="BV69" s="808"/>
      <c r="BW69" s="809"/>
      <c r="BX69" s="811"/>
    </row>
    <row r="70" ht="30.0" customHeight="1">
      <c r="A70" s="818">
        <v>64.0</v>
      </c>
      <c r="B70" s="807" t="s">
        <v>333</v>
      </c>
      <c r="C70" s="807" t="s">
        <v>1063</v>
      </c>
      <c r="D70" s="728">
        <v>4493.0</v>
      </c>
      <c r="E70" s="808"/>
      <c r="F70" s="808"/>
      <c r="G70" s="808"/>
      <c r="H70" s="808"/>
      <c r="I70" s="808"/>
      <c r="J70" s="809"/>
      <c r="K70" s="810"/>
      <c r="L70" s="810"/>
      <c r="M70" s="808"/>
      <c r="N70" s="808"/>
      <c r="O70" s="808"/>
      <c r="P70" s="808"/>
      <c r="Q70" s="808"/>
      <c r="R70" s="808"/>
      <c r="S70" s="809"/>
      <c r="T70" s="810"/>
      <c r="U70" s="809" t="s">
        <v>1108</v>
      </c>
      <c r="V70" s="808" t="s">
        <v>1227</v>
      </c>
      <c r="W70" s="809" t="s">
        <v>1229</v>
      </c>
      <c r="X70" s="809"/>
      <c r="Y70" s="808" t="s">
        <v>1223</v>
      </c>
      <c r="Z70" s="808" t="s">
        <v>1224</v>
      </c>
      <c r="AA70" s="809"/>
      <c r="AB70" s="810"/>
      <c r="AC70" s="812"/>
      <c r="AD70" s="808"/>
      <c r="AE70" s="808"/>
      <c r="AF70" s="808"/>
      <c r="AG70" s="808"/>
      <c r="AH70" s="808"/>
      <c r="AI70" s="809"/>
      <c r="AJ70" s="810"/>
      <c r="AK70" s="812"/>
      <c r="AL70" s="808"/>
      <c r="AM70" s="808"/>
      <c r="AN70" s="808"/>
      <c r="AO70" s="808"/>
      <c r="AP70" s="808"/>
      <c r="AQ70" s="809"/>
      <c r="AR70" s="813"/>
      <c r="AS70" s="808"/>
      <c r="AT70" s="808"/>
      <c r="AU70" s="808"/>
      <c r="AV70" s="808"/>
      <c r="AW70" s="808"/>
      <c r="AX70" s="808"/>
      <c r="AY70" s="809"/>
      <c r="AZ70" s="810"/>
      <c r="BA70" s="808"/>
      <c r="BB70" s="808"/>
      <c r="BC70" s="808"/>
      <c r="BD70" s="808"/>
      <c r="BE70" s="808"/>
      <c r="BF70" s="808"/>
      <c r="BG70" s="809"/>
      <c r="BH70" s="810"/>
      <c r="BI70" s="812"/>
      <c r="BJ70" s="808"/>
      <c r="BK70" s="808"/>
      <c r="BL70" s="808"/>
      <c r="BM70" s="808"/>
      <c r="BN70" s="808"/>
      <c r="BO70" s="809"/>
      <c r="BP70" s="810"/>
      <c r="BQ70" s="812"/>
      <c r="BR70" s="808"/>
      <c r="BS70" s="808"/>
      <c r="BT70" s="808"/>
      <c r="BU70" s="808"/>
      <c r="BV70" s="808"/>
      <c r="BW70" s="809"/>
      <c r="BX70" s="811"/>
    </row>
    <row r="71" ht="30.0" customHeight="1">
      <c r="A71" s="818">
        <v>65.0</v>
      </c>
      <c r="B71" s="807" t="s">
        <v>333</v>
      </c>
      <c r="C71" s="807" t="s">
        <v>381</v>
      </c>
      <c r="D71" s="728">
        <v>13062.0</v>
      </c>
      <c r="E71" s="808"/>
      <c r="F71" s="808"/>
      <c r="G71" s="808"/>
      <c r="H71" s="808"/>
      <c r="I71" s="808"/>
      <c r="J71" s="809"/>
      <c r="K71" s="810"/>
      <c r="L71" s="810"/>
      <c r="M71" s="808"/>
      <c r="N71" s="808"/>
      <c r="O71" s="808"/>
      <c r="P71" s="808"/>
      <c r="Q71" s="808"/>
      <c r="R71" s="808"/>
      <c r="S71" s="809"/>
      <c r="T71" s="810"/>
      <c r="U71" s="809"/>
      <c r="V71" s="808"/>
      <c r="W71" s="809"/>
      <c r="X71" s="809"/>
      <c r="Y71" s="808"/>
      <c r="Z71" s="808"/>
      <c r="AA71" s="809"/>
      <c r="AB71" s="810"/>
      <c r="AC71" s="812"/>
      <c r="AD71" s="808"/>
      <c r="AE71" s="808"/>
      <c r="AF71" s="808"/>
      <c r="AG71" s="808"/>
      <c r="AH71" s="808"/>
      <c r="AI71" s="809"/>
      <c r="AJ71" s="810"/>
      <c r="AK71" s="812"/>
      <c r="AL71" s="808"/>
      <c r="AM71" s="808"/>
      <c r="AN71" s="808"/>
      <c r="AO71" s="808"/>
      <c r="AP71" s="808"/>
      <c r="AQ71" s="809"/>
      <c r="AR71" s="813"/>
      <c r="AS71" s="808"/>
      <c r="AT71" s="808"/>
      <c r="AU71" s="808"/>
      <c r="AV71" s="808"/>
      <c r="AW71" s="808"/>
      <c r="AX71" s="808"/>
      <c r="AY71" s="809"/>
      <c r="AZ71" s="810"/>
      <c r="BA71" s="808"/>
      <c r="BB71" s="808"/>
      <c r="BC71" s="808"/>
      <c r="BD71" s="808"/>
      <c r="BE71" s="808"/>
      <c r="BF71" s="808"/>
      <c r="BG71" s="809"/>
      <c r="BH71" s="810"/>
      <c r="BI71" s="812"/>
      <c r="BJ71" s="808"/>
      <c r="BK71" s="808"/>
      <c r="BL71" s="808"/>
      <c r="BM71" s="808"/>
      <c r="BN71" s="808"/>
      <c r="BO71" s="809"/>
      <c r="BP71" s="810"/>
      <c r="BQ71" s="812"/>
      <c r="BR71" s="808"/>
      <c r="BS71" s="808"/>
      <c r="BT71" s="808"/>
      <c r="BU71" s="808"/>
      <c r="BV71" s="808"/>
      <c r="BW71" s="809"/>
      <c r="BX71" s="811"/>
    </row>
    <row r="72" ht="30.0" customHeight="1">
      <c r="A72" s="818">
        <v>66.0</v>
      </c>
      <c r="B72" s="807" t="s">
        <v>333</v>
      </c>
      <c r="C72" s="807" t="s">
        <v>1248</v>
      </c>
      <c r="D72" s="728">
        <v>106604.0</v>
      </c>
      <c r="E72" s="808"/>
      <c r="F72" s="808"/>
      <c r="G72" s="808"/>
      <c r="H72" s="808"/>
      <c r="I72" s="808"/>
      <c r="J72" s="809"/>
      <c r="K72" s="810"/>
      <c r="L72" s="810"/>
      <c r="M72" s="808"/>
      <c r="N72" s="808"/>
      <c r="O72" s="808"/>
      <c r="P72" s="808"/>
      <c r="Q72" s="808"/>
      <c r="R72" s="808"/>
      <c r="S72" s="809"/>
      <c r="T72" s="810"/>
      <c r="U72" s="809"/>
      <c r="V72" s="808"/>
      <c r="W72" s="809"/>
      <c r="X72" s="809"/>
      <c r="Y72" s="808"/>
      <c r="Z72" s="808"/>
      <c r="AA72" s="809"/>
      <c r="AB72" s="810"/>
      <c r="AC72" s="812" t="s">
        <v>1108</v>
      </c>
      <c r="AD72" s="808" t="s">
        <v>1221</v>
      </c>
      <c r="AE72" s="808" t="s">
        <v>1222</v>
      </c>
      <c r="AF72" s="808"/>
      <c r="AG72" s="808" t="s">
        <v>1228</v>
      </c>
      <c r="AH72" s="808" t="s">
        <v>1224</v>
      </c>
      <c r="AI72" s="809" t="s">
        <v>89</v>
      </c>
      <c r="AJ72" s="810"/>
      <c r="AK72" s="812"/>
      <c r="AL72" s="808"/>
      <c r="AM72" s="808"/>
      <c r="AN72" s="808"/>
      <c r="AO72" s="808"/>
      <c r="AP72" s="808"/>
      <c r="AQ72" s="809"/>
      <c r="AR72" s="813"/>
      <c r="AS72" s="808"/>
      <c r="AT72" s="808"/>
      <c r="AU72" s="808"/>
      <c r="AV72" s="808"/>
      <c r="AW72" s="808"/>
      <c r="AX72" s="808"/>
      <c r="AY72" s="809"/>
      <c r="AZ72" s="810"/>
      <c r="BA72" s="808"/>
      <c r="BB72" s="808"/>
      <c r="BC72" s="808"/>
      <c r="BD72" s="808"/>
      <c r="BE72" s="808"/>
      <c r="BF72" s="808"/>
      <c r="BG72" s="809"/>
      <c r="BH72" s="810"/>
      <c r="BI72" s="812"/>
      <c r="BJ72" s="808"/>
      <c r="BK72" s="808"/>
      <c r="BL72" s="808"/>
      <c r="BM72" s="808"/>
      <c r="BN72" s="808"/>
      <c r="BO72" s="809"/>
      <c r="BP72" s="810"/>
      <c r="BQ72" s="812"/>
      <c r="BR72" s="808"/>
      <c r="BS72" s="808"/>
      <c r="BT72" s="808"/>
      <c r="BU72" s="808"/>
      <c r="BV72" s="808"/>
      <c r="BW72" s="809"/>
      <c r="BX72" s="811"/>
    </row>
    <row r="73" ht="30.0" customHeight="1">
      <c r="A73" s="818">
        <v>67.0</v>
      </c>
      <c r="B73" s="807" t="s">
        <v>333</v>
      </c>
      <c r="C73" s="807" t="s">
        <v>998</v>
      </c>
      <c r="D73" s="728">
        <v>15440.0</v>
      </c>
      <c r="E73" s="808"/>
      <c r="F73" s="808"/>
      <c r="G73" s="808"/>
      <c r="H73" s="808"/>
      <c r="I73" s="808"/>
      <c r="J73" s="809"/>
      <c r="K73" s="810"/>
      <c r="L73" s="810"/>
      <c r="M73" s="808"/>
      <c r="N73" s="808"/>
      <c r="O73" s="808"/>
      <c r="P73" s="808"/>
      <c r="Q73" s="808"/>
      <c r="R73" s="808"/>
      <c r="S73" s="809"/>
      <c r="T73" s="810"/>
      <c r="U73" s="809"/>
      <c r="V73" s="808"/>
      <c r="W73" s="809"/>
      <c r="X73" s="809"/>
      <c r="Y73" s="808"/>
      <c r="Z73" s="808"/>
      <c r="AA73" s="809"/>
      <c r="AB73" s="810"/>
      <c r="AC73" s="812" t="s">
        <v>1108</v>
      </c>
      <c r="AD73" s="808" t="s">
        <v>1221</v>
      </c>
      <c r="AE73" s="808" t="s">
        <v>1222</v>
      </c>
      <c r="AF73" s="808"/>
      <c r="AG73" s="808" t="s">
        <v>1228</v>
      </c>
      <c r="AH73" s="808" t="s">
        <v>1224</v>
      </c>
      <c r="AI73" s="809" t="s">
        <v>89</v>
      </c>
      <c r="AJ73" s="810"/>
      <c r="AK73" s="812"/>
      <c r="AL73" s="808"/>
      <c r="AM73" s="808"/>
      <c r="AN73" s="808"/>
      <c r="AO73" s="808"/>
      <c r="AP73" s="808"/>
      <c r="AQ73" s="809"/>
      <c r="AR73" s="813"/>
      <c r="AS73" s="808"/>
      <c r="AT73" s="808"/>
      <c r="AU73" s="808"/>
      <c r="AV73" s="808"/>
      <c r="AW73" s="808"/>
      <c r="AX73" s="808"/>
      <c r="AY73" s="809"/>
      <c r="AZ73" s="810"/>
      <c r="BA73" s="808"/>
      <c r="BB73" s="808"/>
      <c r="BC73" s="808"/>
      <c r="BD73" s="808"/>
      <c r="BE73" s="808"/>
      <c r="BF73" s="808"/>
      <c r="BG73" s="809"/>
      <c r="BH73" s="810"/>
      <c r="BI73" s="812"/>
      <c r="BJ73" s="808"/>
      <c r="BK73" s="808"/>
      <c r="BL73" s="808"/>
      <c r="BM73" s="808"/>
      <c r="BN73" s="808"/>
      <c r="BO73" s="809"/>
      <c r="BP73" s="810"/>
      <c r="BQ73" s="812"/>
      <c r="BR73" s="808"/>
      <c r="BS73" s="808"/>
      <c r="BT73" s="808"/>
      <c r="BU73" s="808"/>
      <c r="BV73" s="808"/>
      <c r="BW73" s="809"/>
      <c r="BX73" s="811"/>
    </row>
    <row r="74" ht="30.0" customHeight="1">
      <c r="A74" s="818">
        <v>68.0</v>
      </c>
      <c r="B74" s="807" t="s">
        <v>333</v>
      </c>
      <c r="C74" s="807" t="s">
        <v>372</v>
      </c>
      <c r="D74" s="728">
        <v>106575.0</v>
      </c>
      <c r="E74" s="808"/>
      <c r="F74" s="808"/>
      <c r="G74" s="808"/>
      <c r="H74" s="808"/>
      <c r="I74" s="808"/>
      <c r="J74" s="809"/>
      <c r="K74" s="810"/>
      <c r="L74" s="810"/>
      <c r="M74" s="808"/>
      <c r="N74" s="808"/>
      <c r="O74" s="808"/>
      <c r="P74" s="808"/>
      <c r="Q74" s="808"/>
      <c r="R74" s="808"/>
      <c r="S74" s="809"/>
      <c r="T74" s="810"/>
      <c r="U74" s="809"/>
      <c r="V74" s="808"/>
      <c r="W74" s="809"/>
      <c r="X74" s="809"/>
      <c r="Y74" s="808"/>
      <c r="Z74" s="808"/>
      <c r="AA74" s="809"/>
      <c r="AB74" s="810"/>
      <c r="AC74" s="812" t="s">
        <v>1108</v>
      </c>
      <c r="AD74" s="808" t="s">
        <v>1221</v>
      </c>
      <c r="AE74" s="808" t="s">
        <v>1222</v>
      </c>
      <c r="AF74" s="808"/>
      <c r="AG74" s="808" t="s">
        <v>1228</v>
      </c>
      <c r="AH74" s="808" t="s">
        <v>1224</v>
      </c>
      <c r="AI74" s="809" t="s">
        <v>89</v>
      </c>
      <c r="AJ74" s="810"/>
      <c r="AK74" s="812"/>
      <c r="AL74" s="808"/>
      <c r="AM74" s="808"/>
      <c r="AN74" s="808"/>
      <c r="AO74" s="808"/>
      <c r="AP74" s="808"/>
      <c r="AQ74" s="809"/>
      <c r="AR74" s="813"/>
      <c r="AS74" s="808"/>
      <c r="AT74" s="808"/>
      <c r="AU74" s="808"/>
      <c r="AV74" s="808"/>
      <c r="AW74" s="808"/>
      <c r="AX74" s="808"/>
      <c r="AY74" s="809"/>
      <c r="AZ74" s="810"/>
      <c r="BA74" s="808"/>
      <c r="BB74" s="808"/>
      <c r="BC74" s="808"/>
      <c r="BD74" s="808"/>
      <c r="BE74" s="808"/>
      <c r="BF74" s="808"/>
      <c r="BG74" s="809"/>
      <c r="BH74" s="810"/>
      <c r="BI74" s="812"/>
      <c r="BJ74" s="808"/>
      <c r="BK74" s="808"/>
      <c r="BL74" s="808"/>
      <c r="BM74" s="808"/>
      <c r="BN74" s="808"/>
      <c r="BO74" s="809"/>
      <c r="BP74" s="810"/>
      <c r="BQ74" s="812"/>
      <c r="BR74" s="808"/>
      <c r="BS74" s="808"/>
      <c r="BT74" s="808"/>
      <c r="BU74" s="808"/>
      <c r="BV74" s="808"/>
      <c r="BW74" s="809"/>
      <c r="BX74" s="811"/>
    </row>
    <row r="75" ht="30.0" customHeight="1">
      <c r="A75" s="818">
        <v>69.0</v>
      </c>
      <c r="B75" s="807" t="s">
        <v>333</v>
      </c>
      <c r="C75" s="807" t="s">
        <v>1249</v>
      </c>
      <c r="D75" s="728">
        <v>102181.0</v>
      </c>
      <c r="E75" s="808"/>
      <c r="F75" s="808"/>
      <c r="G75" s="808"/>
      <c r="H75" s="808"/>
      <c r="I75" s="808"/>
      <c r="J75" s="809"/>
      <c r="K75" s="810"/>
      <c r="L75" s="810"/>
      <c r="M75" s="808" t="s">
        <v>1108</v>
      </c>
      <c r="N75" s="808" t="s">
        <v>1227</v>
      </c>
      <c r="O75" s="808" t="s">
        <v>1222</v>
      </c>
      <c r="P75" s="808"/>
      <c r="Q75" s="808" t="s">
        <v>1223</v>
      </c>
      <c r="R75" s="808" t="s">
        <v>1224</v>
      </c>
      <c r="S75" s="809"/>
      <c r="T75" s="810"/>
      <c r="U75" s="809"/>
      <c r="V75" s="808"/>
      <c r="W75" s="809"/>
      <c r="X75" s="809"/>
      <c r="Y75" s="808"/>
      <c r="Z75" s="808"/>
      <c r="AA75" s="809"/>
      <c r="AB75" s="810"/>
      <c r="AC75" s="812"/>
      <c r="AD75" s="808"/>
      <c r="AE75" s="808"/>
      <c r="AF75" s="808"/>
      <c r="AG75" s="808"/>
      <c r="AH75" s="808"/>
      <c r="AI75" s="809"/>
      <c r="AJ75" s="810"/>
      <c r="AK75" s="812" t="s">
        <v>1108</v>
      </c>
      <c r="AL75" s="808" t="s">
        <v>1227</v>
      </c>
      <c r="AM75" s="808" t="s">
        <v>1222</v>
      </c>
      <c r="AN75" s="808"/>
      <c r="AO75" s="808" t="s">
        <v>1223</v>
      </c>
      <c r="AP75" s="808" t="s">
        <v>1224</v>
      </c>
      <c r="AQ75" s="809"/>
      <c r="AR75" s="813"/>
      <c r="AS75" s="808"/>
      <c r="AT75" s="808"/>
      <c r="AU75" s="808"/>
      <c r="AV75" s="808"/>
      <c r="AW75" s="808"/>
      <c r="AX75" s="808"/>
      <c r="AY75" s="809"/>
      <c r="AZ75" s="810"/>
      <c r="BA75" s="808"/>
      <c r="BB75" s="808"/>
      <c r="BC75" s="808"/>
      <c r="BD75" s="808"/>
      <c r="BE75" s="808"/>
      <c r="BF75" s="808"/>
      <c r="BG75" s="809"/>
      <c r="BH75" s="810"/>
      <c r="BI75" s="812"/>
      <c r="BJ75" s="808"/>
      <c r="BK75" s="808"/>
      <c r="BL75" s="808"/>
      <c r="BM75" s="808"/>
      <c r="BN75" s="808"/>
      <c r="BO75" s="809"/>
      <c r="BP75" s="810"/>
      <c r="BQ75" s="812"/>
      <c r="BR75" s="808"/>
      <c r="BS75" s="808"/>
      <c r="BT75" s="808"/>
      <c r="BU75" s="808"/>
      <c r="BV75" s="808"/>
      <c r="BW75" s="809"/>
      <c r="BX75" s="811"/>
    </row>
    <row r="76" ht="30.0" customHeight="1">
      <c r="A76" s="818">
        <v>70.0</v>
      </c>
      <c r="B76" s="807" t="s">
        <v>333</v>
      </c>
      <c r="C76" s="807" t="s">
        <v>1250</v>
      </c>
      <c r="D76" s="728">
        <v>103336.0</v>
      </c>
      <c r="E76" s="808"/>
      <c r="F76" s="808"/>
      <c r="G76" s="808"/>
      <c r="H76" s="808"/>
      <c r="I76" s="808"/>
      <c r="J76" s="809"/>
      <c r="K76" s="810"/>
      <c r="L76" s="810"/>
      <c r="M76" s="808"/>
      <c r="N76" s="808"/>
      <c r="O76" s="808"/>
      <c r="P76" s="808"/>
      <c r="Q76" s="808"/>
      <c r="R76" s="808"/>
      <c r="S76" s="809"/>
      <c r="T76" s="810"/>
      <c r="U76" s="809"/>
      <c r="V76" s="808"/>
      <c r="W76" s="809"/>
      <c r="X76" s="809"/>
      <c r="Y76" s="808"/>
      <c r="Z76" s="808"/>
      <c r="AA76" s="809"/>
      <c r="AB76" s="810"/>
      <c r="AC76" s="812"/>
      <c r="AD76" s="808"/>
      <c r="AE76" s="808"/>
      <c r="AF76" s="808"/>
      <c r="AG76" s="808"/>
      <c r="AH76" s="808"/>
      <c r="AI76" s="809"/>
      <c r="AJ76" s="810"/>
      <c r="AK76" s="812"/>
      <c r="AL76" s="808"/>
      <c r="AM76" s="808"/>
      <c r="AN76" s="808"/>
      <c r="AO76" s="808"/>
      <c r="AP76" s="808"/>
      <c r="AQ76" s="809"/>
      <c r="AR76" s="813"/>
      <c r="AS76" s="808"/>
      <c r="AT76" s="808"/>
      <c r="AU76" s="808"/>
      <c r="AV76" s="808"/>
      <c r="AW76" s="808"/>
      <c r="AX76" s="808"/>
      <c r="AY76" s="809"/>
      <c r="AZ76" s="810"/>
      <c r="BA76" s="808"/>
      <c r="BB76" s="808"/>
      <c r="BC76" s="808"/>
      <c r="BD76" s="808"/>
      <c r="BE76" s="808"/>
      <c r="BF76" s="808"/>
      <c r="BG76" s="809"/>
      <c r="BH76" s="810"/>
      <c r="BI76" s="812"/>
      <c r="BJ76" s="808"/>
      <c r="BK76" s="808"/>
      <c r="BL76" s="808"/>
      <c r="BM76" s="808"/>
      <c r="BN76" s="808"/>
      <c r="BO76" s="809"/>
      <c r="BP76" s="810"/>
      <c r="BQ76" s="812"/>
      <c r="BR76" s="808"/>
      <c r="BS76" s="808"/>
      <c r="BT76" s="808"/>
      <c r="BU76" s="808"/>
      <c r="BV76" s="808"/>
      <c r="BW76" s="809"/>
      <c r="BX76" s="811"/>
    </row>
    <row r="77" ht="30.0" customHeight="1">
      <c r="A77" s="818">
        <v>71.0</v>
      </c>
      <c r="B77" s="807" t="s">
        <v>333</v>
      </c>
      <c r="C77" s="807" t="s">
        <v>1251</v>
      </c>
      <c r="D77" s="728">
        <v>103787.0</v>
      </c>
      <c r="E77" s="808"/>
      <c r="F77" s="808"/>
      <c r="G77" s="808"/>
      <c r="H77" s="808"/>
      <c r="I77" s="808"/>
      <c r="J77" s="809"/>
      <c r="K77" s="810"/>
      <c r="L77" s="810"/>
      <c r="M77" s="808"/>
      <c r="N77" s="808"/>
      <c r="O77" s="808"/>
      <c r="P77" s="808"/>
      <c r="Q77" s="808"/>
      <c r="R77" s="808"/>
      <c r="S77" s="809"/>
      <c r="T77" s="810"/>
      <c r="U77" s="809"/>
      <c r="V77" s="808"/>
      <c r="W77" s="809"/>
      <c r="X77" s="809"/>
      <c r="Y77" s="808"/>
      <c r="Z77" s="808"/>
      <c r="AA77" s="809"/>
      <c r="AB77" s="810"/>
      <c r="AC77" s="812"/>
      <c r="AD77" s="808"/>
      <c r="AE77" s="808"/>
      <c r="AF77" s="808"/>
      <c r="AG77" s="808"/>
      <c r="AH77" s="808"/>
      <c r="AI77" s="809"/>
      <c r="AJ77" s="810"/>
      <c r="AK77" s="812"/>
      <c r="AL77" s="808"/>
      <c r="AM77" s="808"/>
      <c r="AN77" s="808"/>
      <c r="AO77" s="808"/>
      <c r="AP77" s="808"/>
      <c r="AQ77" s="809"/>
      <c r="AR77" s="813"/>
      <c r="AS77" s="808"/>
      <c r="AT77" s="808"/>
      <c r="AU77" s="808"/>
      <c r="AV77" s="808"/>
      <c r="AW77" s="808"/>
      <c r="AX77" s="808"/>
      <c r="AY77" s="809"/>
      <c r="AZ77" s="810"/>
      <c r="BA77" s="808"/>
      <c r="BB77" s="808"/>
      <c r="BC77" s="808"/>
      <c r="BD77" s="808"/>
      <c r="BE77" s="808"/>
      <c r="BF77" s="808"/>
      <c r="BG77" s="809"/>
      <c r="BH77" s="810"/>
      <c r="BI77" s="812"/>
      <c r="BJ77" s="808"/>
      <c r="BK77" s="808"/>
      <c r="BL77" s="808"/>
      <c r="BM77" s="808"/>
      <c r="BN77" s="808"/>
      <c r="BO77" s="809"/>
      <c r="BP77" s="810"/>
      <c r="BQ77" s="812"/>
      <c r="BR77" s="808"/>
      <c r="BS77" s="808"/>
      <c r="BT77" s="808"/>
      <c r="BU77" s="808"/>
      <c r="BV77" s="808"/>
      <c r="BW77" s="809"/>
      <c r="BX77" s="811"/>
    </row>
    <row r="78" ht="30.0" customHeight="1">
      <c r="A78" s="818">
        <v>72.0</v>
      </c>
      <c r="B78" s="807" t="s">
        <v>333</v>
      </c>
      <c r="C78" s="807" t="s">
        <v>1252</v>
      </c>
      <c r="D78" s="728">
        <v>54866.0</v>
      </c>
      <c r="E78" s="808"/>
      <c r="F78" s="808"/>
      <c r="G78" s="808"/>
      <c r="H78" s="808"/>
      <c r="I78" s="808"/>
      <c r="J78" s="809"/>
      <c r="K78" s="810"/>
      <c r="L78" s="810"/>
      <c r="M78" s="808"/>
      <c r="N78" s="808"/>
      <c r="O78" s="808"/>
      <c r="P78" s="808"/>
      <c r="Q78" s="808"/>
      <c r="R78" s="808"/>
      <c r="S78" s="809"/>
      <c r="T78" s="810"/>
      <c r="U78" s="809"/>
      <c r="V78" s="808"/>
      <c r="W78" s="809"/>
      <c r="X78" s="809"/>
      <c r="Y78" s="808"/>
      <c r="Z78" s="808"/>
      <c r="AA78" s="809"/>
      <c r="AB78" s="810"/>
      <c r="AC78" s="812"/>
      <c r="AD78" s="808"/>
      <c r="AE78" s="808"/>
      <c r="AF78" s="808"/>
      <c r="AG78" s="808"/>
      <c r="AH78" s="808"/>
      <c r="AI78" s="809"/>
      <c r="AJ78" s="810"/>
      <c r="AK78" s="812"/>
      <c r="AL78" s="808"/>
      <c r="AM78" s="808"/>
      <c r="AN78" s="808"/>
      <c r="AO78" s="808"/>
      <c r="AP78" s="808"/>
      <c r="AQ78" s="809"/>
      <c r="AR78" s="813"/>
      <c r="AS78" s="808"/>
      <c r="AT78" s="808"/>
      <c r="AU78" s="808"/>
      <c r="AV78" s="808"/>
      <c r="AW78" s="808"/>
      <c r="AX78" s="808"/>
      <c r="AY78" s="809"/>
      <c r="AZ78" s="810"/>
      <c r="BA78" s="808"/>
      <c r="BB78" s="808"/>
      <c r="BC78" s="808"/>
      <c r="BD78" s="808"/>
      <c r="BE78" s="808"/>
      <c r="BF78" s="808"/>
      <c r="BG78" s="809"/>
      <c r="BH78" s="810"/>
      <c r="BI78" s="812"/>
      <c r="BJ78" s="808"/>
      <c r="BK78" s="808"/>
      <c r="BL78" s="808"/>
      <c r="BM78" s="808"/>
      <c r="BN78" s="808"/>
      <c r="BO78" s="809"/>
      <c r="BP78" s="810"/>
      <c r="BQ78" s="812"/>
      <c r="BR78" s="808"/>
      <c r="BS78" s="808"/>
      <c r="BT78" s="808"/>
      <c r="BU78" s="808"/>
      <c r="BV78" s="808"/>
      <c r="BW78" s="809"/>
      <c r="BX78" s="811"/>
    </row>
    <row r="79" ht="30.0" customHeight="1">
      <c r="A79" s="818">
        <v>73.0</v>
      </c>
      <c r="B79" s="807" t="s">
        <v>333</v>
      </c>
      <c r="C79" s="807" t="s">
        <v>1253</v>
      </c>
      <c r="D79" s="728">
        <v>106091.0</v>
      </c>
      <c r="E79" s="808"/>
      <c r="F79" s="808"/>
      <c r="G79" s="808"/>
      <c r="H79" s="808"/>
      <c r="I79" s="808"/>
      <c r="J79" s="809"/>
      <c r="K79" s="810"/>
      <c r="L79" s="810"/>
      <c r="M79" s="808"/>
      <c r="N79" s="808"/>
      <c r="O79" s="808"/>
      <c r="P79" s="808"/>
      <c r="Q79" s="808"/>
      <c r="R79" s="808"/>
      <c r="S79" s="809"/>
      <c r="T79" s="810"/>
      <c r="U79" s="809"/>
      <c r="V79" s="808"/>
      <c r="W79" s="809"/>
      <c r="X79" s="809"/>
      <c r="Y79" s="808"/>
      <c r="Z79" s="808"/>
      <c r="AA79" s="809"/>
      <c r="AB79" s="810"/>
      <c r="AC79" s="812"/>
      <c r="AD79" s="808"/>
      <c r="AE79" s="808"/>
      <c r="AF79" s="808"/>
      <c r="AG79" s="808"/>
      <c r="AH79" s="808"/>
      <c r="AI79" s="809"/>
      <c r="AJ79" s="810"/>
      <c r="AK79" s="812"/>
      <c r="AL79" s="808"/>
      <c r="AM79" s="808"/>
      <c r="AN79" s="808"/>
      <c r="AO79" s="808"/>
      <c r="AP79" s="808"/>
      <c r="AQ79" s="809"/>
      <c r="AR79" s="813"/>
      <c r="AS79" s="808"/>
      <c r="AT79" s="808"/>
      <c r="AU79" s="808"/>
      <c r="AV79" s="808"/>
      <c r="AW79" s="808"/>
      <c r="AX79" s="808"/>
      <c r="AY79" s="809"/>
      <c r="AZ79" s="810"/>
      <c r="BA79" s="808"/>
      <c r="BB79" s="808"/>
      <c r="BC79" s="808"/>
      <c r="BD79" s="808"/>
      <c r="BE79" s="808"/>
      <c r="BF79" s="808"/>
      <c r="BG79" s="809"/>
      <c r="BH79" s="810"/>
      <c r="BI79" s="812"/>
      <c r="BJ79" s="808"/>
      <c r="BK79" s="808"/>
      <c r="BL79" s="808"/>
      <c r="BM79" s="808"/>
      <c r="BN79" s="808"/>
      <c r="BO79" s="809"/>
      <c r="BP79" s="810"/>
      <c r="BQ79" s="812"/>
      <c r="BR79" s="808"/>
      <c r="BS79" s="808"/>
      <c r="BT79" s="808"/>
      <c r="BU79" s="808"/>
      <c r="BV79" s="808"/>
      <c r="BW79" s="809"/>
      <c r="BX79" s="811"/>
    </row>
    <row r="80" ht="30.0" customHeight="1">
      <c r="A80" s="818">
        <v>74.0</v>
      </c>
      <c r="B80" s="807" t="s">
        <v>333</v>
      </c>
      <c r="C80" s="807" t="s">
        <v>387</v>
      </c>
      <c r="D80" s="728">
        <v>104456.0</v>
      </c>
      <c r="E80" s="808"/>
      <c r="F80" s="808"/>
      <c r="G80" s="808"/>
      <c r="H80" s="808"/>
      <c r="I80" s="808"/>
      <c r="J80" s="809"/>
      <c r="K80" s="810"/>
      <c r="L80" s="810"/>
      <c r="M80" s="808"/>
      <c r="N80" s="808"/>
      <c r="O80" s="808"/>
      <c r="P80" s="808"/>
      <c r="Q80" s="808"/>
      <c r="R80" s="808"/>
      <c r="S80" s="809"/>
      <c r="T80" s="810"/>
      <c r="U80" s="809"/>
      <c r="V80" s="808"/>
      <c r="W80" s="809"/>
      <c r="X80" s="809"/>
      <c r="Y80" s="808"/>
      <c r="Z80" s="808"/>
      <c r="AA80" s="809"/>
      <c r="AB80" s="810"/>
      <c r="AC80" s="812"/>
      <c r="AD80" s="808"/>
      <c r="AE80" s="808"/>
      <c r="AF80" s="808"/>
      <c r="AG80" s="808"/>
      <c r="AH80" s="808"/>
      <c r="AI80" s="809"/>
      <c r="AJ80" s="810"/>
      <c r="AK80" s="812"/>
      <c r="AL80" s="808"/>
      <c r="AM80" s="808"/>
      <c r="AN80" s="808"/>
      <c r="AO80" s="808"/>
      <c r="AP80" s="808"/>
      <c r="AQ80" s="809"/>
      <c r="AR80" s="813"/>
      <c r="AS80" s="808"/>
      <c r="AT80" s="808"/>
      <c r="AU80" s="808"/>
      <c r="AV80" s="808"/>
      <c r="AW80" s="808"/>
      <c r="AX80" s="808"/>
      <c r="AY80" s="809"/>
      <c r="AZ80" s="810"/>
      <c r="BA80" s="808"/>
      <c r="BB80" s="808"/>
      <c r="BC80" s="808"/>
      <c r="BD80" s="808"/>
      <c r="BE80" s="808"/>
      <c r="BF80" s="808"/>
      <c r="BG80" s="809"/>
      <c r="BH80" s="810"/>
      <c r="BI80" s="812"/>
      <c r="BJ80" s="808"/>
      <c r="BK80" s="808"/>
      <c r="BL80" s="808"/>
      <c r="BM80" s="808"/>
      <c r="BN80" s="808"/>
      <c r="BO80" s="809"/>
      <c r="BP80" s="810"/>
      <c r="BQ80" s="812"/>
      <c r="BR80" s="808"/>
      <c r="BS80" s="808"/>
      <c r="BT80" s="808"/>
      <c r="BU80" s="808"/>
      <c r="BV80" s="808"/>
      <c r="BW80" s="809"/>
      <c r="BX80" s="811"/>
    </row>
    <row r="81" ht="30.0" customHeight="1">
      <c r="A81" s="818">
        <v>75.0</v>
      </c>
      <c r="B81" s="807" t="s">
        <v>333</v>
      </c>
      <c r="C81" s="807" t="s">
        <v>362</v>
      </c>
      <c r="D81" s="728">
        <v>104296.0</v>
      </c>
      <c r="E81" s="808"/>
      <c r="F81" s="808"/>
      <c r="G81" s="808"/>
      <c r="H81" s="808"/>
      <c r="I81" s="808"/>
      <c r="J81" s="809"/>
      <c r="K81" s="810"/>
      <c r="L81" s="810"/>
      <c r="M81" s="808"/>
      <c r="N81" s="808"/>
      <c r="O81" s="808"/>
      <c r="P81" s="808"/>
      <c r="Q81" s="808"/>
      <c r="R81" s="808"/>
      <c r="S81" s="809"/>
      <c r="T81" s="810"/>
      <c r="U81" s="809"/>
      <c r="V81" s="808"/>
      <c r="W81" s="809"/>
      <c r="X81" s="809"/>
      <c r="Y81" s="808"/>
      <c r="Z81" s="808"/>
      <c r="AA81" s="809"/>
      <c r="AB81" s="810"/>
      <c r="AC81" s="812"/>
      <c r="AD81" s="808"/>
      <c r="AE81" s="808"/>
      <c r="AF81" s="808"/>
      <c r="AG81" s="808"/>
      <c r="AH81" s="808"/>
      <c r="AI81" s="809"/>
      <c r="AJ81" s="810"/>
      <c r="AK81" s="812"/>
      <c r="AL81" s="808"/>
      <c r="AM81" s="808"/>
      <c r="AN81" s="808"/>
      <c r="AO81" s="808"/>
      <c r="AP81" s="808"/>
      <c r="AQ81" s="809"/>
      <c r="AR81" s="813"/>
      <c r="AS81" s="808"/>
      <c r="AT81" s="808"/>
      <c r="AU81" s="808"/>
      <c r="AV81" s="808"/>
      <c r="AW81" s="808"/>
      <c r="AX81" s="808"/>
      <c r="AY81" s="809"/>
      <c r="AZ81" s="810"/>
      <c r="BA81" s="808"/>
      <c r="BB81" s="808"/>
      <c r="BC81" s="808"/>
      <c r="BD81" s="808"/>
      <c r="BE81" s="808"/>
      <c r="BF81" s="808"/>
      <c r="BG81" s="809"/>
      <c r="BH81" s="810"/>
      <c r="BI81" s="812"/>
      <c r="BJ81" s="808"/>
      <c r="BK81" s="808"/>
      <c r="BL81" s="808"/>
      <c r="BM81" s="808"/>
      <c r="BN81" s="808"/>
      <c r="BO81" s="809"/>
      <c r="BP81" s="810"/>
      <c r="BQ81" s="812"/>
      <c r="BR81" s="808"/>
      <c r="BS81" s="808"/>
      <c r="BT81" s="808"/>
      <c r="BU81" s="808"/>
      <c r="BV81" s="808"/>
      <c r="BW81" s="809"/>
      <c r="BX81" s="811"/>
    </row>
    <row r="82" ht="30.0" customHeight="1">
      <c r="A82" s="818">
        <v>76.0</v>
      </c>
      <c r="B82" s="807" t="s">
        <v>333</v>
      </c>
      <c r="C82" s="807" t="s">
        <v>1124</v>
      </c>
      <c r="D82" s="728">
        <v>105456.0</v>
      </c>
      <c r="E82" s="808"/>
      <c r="F82" s="808"/>
      <c r="G82" s="808"/>
      <c r="H82" s="808"/>
      <c r="I82" s="808"/>
      <c r="J82" s="809"/>
      <c r="K82" s="810"/>
      <c r="L82" s="810"/>
      <c r="M82" s="808"/>
      <c r="N82" s="808"/>
      <c r="O82" s="808"/>
      <c r="P82" s="808"/>
      <c r="Q82" s="808"/>
      <c r="R82" s="808"/>
      <c r="S82" s="809"/>
      <c r="T82" s="810"/>
      <c r="U82" s="809"/>
      <c r="V82" s="808"/>
      <c r="W82" s="809"/>
      <c r="X82" s="809"/>
      <c r="Y82" s="808"/>
      <c r="Z82" s="808"/>
      <c r="AA82" s="809"/>
      <c r="AB82" s="810"/>
      <c r="AC82" s="812"/>
      <c r="AD82" s="808"/>
      <c r="AE82" s="808"/>
      <c r="AF82" s="808"/>
      <c r="AG82" s="808"/>
      <c r="AH82" s="808"/>
      <c r="AI82" s="809"/>
      <c r="AJ82" s="810"/>
      <c r="AK82" s="812"/>
      <c r="AL82" s="808"/>
      <c r="AM82" s="808"/>
      <c r="AN82" s="808"/>
      <c r="AO82" s="808"/>
      <c r="AP82" s="808"/>
      <c r="AQ82" s="809"/>
      <c r="AR82" s="813"/>
      <c r="AS82" s="808"/>
      <c r="AT82" s="808"/>
      <c r="AU82" s="808"/>
      <c r="AV82" s="808"/>
      <c r="AW82" s="808"/>
      <c r="AX82" s="808"/>
      <c r="AY82" s="809"/>
      <c r="AZ82" s="810"/>
      <c r="BA82" s="808"/>
      <c r="BB82" s="808"/>
      <c r="BC82" s="808"/>
      <c r="BD82" s="808"/>
      <c r="BE82" s="808"/>
      <c r="BF82" s="808"/>
      <c r="BG82" s="809"/>
      <c r="BH82" s="810"/>
      <c r="BI82" s="812"/>
      <c r="BJ82" s="808"/>
      <c r="BK82" s="808"/>
      <c r="BL82" s="808"/>
      <c r="BM82" s="808"/>
      <c r="BN82" s="808"/>
      <c r="BO82" s="809"/>
      <c r="BP82" s="810"/>
      <c r="BQ82" s="812"/>
      <c r="BR82" s="808"/>
      <c r="BS82" s="808"/>
      <c r="BT82" s="808"/>
      <c r="BU82" s="808"/>
      <c r="BV82" s="808"/>
      <c r="BW82" s="809"/>
      <c r="BX82" s="811"/>
    </row>
    <row r="83" ht="30.0" customHeight="1">
      <c r="A83" s="818">
        <v>77.0</v>
      </c>
      <c r="B83" s="807" t="s">
        <v>333</v>
      </c>
      <c r="C83" s="807" t="s">
        <v>1122</v>
      </c>
      <c r="D83" s="728">
        <v>104622.0</v>
      </c>
      <c r="E83" s="808"/>
      <c r="F83" s="808"/>
      <c r="G83" s="808"/>
      <c r="H83" s="808"/>
      <c r="I83" s="808"/>
      <c r="J83" s="809"/>
      <c r="K83" s="810"/>
      <c r="L83" s="810"/>
      <c r="M83" s="808"/>
      <c r="N83" s="808"/>
      <c r="O83" s="808"/>
      <c r="P83" s="808"/>
      <c r="Q83" s="808"/>
      <c r="R83" s="808"/>
      <c r="S83" s="809"/>
      <c r="T83" s="810"/>
      <c r="U83" s="809"/>
      <c r="V83" s="808"/>
      <c r="W83" s="809"/>
      <c r="X83" s="809"/>
      <c r="Y83" s="808"/>
      <c r="Z83" s="808"/>
      <c r="AA83" s="809"/>
      <c r="AB83" s="810"/>
      <c r="AC83" s="812"/>
      <c r="AD83" s="808"/>
      <c r="AE83" s="808"/>
      <c r="AF83" s="808"/>
      <c r="AG83" s="808"/>
      <c r="AH83" s="808"/>
      <c r="AI83" s="809"/>
      <c r="AJ83" s="810"/>
      <c r="AK83" s="812"/>
      <c r="AL83" s="808"/>
      <c r="AM83" s="808"/>
      <c r="AN83" s="808"/>
      <c r="AO83" s="808"/>
      <c r="AP83" s="808"/>
      <c r="AQ83" s="809"/>
      <c r="AR83" s="813"/>
      <c r="AS83" s="808"/>
      <c r="AT83" s="808"/>
      <c r="AU83" s="808"/>
      <c r="AV83" s="808"/>
      <c r="AW83" s="808"/>
      <c r="AX83" s="808"/>
      <c r="AY83" s="809"/>
      <c r="AZ83" s="810"/>
      <c r="BA83" s="808"/>
      <c r="BB83" s="808"/>
      <c r="BC83" s="808"/>
      <c r="BD83" s="808"/>
      <c r="BE83" s="808"/>
      <c r="BF83" s="808"/>
      <c r="BG83" s="809"/>
      <c r="BH83" s="810"/>
      <c r="BI83" s="812"/>
      <c r="BJ83" s="808"/>
      <c r="BK83" s="808"/>
      <c r="BL83" s="808"/>
      <c r="BM83" s="808"/>
      <c r="BN83" s="808"/>
      <c r="BO83" s="809"/>
      <c r="BP83" s="810"/>
      <c r="BQ83" s="812"/>
      <c r="BR83" s="808"/>
      <c r="BS83" s="808"/>
      <c r="BT83" s="808"/>
      <c r="BU83" s="808"/>
      <c r="BV83" s="808"/>
      <c r="BW83" s="809"/>
      <c r="BX83" s="811"/>
    </row>
    <row r="84" ht="30.0" customHeight="1">
      <c r="A84" s="818">
        <v>78.0</v>
      </c>
      <c r="B84" s="807" t="s">
        <v>333</v>
      </c>
      <c r="C84" s="807" t="s">
        <v>1018</v>
      </c>
      <c r="D84" s="728">
        <v>90695.0</v>
      </c>
      <c r="E84" s="808"/>
      <c r="F84" s="808"/>
      <c r="G84" s="808"/>
      <c r="H84" s="808"/>
      <c r="I84" s="808"/>
      <c r="J84" s="809"/>
      <c r="K84" s="810"/>
      <c r="L84" s="810"/>
      <c r="M84" s="808"/>
      <c r="N84" s="808"/>
      <c r="O84" s="808"/>
      <c r="P84" s="808"/>
      <c r="Q84" s="808"/>
      <c r="R84" s="808"/>
      <c r="S84" s="809"/>
      <c r="T84" s="810"/>
      <c r="U84" s="809"/>
      <c r="V84" s="808"/>
      <c r="W84" s="809"/>
      <c r="X84" s="809"/>
      <c r="Y84" s="808"/>
      <c r="Z84" s="808"/>
      <c r="AA84" s="809"/>
      <c r="AB84" s="810"/>
      <c r="AC84" s="812" t="s">
        <v>1108</v>
      </c>
      <c r="AD84" s="808" t="s">
        <v>1227</v>
      </c>
      <c r="AE84" s="808" t="s">
        <v>1254</v>
      </c>
      <c r="AF84" s="808"/>
      <c r="AG84" s="808" t="s">
        <v>1223</v>
      </c>
      <c r="AH84" s="808" t="s">
        <v>1224</v>
      </c>
      <c r="AI84" s="809" t="s">
        <v>89</v>
      </c>
      <c r="AJ84" s="810"/>
      <c r="AK84" s="812"/>
      <c r="AL84" s="808"/>
      <c r="AM84" s="808"/>
      <c r="AN84" s="808"/>
      <c r="AO84" s="808"/>
      <c r="AP84" s="808"/>
      <c r="AQ84" s="809"/>
      <c r="AR84" s="813"/>
      <c r="AS84" s="808"/>
      <c r="AT84" s="808"/>
      <c r="AU84" s="808"/>
      <c r="AV84" s="808"/>
      <c r="AW84" s="808"/>
      <c r="AX84" s="808"/>
      <c r="AY84" s="809"/>
      <c r="AZ84" s="810"/>
      <c r="BA84" s="809" t="s">
        <v>1108</v>
      </c>
      <c r="BB84" s="808" t="s">
        <v>1227</v>
      </c>
      <c r="BC84" s="809" t="s">
        <v>1255</v>
      </c>
      <c r="BD84" s="809"/>
      <c r="BE84" s="808" t="s">
        <v>1223</v>
      </c>
      <c r="BF84" s="808" t="s">
        <v>1224</v>
      </c>
      <c r="BG84" s="809" t="s">
        <v>89</v>
      </c>
      <c r="BH84" s="810"/>
      <c r="BI84" s="812"/>
      <c r="BJ84" s="808"/>
      <c r="BK84" s="808"/>
      <c r="BL84" s="808"/>
      <c r="BM84" s="808"/>
      <c r="BN84" s="808"/>
      <c r="BO84" s="809"/>
      <c r="BP84" s="810"/>
      <c r="BQ84" s="809"/>
      <c r="BR84" s="808"/>
      <c r="BS84" s="809"/>
      <c r="BT84" s="809"/>
      <c r="BU84" s="808"/>
      <c r="BV84" s="808"/>
      <c r="BW84" s="809"/>
      <c r="BX84" s="811"/>
    </row>
    <row r="85" ht="30.0" customHeight="1">
      <c r="A85" s="818">
        <v>79.0</v>
      </c>
      <c r="B85" s="807" t="s">
        <v>333</v>
      </c>
      <c r="C85" s="807" t="s">
        <v>1021</v>
      </c>
      <c r="D85" s="728">
        <v>90694.0</v>
      </c>
      <c r="E85" s="808"/>
      <c r="F85" s="808"/>
      <c r="G85" s="808"/>
      <c r="H85" s="808"/>
      <c r="I85" s="808"/>
      <c r="J85" s="809"/>
      <c r="K85" s="810"/>
      <c r="L85" s="810"/>
      <c r="M85" s="808"/>
      <c r="N85" s="808"/>
      <c r="O85" s="808"/>
      <c r="P85" s="808"/>
      <c r="Q85" s="808"/>
      <c r="R85" s="808"/>
      <c r="S85" s="809"/>
      <c r="T85" s="810"/>
      <c r="U85" s="809"/>
      <c r="V85" s="808"/>
      <c r="W85" s="809"/>
      <c r="X85" s="809"/>
      <c r="Y85" s="808"/>
      <c r="Z85" s="808"/>
      <c r="AA85" s="809"/>
      <c r="AB85" s="810"/>
      <c r="AC85" s="812"/>
      <c r="AD85" s="808"/>
      <c r="AE85" s="808"/>
      <c r="AF85" s="808"/>
      <c r="AG85" s="808"/>
      <c r="AH85" s="808"/>
      <c r="AI85" s="809"/>
      <c r="AJ85" s="810"/>
      <c r="AK85" s="812"/>
      <c r="AL85" s="808"/>
      <c r="AM85" s="808"/>
      <c r="AN85" s="808"/>
      <c r="AO85" s="808"/>
      <c r="AP85" s="808"/>
      <c r="AQ85" s="809"/>
      <c r="AR85" s="813"/>
      <c r="AS85" s="808"/>
      <c r="AT85" s="808"/>
      <c r="AU85" s="808"/>
      <c r="AV85" s="808"/>
      <c r="AW85" s="808"/>
      <c r="AX85" s="808"/>
      <c r="AY85" s="809"/>
      <c r="AZ85" s="810"/>
      <c r="BA85" s="809"/>
      <c r="BB85" s="808"/>
      <c r="BC85" s="809"/>
      <c r="BD85" s="809"/>
      <c r="BE85" s="808"/>
      <c r="BF85" s="808"/>
      <c r="BG85" s="809"/>
      <c r="BH85" s="810"/>
      <c r="BI85" s="812"/>
      <c r="BJ85" s="808"/>
      <c r="BK85" s="808"/>
      <c r="BL85" s="808"/>
      <c r="BM85" s="808"/>
      <c r="BN85" s="808"/>
      <c r="BO85" s="809"/>
      <c r="BP85" s="810"/>
      <c r="BQ85" s="809"/>
      <c r="BR85" s="808"/>
      <c r="BS85" s="809"/>
      <c r="BT85" s="809"/>
      <c r="BU85" s="808"/>
      <c r="BV85" s="808"/>
      <c r="BW85" s="809"/>
      <c r="BX85" s="811"/>
    </row>
    <row r="86" ht="30.0" customHeight="1">
      <c r="A86" s="818">
        <v>80.0</v>
      </c>
      <c r="B86" s="807" t="s">
        <v>333</v>
      </c>
      <c r="C86" s="807" t="s">
        <v>1123</v>
      </c>
      <c r="D86" s="728">
        <v>104678.0</v>
      </c>
      <c r="E86" s="808"/>
      <c r="F86" s="808"/>
      <c r="G86" s="808"/>
      <c r="H86" s="808"/>
      <c r="I86" s="808"/>
      <c r="J86" s="809"/>
      <c r="K86" s="810"/>
      <c r="L86" s="810"/>
      <c r="M86" s="808"/>
      <c r="N86" s="808"/>
      <c r="O86" s="808"/>
      <c r="P86" s="808"/>
      <c r="Q86" s="808"/>
      <c r="R86" s="808"/>
      <c r="S86" s="809"/>
      <c r="T86" s="810"/>
      <c r="U86" s="809"/>
      <c r="V86" s="808"/>
      <c r="W86" s="809"/>
      <c r="X86" s="809"/>
      <c r="Y86" s="808"/>
      <c r="Z86" s="808"/>
      <c r="AA86" s="809"/>
      <c r="AB86" s="810"/>
      <c r="AC86" s="812"/>
      <c r="AD86" s="808"/>
      <c r="AE86" s="808"/>
      <c r="AF86" s="808"/>
      <c r="AG86" s="808"/>
      <c r="AH86" s="808"/>
      <c r="AI86" s="809"/>
      <c r="AJ86" s="810"/>
      <c r="AK86" s="812"/>
      <c r="AL86" s="808"/>
      <c r="AM86" s="808"/>
      <c r="AN86" s="808"/>
      <c r="AO86" s="808"/>
      <c r="AP86" s="808"/>
      <c r="AQ86" s="809"/>
      <c r="AR86" s="813"/>
      <c r="AS86" s="808"/>
      <c r="AT86" s="808"/>
      <c r="AU86" s="808"/>
      <c r="AV86" s="808"/>
      <c r="AW86" s="808"/>
      <c r="AX86" s="808"/>
      <c r="AY86" s="809"/>
      <c r="AZ86" s="810"/>
      <c r="BA86" s="809"/>
      <c r="BB86" s="808"/>
      <c r="BC86" s="809"/>
      <c r="BD86" s="809"/>
      <c r="BE86" s="808"/>
      <c r="BF86" s="808"/>
      <c r="BG86" s="809"/>
      <c r="BH86" s="810"/>
      <c r="BI86" s="812"/>
      <c r="BJ86" s="808"/>
      <c r="BK86" s="808"/>
      <c r="BL86" s="808"/>
      <c r="BM86" s="808"/>
      <c r="BN86" s="808"/>
      <c r="BO86" s="809"/>
      <c r="BP86" s="810"/>
      <c r="BQ86" s="809"/>
      <c r="BR86" s="808"/>
      <c r="BS86" s="809"/>
      <c r="BT86" s="809"/>
      <c r="BU86" s="808"/>
      <c r="BV86" s="808"/>
      <c r="BW86" s="809"/>
      <c r="BX86" s="811"/>
    </row>
    <row r="87" ht="30.0" customHeight="1">
      <c r="A87" s="819">
        <v>81.0</v>
      </c>
      <c r="B87" s="807" t="s">
        <v>413</v>
      </c>
      <c r="C87" s="807" t="s">
        <v>440</v>
      </c>
      <c r="D87" s="728">
        <v>3048.0</v>
      </c>
      <c r="E87" s="808" t="s">
        <v>1108</v>
      </c>
      <c r="F87" s="808" t="s">
        <v>1221</v>
      </c>
      <c r="G87" s="808" t="s">
        <v>1222</v>
      </c>
      <c r="H87" s="808"/>
      <c r="I87" s="808" t="s">
        <v>1223</v>
      </c>
      <c r="J87" s="808" t="s">
        <v>1224</v>
      </c>
      <c r="K87" s="810"/>
      <c r="L87" s="810"/>
      <c r="M87" s="808"/>
      <c r="N87" s="808"/>
      <c r="O87" s="808"/>
      <c r="P87" s="808"/>
      <c r="Q87" s="808"/>
      <c r="R87" s="808"/>
      <c r="S87" s="809"/>
      <c r="T87" s="810"/>
      <c r="U87" s="809"/>
      <c r="V87" s="808"/>
      <c r="W87" s="809"/>
      <c r="X87" s="809"/>
      <c r="Y87" s="808"/>
      <c r="Z87" s="808"/>
      <c r="AA87" s="809"/>
      <c r="AB87" s="810"/>
      <c r="AC87" s="812"/>
      <c r="AD87" s="808"/>
      <c r="AE87" s="808"/>
      <c r="AF87" s="808"/>
      <c r="AG87" s="808"/>
      <c r="AH87" s="808"/>
      <c r="AI87" s="809"/>
      <c r="AJ87" s="810"/>
      <c r="AK87" s="812"/>
      <c r="AL87" s="808"/>
      <c r="AM87" s="808"/>
      <c r="AN87" s="808"/>
      <c r="AO87" s="808"/>
      <c r="AP87" s="808"/>
      <c r="AQ87" s="809"/>
      <c r="AR87" s="813"/>
      <c r="AS87" s="808"/>
      <c r="AT87" s="808"/>
      <c r="AU87" s="808"/>
      <c r="AV87" s="808"/>
      <c r="AW87" s="808"/>
      <c r="AX87" s="808"/>
      <c r="AY87" s="809"/>
      <c r="AZ87" s="810"/>
      <c r="BA87" s="809" t="s">
        <v>1108</v>
      </c>
      <c r="BB87" s="808" t="s">
        <v>1221</v>
      </c>
      <c r="BC87" s="809" t="s">
        <v>1222</v>
      </c>
      <c r="BD87" s="809"/>
      <c r="BE87" s="808" t="s">
        <v>1223</v>
      </c>
      <c r="BF87" s="808" t="s">
        <v>1247</v>
      </c>
      <c r="BG87" s="809"/>
      <c r="BH87" s="810"/>
      <c r="BI87" s="812"/>
      <c r="BJ87" s="808"/>
      <c r="BK87" s="808"/>
      <c r="BL87" s="808"/>
      <c r="BM87" s="808"/>
      <c r="BN87" s="808"/>
      <c r="BO87" s="809"/>
      <c r="BP87" s="810"/>
      <c r="BQ87" s="809"/>
      <c r="BR87" s="808"/>
      <c r="BS87" s="809"/>
      <c r="BT87" s="809"/>
      <c r="BU87" s="808"/>
      <c r="BV87" s="808"/>
      <c r="BW87" s="809"/>
      <c r="BX87" s="811"/>
    </row>
    <row r="88" ht="30.0" customHeight="1">
      <c r="A88" s="819">
        <v>82.0</v>
      </c>
      <c r="B88" s="807" t="s">
        <v>413</v>
      </c>
      <c r="C88" s="807" t="s">
        <v>559</v>
      </c>
      <c r="D88" s="728">
        <v>53943.0</v>
      </c>
      <c r="E88" s="808"/>
      <c r="F88" s="808"/>
      <c r="G88" s="808"/>
      <c r="H88" s="808"/>
      <c r="I88" s="808"/>
      <c r="J88" s="809"/>
      <c r="K88" s="810"/>
      <c r="L88" s="810"/>
      <c r="M88" s="808"/>
      <c r="N88" s="808"/>
      <c r="O88" s="808"/>
      <c r="P88" s="808"/>
      <c r="Q88" s="808"/>
      <c r="R88" s="808"/>
      <c r="S88" s="809"/>
      <c r="T88" s="810"/>
      <c r="U88" s="809"/>
      <c r="V88" s="808"/>
      <c r="W88" s="809"/>
      <c r="X88" s="809"/>
      <c r="Y88" s="808"/>
      <c r="Z88" s="808"/>
      <c r="AA88" s="809"/>
      <c r="AB88" s="810"/>
      <c r="AC88" s="812"/>
      <c r="AD88" s="808"/>
      <c r="AE88" s="808"/>
      <c r="AF88" s="808"/>
      <c r="AG88" s="808"/>
      <c r="AH88" s="808"/>
      <c r="AI88" s="809"/>
      <c r="AJ88" s="810"/>
      <c r="AK88" s="812"/>
      <c r="AL88" s="808"/>
      <c r="AM88" s="808"/>
      <c r="AN88" s="808"/>
      <c r="AO88" s="808"/>
      <c r="AP88" s="808"/>
      <c r="AQ88" s="809"/>
      <c r="AR88" s="813"/>
      <c r="AS88" s="808"/>
      <c r="AT88" s="808"/>
      <c r="AU88" s="808"/>
      <c r="AV88" s="808"/>
      <c r="AW88" s="808"/>
      <c r="AX88" s="808"/>
      <c r="AY88" s="809"/>
      <c r="AZ88" s="810"/>
      <c r="BA88" s="809"/>
      <c r="BB88" s="808"/>
      <c r="BC88" s="809"/>
      <c r="BD88" s="809"/>
      <c r="BE88" s="808"/>
      <c r="BF88" s="808"/>
      <c r="BG88" s="809"/>
      <c r="BH88" s="810"/>
      <c r="BI88" s="812"/>
      <c r="BJ88" s="808"/>
      <c r="BK88" s="808"/>
      <c r="BL88" s="808"/>
      <c r="BM88" s="808"/>
      <c r="BN88" s="808"/>
      <c r="BO88" s="809"/>
      <c r="BP88" s="810"/>
      <c r="BQ88" s="809"/>
      <c r="BR88" s="808"/>
      <c r="BS88" s="809"/>
      <c r="BT88" s="809"/>
      <c r="BU88" s="808"/>
      <c r="BV88" s="808"/>
      <c r="BW88" s="809"/>
      <c r="BX88" s="811"/>
    </row>
    <row r="89" ht="30.0" customHeight="1">
      <c r="A89" s="819">
        <v>83.0</v>
      </c>
      <c r="B89" s="807" t="s">
        <v>413</v>
      </c>
      <c r="C89" s="807" t="s">
        <v>532</v>
      </c>
      <c r="D89" s="728">
        <v>7172.0</v>
      </c>
      <c r="E89" s="808"/>
      <c r="F89" s="808"/>
      <c r="G89" s="808"/>
      <c r="H89" s="808"/>
      <c r="I89" s="808"/>
      <c r="J89" s="809"/>
      <c r="K89" s="810"/>
      <c r="L89" s="810"/>
      <c r="M89" s="808"/>
      <c r="N89" s="808"/>
      <c r="O89" s="808"/>
      <c r="P89" s="808"/>
      <c r="Q89" s="808"/>
      <c r="R89" s="808"/>
      <c r="S89" s="809"/>
      <c r="T89" s="810"/>
      <c r="U89" s="809"/>
      <c r="V89" s="808"/>
      <c r="W89" s="809"/>
      <c r="X89" s="809"/>
      <c r="Y89" s="808"/>
      <c r="Z89" s="808"/>
      <c r="AA89" s="809"/>
      <c r="AB89" s="810"/>
      <c r="AC89" s="812"/>
      <c r="AD89" s="808"/>
      <c r="AE89" s="808"/>
      <c r="AF89" s="808"/>
      <c r="AG89" s="808"/>
      <c r="AH89" s="808"/>
      <c r="AI89" s="809"/>
      <c r="AJ89" s="810"/>
      <c r="AK89" s="812"/>
      <c r="AL89" s="808"/>
      <c r="AM89" s="808"/>
      <c r="AN89" s="808"/>
      <c r="AO89" s="808"/>
      <c r="AP89" s="808"/>
      <c r="AQ89" s="809"/>
      <c r="AR89" s="813"/>
      <c r="AS89" s="808"/>
      <c r="AT89" s="808"/>
      <c r="AU89" s="808"/>
      <c r="AV89" s="808"/>
      <c r="AW89" s="808"/>
      <c r="AX89" s="808"/>
      <c r="AY89" s="809"/>
      <c r="AZ89" s="810"/>
      <c r="BA89" s="809"/>
      <c r="BB89" s="808"/>
      <c r="BC89" s="809"/>
      <c r="BD89" s="809"/>
      <c r="BE89" s="808"/>
      <c r="BF89" s="808"/>
      <c r="BG89" s="809"/>
      <c r="BH89" s="810"/>
      <c r="BI89" s="812"/>
      <c r="BJ89" s="808"/>
      <c r="BK89" s="808"/>
      <c r="BL89" s="808"/>
      <c r="BM89" s="808"/>
      <c r="BN89" s="808"/>
      <c r="BO89" s="809"/>
      <c r="BP89" s="810"/>
      <c r="BQ89" s="809"/>
      <c r="BR89" s="808"/>
      <c r="BS89" s="809"/>
      <c r="BT89" s="809"/>
      <c r="BU89" s="808"/>
      <c r="BV89" s="808"/>
      <c r="BW89" s="809"/>
      <c r="BX89" s="811"/>
    </row>
    <row r="90" ht="30.0" customHeight="1">
      <c r="A90" s="819">
        <v>84.0</v>
      </c>
      <c r="B90" s="807" t="s">
        <v>413</v>
      </c>
      <c r="C90" s="807" t="s">
        <v>504</v>
      </c>
      <c r="D90" s="728">
        <v>105772.0</v>
      </c>
      <c r="E90" s="808"/>
      <c r="F90" s="808"/>
      <c r="G90" s="808"/>
      <c r="H90" s="808"/>
      <c r="I90" s="808"/>
      <c r="J90" s="809"/>
      <c r="K90" s="810"/>
      <c r="L90" s="810"/>
      <c r="M90" s="808"/>
      <c r="N90" s="808"/>
      <c r="O90" s="808"/>
      <c r="P90" s="808"/>
      <c r="Q90" s="808"/>
      <c r="R90" s="808"/>
      <c r="S90" s="809"/>
      <c r="T90" s="810"/>
      <c r="U90" s="809"/>
      <c r="V90" s="808"/>
      <c r="W90" s="809"/>
      <c r="X90" s="809"/>
      <c r="Y90" s="808"/>
      <c r="Z90" s="808"/>
      <c r="AA90" s="809"/>
      <c r="AB90" s="810"/>
      <c r="AC90" s="812"/>
      <c r="AD90" s="808"/>
      <c r="AE90" s="808"/>
      <c r="AF90" s="808"/>
      <c r="AG90" s="808"/>
      <c r="AH90" s="808"/>
      <c r="AI90" s="809"/>
      <c r="AJ90" s="810"/>
      <c r="AK90" s="812"/>
      <c r="AL90" s="808"/>
      <c r="AM90" s="808"/>
      <c r="AN90" s="808"/>
      <c r="AO90" s="808"/>
      <c r="AP90" s="808"/>
      <c r="AQ90" s="809"/>
      <c r="AR90" s="813"/>
      <c r="AS90" s="808"/>
      <c r="AT90" s="808"/>
      <c r="AU90" s="808"/>
      <c r="AV90" s="808"/>
      <c r="AW90" s="808"/>
      <c r="AX90" s="808"/>
      <c r="AY90" s="809"/>
      <c r="AZ90" s="810"/>
      <c r="BA90" s="809"/>
      <c r="BB90" s="808"/>
      <c r="BC90" s="809"/>
      <c r="BD90" s="809"/>
      <c r="BE90" s="808"/>
      <c r="BF90" s="808"/>
      <c r="BG90" s="809"/>
      <c r="BH90" s="810"/>
      <c r="BI90" s="812"/>
      <c r="BJ90" s="808"/>
      <c r="BK90" s="808"/>
      <c r="BL90" s="808"/>
      <c r="BM90" s="808"/>
      <c r="BN90" s="808"/>
      <c r="BO90" s="809"/>
      <c r="BP90" s="810"/>
      <c r="BQ90" s="809"/>
      <c r="BR90" s="808"/>
      <c r="BS90" s="809"/>
      <c r="BT90" s="809"/>
      <c r="BU90" s="808"/>
      <c r="BV90" s="808"/>
      <c r="BW90" s="809"/>
      <c r="BX90" s="811"/>
    </row>
    <row r="91" ht="30.0" customHeight="1">
      <c r="A91" s="819">
        <v>85.0</v>
      </c>
      <c r="B91" s="807" t="s">
        <v>413</v>
      </c>
      <c r="C91" s="807" t="s">
        <v>542</v>
      </c>
      <c r="D91" s="728">
        <v>105661.0</v>
      </c>
      <c r="E91" s="808"/>
      <c r="F91" s="808"/>
      <c r="G91" s="808"/>
      <c r="H91" s="808"/>
      <c r="I91" s="808"/>
      <c r="J91" s="809"/>
      <c r="K91" s="810"/>
      <c r="L91" s="810"/>
      <c r="M91" s="808"/>
      <c r="N91" s="808"/>
      <c r="O91" s="808"/>
      <c r="P91" s="808"/>
      <c r="Q91" s="808"/>
      <c r="R91" s="808"/>
      <c r="S91" s="809"/>
      <c r="T91" s="810"/>
      <c r="U91" s="809"/>
      <c r="V91" s="808"/>
      <c r="W91" s="809"/>
      <c r="X91" s="809"/>
      <c r="Y91" s="808"/>
      <c r="Z91" s="808"/>
      <c r="AA91" s="809"/>
      <c r="AB91" s="810"/>
      <c r="AC91" s="812"/>
      <c r="AD91" s="808"/>
      <c r="AE91" s="808"/>
      <c r="AF91" s="808"/>
      <c r="AG91" s="808"/>
      <c r="AH91" s="808"/>
      <c r="AI91" s="809"/>
      <c r="AJ91" s="810"/>
      <c r="AK91" s="812"/>
      <c r="AL91" s="808"/>
      <c r="AM91" s="808"/>
      <c r="AN91" s="808"/>
      <c r="AO91" s="808"/>
      <c r="AP91" s="808"/>
      <c r="AQ91" s="809"/>
      <c r="AR91" s="813"/>
      <c r="AS91" s="808"/>
      <c r="AT91" s="808"/>
      <c r="AU91" s="808"/>
      <c r="AV91" s="808"/>
      <c r="AW91" s="808"/>
      <c r="AX91" s="808"/>
      <c r="AY91" s="809"/>
      <c r="AZ91" s="810"/>
      <c r="BA91" s="809"/>
      <c r="BB91" s="808"/>
      <c r="BC91" s="809"/>
      <c r="BD91" s="809"/>
      <c r="BE91" s="808"/>
      <c r="BF91" s="808"/>
      <c r="BG91" s="809"/>
      <c r="BH91" s="810"/>
      <c r="BI91" s="812"/>
      <c r="BJ91" s="808"/>
      <c r="BK91" s="808"/>
      <c r="BL91" s="808"/>
      <c r="BM91" s="808"/>
      <c r="BN91" s="808"/>
      <c r="BO91" s="809"/>
      <c r="BP91" s="810"/>
      <c r="BQ91" s="809"/>
      <c r="BR91" s="808"/>
      <c r="BS91" s="809"/>
      <c r="BT91" s="809"/>
      <c r="BU91" s="808"/>
      <c r="BV91" s="808"/>
      <c r="BW91" s="809"/>
      <c r="BX91" s="811"/>
    </row>
    <row r="92" ht="30.0" customHeight="1">
      <c r="A92" s="819">
        <v>86.0</v>
      </c>
      <c r="B92" s="807" t="s">
        <v>413</v>
      </c>
      <c r="C92" s="807" t="s">
        <v>537</v>
      </c>
      <c r="D92" s="728">
        <v>105656.0</v>
      </c>
      <c r="E92" s="808"/>
      <c r="F92" s="808"/>
      <c r="G92" s="808"/>
      <c r="H92" s="808"/>
      <c r="I92" s="808"/>
      <c r="J92" s="809"/>
      <c r="K92" s="810"/>
      <c r="L92" s="810"/>
      <c r="M92" s="808"/>
      <c r="N92" s="808"/>
      <c r="O92" s="808"/>
      <c r="P92" s="808"/>
      <c r="Q92" s="808"/>
      <c r="R92" s="808"/>
      <c r="S92" s="809"/>
      <c r="T92" s="810"/>
      <c r="U92" s="809"/>
      <c r="V92" s="808"/>
      <c r="W92" s="809"/>
      <c r="X92" s="809"/>
      <c r="Y92" s="808"/>
      <c r="Z92" s="808"/>
      <c r="AA92" s="809"/>
      <c r="AB92" s="810"/>
      <c r="AC92" s="812"/>
      <c r="AD92" s="808"/>
      <c r="AE92" s="808"/>
      <c r="AF92" s="808"/>
      <c r="AG92" s="808"/>
      <c r="AH92" s="808"/>
      <c r="AI92" s="809"/>
      <c r="AJ92" s="810"/>
      <c r="AK92" s="812"/>
      <c r="AL92" s="808"/>
      <c r="AM92" s="808"/>
      <c r="AN92" s="808"/>
      <c r="AO92" s="808"/>
      <c r="AP92" s="808"/>
      <c r="AQ92" s="809"/>
      <c r="AR92" s="813"/>
      <c r="AS92" s="808"/>
      <c r="AT92" s="808"/>
      <c r="AU92" s="808"/>
      <c r="AV92" s="808"/>
      <c r="AW92" s="808"/>
      <c r="AX92" s="808"/>
      <c r="AY92" s="809"/>
      <c r="AZ92" s="810"/>
      <c r="BA92" s="809"/>
      <c r="BB92" s="808"/>
      <c r="BC92" s="809"/>
      <c r="BD92" s="809"/>
      <c r="BE92" s="808"/>
      <c r="BF92" s="808"/>
      <c r="BG92" s="809"/>
      <c r="BH92" s="810"/>
      <c r="BI92" s="812"/>
      <c r="BJ92" s="808"/>
      <c r="BK92" s="808"/>
      <c r="BL92" s="808"/>
      <c r="BM92" s="808"/>
      <c r="BN92" s="808"/>
      <c r="BO92" s="809"/>
      <c r="BP92" s="810"/>
      <c r="BQ92" s="809"/>
      <c r="BR92" s="808"/>
      <c r="BS92" s="809"/>
      <c r="BT92" s="809"/>
      <c r="BU92" s="808"/>
      <c r="BV92" s="808"/>
      <c r="BW92" s="809"/>
      <c r="BX92" s="811"/>
    </row>
    <row r="93" ht="30.0" customHeight="1">
      <c r="A93" s="819">
        <v>87.0</v>
      </c>
      <c r="B93" s="807" t="s">
        <v>413</v>
      </c>
      <c r="C93" s="807" t="s">
        <v>1128</v>
      </c>
      <c r="D93" s="728">
        <v>104063.0</v>
      </c>
      <c r="E93" s="808"/>
      <c r="F93" s="808"/>
      <c r="G93" s="808"/>
      <c r="H93" s="808"/>
      <c r="I93" s="808"/>
      <c r="J93" s="809"/>
      <c r="K93" s="810"/>
      <c r="L93" s="810"/>
      <c r="M93" s="808"/>
      <c r="N93" s="808"/>
      <c r="O93" s="808"/>
      <c r="P93" s="808"/>
      <c r="Q93" s="808"/>
      <c r="R93" s="808"/>
      <c r="S93" s="809"/>
      <c r="T93" s="810"/>
      <c r="U93" s="809"/>
      <c r="V93" s="808"/>
      <c r="W93" s="809"/>
      <c r="X93" s="809"/>
      <c r="Y93" s="808"/>
      <c r="Z93" s="808"/>
      <c r="AA93" s="809"/>
      <c r="AB93" s="810"/>
      <c r="AC93" s="812"/>
      <c r="AD93" s="808"/>
      <c r="AE93" s="808"/>
      <c r="AF93" s="808"/>
      <c r="AG93" s="808"/>
      <c r="AH93" s="808"/>
      <c r="AI93" s="809"/>
      <c r="AJ93" s="810"/>
      <c r="AK93" s="812"/>
      <c r="AL93" s="808"/>
      <c r="AM93" s="808"/>
      <c r="AN93" s="808"/>
      <c r="AO93" s="808"/>
      <c r="AP93" s="808"/>
      <c r="AQ93" s="809"/>
      <c r="AR93" s="813"/>
      <c r="AS93" s="808"/>
      <c r="AT93" s="808"/>
      <c r="AU93" s="808"/>
      <c r="AV93" s="808"/>
      <c r="AW93" s="808"/>
      <c r="AX93" s="808"/>
      <c r="AY93" s="809"/>
      <c r="AZ93" s="810"/>
      <c r="BA93" s="809"/>
      <c r="BB93" s="808"/>
      <c r="BC93" s="809"/>
      <c r="BD93" s="809"/>
      <c r="BE93" s="808"/>
      <c r="BF93" s="808"/>
      <c r="BG93" s="809"/>
      <c r="BH93" s="810"/>
      <c r="BI93" s="812"/>
      <c r="BJ93" s="808"/>
      <c r="BK93" s="808"/>
      <c r="BL93" s="808"/>
      <c r="BM93" s="808"/>
      <c r="BN93" s="808"/>
      <c r="BO93" s="809"/>
      <c r="BP93" s="810"/>
      <c r="BQ93" s="809"/>
      <c r="BR93" s="808"/>
      <c r="BS93" s="809"/>
      <c r="BT93" s="809"/>
      <c r="BU93" s="808"/>
      <c r="BV93" s="808"/>
      <c r="BW93" s="809"/>
      <c r="BX93" s="811"/>
    </row>
    <row r="94" ht="30.0" customHeight="1">
      <c r="A94" s="819">
        <v>88.0</v>
      </c>
      <c r="B94" s="807" t="s">
        <v>413</v>
      </c>
      <c r="C94" s="807" t="s">
        <v>1030</v>
      </c>
      <c r="D94" s="728">
        <v>12098.0</v>
      </c>
      <c r="E94" s="808"/>
      <c r="F94" s="808"/>
      <c r="G94" s="808"/>
      <c r="H94" s="808"/>
      <c r="I94" s="808"/>
      <c r="J94" s="809"/>
      <c r="K94" s="810"/>
      <c r="L94" s="810"/>
      <c r="M94" s="808"/>
      <c r="N94" s="808"/>
      <c r="O94" s="808"/>
      <c r="P94" s="808"/>
      <c r="Q94" s="808"/>
      <c r="R94" s="808"/>
      <c r="S94" s="809"/>
      <c r="T94" s="810"/>
      <c r="U94" s="809"/>
      <c r="V94" s="808"/>
      <c r="W94" s="809"/>
      <c r="X94" s="809"/>
      <c r="Y94" s="808"/>
      <c r="Z94" s="808"/>
      <c r="AA94" s="809"/>
      <c r="AB94" s="810"/>
      <c r="AC94" s="812"/>
      <c r="AD94" s="808"/>
      <c r="AE94" s="808"/>
      <c r="AF94" s="808"/>
      <c r="AG94" s="808"/>
      <c r="AH94" s="808"/>
      <c r="AI94" s="809"/>
      <c r="AJ94" s="810"/>
      <c r="AK94" s="812"/>
      <c r="AL94" s="808"/>
      <c r="AM94" s="808"/>
      <c r="AN94" s="808"/>
      <c r="AO94" s="808"/>
      <c r="AP94" s="808"/>
      <c r="AQ94" s="809"/>
      <c r="AR94" s="813"/>
      <c r="AS94" s="808"/>
      <c r="AT94" s="808"/>
      <c r="AU94" s="808"/>
      <c r="AV94" s="808"/>
      <c r="AW94" s="808"/>
      <c r="AX94" s="808"/>
      <c r="AY94" s="809"/>
      <c r="AZ94" s="810"/>
      <c r="BA94" s="809"/>
      <c r="BB94" s="808"/>
      <c r="BC94" s="809"/>
      <c r="BD94" s="809"/>
      <c r="BE94" s="808"/>
      <c r="BF94" s="808"/>
      <c r="BG94" s="809"/>
      <c r="BH94" s="810"/>
      <c r="BI94" s="812"/>
      <c r="BJ94" s="808"/>
      <c r="BK94" s="808"/>
      <c r="BL94" s="808"/>
      <c r="BM94" s="808"/>
      <c r="BN94" s="808"/>
      <c r="BO94" s="809"/>
      <c r="BP94" s="810"/>
      <c r="BQ94" s="809"/>
      <c r="BR94" s="808"/>
      <c r="BS94" s="809"/>
      <c r="BT94" s="809"/>
      <c r="BU94" s="808"/>
      <c r="BV94" s="808"/>
      <c r="BW94" s="809"/>
      <c r="BX94" s="811"/>
    </row>
    <row r="95" ht="30.0" customHeight="1">
      <c r="A95" s="819">
        <v>89.0</v>
      </c>
      <c r="B95" s="807" t="s">
        <v>413</v>
      </c>
      <c r="C95" s="807" t="s">
        <v>523</v>
      </c>
      <c r="D95" s="728">
        <v>105532.0</v>
      </c>
      <c r="E95" s="808"/>
      <c r="F95" s="808"/>
      <c r="G95" s="808"/>
      <c r="H95" s="808"/>
      <c r="I95" s="808"/>
      <c r="J95" s="809"/>
      <c r="K95" s="810"/>
      <c r="L95" s="810"/>
      <c r="M95" s="808"/>
      <c r="N95" s="808"/>
      <c r="O95" s="808"/>
      <c r="P95" s="808"/>
      <c r="Q95" s="808"/>
      <c r="R95" s="808"/>
      <c r="S95" s="809"/>
      <c r="T95" s="810"/>
      <c r="U95" s="809"/>
      <c r="V95" s="808"/>
      <c r="W95" s="809"/>
      <c r="X95" s="809"/>
      <c r="Y95" s="808"/>
      <c r="Z95" s="808"/>
      <c r="AA95" s="809"/>
      <c r="AB95" s="810"/>
      <c r="AC95" s="812"/>
      <c r="AD95" s="808"/>
      <c r="AE95" s="808"/>
      <c r="AF95" s="808"/>
      <c r="AG95" s="808"/>
      <c r="AH95" s="808"/>
      <c r="AI95" s="809"/>
      <c r="AJ95" s="810"/>
      <c r="AK95" s="812"/>
      <c r="AL95" s="808"/>
      <c r="AM95" s="808"/>
      <c r="AN95" s="808"/>
      <c r="AO95" s="808"/>
      <c r="AP95" s="808"/>
      <c r="AQ95" s="809"/>
      <c r="AR95" s="813"/>
      <c r="AS95" s="808"/>
      <c r="AT95" s="808"/>
      <c r="AU95" s="808"/>
      <c r="AV95" s="808"/>
      <c r="AW95" s="808"/>
      <c r="AX95" s="808"/>
      <c r="AY95" s="809"/>
      <c r="AZ95" s="810"/>
      <c r="BA95" s="809"/>
      <c r="BB95" s="808"/>
      <c r="BC95" s="809"/>
      <c r="BD95" s="809"/>
      <c r="BE95" s="808"/>
      <c r="BF95" s="808"/>
      <c r="BG95" s="809"/>
      <c r="BH95" s="810"/>
      <c r="BI95" s="812"/>
      <c r="BJ95" s="808"/>
      <c r="BK95" s="808"/>
      <c r="BL95" s="808"/>
      <c r="BM95" s="808"/>
      <c r="BN95" s="808"/>
      <c r="BO95" s="809"/>
      <c r="BP95" s="810"/>
      <c r="BQ95" s="809"/>
      <c r="BR95" s="808"/>
      <c r="BS95" s="809"/>
      <c r="BT95" s="809"/>
      <c r="BU95" s="808"/>
      <c r="BV95" s="808"/>
      <c r="BW95" s="809"/>
      <c r="BX95" s="811"/>
    </row>
    <row r="96" ht="30.0" customHeight="1">
      <c r="A96" s="819">
        <v>90.0</v>
      </c>
      <c r="B96" s="807" t="s">
        <v>413</v>
      </c>
      <c r="C96" s="807" t="s">
        <v>1127</v>
      </c>
      <c r="D96" s="728">
        <v>52650.0</v>
      </c>
      <c r="E96" s="808"/>
      <c r="F96" s="808"/>
      <c r="G96" s="808"/>
      <c r="H96" s="808"/>
      <c r="I96" s="808"/>
      <c r="J96" s="809"/>
      <c r="K96" s="810"/>
      <c r="L96" s="810"/>
      <c r="M96" s="808"/>
      <c r="N96" s="808"/>
      <c r="O96" s="808"/>
      <c r="P96" s="808"/>
      <c r="Q96" s="808"/>
      <c r="R96" s="808"/>
      <c r="S96" s="809"/>
      <c r="T96" s="810"/>
      <c r="U96" s="809"/>
      <c r="V96" s="808"/>
      <c r="W96" s="809"/>
      <c r="X96" s="809"/>
      <c r="Y96" s="808"/>
      <c r="Z96" s="808"/>
      <c r="AA96" s="809"/>
      <c r="AB96" s="810"/>
      <c r="AC96" s="812"/>
      <c r="AD96" s="808"/>
      <c r="AE96" s="808"/>
      <c r="AF96" s="808"/>
      <c r="AG96" s="808"/>
      <c r="AH96" s="808"/>
      <c r="AI96" s="809"/>
      <c r="AJ96" s="810"/>
      <c r="AK96" s="812"/>
      <c r="AL96" s="808"/>
      <c r="AM96" s="808"/>
      <c r="AN96" s="808"/>
      <c r="AO96" s="808"/>
      <c r="AP96" s="808"/>
      <c r="AQ96" s="809"/>
      <c r="AR96" s="813"/>
      <c r="AS96" s="808"/>
      <c r="AT96" s="808"/>
      <c r="AU96" s="808"/>
      <c r="AV96" s="808"/>
      <c r="AW96" s="808"/>
      <c r="AX96" s="808"/>
      <c r="AY96" s="809"/>
      <c r="AZ96" s="810"/>
      <c r="BA96" s="809"/>
      <c r="BB96" s="808"/>
      <c r="BC96" s="809"/>
      <c r="BD96" s="809"/>
      <c r="BE96" s="808"/>
      <c r="BF96" s="808"/>
      <c r="BG96" s="809"/>
      <c r="BH96" s="810"/>
      <c r="BI96" s="812"/>
      <c r="BJ96" s="808"/>
      <c r="BK96" s="808"/>
      <c r="BL96" s="808"/>
      <c r="BM96" s="808"/>
      <c r="BN96" s="808"/>
      <c r="BO96" s="809"/>
      <c r="BP96" s="810"/>
      <c r="BQ96" s="809"/>
      <c r="BR96" s="808"/>
      <c r="BS96" s="809"/>
      <c r="BT96" s="809"/>
      <c r="BU96" s="808"/>
      <c r="BV96" s="808"/>
      <c r="BW96" s="809"/>
      <c r="BX96" s="811"/>
    </row>
    <row r="97" ht="30.0" customHeight="1">
      <c r="A97" s="819">
        <v>91.0</v>
      </c>
      <c r="B97" s="807" t="s">
        <v>413</v>
      </c>
      <c r="C97" s="807" t="s">
        <v>1066</v>
      </c>
      <c r="D97" s="728">
        <v>3636.0</v>
      </c>
      <c r="E97" s="808"/>
      <c r="F97" s="808"/>
      <c r="G97" s="808"/>
      <c r="H97" s="808"/>
      <c r="I97" s="808"/>
      <c r="J97" s="809"/>
      <c r="K97" s="810"/>
      <c r="L97" s="810"/>
      <c r="M97" s="808"/>
      <c r="N97" s="808"/>
      <c r="O97" s="808"/>
      <c r="P97" s="808"/>
      <c r="Q97" s="808"/>
      <c r="R97" s="808"/>
      <c r="S97" s="809"/>
      <c r="T97" s="810"/>
      <c r="U97" s="809" t="s">
        <v>1108</v>
      </c>
      <c r="V97" s="808" t="s">
        <v>1221</v>
      </c>
      <c r="W97" s="809" t="s">
        <v>1222</v>
      </c>
      <c r="X97" s="809"/>
      <c r="Y97" s="808" t="s">
        <v>1223</v>
      </c>
      <c r="Z97" s="808" t="s">
        <v>1224</v>
      </c>
      <c r="AA97" s="809"/>
      <c r="AB97" s="810"/>
      <c r="AC97" s="812"/>
      <c r="AD97" s="808"/>
      <c r="AE97" s="808"/>
      <c r="AF97" s="808"/>
      <c r="AG97" s="808"/>
      <c r="AH97" s="808"/>
      <c r="AI97" s="809"/>
      <c r="AJ97" s="810"/>
      <c r="AK97" s="812"/>
      <c r="AL97" s="808"/>
      <c r="AM97" s="808"/>
      <c r="AN97" s="808"/>
      <c r="AO97" s="808"/>
      <c r="AP97" s="808"/>
      <c r="AQ97" s="809"/>
      <c r="AR97" s="813"/>
      <c r="AS97" s="808"/>
      <c r="AT97" s="808"/>
      <c r="AU97" s="808"/>
      <c r="AV97" s="808"/>
      <c r="AW97" s="808"/>
      <c r="AX97" s="808"/>
      <c r="AY97" s="809"/>
      <c r="AZ97" s="810"/>
      <c r="BA97" s="809"/>
      <c r="BB97" s="808"/>
      <c r="BC97" s="809"/>
      <c r="BD97" s="809"/>
      <c r="BE97" s="808"/>
      <c r="BF97" s="808"/>
      <c r="BG97" s="809"/>
      <c r="BH97" s="810"/>
      <c r="BI97" s="812"/>
      <c r="BJ97" s="808"/>
      <c r="BK97" s="808"/>
      <c r="BL97" s="808"/>
      <c r="BM97" s="808"/>
      <c r="BN97" s="808"/>
      <c r="BO97" s="809"/>
      <c r="BP97" s="810"/>
      <c r="BQ97" s="809"/>
      <c r="BR97" s="808"/>
      <c r="BS97" s="809"/>
      <c r="BT97" s="809"/>
      <c r="BU97" s="808"/>
      <c r="BV97" s="808"/>
      <c r="BW97" s="809"/>
      <c r="BX97" s="811"/>
    </row>
    <row r="98" ht="30.0" customHeight="1">
      <c r="A98" s="819">
        <v>92.0</v>
      </c>
      <c r="B98" s="807" t="s">
        <v>413</v>
      </c>
      <c r="C98" s="807" t="s">
        <v>476</v>
      </c>
      <c r="D98" s="65">
        <v>106651.0</v>
      </c>
      <c r="E98" s="808"/>
      <c r="F98" s="808"/>
      <c r="G98" s="808"/>
      <c r="H98" s="808"/>
      <c r="I98" s="808"/>
      <c r="J98" s="809"/>
      <c r="K98" s="810"/>
      <c r="L98" s="810"/>
      <c r="M98" s="808" t="s">
        <v>1108</v>
      </c>
      <c r="N98" s="808" t="s">
        <v>1221</v>
      </c>
      <c r="O98" s="808" t="s">
        <v>1222</v>
      </c>
      <c r="P98" s="808"/>
      <c r="Q98" s="808" t="s">
        <v>1223</v>
      </c>
      <c r="R98" s="808" t="s">
        <v>1224</v>
      </c>
      <c r="S98" s="809"/>
      <c r="T98" s="810"/>
      <c r="U98" s="809"/>
      <c r="V98" s="808"/>
      <c r="W98" s="809"/>
      <c r="X98" s="809"/>
      <c r="Y98" s="808"/>
      <c r="Z98" s="808"/>
      <c r="AA98" s="809"/>
      <c r="AB98" s="810"/>
      <c r="AC98" s="812" t="s">
        <v>1108</v>
      </c>
      <c r="AD98" s="808" t="s">
        <v>1221</v>
      </c>
      <c r="AE98" s="808" t="s">
        <v>1222</v>
      </c>
      <c r="AF98" s="808"/>
      <c r="AG98" s="808" t="s">
        <v>1228</v>
      </c>
      <c r="AH98" s="808" t="s">
        <v>1224</v>
      </c>
      <c r="AI98" s="809" t="s">
        <v>89</v>
      </c>
      <c r="AJ98" s="810"/>
      <c r="AK98" s="812"/>
      <c r="AL98" s="808"/>
      <c r="AM98" s="808"/>
      <c r="AN98" s="808"/>
      <c r="AO98" s="808"/>
      <c r="AP98" s="808"/>
      <c r="AQ98" s="809"/>
      <c r="AR98" s="813"/>
      <c r="AS98" s="808"/>
      <c r="AT98" s="808"/>
      <c r="AU98" s="808"/>
      <c r="AV98" s="808"/>
      <c r="AW98" s="808"/>
      <c r="AX98" s="808"/>
      <c r="AY98" s="809"/>
      <c r="AZ98" s="810"/>
      <c r="BA98" s="809"/>
      <c r="BB98" s="808"/>
      <c r="BC98" s="809"/>
      <c r="BD98" s="809"/>
      <c r="BE98" s="808"/>
      <c r="BF98" s="808"/>
      <c r="BG98" s="809"/>
      <c r="BH98" s="810"/>
      <c r="BI98" s="812"/>
      <c r="BJ98" s="808"/>
      <c r="BK98" s="808"/>
      <c r="BL98" s="808"/>
      <c r="BM98" s="808"/>
      <c r="BN98" s="808"/>
      <c r="BO98" s="809"/>
      <c r="BP98" s="810"/>
      <c r="BQ98" s="809"/>
      <c r="BR98" s="808"/>
      <c r="BS98" s="809"/>
      <c r="BT98" s="809"/>
      <c r="BU98" s="808"/>
      <c r="BV98" s="808"/>
      <c r="BW98" s="809"/>
      <c r="BX98" s="811"/>
    </row>
    <row r="99" ht="30.0" customHeight="1">
      <c r="A99" s="819">
        <v>93.0</v>
      </c>
      <c r="B99" s="807" t="s">
        <v>413</v>
      </c>
      <c r="C99" s="66" t="s">
        <v>1067</v>
      </c>
      <c r="D99" s="65">
        <v>106574.0</v>
      </c>
      <c r="E99" s="808"/>
      <c r="F99" s="808"/>
      <c r="G99" s="808"/>
      <c r="H99" s="808"/>
      <c r="I99" s="808"/>
      <c r="J99" s="809"/>
      <c r="K99" s="810"/>
      <c r="L99" s="810"/>
      <c r="M99" s="808"/>
      <c r="N99" s="808"/>
      <c r="O99" s="808"/>
      <c r="P99" s="808"/>
      <c r="Q99" s="808"/>
      <c r="R99" s="808"/>
      <c r="S99" s="809"/>
      <c r="T99" s="810"/>
      <c r="U99" s="809"/>
      <c r="V99" s="808"/>
      <c r="W99" s="809"/>
      <c r="X99" s="809"/>
      <c r="Y99" s="808"/>
      <c r="Z99" s="808"/>
      <c r="AA99" s="809"/>
      <c r="AB99" s="810"/>
      <c r="AC99" s="812" t="s">
        <v>1108</v>
      </c>
      <c r="AD99" s="808" t="s">
        <v>1221</v>
      </c>
      <c r="AE99" s="808" t="s">
        <v>1222</v>
      </c>
      <c r="AF99" s="808"/>
      <c r="AG99" s="808" t="s">
        <v>1228</v>
      </c>
      <c r="AH99" s="808" t="s">
        <v>1224</v>
      </c>
      <c r="AI99" s="809" t="s">
        <v>89</v>
      </c>
      <c r="AJ99" s="810"/>
      <c r="AK99" s="812"/>
      <c r="AL99" s="808"/>
      <c r="AM99" s="808"/>
      <c r="AN99" s="808"/>
      <c r="AO99" s="808"/>
      <c r="AP99" s="808"/>
      <c r="AQ99" s="809"/>
      <c r="AR99" s="813"/>
      <c r="AS99" s="808"/>
      <c r="AT99" s="808"/>
      <c r="AU99" s="808"/>
      <c r="AV99" s="808"/>
      <c r="AW99" s="808"/>
      <c r="AX99" s="808"/>
      <c r="AY99" s="809"/>
      <c r="AZ99" s="810"/>
      <c r="BA99" s="809"/>
      <c r="BB99" s="808"/>
      <c r="BC99" s="809"/>
      <c r="BD99" s="809"/>
      <c r="BE99" s="808"/>
      <c r="BF99" s="808"/>
      <c r="BG99" s="809"/>
      <c r="BH99" s="810"/>
      <c r="BI99" s="812"/>
      <c r="BJ99" s="808"/>
      <c r="BK99" s="808"/>
      <c r="BL99" s="808"/>
      <c r="BM99" s="808"/>
      <c r="BN99" s="808"/>
      <c r="BO99" s="809"/>
      <c r="BP99" s="810"/>
      <c r="BQ99" s="809"/>
      <c r="BR99" s="808"/>
      <c r="BS99" s="809"/>
      <c r="BT99" s="809"/>
      <c r="BU99" s="808"/>
      <c r="BV99" s="808"/>
      <c r="BW99" s="809"/>
      <c r="BX99" s="811"/>
    </row>
    <row r="100" ht="30.0" customHeight="1">
      <c r="A100" s="819">
        <v>94.0</v>
      </c>
      <c r="B100" s="807" t="s">
        <v>413</v>
      </c>
      <c r="C100" s="807" t="s">
        <v>492</v>
      </c>
      <c r="D100" s="728">
        <v>106794.0</v>
      </c>
      <c r="E100" s="808"/>
      <c r="F100" s="808"/>
      <c r="G100" s="808"/>
      <c r="H100" s="808"/>
      <c r="I100" s="808"/>
      <c r="J100" s="809"/>
      <c r="K100" s="810"/>
      <c r="L100" s="810"/>
      <c r="M100" s="808"/>
      <c r="N100" s="808"/>
      <c r="O100" s="808"/>
      <c r="P100" s="808"/>
      <c r="Q100" s="808"/>
      <c r="R100" s="808"/>
      <c r="S100" s="809"/>
      <c r="T100" s="810"/>
      <c r="U100" s="809"/>
      <c r="V100" s="808"/>
      <c r="W100" s="809"/>
      <c r="X100" s="809"/>
      <c r="Y100" s="808"/>
      <c r="Z100" s="808"/>
      <c r="AA100" s="809"/>
      <c r="AB100" s="810"/>
      <c r="AC100" s="812" t="s">
        <v>1108</v>
      </c>
      <c r="AD100" s="808" t="s">
        <v>1221</v>
      </c>
      <c r="AE100" s="808" t="s">
        <v>1222</v>
      </c>
      <c r="AF100" s="808"/>
      <c r="AG100" s="808" t="s">
        <v>1228</v>
      </c>
      <c r="AH100" s="808" t="s">
        <v>1224</v>
      </c>
      <c r="AI100" s="809" t="s">
        <v>89</v>
      </c>
      <c r="AJ100" s="810"/>
      <c r="AK100" s="812"/>
      <c r="AL100" s="808"/>
      <c r="AM100" s="808"/>
      <c r="AN100" s="808"/>
      <c r="AO100" s="808"/>
      <c r="AP100" s="808"/>
      <c r="AQ100" s="809"/>
      <c r="AR100" s="813"/>
      <c r="AS100" s="808"/>
      <c r="AT100" s="808"/>
      <c r="AU100" s="808"/>
      <c r="AV100" s="808"/>
      <c r="AW100" s="808"/>
      <c r="AX100" s="808"/>
      <c r="AY100" s="809"/>
      <c r="AZ100" s="810"/>
      <c r="BA100" s="809" t="s">
        <v>1108</v>
      </c>
      <c r="BB100" s="808" t="s">
        <v>1227</v>
      </c>
      <c r="BC100" s="809" t="s">
        <v>1255</v>
      </c>
      <c r="BD100" s="809"/>
      <c r="BE100" s="808" t="s">
        <v>1223</v>
      </c>
      <c r="BF100" s="808" t="s">
        <v>1224</v>
      </c>
      <c r="BG100" s="809"/>
      <c r="BH100" s="810"/>
      <c r="BI100" s="812"/>
      <c r="BJ100" s="808"/>
      <c r="BK100" s="808"/>
      <c r="BL100" s="808"/>
      <c r="BM100" s="808"/>
      <c r="BN100" s="808"/>
      <c r="BO100" s="809"/>
      <c r="BP100" s="810"/>
      <c r="BQ100" s="809"/>
      <c r="BR100" s="808"/>
      <c r="BS100" s="809"/>
      <c r="BT100" s="809"/>
      <c r="BU100" s="808"/>
      <c r="BV100" s="808"/>
      <c r="BW100" s="809"/>
      <c r="BX100" s="811"/>
    </row>
    <row r="101" ht="30.0" customHeight="1">
      <c r="A101" s="819">
        <v>95.0</v>
      </c>
      <c r="B101" s="807" t="s">
        <v>413</v>
      </c>
      <c r="C101" s="807" t="s">
        <v>467</v>
      </c>
      <c r="D101" s="728">
        <v>106545.0</v>
      </c>
      <c r="E101" s="808"/>
      <c r="F101" s="808"/>
      <c r="G101" s="808"/>
      <c r="H101" s="808"/>
      <c r="I101" s="808"/>
      <c r="J101" s="809"/>
      <c r="K101" s="810"/>
      <c r="L101" s="810"/>
      <c r="M101" s="808"/>
      <c r="N101" s="808"/>
      <c r="O101" s="808"/>
      <c r="P101" s="808"/>
      <c r="Q101" s="808"/>
      <c r="R101" s="808"/>
      <c r="S101" s="809"/>
      <c r="T101" s="810"/>
      <c r="U101" s="809"/>
      <c r="V101" s="808"/>
      <c r="W101" s="809"/>
      <c r="X101" s="809"/>
      <c r="Y101" s="808"/>
      <c r="Z101" s="808"/>
      <c r="AA101" s="809"/>
      <c r="AB101" s="810"/>
      <c r="AC101" s="812" t="s">
        <v>1108</v>
      </c>
      <c r="AD101" s="808" t="s">
        <v>1221</v>
      </c>
      <c r="AE101" s="808" t="s">
        <v>1222</v>
      </c>
      <c r="AF101" s="808"/>
      <c r="AG101" s="808" t="s">
        <v>1223</v>
      </c>
      <c r="AH101" s="808" t="s">
        <v>1224</v>
      </c>
      <c r="AI101" s="809" t="s">
        <v>82</v>
      </c>
      <c r="AJ101" s="810"/>
      <c r="AK101" s="812"/>
      <c r="AL101" s="808"/>
      <c r="AM101" s="808"/>
      <c r="AN101" s="808"/>
      <c r="AO101" s="808"/>
      <c r="AP101" s="808"/>
      <c r="AQ101" s="809"/>
      <c r="AR101" s="813"/>
      <c r="AS101" s="808"/>
      <c r="AT101" s="808"/>
      <c r="AU101" s="808"/>
      <c r="AV101" s="808"/>
      <c r="AW101" s="808"/>
      <c r="AX101" s="808"/>
      <c r="AY101" s="809"/>
      <c r="AZ101" s="810"/>
      <c r="BA101" s="809" t="s">
        <v>1108</v>
      </c>
      <c r="BB101" s="808" t="s">
        <v>1227</v>
      </c>
      <c r="BC101" s="809" t="s">
        <v>1255</v>
      </c>
      <c r="BD101" s="809"/>
      <c r="BE101" s="808" t="s">
        <v>1223</v>
      </c>
      <c r="BF101" s="808" t="s">
        <v>1224</v>
      </c>
      <c r="BG101" s="809" t="s">
        <v>82</v>
      </c>
      <c r="BH101" s="810"/>
      <c r="BI101" s="812"/>
      <c r="BJ101" s="808"/>
      <c r="BK101" s="808"/>
      <c r="BL101" s="808"/>
      <c r="BM101" s="808"/>
      <c r="BN101" s="808"/>
      <c r="BO101" s="809"/>
      <c r="BP101" s="810"/>
      <c r="BQ101" s="809"/>
      <c r="BR101" s="808"/>
      <c r="BS101" s="809"/>
      <c r="BT101" s="809"/>
      <c r="BU101" s="808"/>
      <c r="BV101" s="808"/>
      <c r="BW101" s="809"/>
      <c r="BX101" s="811"/>
    </row>
    <row r="102" ht="30.0" customHeight="1">
      <c r="A102" s="819">
        <v>96.0</v>
      </c>
      <c r="B102" s="807" t="s">
        <v>413</v>
      </c>
      <c r="C102" s="807" t="s">
        <v>1256</v>
      </c>
      <c r="D102" s="728">
        <v>106421.0</v>
      </c>
      <c r="E102" s="808"/>
      <c r="F102" s="808"/>
      <c r="G102" s="808"/>
      <c r="H102" s="808"/>
      <c r="I102" s="808"/>
      <c r="J102" s="809"/>
      <c r="K102" s="810"/>
      <c r="L102" s="810"/>
      <c r="M102" s="808"/>
      <c r="N102" s="808"/>
      <c r="O102" s="808"/>
      <c r="P102" s="808"/>
      <c r="Q102" s="808"/>
      <c r="R102" s="808"/>
      <c r="S102" s="809"/>
      <c r="T102" s="810"/>
      <c r="U102" s="809"/>
      <c r="V102" s="808"/>
      <c r="W102" s="809"/>
      <c r="X102" s="809"/>
      <c r="Y102" s="808"/>
      <c r="Z102" s="808"/>
      <c r="AA102" s="809"/>
      <c r="AB102" s="810"/>
      <c r="AC102" s="812"/>
      <c r="AD102" s="808"/>
      <c r="AE102" s="808"/>
      <c r="AF102" s="808"/>
      <c r="AG102" s="808"/>
      <c r="AH102" s="808"/>
      <c r="AI102" s="809"/>
      <c r="AJ102" s="810"/>
      <c r="AK102" s="812"/>
      <c r="AL102" s="808"/>
      <c r="AM102" s="808"/>
      <c r="AN102" s="808"/>
      <c r="AO102" s="808"/>
      <c r="AP102" s="808"/>
      <c r="AQ102" s="809"/>
      <c r="AR102" s="813"/>
      <c r="AS102" s="808"/>
      <c r="AT102" s="808"/>
      <c r="AU102" s="808"/>
      <c r="AV102" s="808"/>
      <c r="AW102" s="808"/>
      <c r="AX102" s="808"/>
      <c r="AY102" s="809"/>
      <c r="AZ102" s="810"/>
      <c r="BA102" s="809"/>
      <c r="BB102" s="808"/>
      <c r="BC102" s="809"/>
      <c r="BD102" s="809"/>
      <c r="BE102" s="808"/>
      <c r="BF102" s="808"/>
      <c r="BG102" s="809"/>
      <c r="BH102" s="810"/>
      <c r="BI102" s="812"/>
      <c r="BJ102" s="808"/>
      <c r="BK102" s="808"/>
      <c r="BL102" s="808"/>
      <c r="BM102" s="808"/>
      <c r="BN102" s="808"/>
      <c r="BO102" s="809"/>
      <c r="BP102" s="810"/>
      <c r="BQ102" s="809"/>
      <c r="BR102" s="808"/>
      <c r="BS102" s="809"/>
      <c r="BT102" s="809"/>
      <c r="BU102" s="808"/>
      <c r="BV102" s="808"/>
      <c r="BW102" s="809"/>
      <c r="BX102" s="811"/>
    </row>
    <row r="103" ht="30.0" customHeight="1">
      <c r="A103" s="819">
        <v>97.0</v>
      </c>
      <c r="B103" s="807" t="s">
        <v>413</v>
      </c>
      <c r="C103" s="807" t="s">
        <v>1257</v>
      </c>
      <c r="D103" s="728">
        <v>106422.0</v>
      </c>
      <c r="E103" s="808"/>
      <c r="F103" s="808"/>
      <c r="G103" s="808"/>
      <c r="H103" s="808"/>
      <c r="I103" s="808"/>
      <c r="J103" s="809"/>
      <c r="K103" s="810"/>
      <c r="L103" s="810"/>
      <c r="M103" s="808"/>
      <c r="N103" s="808"/>
      <c r="O103" s="808"/>
      <c r="P103" s="808"/>
      <c r="Q103" s="808"/>
      <c r="R103" s="808"/>
      <c r="S103" s="809"/>
      <c r="T103" s="810"/>
      <c r="U103" s="809"/>
      <c r="V103" s="808"/>
      <c r="W103" s="809"/>
      <c r="X103" s="809"/>
      <c r="Y103" s="808"/>
      <c r="Z103" s="808"/>
      <c r="AA103" s="809"/>
      <c r="AB103" s="810"/>
      <c r="AC103" s="812"/>
      <c r="AD103" s="808"/>
      <c r="AE103" s="808"/>
      <c r="AF103" s="808"/>
      <c r="AG103" s="808"/>
      <c r="AH103" s="808"/>
      <c r="AI103" s="809"/>
      <c r="AJ103" s="810"/>
      <c r="AK103" s="812"/>
      <c r="AL103" s="808"/>
      <c r="AM103" s="808"/>
      <c r="AN103" s="808"/>
      <c r="AO103" s="808"/>
      <c r="AP103" s="808"/>
      <c r="AQ103" s="809"/>
      <c r="AR103" s="813"/>
      <c r="AS103" s="808"/>
      <c r="AT103" s="808"/>
      <c r="AU103" s="808"/>
      <c r="AV103" s="808"/>
      <c r="AW103" s="808"/>
      <c r="AX103" s="808"/>
      <c r="AY103" s="809"/>
      <c r="AZ103" s="810"/>
      <c r="BA103" s="809"/>
      <c r="BB103" s="808"/>
      <c r="BC103" s="809"/>
      <c r="BD103" s="809"/>
      <c r="BE103" s="808"/>
      <c r="BF103" s="808"/>
      <c r="BG103" s="809"/>
      <c r="BH103" s="810"/>
      <c r="BI103" s="812"/>
      <c r="BJ103" s="808"/>
      <c r="BK103" s="808"/>
      <c r="BL103" s="808"/>
      <c r="BM103" s="808"/>
      <c r="BN103" s="808"/>
      <c r="BO103" s="809"/>
      <c r="BP103" s="810"/>
      <c r="BQ103" s="809"/>
      <c r="BR103" s="808"/>
      <c r="BS103" s="809"/>
      <c r="BT103" s="809"/>
      <c r="BU103" s="808"/>
      <c r="BV103" s="808"/>
      <c r="BW103" s="809"/>
      <c r="BX103" s="811"/>
    </row>
    <row r="104" ht="30.0" customHeight="1">
      <c r="A104" s="819">
        <v>98.0</v>
      </c>
      <c r="B104" s="807" t="s">
        <v>413</v>
      </c>
      <c r="C104" s="807" t="s">
        <v>564</v>
      </c>
      <c r="D104" s="728">
        <v>229.0</v>
      </c>
      <c r="E104" s="808"/>
      <c r="F104" s="808"/>
      <c r="G104" s="808"/>
      <c r="H104" s="808"/>
      <c r="I104" s="808"/>
      <c r="J104" s="809"/>
      <c r="K104" s="810"/>
      <c r="L104" s="810"/>
      <c r="M104" s="808"/>
      <c r="N104" s="808"/>
      <c r="O104" s="808"/>
      <c r="P104" s="808"/>
      <c r="Q104" s="808"/>
      <c r="R104" s="808"/>
      <c r="S104" s="809"/>
      <c r="T104" s="810"/>
      <c r="U104" s="809"/>
      <c r="V104" s="808"/>
      <c r="W104" s="809"/>
      <c r="X104" s="809"/>
      <c r="Y104" s="808"/>
      <c r="Z104" s="808"/>
      <c r="AA104" s="809"/>
      <c r="AB104" s="810"/>
      <c r="AC104" s="812" t="s">
        <v>1108</v>
      </c>
      <c r="AD104" s="808" t="s">
        <v>1221</v>
      </c>
      <c r="AE104" s="808" t="s">
        <v>1222</v>
      </c>
      <c r="AF104" s="808"/>
      <c r="AG104" s="808" t="s">
        <v>1228</v>
      </c>
      <c r="AH104" s="808" t="s">
        <v>1224</v>
      </c>
      <c r="AI104" s="809" t="s">
        <v>89</v>
      </c>
      <c r="AJ104" s="810"/>
      <c r="AK104" s="812"/>
      <c r="AL104" s="808"/>
      <c r="AM104" s="808"/>
      <c r="AN104" s="808"/>
      <c r="AO104" s="808"/>
      <c r="AP104" s="808"/>
      <c r="AQ104" s="809"/>
      <c r="AR104" s="813"/>
      <c r="AS104" s="808" t="s">
        <v>1108</v>
      </c>
      <c r="AT104" s="808" t="s">
        <v>1221</v>
      </c>
      <c r="AU104" s="808" t="s">
        <v>1229</v>
      </c>
      <c r="AV104" s="808"/>
      <c r="AW104" s="808" t="s">
        <v>1223</v>
      </c>
      <c r="AX104" s="808" t="s">
        <v>1224</v>
      </c>
      <c r="AY104" s="809"/>
      <c r="AZ104" s="810"/>
      <c r="BA104" s="809"/>
      <c r="BB104" s="808"/>
      <c r="BC104" s="809"/>
      <c r="BD104" s="809"/>
      <c r="BE104" s="808"/>
      <c r="BF104" s="808"/>
      <c r="BG104" s="809"/>
      <c r="BH104" s="810"/>
      <c r="BI104" s="812"/>
      <c r="BJ104" s="808"/>
      <c r="BK104" s="808"/>
      <c r="BL104" s="808"/>
      <c r="BM104" s="808"/>
      <c r="BN104" s="808"/>
      <c r="BO104" s="809"/>
      <c r="BP104" s="810"/>
      <c r="BQ104" s="809"/>
      <c r="BR104" s="808"/>
      <c r="BS104" s="809"/>
      <c r="BT104" s="809"/>
      <c r="BU104" s="808"/>
      <c r="BV104" s="808"/>
      <c r="BW104" s="809"/>
      <c r="BX104" s="811"/>
    </row>
    <row r="105" ht="30.0" customHeight="1">
      <c r="A105" s="819">
        <v>99.0</v>
      </c>
      <c r="B105" s="807" t="s">
        <v>413</v>
      </c>
      <c r="C105" s="807" t="s">
        <v>572</v>
      </c>
      <c r="D105" s="728">
        <v>106198.0</v>
      </c>
      <c r="E105" s="808"/>
      <c r="F105" s="808"/>
      <c r="G105" s="808"/>
      <c r="H105" s="808"/>
      <c r="I105" s="808"/>
      <c r="J105" s="809"/>
      <c r="K105" s="810"/>
      <c r="L105" s="810"/>
      <c r="M105" s="808"/>
      <c r="N105" s="808"/>
      <c r="O105" s="808"/>
      <c r="P105" s="808"/>
      <c r="Q105" s="808"/>
      <c r="R105" s="808"/>
      <c r="S105" s="809"/>
      <c r="T105" s="810"/>
      <c r="U105" s="809"/>
      <c r="V105" s="808"/>
      <c r="W105" s="809"/>
      <c r="X105" s="809"/>
      <c r="Y105" s="808"/>
      <c r="Z105" s="808"/>
      <c r="AA105" s="809"/>
      <c r="AB105" s="810"/>
      <c r="AC105" s="812"/>
      <c r="AD105" s="808"/>
      <c r="AE105" s="808"/>
      <c r="AF105" s="808"/>
      <c r="AG105" s="808"/>
      <c r="AH105" s="808"/>
      <c r="AI105" s="809"/>
      <c r="AJ105" s="810"/>
      <c r="AK105" s="812"/>
      <c r="AL105" s="808"/>
      <c r="AM105" s="808"/>
      <c r="AN105" s="808"/>
      <c r="AO105" s="808"/>
      <c r="AP105" s="808"/>
      <c r="AQ105" s="809"/>
      <c r="AR105" s="813"/>
      <c r="AS105" s="808"/>
      <c r="AT105" s="808"/>
      <c r="AU105" s="808"/>
      <c r="AV105" s="808"/>
      <c r="AW105" s="808"/>
      <c r="AX105" s="808"/>
      <c r="AY105" s="809"/>
      <c r="AZ105" s="810"/>
      <c r="BA105" s="809"/>
      <c r="BB105" s="808"/>
      <c r="BC105" s="809"/>
      <c r="BD105" s="809"/>
      <c r="BE105" s="808"/>
      <c r="BF105" s="808"/>
      <c r="BG105" s="809"/>
      <c r="BH105" s="810"/>
      <c r="BI105" s="812"/>
      <c r="BJ105" s="808"/>
      <c r="BK105" s="808"/>
      <c r="BL105" s="808"/>
      <c r="BM105" s="808"/>
      <c r="BN105" s="808"/>
      <c r="BO105" s="809"/>
      <c r="BP105" s="810"/>
      <c r="BQ105" s="809"/>
      <c r="BR105" s="808"/>
      <c r="BS105" s="809"/>
      <c r="BT105" s="809"/>
      <c r="BU105" s="808"/>
      <c r="BV105" s="808"/>
      <c r="BW105" s="809"/>
      <c r="BX105" s="811"/>
    </row>
    <row r="106" ht="30.0" customHeight="1">
      <c r="A106" s="819">
        <v>100.0</v>
      </c>
      <c r="B106" s="807" t="s">
        <v>413</v>
      </c>
      <c r="C106" s="807" t="s">
        <v>1081</v>
      </c>
      <c r="D106" s="728">
        <v>104621.0</v>
      </c>
      <c r="E106" s="808"/>
      <c r="F106" s="808"/>
      <c r="G106" s="808"/>
      <c r="H106" s="808"/>
      <c r="I106" s="808"/>
      <c r="J106" s="809"/>
      <c r="K106" s="810"/>
      <c r="L106" s="810"/>
      <c r="M106" s="808"/>
      <c r="N106" s="808"/>
      <c r="O106" s="808"/>
      <c r="P106" s="808"/>
      <c r="Q106" s="808"/>
      <c r="R106" s="808"/>
      <c r="S106" s="809"/>
      <c r="T106" s="810"/>
      <c r="U106" s="809"/>
      <c r="V106" s="808"/>
      <c r="W106" s="809"/>
      <c r="X106" s="809"/>
      <c r="Y106" s="808"/>
      <c r="Z106" s="808"/>
      <c r="AA106" s="809"/>
      <c r="AB106" s="810"/>
      <c r="AC106" s="812"/>
      <c r="AD106" s="808"/>
      <c r="AE106" s="808"/>
      <c r="AF106" s="808"/>
      <c r="AG106" s="808"/>
      <c r="AH106" s="808"/>
      <c r="AI106" s="809"/>
      <c r="AJ106" s="810"/>
      <c r="AK106" s="812"/>
      <c r="AL106" s="808"/>
      <c r="AM106" s="808"/>
      <c r="AN106" s="808"/>
      <c r="AO106" s="808"/>
      <c r="AP106" s="808"/>
      <c r="AQ106" s="809"/>
      <c r="AR106" s="813"/>
      <c r="AS106" s="808"/>
      <c r="AT106" s="808"/>
      <c r="AU106" s="808"/>
      <c r="AV106" s="808"/>
      <c r="AW106" s="808"/>
      <c r="AX106" s="808"/>
      <c r="AY106" s="809"/>
      <c r="AZ106" s="810"/>
      <c r="BA106" s="809"/>
      <c r="BB106" s="808"/>
      <c r="BC106" s="809"/>
      <c r="BD106" s="809"/>
      <c r="BE106" s="808"/>
      <c r="BF106" s="808"/>
      <c r="BG106" s="809"/>
      <c r="BH106" s="810"/>
      <c r="BI106" s="812"/>
      <c r="BJ106" s="808"/>
      <c r="BK106" s="808"/>
      <c r="BL106" s="808"/>
      <c r="BM106" s="808"/>
      <c r="BN106" s="808"/>
      <c r="BO106" s="809"/>
      <c r="BP106" s="810"/>
      <c r="BQ106" s="809"/>
      <c r="BR106" s="808"/>
      <c r="BS106" s="809"/>
      <c r="BT106" s="809"/>
      <c r="BU106" s="808"/>
      <c r="BV106" s="808"/>
      <c r="BW106" s="809"/>
      <c r="BX106" s="811"/>
    </row>
    <row r="107" ht="30.0" customHeight="1">
      <c r="A107" s="819">
        <v>101.0</v>
      </c>
      <c r="B107" s="807" t="s">
        <v>413</v>
      </c>
      <c r="C107" s="807" t="s">
        <v>527</v>
      </c>
      <c r="D107" s="728">
        <v>90576.0</v>
      </c>
      <c r="E107" s="808"/>
      <c r="F107" s="808"/>
      <c r="G107" s="808"/>
      <c r="H107" s="808"/>
      <c r="I107" s="808"/>
      <c r="J107" s="809"/>
      <c r="K107" s="810"/>
      <c r="L107" s="810"/>
      <c r="M107" s="808"/>
      <c r="N107" s="808"/>
      <c r="O107" s="808"/>
      <c r="P107" s="808"/>
      <c r="Q107" s="808"/>
      <c r="R107" s="808"/>
      <c r="S107" s="809"/>
      <c r="T107" s="810"/>
      <c r="U107" s="809"/>
      <c r="V107" s="808"/>
      <c r="W107" s="809"/>
      <c r="X107" s="809"/>
      <c r="Y107" s="808"/>
      <c r="Z107" s="808"/>
      <c r="AA107" s="809"/>
      <c r="AB107" s="810"/>
      <c r="AC107" s="812"/>
      <c r="AD107" s="808"/>
      <c r="AE107" s="808"/>
      <c r="AF107" s="808"/>
      <c r="AG107" s="808"/>
      <c r="AH107" s="808"/>
      <c r="AI107" s="809"/>
      <c r="AJ107" s="810"/>
      <c r="AK107" s="812"/>
      <c r="AL107" s="808"/>
      <c r="AM107" s="808"/>
      <c r="AN107" s="808"/>
      <c r="AO107" s="808"/>
      <c r="AP107" s="808"/>
      <c r="AQ107" s="809"/>
      <c r="AR107" s="813"/>
      <c r="AS107" s="808"/>
      <c r="AT107" s="808"/>
      <c r="AU107" s="808"/>
      <c r="AV107" s="808"/>
      <c r="AW107" s="808"/>
      <c r="AX107" s="808"/>
      <c r="AY107" s="809"/>
      <c r="AZ107" s="810"/>
      <c r="BA107" s="809"/>
      <c r="BB107" s="808"/>
      <c r="BC107" s="809"/>
      <c r="BD107" s="809"/>
      <c r="BE107" s="808"/>
      <c r="BF107" s="808"/>
      <c r="BG107" s="809"/>
      <c r="BH107" s="810"/>
      <c r="BI107" s="812"/>
      <c r="BJ107" s="808"/>
      <c r="BK107" s="808"/>
      <c r="BL107" s="808"/>
      <c r="BM107" s="808"/>
      <c r="BN107" s="808"/>
      <c r="BO107" s="809"/>
      <c r="BP107" s="810"/>
      <c r="BQ107" s="809"/>
      <c r="BR107" s="808"/>
      <c r="BS107" s="809"/>
      <c r="BT107" s="809"/>
      <c r="BU107" s="808"/>
      <c r="BV107" s="808"/>
      <c r="BW107" s="809"/>
      <c r="BX107" s="811"/>
    </row>
    <row r="108" ht="30.0" customHeight="1">
      <c r="A108" s="819">
        <v>102.0</v>
      </c>
      <c r="B108" s="807" t="s">
        <v>413</v>
      </c>
      <c r="C108" s="807" t="s">
        <v>554</v>
      </c>
      <c r="D108" s="728">
        <v>90909.0</v>
      </c>
      <c r="E108" s="808"/>
      <c r="F108" s="808"/>
      <c r="G108" s="808"/>
      <c r="H108" s="808"/>
      <c r="I108" s="808"/>
      <c r="J108" s="809"/>
      <c r="K108" s="810"/>
      <c r="L108" s="810"/>
      <c r="M108" s="808"/>
      <c r="N108" s="808"/>
      <c r="O108" s="808"/>
      <c r="P108" s="808"/>
      <c r="Q108" s="808"/>
      <c r="R108" s="808"/>
      <c r="S108" s="809"/>
      <c r="T108" s="810"/>
      <c r="U108" s="809"/>
      <c r="V108" s="808"/>
      <c r="W108" s="809"/>
      <c r="X108" s="809"/>
      <c r="Y108" s="808"/>
      <c r="Z108" s="808"/>
      <c r="AA108" s="809"/>
      <c r="AB108" s="810"/>
      <c r="AC108" s="812"/>
      <c r="AD108" s="808"/>
      <c r="AE108" s="808"/>
      <c r="AF108" s="808"/>
      <c r="AG108" s="808"/>
      <c r="AH108" s="808"/>
      <c r="AI108" s="809"/>
      <c r="AJ108" s="810"/>
      <c r="AK108" s="812"/>
      <c r="AL108" s="808"/>
      <c r="AM108" s="808"/>
      <c r="AN108" s="808"/>
      <c r="AO108" s="808"/>
      <c r="AP108" s="808"/>
      <c r="AQ108" s="809"/>
      <c r="AR108" s="813"/>
      <c r="AS108" s="808"/>
      <c r="AT108" s="808"/>
      <c r="AU108" s="808"/>
      <c r="AV108" s="808"/>
      <c r="AW108" s="808"/>
      <c r="AX108" s="808"/>
      <c r="AY108" s="809"/>
      <c r="AZ108" s="810"/>
      <c r="BA108" s="809"/>
      <c r="BB108" s="808"/>
      <c r="BC108" s="809"/>
      <c r="BD108" s="809"/>
      <c r="BE108" s="808"/>
      <c r="BF108" s="808"/>
      <c r="BG108" s="809"/>
      <c r="BH108" s="810"/>
      <c r="BI108" s="812"/>
      <c r="BJ108" s="808"/>
      <c r="BK108" s="808"/>
      <c r="BL108" s="808"/>
      <c r="BM108" s="808"/>
      <c r="BN108" s="808"/>
      <c r="BO108" s="809"/>
      <c r="BP108" s="810"/>
      <c r="BQ108" s="809"/>
      <c r="BR108" s="808"/>
      <c r="BS108" s="809"/>
      <c r="BT108" s="809"/>
      <c r="BU108" s="808"/>
      <c r="BV108" s="808"/>
      <c r="BW108" s="809"/>
      <c r="BX108" s="811"/>
    </row>
    <row r="109" ht="30.0" customHeight="1">
      <c r="A109" s="819">
        <v>103.0</v>
      </c>
      <c r="B109" s="807" t="s">
        <v>413</v>
      </c>
      <c r="C109" s="807" t="s">
        <v>500</v>
      </c>
      <c r="D109" s="728">
        <v>105533.0</v>
      </c>
      <c r="E109" s="808"/>
      <c r="F109" s="808"/>
      <c r="G109" s="808"/>
      <c r="H109" s="808"/>
      <c r="I109" s="808"/>
      <c r="J109" s="809"/>
      <c r="K109" s="810"/>
      <c r="L109" s="810"/>
      <c r="M109" s="808"/>
      <c r="N109" s="808"/>
      <c r="O109" s="808"/>
      <c r="P109" s="808"/>
      <c r="Q109" s="808"/>
      <c r="R109" s="808"/>
      <c r="S109" s="809"/>
      <c r="T109" s="810"/>
      <c r="U109" s="809"/>
      <c r="V109" s="808"/>
      <c r="W109" s="809"/>
      <c r="X109" s="809"/>
      <c r="Y109" s="808"/>
      <c r="Z109" s="808"/>
      <c r="AA109" s="809"/>
      <c r="AB109" s="810"/>
      <c r="AC109" s="812"/>
      <c r="AD109" s="808"/>
      <c r="AE109" s="808"/>
      <c r="AF109" s="808"/>
      <c r="AG109" s="808"/>
      <c r="AH109" s="808"/>
      <c r="AI109" s="809"/>
      <c r="AJ109" s="810"/>
      <c r="AK109" s="812"/>
      <c r="AL109" s="808"/>
      <c r="AM109" s="808"/>
      <c r="AN109" s="808"/>
      <c r="AO109" s="808"/>
      <c r="AP109" s="808"/>
      <c r="AQ109" s="809"/>
      <c r="AR109" s="813"/>
      <c r="AS109" s="808"/>
      <c r="AT109" s="808"/>
      <c r="AU109" s="808"/>
      <c r="AV109" s="808"/>
      <c r="AW109" s="808"/>
      <c r="AX109" s="808"/>
      <c r="AY109" s="809"/>
      <c r="AZ109" s="810"/>
      <c r="BA109" s="809"/>
      <c r="BB109" s="808"/>
      <c r="BC109" s="809"/>
      <c r="BD109" s="809"/>
      <c r="BE109" s="808"/>
      <c r="BF109" s="808"/>
      <c r="BG109" s="809"/>
      <c r="BH109" s="810"/>
      <c r="BI109" s="812"/>
      <c r="BJ109" s="808"/>
      <c r="BK109" s="808"/>
      <c r="BL109" s="808"/>
      <c r="BM109" s="808"/>
      <c r="BN109" s="808"/>
      <c r="BO109" s="809"/>
      <c r="BP109" s="810"/>
      <c r="BQ109" s="809"/>
      <c r="BR109" s="808"/>
      <c r="BS109" s="809"/>
      <c r="BT109" s="809"/>
      <c r="BU109" s="808"/>
      <c r="BV109" s="808"/>
      <c r="BW109" s="809"/>
      <c r="BX109" s="811"/>
    </row>
    <row r="110" ht="30.0" customHeight="1">
      <c r="A110" s="819">
        <v>104.0</v>
      </c>
      <c r="B110" s="807" t="s">
        <v>413</v>
      </c>
      <c r="C110" s="807" t="s">
        <v>1258</v>
      </c>
      <c r="D110" s="728">
        <v>104520.0</v>
      </c>
      <c r="E110" s="808"/>
      <c r="F110" s="808"/>
      <c r="G110" s="808"/>
      <c r="H110" s="808"/>
      <c r="I110" s="808"/>
      <c r="J110" s="809"/>
      <c r="K110" s="810"/>
      <c r="L110" s="810"/>
      <c r="M110" s="808"/>
      <c r="N110" s="808"/>
      <c r="O110" s="808"/>
      <c r="P110" s="808"/>
      <c r="Q110" s="808"/>
      <c r="R110" s="808"/>
      <c r="S110" s="809"/>
      <c r="T110" s="810"/>
      <c r="U110" s="809"/>
      <c r="V110" s="808"/>
      <c r="W110" s="809"/>
      <c r="X110" s="809"/>
      <c r="Y110" s="808"/>
      <c r="Z110" s="808"/>
      <c r="AA110" s="809"/>
      <c r="AB110" s="810"/>
      <c r="AC110" s="812"/>
      <c r="AD110" s="808"/>
      <c r="AE110" s="808"/>
      <c r="AF110" s="808"/>
      <c r="AG110" s="808"/>
      <c r="AH110" s="808"/>
      <c r="AI110" s="809"/>
      <c r="AJ110" s="810"/>
      <c r="AK110" s="812"/>
      <c r="AL110" s="808"/>
      <c r="AM110" s="808"/>
      <c r="AN110" s="808"/>
      <c r="AO110" s="808"/>
      <c r="AP110" s="808"/>
      <c r="AQ110" s="809"/>
      <c r="AR110" s="813"/>
      <c r="AS110" s="808"/>
      <c r="AT110" s="808"/>
      <c r="AU110" s="808"/>
      <c r="AV110" s="808"/>
      <c r="AW110" s="808"/>
      <c r="AX110" s="808"/>
      <c r="AY110" s="809"/>
      <c r="AZ110" s="810"/>
      <c r="BA110" s="809"/>
      <c r="BB110" s="808"/>
      <c r="BC110" s="809"/>
      <c r="BD110" s="809"/>
      <c r="BE110" s="808"/>
      <c r="BF110" s="808"/>
      <c r="BG110" s="809"/>
      <c r="BH110" s="810"/>
      <c r="BI110" s="812"/>
      <c r="BJ110" s="808"/>
      <c r="BK110" s="808"/>
      <c r="BL110" s="808"/>
      <c r="BM110" s="808"/>
      <c r="BN110" s="808"/>
      <c r="BO110" s="809"/>
      <c r="BP110" s="810"/>
      <c r="BQ110" s="809"/>
      <c r="BR110" s="808"/>
      <c r="BS110" s="809"/>
      <c r="BT110" s="809"/>
      <c r="BU110" s="808"/>
      <c r="BV110" s="808"/>
      <c r="BW110" s="809"/>
      <c r="BX110" s="811"/>
    </row>
    <row r="111" ht="30.0" customHeight="1">
      <c r="A111" s="819">
        <v>105.0</v>
      </c>
      <c r="B111" s="807" t="s">
        <v>413</v>
      </c>
      <c r="C111" s="807" t="s">
        <v>1259</v>
      </c>
      <c r="D111" s="728">
        <v>104521.0</v>
      </c>
      <c r="E111" s="808"/>
      <c r="F111" s="808"/>
      <c r="G111" s="808"/>
      <c r="H111" s="808"/>
      <c r="I111" s="808"/>
      <c r="J111" s="809"/>
      <c r="K111" s="810"/>
      <c r="L111" s="810"/>
      <c r="M111" s="808"/>
      <c r="N111" s="808"/>
      <c r="O111" s="808"/>
      <c r="P111" s="808"/>
      <c r="Q111" s="808"/>
      <c r="R111" s="808"/>
      <c r="S111" s="809"/>
      <c r="T111" s="810"/>
      <c r="U111" s="809"/>
      <c r="V111" s="808"/>
      <c r="W111" s="809"/>
      <c r="X111" s="809"/>
      <c r="Y111" s="808"/>
      <c r="Z111" s="808"/>
      <c r="AA111" s="809"/>
      <c r="AB111" s="810"/>
      <c r="AC111" s="812"/>
      <c r="AD111" s="808"/>
      <c r="AE111" s="808"/>
      <c r="AF111" s="808"/>
      <c r="AG111" s="808"/>
      <c r="AH111" s="808"/>
      <c r="AI111" s="809"/>
      <c r="AJ111" s="810"/>
      <c r="AK111" s="812"/>
      <c r="AL111" s="808"/>
      <c r="AM111" s="808"/>
      <c r="AN111" s="808"/>
      <c r="AO111" s="808"/>
      <c r="AP111" s="808"/>
      <c r="AQ111" s="809"/>
      <c r="AR111" s="813"/>
      <c r="AS111" s="808"/>
      <c r="AT111" s="808"/>
      <c r="AU111" s="808"/>
      <c r="AV111" s="808"/>
      <c r="AW111" s="808"/>
      <c r="AX111" s="808"/>
      <c r="AY111" s="809"/>
      <c r="AZ111" s="810"/>
      <c r="BA111" s="809"/>
      <c r="BB111" s="808"/>
      <c r="BC111" s="809"/>
      <c r="BD111" s="809"/>
      <c r="BE111" s="808"/>
      <c r="BF111" s="808"/>
      <c r="BG111" s="809"/>
      <c r="BH111" s="810"/>
      <c r="BI111" s="812"/>
      <c r="BJ111" s="808"/>
      <c r="BK111" s="808"/>
      <c r="BL111" s="808"/>
      <c r="BM111" s="808"/>
      <c r="BN111" s="808"/>
      <c r="BO111" s="809"/>
      <c r="BP111" s="810"/>
      <c r="BQ111" s="809"/>
      <c r="BR111" s="808"/>
      <c r="BS111" s="809"/>
      <c r="BT111" s="809"/>
      <c r="BU111" s="808"/>
      <c r="BV111" s="808"/>
      <c r="BW111" s="809"/>
      <c r="BX111" s="811"/>
    </row>
    <row r="112" ht="30.0" customHeight="1">
      <c r="A112" s="819">
        <v>106.0</v>
      </c>
      <c r="B112" s="807" t="s">
        <v>413</v>
      </c>
      <c r="C112" s="807" t="s">
        <v>1260</v>
      </c>
      <c r="D112" s="728">
        <v>104522.0</v>
      </c>
      <c r="E112" s="808"/>
      <c r="F112" s="808"/>
      <c r="G112" s="808"/>
      <c r="H112" s="808"/>
      <c r="I112" s="808"/>
      <c r="J112" s="809"/>
      <c r="K112" s="810"/>
      <c r="L112" s="810"/>
      <c r="M112" s="808"/>
      <c r="N112" s="808"/>
      <c r="O112" s="808"/>
      <c r="P112" s="808"/>
      <c r="Q112" s="808"/>
      <c r="R112" s="808"/>
      <c r="S112" s="809"/>
      <c r="T112" s="810"/>
      <c r="U112" s="809"/>
      <c r="V112" s="808"/>
      <c r="W112" s="809"/>
      <c r="X112" s="809"/>
      <c r="Y112" s="808"/>
      <c r="Z112" s="808"/>
      <c r="AA112" s="809"/>
      <c r="AB112" s="810"/>
      <c r="AC112" s="812"/>
      <c r="AD112" s="808"/>
      <c r="AE112" s="808"/>
      <c r="AF112" s="808"/>
      <c r="AG112" s="808"/>
      <c r="AH112" s="808"/>
      <c r="AI112" s="809"/>
      <c r="AJ112" s="810"/>
      <c r="AK112" s="812"/>
      <c r="AL112" s="808"/>
      <c r="AM112" s="808"/>
      <c r="AN112" s="808"/>
      <c r="AO112" s="808"/>
      <c r="AP112" s="808"/>
      <c r="AQ112" s="809"/>
      <c r="AR112" s="813"/>
      <c r="AS112" s="808"/>
      <c r="AT112" s="808"/>
      <c r="AU112" s="808"/>
      <c r="AV112" s="808"/>
      <c r="AW112" s="808"/>
      <c r="AX112" s="808"/>
      <c r="AY112" s="809"/>
      <c r="AZ112" s="810"/>
      <c r="BA112" s="809"/>
      <c r="BB112" s="808"/>
      <c r="BC112" s="809"/>
      <c r="BD112" s="809"/>
      <c r="BE112" s="808"/>
      <c r="BF112" s="808"/>
      <c r="BG112" s="809"/>
      <c r="BH112" s="810"/>
      <c r="BI112" s="812"/>
      <c r="BJ112" s="808"/>
      <c r="BK112" s="808"/>
      <c r="BL112" s="808"/>
      <c r="BM112" s="808"/>
      <c r="BN112" s="808"/>
      <c r="BO112" s="809"/>
      <c r="BP112" s="810"/>
      <c r="BQ112" s="809"/>
      <c r="BR112" s="808"/>
      <c r="BS112" s="809"/>
      <c r="BT112" s="809"/>
      <c r="BU112" s="808"/>
      <c r="BV112" s="808"/>
      <c r="BW112" s="809"/>
      <c r="BX112" s="811"/>
    </row>
    <row r="113" ht="30.0" customHeight="1">
      <c r="A113" s="819">
        <v>107.0</v>
      </c>
      <c r="B113" s="807" t="s">
        <v>413</v>
      </c>
      <c r="C113" s="807" t="s">
        <v>1261</v>
      </c>
      <c r="D113" s="728">
        <v>104523.0</v>
      </c>
      <c r="E113" s="808"/>
      <c r="F113" s="808"/>
      <c r="G113" s="808"/>
      <c r="H113" s="808"/>
      <c r="I113" s="808"/>
      <c r="J113" s="809"/>
      <c r="K113" s="810"/>
      <c r="L113" s="810"/>
      <c r="M113" s="808"/>
      <c r="N113" s="808"/>
      <c r="O113" s="808"/>
      <c r="P113" s="808"/>
      <c r="Q113" s="808"/>
      <c r="R113" s="808"/>
      <c r="S113" s="809"/>
      <c r="T113" s="810"/>
      <c r="U113" s="809"/>
      <c r="V113" s="808"/>
      <c r="W113" s="809"/>
      <c r="X113" s="809"/>
      <c r="Y113" s="808"/>
      <c r="Z113" s="808"/>
      <c r="AA113" s="809"/>
      <c r="AB113" s="810"/>
      <c r="AC113" s="812"/>
      <c r="AD113" s="808"/>
      <c r="AE113" s="808"/>
      <c r="AF113" s="808"/>
      <c r="AG113" s="808"/>
      <c r="AH113" s="808"/>
      <c r="AI113" s="809"/>
      <c r="AJ113" s="810"/>
      <c r="AK113" s="812"/>
      <c r="AL113" s="808"/>
      <c r="AM113" s="808"/>
      <c r="AN113" s="808"/>
      <c r="AO113" s="808"/>
      <c r="AP113" s="808"/>
      <c r="AQ113" s="809"/>
      <c r="AR113" s="813"/>
      <c r="AS113" s="808"/>
      <c r="AT113" s="808"/>
      <c r="AU113" s="808"/>
      <c r="AV113" s="808"/>
      <c r="AW113" s="808"/>
      <c r="AX113" s="808"/>
      <c r="AY113" s="809"/>
      <c r="AZ113" s="810"/>
      <c r="BA113" s="809"/>
      <c r="BB113" s="808"/>
      <c r="BC113" s="809"/>
      <c r="BD113" s="809"/>
      <c r="BE113" s="808"/>
      <c r="BF113" s="808"/>
      <c r="BG113" s="809"/>
      <c r="BH113" s="810"/>
      <c r="BI113" s="812"/>
      <c r="BJ113" s="808"/>
      <c r="BK113" s="808"/>
      <c r="BL113" s="808"/>
      <c r="BM113" s="808"/>
      <c r="BN113" s="808"/>
      <c r="BO113" s="809"/>
      <c r="BP113" s="810"/>
      <c r="BQ113" s="809"/>
      <c r="BR113" s="808"/>
      <c r="BS113" s="809"/>
      <c r="BT113" s="809"/>
      <c r="BU113" s="808"/>
      <c r="BV113" s="808"/>
      <c r="BW113" s="809"/>
      <c r="BX113" s="811"/>
    </row>
    <row r="114" ht="30.0" customHeight="1">
      <c r="A114" s="819">
        <v>108.0</v>
      </c>
      <c r="B114" s="807" t="s">
        <v>413</v>
      </c>
      <c r="C114" s="807" t="s">
        <v>1262</v>
      </c>
      <c r="D114" s="728">
        <v>105275.0</v>
      </c>
      <c r="E114" s="808"/>
      <c r="F114" s="808"/>
      <c r="G114" s="808"/>
      <c r="H114" s="808"/>
      <c r="I114" s="808"/>
      <c r="J114" s="809"/>
      <c r="K114" s="810"/>
      <c r="L114" s="810"/>
      <c r="M114" s="808"/>
      <c r="N114" s="808"/>
      <c r="O114" s="808"/>
      <c r="P114" s="808"/>
      <c r="Q114" s="808"/>
      <c r="R114" s="808"/>
      <c r="S114" s="809"/>
      <c r="T114" s="810"/>
      <c r="U114" s="809"/>
      <c r="V114" s="808"/>
      <c r="W114" s="809"/>
      <c r="X114" s="809"/>
      <c r="Y114" s="808"/>
      <c r="Z114" s="808"/>
      <c r="AA114" s="809"/>
      <c r="AB114" s="810"/>
      <c r="AC114" s="812"/>
      <c r="AD114" s="808"/>
      <c r="AE114" s="808"/>
      <c r="AF114" s="808"/>
      <c r="AG114" s="808"/>
      <c r="AH114" s="808"/>
      <c r="AI114" s="809"/>
      <c r="AJ114" s="810"/>
      <c r="AK114" s="812"/>
      <c r="AL114" s="808"/>
      <c r="AM114" s="808"/>
      <c r="AN114" s="808"/>
      <c r="AO114" s="808"/>
      <c r="AP114" s="808"/>
      <c r="AQ114" s="809"/>
      <c r="AR114" s="813"/>
      <c r="AS114" s="808"/>
      <c r="AT114" s="808"/>
      <c r="AU114" s="808"/>
      <c r="AV114" s="808"/>
      <c r="AW114" s="808"/>
      <c r="AX114" s="808"/>
      <c r="AY114" s="809"/>
      <c r="AZ114" s="810"/>
      <c r="BA114" s="809"/>
      <c r="BB114" s="808"/>
      <c r="BC114" s="809"/>
      <c r="BD114" s="809"/>
      <c r="BE114" s="808"/>
      <c r="BF114" s="808"/>
      <c r="BG114" s="809"/>
      <c r="BH114" s="810"/>
      <c r="BI114" s="812"/>
      <c r="BJ114" s="808"/>
      <c r="BK114" s="808"/>
      <c r="BL114" s="808"/>
      <c r="BM114" s="808"/>
      <c r="BN114" s="808"/>
      <c r="BO114" s="809"/>
      <c r="BP114" s="810"/>
      <c r="BQ114" s="809"/>
      <c r="BR114" s="808"/>
      <c r="BS114" s="809"/>
      <c r="BT114" s="809"/>
      <c r="BU114" s="808"/>
      <c r="BV114" s="808"/>
      <c r="BW114" s="809"/>
      <c r="BX114" s="811"/>
    </row>
    <row r="115" ht="30.0" customHeight="1">
      <c r="A115" s="819">
        <v>109.0</v>
      </c>
      <c r="B115" s="807" t="s">
        <v>413</v>
      </c>
      <c r="C115" s="807" t="s">
        <v>1263</v>
      </c>
      <c r="D115" s="728">
        <v>105276.0</v>
      </c>
      <c r="E115" s="808"/>
      <c r="F115" s="808"/>
      <c r="G115" s="808"/>
      <c r="H115" s="808"/>
      <c r="I115" s="808"/>
      <c r="J115" s="809"/>
      <c r="K115" s="810"/>
      <c r="L115" s="810"/>
      <c r="M115" s="808"/>
      <c r="N115" s="808"/>
      <c r="O115" s="808"/>
      <c r="P115" s="808"/>
      <c r="Q115" s="808"/>
      <c r="R115" s="808"/>
      <c r="S115" s="809"/>
      <c r="T115" s="810"/>
      <c r="U115" s="809"/>
      <c r="V115" s="808"/>
      <c r="W115" s="809"/>
      <c r="X115" s="809"/>
      <c r="Y115" s="808"/>
      <c r="Z115" s="808"/>
      <c r="AA115" s="809"/>
      <c r="AB115" s="810"/>
      <c r="AC115" s="812"/>
      <c r="AD115" s="808"/>
      <c r="AE115" s="808"/>
      <c r="AF115" s="808"/>
      <c r="AG115" s="808"/>
      <c r="AH115" s="808"/>
      <c r="AI115" s="809"/>
      <c r="AJ115" s="810"/>
      <c r="AK115" s="812"/>
      <c r="AL115" s="808"/>
      <c r="AM115" s="808"/>
      <c r="AN115" s="808"/>
      <c r="AO115" s="808"/>
      <c r="AP115" s="808"/>
      <c r="AQ115" s="809"/>
      <c r="AR115" s="813"/>
      <c r="AS115" s="808"/>
      <c r="AT115" s="808"/>
      <c r="AU115" s="808"/>
      <c r="AV115" s="808"/>
      <c r="AW115" s="808"/>
      <c r="AX115" s="808"/>
      <c r="AY115" s="809"/>
      <c r="AZ115" s="810"/>
      <c r="BA115" s="809"/>
      <c r="BB115" s="808"/>
      <c r="BC115" s="809"/>
      <c r="BD115" s="809"/>
      <c r="BE115" s="808"/>
      <c r="BF115" s="808"/>
      <c r="BG115" s="809"/>
      <c r="BH115" s="810"/>
      <c r="BI115" s="812"/>
      <c r="BJ115" s="808"/>
      <c r="BK115" s="808"/>
      <c r="BL115" s="808"/>
      <c r="BM115" s="808"/>
      <c r="BN115" s="808"/>
      <c r="BO115" s="809"/>
      <c r="BP115" s="810"/>
      <c r="BQ115" s="809"/>
      <c r="BR115" s="808"/>
      <c r="BS115" s="809"/>
      <c r="BT115" s="809"/>
      <c r="BU115" s="808"/>
      <c r="BV115" s="808"/>
      <c r="BW115" s="809"/>
      <c r="BX115" s="811"/>
    </row>
    <row r="116" ht="30.0" customHeight="1">
      <c r="A116" s="819">
        <v>110.0</v>
      </c>
      <c r="B116" s="807" t="s">
        <v>413</v>
      </c>
      <c r="C116" s="807" t="s">
        <v>1264</v>
      </c>
      <c r="D116" s="728">
        <v>105277.0</v>
      </c>
      <c r="E116" s="808"/>
      <c r="F116" s="808"/>
      <c r="G116" s="808"/>
      <c r="H116" s="808"/>
      <c r="I116" s="808"/>
      <c r="J116" s="809"/>
      <c r="K116" s="810"/>
      <c r="L116" s="810"/>
      <c r="M116" s="808"/>
      <c r="N116" s="808"/>
      <c r="O116" s="808"/>
      <c r="P116" s="808"/>
      <c r="Q116" s="808"/>
      <c r="R116" s="808"/>
      <c r="S116" s="809"/>
      <c r="T116" s="810"/>
      <c r="U116" s="809"/>
      <c r="V116" s="808"/>
      <c r="W116" s="809"/>
      <c r="X116" s="809"/>
      <c r="Y116" s="808"/>
      <c r="Z116" s="808"/>
      <c r="AA116" s="809"/>
      <c r="AB116" s="810"/>
      <c r="AC116" s="812"/>
      <c r="AD116" s="808"/>
      <c r="AE116" s="808"/>
      <c r="AF116" s="808"/>
      <c r="AG116" s="808"/>
      <c r="AH116" s="808"/>
      <c r="AI116" s="809"/>
      <c r="AJ116" s="810"/>
      <c r="AK116" s="812"/>
      <c r="AL116" s="808"/>
      <c r="AM116" s="808"/>
      <c r="AN116" s="808"/>
      <c r="AO116" s="808"/>
      <c r="AP116" s="808"/>
      <c r="AQ116" s="809"/>
      <c r="AR116" s="813"/>
      <c r="AS116" s="808"/>
      <c r="AT116" s="808"/>
      <c r="AU116" s="808"/>
      <c r="AV116" s="808"/>
      <c r="AW116" s="808"/>
      <c r="AX116" s="808"/>
      <c r="AY116" s="809"/>
      <c r="AZ116" s="810"/>
      <c r="BA116" s="809"/>
      <c r="BB116" s="808"/>
      <c r="BC116" s="809"/>
      <c r="BD116" s="809"/>
      <c r="BE116" s="808"/>
      <c r="BF116" s="808"/>
      <c r="BG116" s="809"/>
      <c r="BH116" s="810"/>
      <c r="BI116" s="812"/>
      <c r="BJ116" s="808"/>
      <c r="BK116" s="808"/>
      <c r="BL116" s="808"/>
      <c r="BM116" s="808"/>
      <c r="BN116" s="808"/>
      <c r="BO116" s="809"/>
      <c r="BP116" s="810"/>
      <c r="BQ116" s="809"/>
      <c r="BR116" s="808"/>
      <c r="BS116" s="809"/>
      <c r="BT116" s="809"/>
      <c r="BU116" s="808"/>
      <c r="BV116" s="808"/>
      <c r="BW116" s="809"/>
      <c r="BX116" s="811"/>
    </row>
    <row r="117" ht="30.0" customHeight="1">
      <c r="A117" s="819">
        <v>111.0</v>
      </c>
      <c r="B117" s="807" t="s">
        <v>413</v>
      </c>
      <c r="C117" s="807" t="s">
        <v>1265</v>
      </c>
      <c r="D117" s="728">
        <v>105278.0</v>
      </c>
      <c r="E117" s="808"/>
      <c r="F117" s="808"/>
      <c r="G117" s="808"/>
      <c r="H117" s="808"/>
      <c r="I117" s="808"/>
      <c r="J117" s="809"/>
      <c r="K117" s="810"/>
      <c r="L117" s="810"/>
      <c r="M117" s="808"/>
      <c r="N117" s="808"/>
      <c r="O117" s="808"/>
      <c r="P117" s="808"/>
      <c r="Q117" s="808"/>
      <c r="R117" s="808"/>
      <c r="S117" s="809"/>
      <c r="T117" s="810"/>
      <c r="U117" s="809"/>
      <c r="V117" s="808"/>
      <c r="W117" s="809"/>
      <c r="X117" s="809"/>
      <c r="Y117" s="808"/>
      <c r="Z117" s="808"/>
      <c r="AA117" s="809"/>
      <c r="AB117" s="810"/>
      <c r="AC117" s="812"/>
      <c r="AD117" s="808"/>
      <c r="AE117" s="808"/>
      <c r="AF117" s="808"/>
      <c r="AG117" s="808"/>
      <c r="AH117" s="808"/>
      <c r="AI117" s="809"/>
      <c r="AJ117" s="810"/>
      <c r="AK117" s="812"/>
      <c r="AL117" s="808"/>
      <c r="AM117" s="808"/>
      <c r="AN117" s="808"/>
      <c r="AO117" s="808"/>
      <c r="AP117" s="808"/>
      <c r="AQ117" s="809"/>
      <c r="AR117" s="813"/>
      <c r="AS117" s="808"/>
      <c r="AT117" s="808"/>
      <c r="AU117" s="808"/>
      <c r="AV117" s="808"/>
      <c r="AW117" s="808"/>
      <c r="AX117" s="808"/>
      <c r="AY117" s="809"/>
      <c r="AZ117" s="810"/>
      <c r="BA117" s="809"/>
      <c r="BB117" s="808"/>
      <c r="BC117" s="809"/>
      <c r="BD117" s="809"/>
      <c r="BE117" s="808"/>
      <c r="BF117" s="808"/>
      <c r="BG117" s="809"/>
      <c r="BH117" s="810"/>
      <c r="BI117" s="812"/>
      <c r="BJ117" s="808"/>
      <c r="BK117" s="808"/>
      <c r="BL117" s="808"/>
      <c r="BM117" s="808"/>
      <c r="BN117" s="808"/>
      <c r="BO117" s="809"/>
      <c r="BP117" s="810"/>
      <c r="BQ117" s="809"/>
      <c r="BR117" s="808"/>
      <c r="BS117" s="809"/>
      <c r="BT117" s="809"/>
      <c r="BU117" s="808"/>
      <c r="BV117" s="808"/>
      <c r="BW117" s="809"/>
      <c r="BX117" s="811"/>
    </row>
    <row r="118" ht="30.0" customHeight="1">
      <c r="A118" s="819">
        <v>112.0</v>
      </c>
      <c r="B118" s="807" t="s">
        <v>413</v>
      </c>
      <c r="C118" s="807" t="s">
        <v>1266</v>
      </c>
      <c r="D118" s="728">
        <v>105168.0</v>
      </c>
      <c r="E118" s="808"/>
      <c r="F118" s="808"/>
      <c r="G118" s="808"/>
      <c r="H118" s="808"/>
      <c r="I118" s="808"/>
      <c r="J118" s="809"/>
      <c r="K118" s="810"/>
      <c r="L118" s="810"/>
      <c r="M118" s="808"/>
      <c r="N118" s="808"/>
      <c r="O118" s="808"/>
      <c r="P118" s="808"/>
      <c r="Q118" s="808"/>
      <c r="R118" s="808"/>
      <c r="S118" s="809"/>
      <c r="T118" s="810"/>
      <c r="U118" s="809"/>
      <c r="V118" s="808"/>
      <c r="W118" s="809"/>
      <c r="X118" s="809"/>
      <c r="Y118" s="808"/>
      <c r="Z118" s="808"/>
      <c r="AA118" s="809"/>
      <c r="AB118" s="810"/>
      <c r="AC118" s="812"/>
      <c r="AD118" s="808"/>
      <c r="AE118" s="808"/>
      <c r="AF118" s="808"/>
      <c r="AG118" s="808"/>
      <c r="AH118" s="808"/>
      <c r="AI118" s="809"/>
      <c r="AJ118" s="810"/>
      <c r="AK118" s="812"/>
      <c r="AL118" s="808"/>
      <c r="AM118" s="808"/>
      <c r="AN118" s="808"/>
      <c r="AO118" s="808"/>
      <c r="AP118" s="808"/>
      <c r="AQ118" s="809"/>
      <c r="AR118" s="813"/>
      <c r="AS118" s="808"/>
      <c r="AT118" s="808"/>
      <c r="AU118" s="808"/>
      <c r="AV118" s="808"/>
      <c r="AW118" s="808"/>
      <c r="AX118" s="808"/>
      <c r="AY118" s="809"/>
      <c r="AZ118" s="810"/>
      <c r="BA118" s="809"/>
      <c r="BB118" s="808"/>
      <c r="BC118" s="809"/>
      <c r="BD118" s="809"/>
      <c r="BE118" s="808"/>
      <c r="BF118" s="808"/>
      <c r="BG118" s="809"/>
      <c r="BH118" s="810"/>
      <c r="BI118" s="812"/>
      <c r="BJ118" s="808"/>
      <c r="BK118" s="808"/>
      <c r="BL118" s="808"/>
      <c r="BM118" s="808"/>
      <c r="BN118" s="808"/>
      <c r="BO118" s="809"/>
      <c r="BP118" s="810"/>
      <c r="BQ118" s="809"/>
      <c r="BR118" s="808"/>
      <c r="BS118" s="809"/>
      <c r="BT118" s="809"/>
      <c r="BU118" s="808"/>
      <c r="BV118" s="808"/>
      <c r="BW118" s="809"/>
      <c r="BX118" s="811"/>
    </row>
    <row r="119" ht="30.0" customHeight="1">
      <c r="A119" s="819">
        <v>113.0</v>
      </c>
      <c r="B119" s="807" t="s">
        <v>413</v>
      </c>
      <c r="C119" s="807" t="s">
        <v>1267</v>
      </c>
      <c r="D119" s="728">
        <v>53791.0</v>
      </c>
      <c r="E119" s="808"/>
      <c r="F119" s="808"/>
      <c r="G119" s="808"/>
      <c r="H119" s="808"/>
      <c r="I119" s="808"/>
      <c r="J119" s="809"/>
      <c r="K119" s="810"/>
      <c r="L119" s="810"/>
      <c r="M119" s="808"/>
      <c r="N119" s="808"/>
      <c r="O119" s="808"/>
      <c r="P119" s="808"/>
      <c r="Q119" s="808"/>
      <c r="R119" s="808"/>
      <c r="S119" s="809"/>
      <c r="T119" s="810"/>
      <c r="U119" s="809"/>
      <c r="V119" s="808"/>
      <c r="W119" s="809"/>
      <c r="X119" s="809"/>
      <c r="Y119" s="808"/>
      <c r="Z119" s="808"/>
      <c r="AA119" s="809"/>
      <c r="AB119" s="810"/>
      <c r="AC119" s="812"/>
      <c r="AD119" s="808"/>
      <c r="AE119" s="808"/>
      <c r="AF119" s="808"/>
      <c r="AG119" s="808"/>
      <c r="AH119" s="808"/>
      <c r="AI119" s="809"/>
      <c r="AJ119" s="810"/>
      <c r="AK119" s="812"/>
      <c r="AL119" s="808"/>
      <c r="AM119" s="808"/>
      <c r="AN119" s="808"/>
      <c r="AO119" s="808"/>
      <c r="AP119" s="808"/>
      <c r="AQ119" s="809"/>
      <c r="AR119" s="813"/>
      <c r="AS119" s="808"/>
      <c r="AT119" s="808"/>
      <c r="AU119" s="808"/>
      <c r="AV119" s="808"/>
      <c r="AW119" s="808"/>
      <c r="AX119" s="808"/>
      <c r="AY119" s="809"/>
      <c r="AZ119" s="810"/>
      <c r="BA119" s="809"/>
      <c r="BB119" s="808"/>
      <c r="BC119" s="809"/>
      <c r="BD119" s="809"/>
      <c r="BE119" s="808"/>
      <c r="BF119" s="808"/>
      <c r="BG119" s="809"/>
      <c r="BH119" s="810"/>
      <c r="BI119" s="812"/>
      <c r="BJ119" s="808"/>
      <c r="BK119" s="808"/>
      <c r="BL119" s="808"/>
      <c r="BM119" s="808"/>
      <c r="BN119" s="808"/>
      <c r="BO119" s="809"/>
      <c r="BP119" s="810"/>
      <c r="BQ119" s="809"/>
      <c r="BR119" s="808"/>
      <c r="BS119" s="809"/>
      <c r="BT119" s="809"/>
      <c r="BU119" s="808"/>
      <c r="BV119" s="808"/>
      <c r="BW119" s="809"/>
      <c r="BX119" s="811"/>
    </row>
    <row r="120" ht="30.0" customHeight="1">
      <c r="A120" s="819">
        <v>114.0</v>
      </c>
      <c r="B120" s="807" t="s">
        <v>413</v>
      </c>
      <c r="C120" s="807" t="s">
        <v>1268</v>
      </c>
      <c r="D120" s="728">
        <v>104784.0</v>
      </c>
      <c r="E120" s="808"/>
      <c r="F120" s="808"/>
      <c r="G120" s="808"/>
      <c r="H120" s="808"/>
      <c r="I120" s="808"/>
      <c r="J120" s="809"/>
      <c r="K120" s="810"/>
      <c r="L120" s="810"/>
      <c r="M120" s="808"/>
      <c r="N120" s="808"/>
      <c r="O120" s="808"/>
      <c r="P120" s="808"/>
      <c r="Q120" s="808"/>
      <c r="R120" s="808"/>
      <c r="S120" s="809"/>
      <c r="T120" s="810"/>
      <c r="U120" s="809"/>
      <c r="V120" s="808"/>
      <c r="W120" s="809"/>
      <c r="X120" s="809"/>
      <c r="Y120" s="808"/>
      <c r="Z120" s="808"/>
      <c r="AA120" s="809"/>
      <c r="AB120" s="810"/>
      <c r="AC120" s="812"/>
      <c r="AD120" s="808"/>
      <c r="AE120" s="808"/>
      <c r="AF120" s="808"/>
      <c r="AG120" s="808"/>
      <c r="AH120" s="808"/>
      <c r="AI120" s="809"/>
      <c r="AJ120" s="810"/>
      <c r="AK120" s="812"/>
      <c r="AL120" s="808"/>
      <c r="AM120" s="808"/>
      <c r="AN120" s="808"/>
      <c r="AO120" s="808"/>
      <c r="AP120" s="808"/>
      <c r="AQ120" s="809"/>
      <c r="AR120" s="813"/>
      <c r="AS120" s="808"/>
      <c r="AT120" s="808"/>
      <c r="AU120" s="808"/>
      <c r="AV120" s="808"/>
      <c r="AW120" s="808"/>
      <c r="AX120" s="808"/>
      <c r="AY120" s="809"/>
      <c r="AZ120" s="810"/>
      <c r="BA120" s="809"/>
      <c r="BB120" s="808"/>
      <c r="BC120" s="809"/>
      <c r="BD120" s="809"/>
      <c r="BE120" s="808"/>
      <c r="BF120" s="808"/>
      <c r="BG120" s="809"/>
      <c r="BH120" s="810"/>
      <c r="BI120" s="812"/>
      <c r="BJ120" s="808"/>
      <c r="BK120" s="808"/>
      <c r="BL120" s="808"/>
      <c r="BM120" s="808"/>
      <c r="BN120" s="808"/>
      <c r="BO120" s="809"/>
      <c r="BP120" s="810"/>
      <c r="BQ120" s="809"/>
      <c r="BR120" s="808"/>
      <c r="BS120" s="809"/>
      <c r="BT120" s="809"/>
      <c r="BU120" s="808"/>
      <c r="BV120" s="808"/>
      <c r="BW120" s="809"/>
      <c r="BX120" s="811"/>
    </row>
    <row r="121" ht="30.0" customHeight="1">
      <c r="A121" s="819">
        <v>115.0</v>
      </c>
      <c r="B121" s="807" t="s">
        <v>413</v>
      </c>
      <c r="C121" s="807" t="s">
        <v>1269</v>
      </c>
      <c r="D121" s="728">
        <v>103476.0</v>
      </c>
      <c r="E121" s="808"/>
      <c r="F121" s="808"/>
      <c r="G121" s="808"/>
      <c r="H121" s="808"/>
      <c r="I121" s="808"/>
      <c r="J121" s="809"/>
      <c r="K121" s="810"/>
      <c r="L121" s="810"/>
      <c r="M121" s="808"/>
      <c r="N121" s="808"/>
      <c r="O121" s="808"/>
      <c r="P121" s="808"/>
      <c r="Q121" s="808"/>
      <c r="R121" s="808"/>
      <c r="S121" s="809"/>
      <c r="T121" s="810"/>
      <c r="U121" s="809" t="s">
        <v>1108</v>
      </c>
      <c r="V121" s="808" t="s">
        <v>1227</v>
      </c>
      <c r="W121" s="809" t="s">
        <v>1229</v>
      </c>
      <c r="X121" s="809"/>
      <c r="Y121" s="808" t="s">
        <v>1223</v>
      </c>
      <c r="Z121" s="808" t="s">
        <v>1224</v>
      </c>
      <c r="AA121" s="809"/>
      <c r="AB121" s="810"/>
      <c r="AC121" s="812"/>
      <c r="AD121" s="808"/>
      <c r="AE121" s="808"/>
      <c r="AF121" s="808"/>
      <c r="AG121" s="808"/>
      <c r="AH121" s="808"/>
      <c r="AI121" s="809"/>
      <c r="AJ121" s="810"/>
      <c r="AK121" s="812"/>
      <c r="AL121" s="808"/>
      <c r="AM121" s="808"/>
      <c r="AN121" s="808"/>
      <c r="AO121" s="808"/>
      <c r="AP121" s="808"/>
      <c r="AQ121" s="809"/>
      <c r="AR121" s="813"/>
      <c r="AS121" s="808"/>
      <c r="AT121" s="808"/>
      <c r="AU121" s="808"/>
      <c r="AV121" s="808"/>
      <c r="AW121" s="808"/>
      <c r="AX121" s="808"/>
      <c r="AY121" s="809"/>
      <c r="AZ121" s="810"/>
      <c r="BA121" s="809"/>
      <c r="BB121" s="808"/>
      <c r="BC121" s="809"/>
      <c r="BD121" s="809"/>
      <c r="BE121" s="808"/>
      <c r="BF121" s="808"/>
      <c r="BG121" s="809"/>
      <c r="BH121" s="810"/>
      <c r="BI121" s="812"/>
      <c r="BJ121" s="808"/>
      <c r="BK121" s="808"/>
      <c r="BL121" s="808"/>
      <c r="BM121" s="808"/>
      <c r="BN121" s="808"/>
      <c r="BO121" s="809"/>
      <c r="BP121" s="810"/>
      <c r="BQ121" s="809"/>
      <c r="BR121" s="808"/>
      <c r="BS121" s="809"/>
      <c r="BT121" s="809"/>
      <c r="BU121" s="808"/>
      <c r="BV121" s="808"/>
      <c r="BW121" s="809"/>
      <c r="BX121" s="811"/>
    </row>
    <row r="122" ht="30.0" customHeight="1">
      <c r="A122" s="819">
        <v>116.0</v>
      </c>
      <c r="B122" s="807" t="s">
        <v>413</v>
      </c>
      <c r="C122" s="807" t="s">
        <v>1270</v>
      </c>
      <c r="D122" s="728">
        <v>103504.0</v>
      </c>
      <c r="E122" s="808"/>
      <c r="F122" s="808"/>
      <c r="G122" s="808"/>
      <c r="H122" s="808"/>
      <c r="I122" s="808"/>
      <c r="J122" s="809"/>
      <c r="K122" s="810"/>
      <c r="L122" s="810"/>
      <c r="M122" s="808" t="s">
        <v>1108</v>
      </c>
      <c r="N122" s="808" t="s">
        <v>1227</v>
      </c>
      <c r="O122" s="808" t="s">
        <v>1229</v>
      </c>
      <c r="P122" s="808"/>
      <c r="Q122" s="808" t="s">
        <v>1223</v>
      </c>
      <c r="R122" s="808" t="s">
        <v>1224</v>
      </c>
      <c r="S122" s="809"/>
      <c r="T122" s="810"/>
      <c r="U122" s="809"/>
      <c r="V122" s="808"/>
      <c r="W122" s="809"/>
      <c r="X122" s="809"/>
      <c r="Y122" s="808"/>
      <c r="Z122" s="808"/>
      <c r="AA122" s="809"/>
      <c r="AB122" s="810"/>
      <c r="AC122" s="812"/>
      <c r="AD122" s="808"/>
      <c r="AE122" s="808"/>
      <c r="AF122" s="808"/>
      <c r="AG122" s="808"/>
      <c r="AH122" s="808"/>
      <c r="AI122" s="809"/>
      <c r="AJ122" s="810"/>
      <c r="AK122" s="812"/>
      <c r="AL122" s="808"/>
      <c r="AM122" s="808"/>
      <c r="AN122" s="808"/>
      <c r="AO122" s="808"/>
      <c r="AP122" s="808"/>
      <c r="AQ122" s="809"/>
      <c r="AR122" s="813"/>
      <c r="AS122" s="808"/>
      <c r="AT122" s="808"/>
      <c r="AU122" s="808"/>
      <c r="AV122" s="808"/>
      <c r="AW122" s="808"/>
      <c r="AX122" s="808"/>
      <c r="AY122" s="809"/>
      <c r="AZ122" s="810"/>
      <c r="BA122" s="809"/>
      <c r="BB122" s="808"/>
      <c r="BC122" s="809"/>
      <c r="BD122" s="809"/>
      <c r="BE122" s="808"/>
      <c r="BF122" s="808"/>
      <c r="BG122" s="809"/>
      <c r="BH122" s="810"/>
      <c r="BI122" s="812"/>
      <c r="BJ122" s="808"/>
      <c r="BK122" s="808"/>
      <c r="BL122" s="808"/>
      <c r="BM122" s="808"/>
      <c r="BN122" s="808"/>
      <c r="BO122" s="809"/>
      <c r="BP122" s="810"/>
      <c r="BQ122" s="809"/>
      <c r="BR122" s="808"/>
      <c r="BS122" s="809"/>
      <c r="BT122" s="809"/>
      <c r="BU122" s="808"/>
      <c r="BV122" s="808"/>
      <c r="BW122" s="809"/>
      <c r="BX122" s="811"/>
    </row>
    <row r="123" ht="30.0" customHeight="1">
      <c r="A123" s="819">
        <v>117.0</v>
      </c>
      <c r="B123" s="807" t="s">
        <v>413</v>
      </c>
      <c r="C123" s="807" t="s">
        <v>458</v>
      </c>
      <c r="D123" s="728">
        <v>104303.0</v>
      </c>
      <c r="E123" s="808"/>
      <c r="F123" s="808"/>
      <c r="G123" s="808"/>
      <c r="H123" s="808"/>
      <c r="I123" s="808"/>
      <c r="J123" s="809"/>
      <c r="K123" s="810"/>
      <c r="L123" s="810"/>
      <c r="M123" s="808"/>
      <c r="N123" s="808"/>
      <c r="O123" s="808"/>
      <c r="P123" s="808"/>
      <c r="Q123" s="808"/>
      <c r="R123" s="808"/>
      <c r="S123" s="809"/>
      <c r="T123" s="810"/>
      <c r="U123" s="809"/>
      <c r="V123" s="808"/>
      <c r="W123" s="809"/>
      <c r="X123" s="809"/>
      <c r="Y123" s="808"/>
      <c r="Z123" s="808"/>
      <c r="AA123" s="809"/>
      <c r="AB123" s="810"/>
      <c r="AC123" s="812"/>
      <c r="AD123" s="808"/>
      <c r="AE123" s="808"/>
      <c r="AF123" s="808"/>
      <c r="AG123" s="808"/>
      <c r="AH123" s="808"/>
      <c r="AI123" s="809"/>
      <c r="AJ123" s="810"/>
      <c r="AK123" s="812"/>
      <c r="AL123" s="808"/>
      <c r="AM123" s="808"/>
      <c r="AN123" s="808"/>
      <c r="AO123" s="808"/>
      <c r="AP123" s="808"/>
      <c r="AQ123" s="809"/>
      <c r="AR123" s="813"/>
      <c r="AS123" s="808"/>
      <c r="AT123" s="808"/>
      <c r="AU123" s="808"/>
      <c r="AV123" s="808"/>
      <c r="AW123" s="808"/>
      <c r="AX123" s="808"/>
      <c r="AY123" s="809"/>
      <c r="AZ123" s="810"/>
      <c r="BA123" s="809"/>
      <c r="BB123" s="808"/>
      <c r="BC123" s="809"/>
      <c r="BD123" s="809"/>
      <c r="BE123" s="808"/>
      <c r="BF123" s="808"/>
      <c r="BG123" s="809"/>
      <c r="BH123" s="810"/>
      <c r="BI123" s="812"/>
      <c r="BJ123" s="808"/>
      <c r="BK123" s="808"/>
      <c r="BL123" s="808"/>
      <c r="BM123" s="808"/>
      <c r="BN123" s="808"/>
      <c r="BO123" s="809"/>
      <c r="BP123" s="810"/>
      <c r="BQ123" s="809"/>
      <c r="BR123" s="808"/>
      <c r="BS123" s="809"/>
      <c r="BT123" s="809"/>
      <c r="BU123" s="808"/>
      <c r="BV123" s="808"/>
      <c r="BW123" s="809"/>
      <c r="BX123" s="811"/>
    </row>
    <row r="124" ht="30.0" customHeight="1">
      <c r="A124" s="819">
        <v>118.0</v>
      </c>
      <c r="B124" s="807" t="s">
        <v>413</v>
      </c>
      <c r="C124" s="807" t="s">
        <v>448</v>
      </c>
      <c r="D124" s="728">
        <v>53504.0</v>
      </c>
      <c r="E124" s="808"/>
      <c r="F124" s="808"/>
      <c r="G124" s="808"/>
      <c r="H124" s="808"/>
      <c r="I124" s="808"/>
      <c r="J124" s="809"/>
      <c r="K124" s="810"/>
      <c r="L124" s="810"/>
      <c r="M124" s="808"/>
      <c r="N124" s="808"/>
      <c r="O124" s="808"/>
      <c r="P124" s="808"/>
      <c r="Q124" s="808"/>
      <c r="R124" s="808"/>
      <c r="S124" s="809"/>
      <c r="T124" s="810"/>
      <c r="U124" s="809"/>
      <c r="V124" s="808"/>
      <c r="W124" s="809"/>
      <c r="X124" s="809"/>
      <c r="Y124" s="808"/>
      <c r="Z124" s="808"/>
      <c r="AA124" s="809"/>
      <c r="AB124" s="810"/>
      <c r="AC124" s="812"/>
      <c r="AD124" s="808"/>
      <c r="AE124" s="808"/>
      <c r="AF124" s="808"/>
      <c r="AG124" s="808"/>
      <c r="AH124" s="808"/>
      <c r="AI124" s="809"/>
      <c r="AJ124" s="810"/>
      <c r="AK124" s="812"/>
      <c r="AL124" s="808"/>
      <c r="AM124" s="808"/>
      <c r="AN124" s="808"/>
      <c r="AO124" s="808"/>
      <c r="AP124" s="808"/>
      <c r="AQ124" s="809"/>
      <c r="AR124" s="813"/>
      <c r="AS124" s="808"/>
      <c r="AT124" s="808"/>
      <c r="AU124" s="808"/>
      <c r="AV124" s="808"/>
      <c r="AW124" s="808"/>
      <c r="AX124" s="808"/>
      <c r="AY124" s="809"/>
      <c r="AZ124" s="810"/>
      <c r="BA124" s="809"/>
      <c r="BB124" s="808"/>
      <c r="BC124" s="809"/>
      <c r="BD124" s="809"/>
      <c r="BE124" s="808"/>
      <c r="BF124" s="808"/>
      <c r="BG124" s="809"/>
      <c r="BH124" s="810"/>
      <c r="BI124" s="812"/>
      <c r="BJ124" s="808"/>
      <c r="BK124" s="808"/>
      <c r="BL124" s="808"/>
      <c r="BM124" s="808"/>
      <c r="BN124" s="808"/>
      <c r="BO124" s="809"/>
      <c r="BP124" s="810"/>
      <c r="BQ124" s="809"/>
      <c r="BR124" s="808"/>
      <c r="BS124" s="809"/>
      <c r="BT124" s="809"/>
      <c r="BU124" s="808"/>
      <c r="BV124" s="808"/>
      <c r="BW124" s="809"/>
      <c r="BX124" s="811"/>
    </row>
    <row r="125" ht="30.0" customHeight="1">
      <c r="A125" s="819">
        <v>119.0</v>
      </c>
      <c r="B125" s="807" t="s">
        <v>413</v>
      </c>
      <c r="C125" s="807" t="s">
        <v>548</v>
      </c>
      <c r="D125" s="728">
        <v>256.0</v>
      </c>
      <c r="E125" s="808"/>
      <c r="F125" s="808"/>
      <c r="G125" s="808"/>
      <c r="H125" s="808"/>
      <c r="I125" s="808"/>
      <c r="J125" s="809"/>
      <c r="K125" s="810"/>
      <c r="L125" s="810"/>
      <c r="M125" s="808"/>
      <c r="N125" s="808"/>
      <c r="O125" s="808"/>
      <c r="P125" s="808"/>
      <c r="Q125" s="808"/>
      <c r="R125" s="808"/>
      <c r="S125" s="809"/>
      <c r="T125" s="810"/>
      <c r="U125" s="809"/>
      <c r="V125" s="808"/>
      <c r="W125" s="809"/>
      <c r="X125" s="809"/>
      <c r="Y125" s="808"/>
      <c r="Z125" s="808"/>
      <c r="AA125" s="809"/>
      <c r="AB125" s="810"/>
      <c r="AC125" s="812"/>
      <c r="AD125" s="808"/>
      <c r="AE125" s="808"/>
      <c r="AF125" s="808"/>
      <c r="AG125" s="808"/>
      <c r="AH125" s="808"/>
      <c r="AI125" s="809"/>
      <c r="AJ125" s="810"/>
      <c r="AK125" s="812"/>
      <c r="AL125" s="808"/>
      <c r="AM125" s="808"/>
      <c r="AN125" s="808"/>
      <c r="AO125" s="808"/>
      <c r="AP125" s="808"/>
      <c r="AQ125" s="809"/>
      <c r="AR125" s="813"/>
      <c r="AS125" s="808"/>
      <c r="AT125" s="808"/>
      <c r="AU125" s="808"/>
      <c r="AV125" s="808"/>
      <c r="AW125" s="808"/>
      <c r="AX125" s="808"/>
      <c r="AY125" s="809"/>
      <c r="AZ125" s="810"/>
      <c r="BA125" s="809"/>
      <c r="BB125" s="808"/>
      <c r="BC125" s="809"/>
      <c r="BD125" s="809"/>
      <c r="BE125" s="808"/>
      <c r="BF125" s="808"/>
      <c r="BG125" s="809"/>
      <c r="BH125" s="810"/>
      <c r="BI125" s="812"/>
      <c r="BJ125" s="808"/>
      <c r="BK125" s="808"/>
      <c r="BL125" s="808"/>
      <c r="BM125" s="808"/>
      <c r="BN125" s="808"/>
      <c r="BO125" s="809"/>
      <c r="BP125" s="810"/>
      <c r="BQ125" s="809"/>
      <c r="BR125" s="808"/>
      <c r="BS125" s="809"/>
      <c r="BT125" s="809"/>
      <c r="BU125" s="808"/>
      <c r="BV125" s="808"/>
      <c r="BW125" s="809"/>
      <c r="BX125" s="811"/>
    </row>
    <row r="126" ht="30.0" customHeight="1">
      <c r="A126" s="819">
        <v>120.0</v>
      </c>
      <c r="B126" s="807" t="s">
        <v>413</v>
      </c>
      <c r="C126" s="807" t="s">
        <v>1023</v>
      </c>
      <c r="D126" s="728">
        <v>4010.0</v>
      </c>
      <c r="E126" s="808"/>
      <c r="F126" s="808"/>
      <c r="G126" s="808"/>
      <c r="H126" s="808"/>
      <c r="I126" s="808"/>
      <c r="J126" s="809"/>
      <c r="K126" s="810"/>
      <c r="L126" s="810"/>
      <c r="M126" s="808"/>
      <c r="N126" s="808"/>
      <c r="O126" s="808"/>
      <c r="P126" s="808"/>
      <c r="Q126" s="808"/>
      <c r="R126" s="808"/>
      <c r="S126" s="809"/>
      <c r="T126" s="810"/>
      <c r="U126" s="809"/>
      <c r="V126" s="808"/>
      <c r="W126" s="809"/>
      <c r="X126" s="809"/>
      <c r="Y126" s="808"/>
      <c r="Z126" s="808"/>
      <c r="AA126" s="809"/>
      <c r="AB126" s="810"/>
      <c r="AC126" s="812" t="s">
        <v>1108</v>
      </c>
      <c r="AD126" s="808" t="s">
        <v>1221</v>
      </c>
      <c r="AE126" s="808" t="s">
        <v>1222</v>
      </c>
      <c r="AF126" s="808"/>
      <c r="AG126" s="808" t="s">
        <v>1223</v>
      </c>
      <c r="AH126" s="808" t="s">
        <v>1224</v>
      </c>
      <c r="AI126" s="809"/>
      <c r="AJ126" s="810"/>
      <c r="AK126" s="812"/>
      <c r="AL126" s="808"/>
      <c r="AM126" s="808"/>
      <c r="AN126" s="808"/>
      <c r="AO126" s="808"/>
      <c r="AP126" s="808"/>
      <c r="AQ126" s="809"/>
      <c r="AR126" s="813"/>
      <c r="AS126" s="808"/>
      <c r="AT126" s="808"/>
      <c r="AU126" s="808"/>
      <c r="AV126" s="808"/>
      <c r="AW126" s="808"/>
      <c r="AX126" s="808"/>
      <c r="AY126" s="809"/>
      <c r="AZ126" s="810"/>
      <c r="BA126" s="809"/>
      <c r="BB126" s="808"/>
      <c r="BC126" s="809"/>
      <c r="BD126" s="809"/>
      <c r="BE126" s="808"/>
      <c r="BF126" s="808"/>
      <c r="BG126" s="809"/>
      <c r="BH126" s="810"/>
      <c r="BI126" s="812"/>
      <c r="BJ126" s="808"/>
      <c r="BK126" s="808"/>
      <c r="BL126" s="808"/>
      <c r="BM126" s="808"/>
      <c r="BN126" s="808"/>
      <c r="BO126" s="809"/>
      <c r="BP126" s="810"/>
      <c r="BQ126" s="809"/>
      <c r="BR126" s="808"/>
      <c r="BS126" s="809"/>
      <c r="BT126" s="809"/>
      <c r="BU126" s="808"/>
      <c r="BV126" s="808"/>
      <c r="BW126" s="809"/>
      <c r="BX126" s="811"/>
    </row>
    <row r="127" ht="30.0" customHeight="1">
      <c r="A127" s="819">
        <v>121.0</v>
      </c>
      <c r="B127" s="807" t="s">
        <v>413</v>
      </c>
      <c r="C127" s="807" t="s">
        <v>1022</v>
      </c>
      <c r="D127" s="728">
        <v>2130.0</v>
      </c>
      <c r="E127" s="808"/>
      <c r="F127" s="808"/>
      <c r="G127" s="808"/>
      <c r="H127" s="808"/>
      <c r="I127" s="808"/>
      <c r="J127" s="809"/>
      <c r="K127" s="810"/>
      <c r="L127" s="810"/>
      <c r="M127" s="808"/>
      <c r="N127" s="808"/>
      <c r="O127" s="808"/>
      <c r="P127" s="808"/>
      <c r="Q127" s="808"/>
      <c r="R127" s="808"/>
      <c r="S127" s="809"/>
      <c r="T127" s="810"/>
      <c r="U127" s="809"/>
      <c r="V127" s="808"/>
      <c r="W127" s="809"/>
      <c r="X127" s="809"/>
      <c r="Y127" s="808"/>
      <c r="Z127" s="808"/>
      <c r="AA127" s="809"/>
      <c r="AB127" s="810"/>
      <c r="AC127" s="812"/>
      <c r="AD127" s="808"/>
      <c r="AE127" s="808"/>
      <c r="AF127" s="808"/>
      <c r="AG127" s="808"/>
      <c r="AH127" s="808"/>
      <c r="AI127" s="809"/>
      <c r="AJ127" s="810"/>
      <c r="AK127" s="812" t="s">
        <v>1108</v>
      </c>
      <c r="AL127" s="808" t="s">
        <v>1221</v>
      </c>
      <c r="AM127" s="808" t="s">
        <v>1222</v>
      </c>
      <c r="AN127" s="808"/>
      <c r="AO127" s="808" t="s">
        <v>1223</v>
      </c>
      <c r="AP127" s="808" t="s">
        <v>1224</v>
      </c>
      <c r="AQ127" s="809"/>
      <c r="AR127" s="813"/>
      <c r="AS127" s="808"/>
      <c r="AT127" s="808"/>
      <c r="AU127" s="808"/>
      <c r="AV127" s="808"/>
      <c r="AW127" s="808"/>
      <c r="AX127" s="808"/>
      <c r="AY127" s="809"/>
      <c r="AZ127" s="810"/>
      <c r="BA127" s="809"/>
      <c r="BB127" s="808"/>
      <c r="BC127" s="809"/>
      <c r="BD127" s="809"/>
      <c r="BE127" s="808"/>
      <c r="BF127" s="808"/>
      <c r="BG127" s="809"/>
      <c r="BH127" s="810"/>
      <c r="BI127" s="812"/>
      <c r="BJ127" s="808"/>
      <c r="BK127" s="808"/>
      <c r="BL127" s="808"/>
      <c r="BM127" s="808"/>
      <c r="BN127" s="808"/>
      <c r="BO127" s="809"/>
      <c r="BP127" s="810"/>
      <c r="BQ127" s="809"/>
      <c r="BR127" s="808"/>
      <c r="BS127" s="809"/>
      <c r="BT127" s="809"/>
      <c r="BU127" s="808"/>
      <c r="BV127" s="808"/>
      <c r="BW127" s="809"/>
      <c r="BX127" s="811"/>
    </row>
    <row r="128" ht="30.0" customHeight="1">
      <c r="A128" s="819">
        <v>122.0</v>
      </c>
      <c r="B128" s="807" t="s">
        <v>413</v>
      </c>
      <c r="C128" s="807" t="s">
        <v>1131</v>
      </c>
      <c r="D128" s="728">
        <v>104822.0</v>
      </c>
      <c r="E128" s="808"/>
      <c r="F128" s="808"/>
      <c r="G128" s="808"/>
      <c r="H128" s="808"/>
      <c r="I128" s="808"/>
      <c r="J128" s="809"/>
      <c r="K128" s="810"/>
      <c r="L128" s="810"/>
      <c r="M128" s="808"/>
      <c r="N128" s="808"/>
      <c r="O128" s="808"/>
      <c r="P128" s="808"/>
      <c r="Q128" s="808"/>
      <c r="R128" s="808"/>
      <c r="S128" s="809"/>
      <c r="T128" s="810"/>
      <c r="U128" s="809"/>
      <c r="V128" s="808"/>
      <c r="W128" s="809"/>
      <c r="X128" s="809"/>
      <c r="Y128" s="808"/>
      <c r="Z128" s="808"/>
      <c r="AA128" s="809"/>
      <c r="AB128" s="810"/>
      <c r="AC128" s="812"/>
      <c r="AD128" s="808"/>
      <c r="AE128" s="808"/>
      <c r="AF128" s="808"/>
      <c r="AG128" s="808"/>
      <c r="AH128" s="808"/>
      <c r="AI128" s="809"/>
      <c r="AJ128" s="810"/>
      <c r="AK128" s="812"/>
      <c r="AL128" s="808"/>
      <c r="AM128" s="808"/>
      <c r="AN128" s="808"/>
      <c r="AO128" s="808"/>
      <c r="AP128" s="808"/>
      <c r="AQ128" s="809"/>
      <c r="AR128" s="813"/>
      <c r="AS128" s="808"/>
      <c r="AT128" s="808"/>
      <c r="AU128" s="808"/>
      <c r="AV128" s="808"/>
      <c r="AW128" s="808"/>
      <c r="AX128" s="808"/>
      <c r="AY128" s="809"/>
      <c r="AZ128" s="810"/>
      <c r="BA128" s="809"/>
      <c r="BB128" s="808"/>
      <c r="BC128" s="809"/>
      <c r="BD128" s="809"/>
      <c r="BE128" s="808"/>
      <c r="BF128" s="808"/>
      <c r="BG128" s="809"/>
      <c r="BH128" s="810"/>
      <c r="BI128" s="812"/>
      <c r="BJ128" s="808"/>
      <c r="BK128" s="808"/>
      <c r="BL128" s="808"/>
      <c r="BM128" s="808"/>
      <c r="BN128" s="808"/>
      <c r="BO128" s="809"/>
      <c r="BP128" s="810"/>
      <c r="BQ128" s="809"/>
      <c r="BR128" s="808"/>
      <c r="BS128" s="809"/>
      <c r="BT128" s="809"/>
      <c r="BU128" s="808"/>
      <c r="BV128" s="808"/>
      <c r="BW128" s="809"/>
      <c r="BX128" s="811"/>
    </row>
    <row r="129" ht="30.0" customHeight="1">
      <c r="A129" s="820">
        <v>123.0</v>
      </c>
      <c r="B129" s="807" t="s">
        <v>576</v>
      </c>
      <c r="C129" s="807" t="s">
        <v>593</v>
      </c>
      <c r="D129" s="728">
        <v>4080.0</v>
      </c>
      <c r="E129" s="808"/>
      <c r="F129" s="808"/>
      <c r="G129" s="808"/>
      <c r="H129" s="808"/>
      <c r="I129" s="808"/>
      <c r="J129" s="809"/>
      <c r="K129" s="810"/>
      <c r="L129" s="810"/>
      <c r="M129" s="808"/>
      <c r="N129" s="808"/>
      <c r="O129" s="808"/>
      <c r="P129" s="808"/>
      <c r="Q129" s="808"/>
      <c r="R129" s="808"/>
      <c r="S129" s="809"/>
      <c r="T129" s="810"/>
      <c r="U129" s="809"/>
      <c r="V129" s="808"/>
      <c r="W129" s="809"/>
      <c r="X129" s="809"/>
      <c r="Y129" s="808"/>
      <c r="Z129" s="808"/>
      <c r="AA129" s="809"/>
      <c r="AB129" s="810"/>
      <c r="AC129" s="812"/>
      <c r="AD129" s="808"/>
      <c r="AE129" s="808"/>
      <c r="AF129" s="808"/>
      <c r="AG129" s="808"/>
      <c r="AH129" s="808"/>
      <c r="AI129" s="809"/>
      <c r="AJ129" s="810"/>
      <c r="AK129" s="812"/>
      <c r="AL129" s="808"/>
      <c r="AM129" s="808"/>
      <c r="AN129" s="808"/>
      <c r="AO129" s="808"/>
      <c r="AP129" s="808"/>
      <c r="AQ129" s="809"/>
      <c r="AR129" s="813"/>
      <c r="AS129" s="808"/>
      <c r="AT129" s="808"/>
      <c r="AU129" s="808"/>
      <c r="AV129" s="808"/>
      <c r="AW129" s="808"/>
      <c r="AX129" s="808"/>
      <c r="AY129" s="809"/>
      <c r="AZ129" s="810"/>
      <c r="BA129" s="809"/>
      <c r="BB129" s="808"/>
      <c r="BC129" s="809"/>
      <c r="BD129" s="809"/>
      <c r="BE129" s="808"/>
      <c r="BF129" s="808"/>
      <c r="BG129" s="809"/>
      <c r="BH129" s="810"/>
      <c r="BI129" s="812"/>
      <c r="BJ129" s="808"/>
      <c r="BK129" s="808"/>
      <c r="BL129" s="808"/>
      <c r="BM129" s="808"/>
      <c r="BN129" s="808"/>
      <c r="BO129" s="809"/>
      <c r="BP129" s="810"/>
      <c r="BQ129" s="809"/>
      <c r="BR129" s="808"/>
      <c r="BS129" s="809"/>
      <c r="BT129" s="809"/>
      <c r="BU129" s="808"/>
      <c r="BV129" s="808"/>
      <c r="BW129" s="809"/>
      <c r="BX129" s="811"/>
    </row>
    <row r="130" ht="30.0" customHeight="1">
      <c r="A130" s="820">
        <v>124.0</v>
      </c>
      <c r="B130" s="807" t="s">
        <v>576</v>
      </c>
      <c r="C130" s="807" t="s">
        <v>1068</v>
      </c>
      <c r="D130" s="728">
        <v>8170.0</v>
      </c>
      <c r="E130" s="808"/>
      <c r="F130" s="808"/>
      <c r="G130" s="808"/>
      <c r="H130" s="808"/>
      <c r="I130" s="808"/>
      <c r="J130" s="809"/>
      <c r="K130" s="810"/>
      <c r="L130" s="810"/>
      <c r="M130" s="808" t="s">
        <v>1108</v>
      </c>
      <c r="N130" s="808" t="s">
        <v>1233</v>
      </c>
      <c r="O130" s="808" t="s">
        <v>1229</v>
      </c>
      <c r="P130" s="808"/>
      <c r="Q130" s="808" t="s">
        <v>1223</v>
      </c>
      <c r="R130" s="808" t="s">
        <v>1224</v>
      </c>
      <c r="S130" s="809"/>
      <c r="T130" s="810"/>
      <c r="U130" s="809" t="s">
        <v>1108</v>
      </c>
      <c r="V130" s="808" t="s">
        <v>1233</v>
      </c>
      <c r="W130" s="809" t="s">
        <v>1222</v>
      </c>
      <c r="X130" s="809"/>
      <c r="Y130" s="808" t="s">
        <v>1223</v>
      </c>
      <c r="Z130" s="808" t="s">
        <v>1224</v>
      </c>
      <c r="AA130" s="809"/>
      <c r="AB130" s="810"/>
      <c r="AC130" s="812"/>
      <c r="AD130" s="808"/>
      <c r="AE130" s="808"/>
      <c r="AF130" s="808"/>
      <c r="AG130" s="808"/>
      <c r="AH130" s="808"/>
      <c r="AI130" s="809"/>
      <c r="AJ130" s="810"/>
      <c r="AK130" s="812"/>
      <c r="AL130" s="808"/>
      <c r="AM130" s="808"/>
      <c r="AN130" s="808"/>
      <c r="AO130" s="808"/>
      <c r="AP130" s="808"/>
      <c r="AQ130" s="809"/>
      <c r="AR130" s="813"/>
      <c r="AS130" s="808"/>
      <c r="AT130" s="808"/>
      <c r="AU130" s="808"/>
      <c r="AV130" s="808"/>
      <c r="AW130" s="808"/>
      <c r="AX130" s="808"/>
      <c r="AY130" s="809"/>
      <c r="AZ130" s="810"/>
      <c r="BA130" s="809"/>
      <c r="BB130" s="808"/>
      <c r="BC130" s="809"/>
      <c r="BD130" s="809"/>
      <c r="BE130" s="808"/>
      <c r="BF130" s="808"/>
      <c r="BG130" s="809"/>
      <c r="BH130" s="810"/>
      <c r="BI130" s="812"/>
      <c r="BJ130" s="808"/>
      <c r="BK130" s="808"/>
      <c r="BL130" s="808"/>
      <c r="BM130" s="808"/>
      <c r="BN130" s="808"/>
      <c r="BO130" s="809"/>
      <c r="BP130" s="810"/>
      <c r="BQ130" s="809"/>
      <c r="BR130" s="808"/>
      <c r="BS130" s="809"/>
      <c r="BT130" s="809"/>
      <c r="BU130" s="808"/>
      <c r="BV130" s="808"/>
      <c r="BW130" s="809"/>
      <c r="BX130" s="811"/>
    </row>
    <row r="131" ht="30.0" customHeight="1">
      <c r="A131" s="820">
        <v>125.0</v>
      </c>
      <c r="B131" s="807" t="s">
        <v>576</v>
      </c>
      <c r="C131" s="807" t="s">
        <v>1164</v>
      </c>
      <c r="D131" s="728">
        <v>233.0</v>
      </c>
      <c r="E131" s="808"/>
      <c r="F131" s="808"/>
      <c r="G131" s="808"/>
      <c r="H131" s="808"/>
      <c r="I131" s="808"/>
      <c r="J131" s="809"/>
      <c r="K131" s="810"/>
      <c r="L131" s="810"/>
      <c r="M131" s="808" t="s">
        <v>1108</v>
      </c>
      <c r="N131" s="808" t="s">
        <v>1227</v>
      </c>
      <c r="O131" s="808" t="s">
        <v>1229</v>
      </c>
      <c r="P131" s="808"/>
      <c r="Q131" s="808" t="s">
        <v>1223</v>
      </c>
      <c r="R131" s="808" t="s">
        <v>1224</v>
      </c>
      <c r="S131" s="809"/>
      <c r="T131" s="810"/>
      <c r="U131" s="809"/>
      <c r="V131" s="808"/>
      <c r="W131" s="809"/>
      <c r="X131" s="809"/>
      <c r="Y131" s="808"/>
      <c r="Z131" s="808"/>
      <c r="AA131" s="809"/>
      <c r="AB131" s="810"/>
      <c r="AC131" s="812" t="s">
        <v>1108</v>
      </c>
      <c r="AD131" s="808" t="s">
        <v>1227</v>
      </c>
      <c r="AE131" s="808" t="s">
        <v>1222</v>
      </c>
      <c r="AF131" s="808"/>
      <c r="AG131" s="808" t="s">
        <v>1223</v>
      </c>
      <c r="AH131" s="808" t="s">
        <v>1224</v>
      </c>
      <c r="AI131" s="809"/>
      <c r="AJ131" s="810"/>
      <c r="AK131" s="812"/>
      <c r="AL131" s="808"/>
      <c r="AM131" s="808"/>
      <c r="AN131" s="808"/>
      <c r="AO131" s="808"/>
      <c r="AP131" s="808"/>
      <c r="AQ131" s="809"/>
      <c r="AR131" s="813"/>
      <c r="AS131" s="808"/>
      <c r="AT131" s="808"/>
      <c r="AU131" s="808"/>
      <c r="AV131" s="808"/>
      <c r="AW131" s="808"/>
      <c r="AX131" s="808"/>
      <c r="AY131" s="809"/>
      <c r="AZ131" s="810"/>
      <c r="BA131" s="809"/>
      <c r="BB131" s="808"/>
      <c r="BC131" s="809"/>
      <c r="BD131" s="809"/>
      <c r="BE131" s="808"/>
      <c r="BF131" s="808"/>
      <c r="BG131" s="809"/>
      <c r="BH131" s="810"/>
      <c r="BI131" s="812"/>
      <c r="BJ131" s="808"/>
      <c r="BK131" s="808"/>
      <c r="BL131" s="808"/>
      <c r="BM131" s="808"/>
      <c r="BN131" s="808"/>
      <c r="BO131" s="809"/>
      <c r="BP131" s="810"/>
      <c r="BQ131" s="809"/>
      <c r="BR131" s="808"/>
      <c r="BS131" s="809"/>
      <c r="BT131" s="809"/>
      <c r="BU131" s="808"/>
      <c r="BV131" s="808"/>
      <c r="BW131" s="809"/>
      <c r="BX131" s="811"/>
    </row>
    <row r="132" ht="30.0" customHeight="1">
      <c r="A132" s="820">
        <v>126.0</v>
      </c>
      <c r="B132" s="807" t="s">
        <v>576</v>
      </c>
      <c r="C132" s="807" t="s">
        <v>1169</v>
      </c>
      <c r="D132" s="728">
        <v>102182.0</v>
      </c>
      <c r="E132" s="808"/>
      <c r="F132" s="808"/>
      <c r="G132" s="808"/>
      <c r="H132" s="808"/>
      <c r="I132" s="808"/>
      <c r="J132" s="809"/>
      <c r="K132" s="810"/>
      <c r="L132" s="810"/>
      <c r="M132" s="808"/>
      <c r="N132" s="808"/>
      <c r="O132" s="808"/>
      <c r="P132" s="808"/>
      <c r="Q132" s="808"/>
      <c r="R132" s="808"/>
      <c r="S132" s="809"/>
      <c r="T132" s="810"/>
      <c r="U132" s="809" t="s">
        <v>1108</v>
      </c>
      <c r="V132" s="808" t="s">
        <v>1227</v>
      </c>
      <c r="W132" s="809" t="s">
        <v>1222</v>
      </c>
      <c r="X132" s="809"/>
      <c r="Y132" s="808" t="s">
        <v>1223</v>
      </c>
      <c r="Z132" s="808" t="s">
        <v>1224</v>
      </c>
      <c r="AA132" s="809"/>
      <c r="AB132" s="810"/>
      <c r="AC132" s="812"/>
      <c r="AD132" s="808"/>
      <c r="AE132" s="808"/>
      <c r="AF132" s="808"/>
      <c r="AG132" s="808"/>
      <c r="AH132" s="808"/>
      <c r="AI132" s="809"/>
      <c r="AJ132" s="810"/>
      <c r="AK132" s="812" t="s">
        <v>1108</v>
      </c>
      <c r="AL132" s="808" t="s">
        <v>1227</v>
      </c>
      <c r="AM132" s="808" t="s">
        <v>1222</v>
      </c>
      <c r="AN132" s="808"/>
      <c r="AO132" s="808" t="s">
        <v>1228</v>
      </c>
      <c r="AP132" s="808" t="s">
        <v>1224</v>
      </c>
      <c r="AQ132" s="809" t="s">
        <v>82</v>
      </c>
      <c r="AR132" s="813"/>
      <c r="AS132" s="808"/>
      <c r="AT132" s="808"/>
      <c r="AU132" s="808"/>
      <c r="AV132" s="808"/>
      <c r="AW132" s="808"/>
      <c r="AX132" s="808"/>
      <c r="AY132" s="809"/>
      <c r="AZ132" s="810"/>
      <c r="BA132" s="809"/>
      <c r="BB132" s="808"/>
      <c r="BC132" s="809"/>
      <c r="BD132" s="809"/>
      <c r="BE132" s="808"/>
      <c r="BF132" s="808"/>
      <c r="BG132" s="809"/>
      <c r="BH132" s="810"/>
      <c r="BI132" s="812"/>
      <c r="BJ132" s="808"/>
      <c r="BK132" s="808"/>
      <c r="BL132" s="808"/>
      <c r="BM132" s="808"/>
      <c r="BN132" s="808"/>
      <c r="BO132" s="809"/>
      <c r="BP132" s="810"/>
      <c r="BQ132" s="809"/>
      <c r="BR132" s="808"/>
      <c r="BS132" s="809"/>
      <c r="BT132" s="809"/>
      <c r="BU132" s="808"/>
      <c r="BV132" s="808"/>
      <c r="BW132" s="809"/>
      <c r="BX132" s="811"/>
    </row>
    <row r="133" ht="30.0" customHeight="1">
      <c r="A133" s="820">
        <v>127.0</v>
      </c>
      <c r="B133" s="807" t="s">
        <v>576</v>
      </c>
      <c r="C133" s="807" t="s">
        <v>1132</v>
      </c>
      <c r="D133" s="728">
        <v>245.0</v>
      </c>
      <c r="E133" s="808"/>
      <c r="F133" s="808"/>
      <c r="G133" s="808"/>
      <c r="H133" s="808"/>
      <c r="I133" s="808"/>
      <c r="J133" s="809"/>
      <c r="K133" s="810"/>
      <c r="L133" s="810"/>
      <c r="M133" s="808"/>
      <c r="N133" s="808"/>
      <c r="O133" s="808"/>
      <c r="P133" s="808"/>
      <c r="Q133" s="808"/>
      <c r="R133" s="808"/>
      <c r="S133" s="809"/>
      <c r="T133" s="810"/>
      <c r="U133" s="809"/>
      <c r="V133" s="808"/>
      <c r="W133" s="809"/>
      <c r="X133" s="809"/>
      <c r="Y133" s="808"/>
      <c r="Z133" s="808"/>
      <c r="AA133" s="809"/>
      <c r="AB133" s="810"/>
      <c r="AC133" s="812"/>
      <c r="AD133" s="808"/>
      <c r="AE133" s="808"/>
      <c r="AF133" s="808"/>
      <c r="AG133" s="808"/>
      <c r="AH133" s="808"/>
      <c r="AI133" s="809"/>
      <c r="AJ133" s="810"/>
      <c r="AK133" s="812"/>
      <c r="AL133" s="808"/>
      <c r="AM133" s="808"/>
      <c r="AN133" s="808"/>
      <c r="AO133" s="808"/>
      <c r="AP133" s="808"/>
      <c r="AQ133" s="809"/>
      <c r="AR133" s="813"/>
      <c r="AS133" s="808"/>
      <c r="AT133" s="808"/>
      <c r="AU133" s="808"/>
      <c r="AV133" s="808"/>
      <c r="AW133" s="808"/>
      <c r="AX133" s="808"/>
      <c r="AY133" s="809"/>
      <c r="AZ133" s="810"/>
      <c r="BA133" s="809"/>
      <c r="BB133" s="808"/>
      <c r="BC133" s="809"/>
      <c r="BD133" s="809"/>
      <c r="BE133" s="808"/>
      <c r="BF133" s="808"/>
      <c r="BG133" s="809"/>
      <c r="BH133" s="810"/>
      <c r="BI133" s="812"/>
      <c r="BJ133" s="808"/>
      <c r="BK133" s="808"/>
      <c r="BL133" s="808"/>
      <c r="BM133" s="808"/>
      <c r="BN133" s="808"/>
      <c r="BO133" s="809"/>
      <c r="BP133" s="810"/>
      <c r="BQ133" s="809"/>
      <c r="BR133" s="808"/>
      <c r="BS133" s="809"/>
      <c r="BT133" s="809"/>
      <c r="BU133" s="808"/>
      <c r="BV133" s="808"/>
      <c r="BW133" s="809"/>
      <c r="BX133" s="811"/>
    </row>
    <row r="134" ht="30.0" customHeight="1">
      <c r="A134" s="820">
        <v>128.0</v>
      </c>
      <c r="B134" s="807" t="s">
        <v>576</v>
      </c>
      <c r="C134" s="807" t="s">
        <v>1135</v>
      </c>
      <c r="D134" s="728">
        <v>103335.0</v>
      </c>
      <c r="E134" s="808"/>
      <c r="F134" s="808"/>
      <c r="G134" s="808"/>
      <c r="H134" s="808"/>
      <c r="I134" s="808"/>
      <c r="J134" s="809"/>
      <c r="K134" s="810"/>
      <c r="L134" s="810"/>
      <c r="M134" s="808"/>
      <c r="N134" s="808"/>
      <c r="O134" s="808"/>
      <c r="P134" s="808"/>
      <c r="Q134" s="808"/>
      <c r="R134" s="808"/>
      <c r="S134" s="809"/>
      <c r="T134" s="810"/>
      <c r="U134" s="809"/>
      <c r="V134" s="808"/>
      <c r="W134" s="809"/>
      <c r="X134" s="809"/>
      <c r="Y134" s="808"/>
      <c r="Z134" s="808"/>
      <c r="AA134" s="809"/>
      <c r="AB134" s="810"/>
      <c r="AC134" s="812"/>
      <c r="AD134" s="808"/>
      <c r="AE134" s="808"/>
      <c r="AF134" s="808"/>
      <c r="AG134" s="808"/>
      <c r="AH134" s="808"/>
      <c r="AI134" s="809"/>
      <c r="AJ134" s="810"/>
      <c r="AK134" s="812"/>
      <c r="AL134" s="808"/>
      <c r="AM134" s="808"/>
      <c r="AN134" s="808"/>
      <c r="AO134" s="808"/>
      <c r="AP134" s="808"/>
      <c r="AQ134" s="809"/>
      <c r="AR134" s="813"/>
      <c r="AS134" s="808"/>
      <c r="AT134" s="808"/>
      <c r="AU134" s="808"/>
      <c r="AV134" s="808"/>
      <c r="AW134" s="808"/>
      <c r="AX134" s="808"/>
      <c r="AY134" s="809"/>
      <c r="AZ134" s="810"/>
      <c r="BA134" s="809"/>
      <c r="BB134" s="808"/>
      <c r="BC134" s="809"/>
      <c r="BD134" s="809"/>
      <c r="BE134" s="808"/>
      <c r="BF134" s="808"/>
      <c r="BG134" s="809"/>
      <c r="BH134" s="810"/>
      <c r="BI134" s="812"/>
      <c r="BJ134" s="808"/>
      <c r="BK134" s="808"/>
      <c r="BL134" s="808"/>
      <c r="BM134" s="808"/>
      <c r="BN134" s="808"/>
      <c r="BO134" s="809"/>
      <c r="BP134" s="810"/>
      <c r="BQ134" s="809"/>
      <c r="BR134" s="808"/>
      <c r="BS134" s="809"/>
      <c r="BT134" s="809"/>
      <c r="BU134" s="808"/>
      <c r="BV134" s="808"/>
      <c r="BW134" s="809"/>
      <c r="BX134" s="811"/>
    </row>
    <row r="135" ht="30.0" customHeight="1">
      <c r="A135" s="820">
        <v>129.0</v>
      </c>
      <c r="B135" s="807" t="s">
        <v>576</v>
      </c>
      <c r="C135" s="807" t="s">
        <v>598</v>
      </c>
      <c r="D135" s="728">
        <v>103788.0</v>
      </c>
      <c r="E135" s="808"/>
      <c r="F135" s="808"/>
      <c r="G135" s="808"/>
      <c r="H135" s="808"/>
      <c r="I135" s="808"/>
      <c r="J135" s="809"/>
      <c r="K135" s="810"/>
      <c r="L135" s="810"/>
      <c r="M135" s="808"/>
      <c r="N135" s="808"/>
      <c r="O135" s="808"/>
      <c r="P135" s="808"/>
      <c r="Q135" s="808"/>
      <c r="R135" s="808"/>
      <c r="S135" s="809"/>
      <c r="T135" s="810"/>
      <c r="U135" s="809"/>
      <c r="V135" s="808"/>
      <c r="W135" s="809"/>
      <c r="X135" s="809"/>
      <c r="Y135" s="808"/>
      <c r="Z135" s="808"/>
      <c r="AA135" s="809"/>
      <c r="AB135" s="810"/>
      <c r="AC135" s="812"/>
      <c r="AD135" s="808"/>
      <c r="AE135" s="808"/>
      <c r="AF135" s="808"/>
      <c r="AG135" s="808"/>
      <c r="AH135" s="808"/>
      <c r="AI135" s="809"/>
      <c r="AJ135" s="810"/>
      <c r="AK135" s="812"/>
      <c r="AL135" s="808"/>
      <c r="AM135" s="808"/>
      <c r="AN135" s="808"/>
      <c r="AO135" s="808"/>
      <c r="AP135" s="808"/>
      <c r="AQ135" s="809"/>
      <c r="AR135" s="813"/>
      <c r="AS135" s="808"/>
      <c r="AT135" s="808"/>
      <c r="AU135" s="808"/>
      <c r="AV135" s="808"/>
      <c r="AW135" s="808"/>
      <c r="AX135" s="808"/>
      <c r="AY135" s="809"/>
      <c r="AZ135" s="810"/>
      <c r="BA135" s="809"/>
      <c r="BB135" s="808"/>
      <c r="BC135" s="809"/>
      <c r="BD135" s="809"/>
      <c r="BE135" s="808"/>
      <c r="BF135" s="808"/>
      <c r="BG135" s="809"/>
      <c r="BH135" s="810"/>
      <c r="BI135" s="812"/>
      <c r="BJ135" s="808"/>
      <c r="BK135" s="808"/>
      <c r="BL135" s="808"/>
      <c r="BM135" s="808"/>
      <c r="BN135" s="808"/>
      <c r="BO135" s="809"/>
      <c r="BP135" s="810"/>
      <c r="BQ135" s="809"/>
      <c r="BR135" s="808"/>
      <c r="BS135" s="809"/>
      <c r="BT135" s="809"/>
      <c r="BU135" s="808"/>
      <c r="BV135" s="808"/>
      <c r="BW135" s="809"/>
      <c r="BX135" s="811"/>
    </row>
    <row r="136" ht="30.0" customHeight="1">
      <c r="A136" s="820">
        <v>130.0</v>
      </c>
      <c r="B136" s="807"/>
      <c r="C136" s="807" t="s">
        <v>1025</v>
      </c>
      <c r="D136" s="728">
        <v>106623.0</v>
      </c>
      <c r="E136" s="808"/>
      <c r="F136" s="808"/>
      <c r="G136" s="808"/>
      <c r="H136" s="808"/>
      <c r="I136" s="808"/>
      <c r="J136" s="809"/>
      <c r="K136" s="810"/>
      <c r="L136" s="810"/>
      <c r="M136" s="808"/>
      <c r="N136" s="808"/>
      <c r="O136" s="808"/>
      <c r="P136" s="808"/>
      <c r="Q136" s="808"/>
      <c r="R136" s="808"/>
      <c r="S136" s="809"/>
      <c r="T136" s="810"/>
      <c r="U136" s="809"/>
      <c r="V136" s="808"/>
      <c r="W136" s="809"/>
      <c r="X136" s="809"/>
      <c r="Y136" s="808"/>
      <c r="Z136" s="808"/>
      <c r="AA136" s="809"/>
      <c r="AB136" s="810"/>
      <c r="AC136" s="812"/>
      <c r="AD136" s="808"/>
      <c r="AE136" s="808"/>
      <c r="AF136" s="808"/>
      <c r="AG136" s="808"/>
      <c r="AH136" s="808"/>
      <c r="AI136" s="809"/>
      <c r="AJ136" s="810"/>
      <c r="AK136" s="812"/>
      <c r="AL136" s="808"/>
      <c r="AM136" s="808"/>
      <c r="AN136" s="808"/>
      <c r="AO136" s="808"/>
      <c r="AP136" s="808"/>
      <c r="AQ136" s="809"/>
      <c r="AR136" s="813"/>
      <c r="AS136" s="808"/>
      <c r="AT136" s="808"/>
      <c r="AU136" s="808"/>
      <c r="AV136" s="808"/>
      <c r="AW136" s="808"/>
      <c r="AX136" s="808"/>
      <c r="AY136" s="809"/>
      <c r="AZ136" s="810"/>
      <c r="BA136" s="809"/>
      <c r="BB136" s="808"/>
      <c r="BC136" s="809"/>
      <c r="BD136" s="809"/>
      <c r="BE136" s="808"/>
      <c r="BF136" s="808"/>
      <c r="BG136" s="809"/>
      <c r="BH136" s="810"/>
      <c r="BI136" s="812"/>
      <c r="BJ136" s="808"/>
      <c r="BK136" s="808"/>
      <c r="BL136" s="808"/>
      <c r="BM136" s="808"/>
      <c r="BN136" s="808"/>
      <c r="BO136" s="809"/>
      <c r="BP136" s="810"/>
      <c r="BQ136" s="809"/>
      <c r="BR136" s="808"/>
      <c r="BS136" s="809"/>
      <c r="BT136" s="809"/>
      <c r="BU136" s="808"/>
      <c r="BV136" s="808"/>
      <c r="BW136" s="809"/>
      <c r="BX136" s="811"/>
    </row>
    <row r="137" ht="30.0" customHeight="1">
      <c r="A137" s="820">
        <v>131.0</v>
      </c>
      <c r="B137" s="807" t="s">
        <v>576</v>
      </c>
      <c r="C137" s="807" t="s">
        <v>1134</v>
      </c>
      <c r="D137" s="728">
        <v>103197.0</v>
      </c>
      <c r="E137" s="808"/>
      <c r="F137" s="808"/>
      <c r="G137" s="808"/>
      <c r="H137" s="808"/>
      <c r="I137" s="808"/>
      <c r="J137" s="809"/>
      <c r="K137" s="810"/>
      <c r="L137" s="810"/>
      <c r="M137" s="808"/>
      <c r="N137" s="808"/>
      <c r="O137" s="808"/>
      <c r="P137" s="808"/>
      <c r="Q137" s="808"/>
      <c r="R137" s="808"/>
      <c r="S137" s="809"/>
      <c r="T137" s="810"/>
      <c r="U137" s="809"/>
      <c r="V137" s="808"/>
      <c r="W137" s="809"/>
      <c r="X137" s="809"/>
      <c r="Y137" s="808"/>
      <c r="Z137" s="808"/>
      <c r="AA137" s="809"/>
      <c r="AB137" s="810"/>
      <c r="AC137" s="812"/>
      <c r="AD137" s="808"/>
      <c r="AE137" s="808"/>
      <c r="AF137" s="808"/>
      <c r="AG137" s="808"/>
      <c r="AH137" s="808"/>
      <c r="AI137" s="809"/>
      <c r="AJ137" s="810"/>
      <c r="AK137" s="812"/>
      <c r="AL137" s="808"/>
      <c r="AM137" s="808"/>
      <c r="AN137" s="808"/>
      <c r="AO137" s="808"/>
      <c r="AP137" s="808"/>
      <c r="AQ137" s="809"/>
      <c r="AR137" s="813"/>
      <c r="AS137" s="808"/>
      <c r="AT137" s="808"/>
      <c r="AU137" s="808"/>
      <c r="AV137" s="808"/>
      <c r="AW137" s="808"/>
      <c r="AX137" s="808"/>
      <c r="AY137" s="809"/>
      <c r="AZ137" s="810"/>
      <c r="BA137" s="809"/>
      <c r="BB137" s="808"/>
      <c r="BC137" s="809"/>
      <c r="BD137" s="809"/>
      <c r="BE137" s="808"/>
      <c r="BF137" s="808"/>
      <c r="BG137" s="809"/>
      <c r="BH137" s="810"/>
      <c r="BI137" s="812"/>
      <c r="BJ137" s="808"/>
      <c r="BK137" s="808"/>
      <c r="BL137" s="808"/>
      <c r="BM137" s="808"/>
      <c r="BN137" s="808"/>
      <c r="BO137" s="809"/>
      <c r="BP137" s="810"/>
      <c r="BQ137" s="809"/>
      <c r="BR137" s="808"/>
      <c r="BS137" s="809"/>
      <c r="BT137" s="809"/>
      <c r="BU137" s="808"/>
      <c r="BV137" s="808"/>
      <c r="BW137" s="809"/>
      <c r="BX137" s="811"/>
    </row>
    <row r="138" ht="30.0" customHeight="1">
      <c r="A138" s="820">
        <v>132.0</v>
      </c>
      <c r="B138" s="807" t="s">
        <v>576</v>
      </c>
      <c r="C138" s="807" t="s">
        <v>602</v>
      </c>
      <c r="D138" s="728">
        <v>102803.0</v>
      </c>
      <c r="E138" s="808"/>
      <c r="F138" s="808"/>
      <c r="G138" s="808"/>
      <c r="H138" s="808"/>
      <c r="I138" s="808"/>
      <c r="J138" s="809"/>
      <c r="K138" s="810"/>
      <c r="L138" s="810"/>
      <c r="M138" s="808" t="s">
        <v>1108</v>
      </c>
      <c r="N138" s="808" t="s">
        <v>1227</v>
      </c>
      <c r="O138" s="808" t="s">
        <v>1229</v>
      </c>
      <c r="P138" s="808"/>
      <c r="Q138" s="808" t="s">
        <v>1223</v>
      </c>
      <c r="R138" s="808" t="s">
        <v>1224</v>
      </c>
      <c r="S138" s="809"/>
      <c r="T138" s="810"/>
      <c r="U138" s="809"/>
      <c r="V138" s="808"/>
      <c r="W138" s="809"/>
      <c r="X138" s="809"/>
      <c r="Y138" s="808"/>
      <c r="Z138" s="808"/>
      <c r="AA138" s="809"/>
      <c r="AB138" s="810"/>
      <c r="AC138" s="812" t="s">
        <v>1108</v>
      </c>
      <c r="AD138" s="808" t="s">
        <v>1227</v>
      </c>
      <c r="AE138" s="808" t="s">
        <v>1229</v>
      </c>
      <c r="AF138" s="808"/>
      <c r="AG138" s="808" t="s">
        <v>1223</v>
      </c>
      <c r="AH138" s="808" t="s">
        <v>1224</v>
      </c>
      <c r="AI138" s="809"/>
      <c r="AJ138" s="810"/>
      <c r="AK138" s="812"/>
      <c r="AL138" s="808"/>
      <c r="AM138" s="808"/>
      <c r="AN138" s="808"/>
      <c r="AO138" s="808"/>
      <c r="AP138" s="808"/>
      <c r="AQ138" s="809"/>
      <c r="AR138" s="813"/>
      <c r="AS138" s="808"/>
      <c r="AT138" s="808"/>
      <c r="AU138" s="808"/>
      <c r="AV138" s="808"/>
      <c r="AW138" s="808"/>
      <c r="AX138" s="808"/>
      <c r="AY138" s="809"/>
      <c r="AZ138" s="810"/>
      <c r="BA138" s="809"/>
      <c r="BB138" s="808"/>
      <c r="BC138" s="809"/>
      <c r="BD138" s="809"/>
      <c r="BE138" s="808"/>
      <c r="BF138" s="808"/>
      <c r="BG138" s="809"/>
      <c r="BH138" s="810"/>
      <c r="BI138" s="812"/>
      <c r="BJ138" s="808"/>
      <c r="BK138" s="808"/>
      <c r="BL138" s="808"/>
      <c r="BM138" s="808"/>
      <c r="BN138" s="808"/>
      <c r="BO138" s="809"/>
      <c r="BP138" s="810"/>
      <c r="BQ138" s="809"/>
      <c r="BR138" s="808"/>
      <c r="BS138" s="809"/>
      <c r="BT138" s="809"/>
      <c r="BU138" s="808"/>
      <c r="BV138" s="808"/>
      <c r="BW138" s="809"/>
      <c r="BX138" s="811"/>
    </row>
    <row r="139" ht="30.0" customHeight="1">
      <c r="A139" s="820">
        <v>133.0</v>
      </c>
      <c r="B139" s="807" t="s">
        <v>576</v>
      </c>
      <c r="C139" s="807" t="s">
        <v>1138</v>
      </c>
      <c r="D139" s="728">
        <v>103789.0</v>
      </c>
      <c r="E139" s="808"/>
      <c r="F139" s="808"/>
      <c r="G139" s="808"/>
      <c r="H139" s="808"/>
      <c r="I139" s="808"/>
      <c r="J139" s="809"/>
      <c r="K139" s="810"/>
      <c r="L139" s="810"/>
      <c r="M139" s="808"/>
      <c r="N139" s="808"/>
      <c r="O139" s="808"/>
      <c r="P139" s="808"/>
      <c r="Q139" s="808"/>
      <c r="R139" s="808"/>
      <c r="S139" s="809"/>
      <c r="T139" s="810"/>
      <c r="U139" s="809"/>
      <c r="V139" s="808"/>
      <c r="W139" s="809"/>
      <c r="X139" s="809"/>
      <c r="Y139" s="808"/>
      <c r="Z139" s="808"/>
      <c r="AA139" s="809"/>
      <c r="AB139" s="810"/>
      <c r="AC139" s="812"/>
      <c r="AD139" s="808"/>
      <c r="AE139" s="808"/>
      <c r="AF139" s="808"/>
      <c r="AG139" s="808"/>
      <c r="AH139" s="808"/>
      <c r="AI139" s="809"/>
      <c r="AJ139" s="810"/>
      <c r="AK139" s="812"/>
      <c r="AL139" s="808"/>
      <c r="AM139" s="808"/>
      <c r="AN139" s="808"/>
      <c r="AO139" s="808"/>
      <c r="AP139" s="808"/>
      <c r="AQ139" s="809"/>
      <c r="AR139" s="813"/>
      <c r="AS139" s="808"/>
      <c r="AT139" s="808"/>
      <c r="AU139" s="808"/>
      <c r="AV139" s="808"/>
      <c r="AW139" s="808"/>
      <c r="AX139" s="808"/>
      <c r="AY139" s="809"/>
      <c r="AZ139" s="810"/>
      <c r="BA139" s="809"/>
      <c r="BB139" s="808"/>
      <c r="BC139" s="809"/>
      <c r="BD139" s="809"/>
      <c r="BE139" s="808"/>
      <c r="BF139" s="808"/>
      <c r="BG139" s="809"/>
      <c r="BH139" s="810"/>
      <c r="BI139" s="812"/>
      <c r="BJ139" s="808"/>
      <c r="BK139" s="808"/>
      <c r="BL139" s="808"/>
      <c r="BM139" s="808"/>
      <c r="BN139" s="808"/>
      <c r="BO139" s="809"/>
      <c r="BP139" s="810"/>
      <c r="BQ139" s="809"/>
      <c r="BR139" s="808"/>
      <c r="BS139" s="809"/>
      <c r="BT139" s="809"/>
      <c r="BU139" s="808"/>
      <c r="BV139" s="808"/>
      <c r="BW139" s="809"/>
      <c r="BX139" s="811"/>
    </row>
    <row r="140" ht="30.0" customHeight="1">
      <c r="A140" s="820">
        <v>134.0</v>
      </c>
      <c r="B140" s="807" t="s">
        <v>576</v>
      </c>
      <c r="C140" s="807" t="s">
        <v>1140</v>
      </c>
      <c r="D140" s="728">
        <v>105566.0</v>
      </c>
      <c r="E140" s="808"/>
      <c r="F140" s="808"/>
      <c r="G140" s="808"/>
      <c r="H140" s="808"/>
      <c r="I140" s="808"/>
      <c r="J140" s="809"/>
      <c r="K140" s="810"/>
      <c r="L140" s="810"/>
      <c r="M140" s="808"/>
      <c r="N140" s="808"/>
      <c r="O140" s="808"/>
      <c r="P140" s="808"/>
      <c r="Q140" s="808"/>
      <c r="R140" s="808"/>
      <c r="S140" s="809"/>
      <c r="T140" s="810"/>
      <c r="U140" s="809"/>
      <c r="V140" s="808"/>
      <c r="W140" s="809"/>
      <c r="X140" s="809"/>
      <c r="Y140" s="808"/>
      <c r="Z140" s="808"/>
      <c r="AA140" s="809"/>
      <c r="AB140" s="810"/>
      <c r="AC140" s="812"/>
      <c r="AD140" s="808"/>
      <c r="AE140" s="808"/>
      <c r="AF140" s="808"/>
      <c r="AG140" s="808"/>
      <c r="AH140" s="808"/>
      <c r="AI140" s="809"/>
      <c r="AJ140" s="810"/>
      <c r="AK140" s="812"/>
      <c r="AL140" s="808"/>
      <c r="AM140" s="808"/>
      <c r="AN140" s="808"/>
      <c r="AO140" s="808"/>
      <c r="AP140" s="808"/>
      <c r="AQ140" s="809"/>
      <c r="AR140" s="813"/>
      <c r="AS140" s="808"/>
      <c r="AT140" s="808"/>
      <c r="AU140" s="808"/>
      <c r="AV140" s="808"/>
      <c r="AW140" s="808"/>
      <c r="AX140" s="808"/>
      <c r="AY140" s="809"/>
      <c r="AZ140" s="810"/>
      <c r="BA140" s="809"/>
      <c r="BB140" s="808"/>
      <c r="BC140" s="809"/>
      <c r="BD140" s="809"/>
      <c r="BE140" s="808"/>
      <c r="BF140" s="808"/>
      <c r="BG140" s="809"/>
      <c r="BH140" s="810"/>
      <c r="BI140" s="812"/>
      <c r="BJ140" s="808"/>
      <c r="BK140" s="808"/>
      <c r="BL140" s="808"/>
      <c r="BM140" s="808"/>
      <c r="BN140" s="808"/>
      <c r="BO140" s="809"/>
      <c r="BP140" s="810"/>
      <c r="BQ140" s="809"/>
      <c r="BR140" s="808"/>
      <c r="BS140" s="809"/>
      <c r="BT140" s="809"/>
      <c r="BU140" s="808"/>
      <c r="BV140" s="808"/>
      <c r="BW140" s="809"/>
      <c r="BX140" s="811"/>
    </row>
    <row r="141" ht="30.0" customHeight="1">
      <c r="A141" s="820">
        <v>135.0</v>
      </c>
      <c r="B141" s="807" t="s">
        <v>576</v>
      </c>
      <c r="C141" s="807" t="s">
        <v>1271</v>
      </c>
      <c r="D141" s="728">
        <v>102484.0</v>
      </c>
      <c r="E141" s="808"/>
      <c r="F141" s="808"/>
      <c r="G141" s="808"/>
      <c r="H141" s="808"/>
      <c r="I141" s="808"/>
      <c r="J141" s="809"/>
      <c r="K141" s="810"/>
      <c r="L141" s="810"/>
      <c r="M141" s="808"/>
      <c r="N141" s="808"/>
      <c r="O141" s="808"/>
      <c r="P141" s="808"/>
      <c r="Q141" s="808"/>
      <c r="R141" s="808"/>
      <c r="S141" s="809"/>
      <c r="T141" s="810"/>
      <c r="U141" s="809"/>
      <c r="V141" s="808"/>
      <c r="W141" s="809"/>
      <c r="X141" s="809"/>
      <c r="Y141" s="808"/>
      <c r="Z141" s="808"/>
      <c r="AA141" s="809"/>
      <c r="AB141" s="810"/>
      <c r="AC141" s="812"/>
      <c r="AD141" s="808"/>
      <c r="AE141" s="808"/>
      <c r="AF141" s="808"/>
      <c r="AG141" s="808"/>
      <c r="AH141" s="808"/>
      <c r="AI141" s="809"/>
      <c r="AJ141" s="810"/>
      <c r="AK141" s="812"/>
      <c r="AL141" s="808"/>
      <c r="AM141" s="808"/>
      <c r="AN141" s="808"/>
      <c r="AO141" s="808"/>
      <c r="AP141" s="808"/>
      <c r="AQ141" s="809"/>
      <c r="AR141" s="813"/>
      <c r="AS141" s="808"/>
      <c r="AT141" s="808"/>
      <c r="AU141" s="808"/>
      <c r="AV141" s="808"/>
      <c r="AW141" s="808"/>
      <c r="AX141" s="808"/>
      <c r="AY141" s="809"/>
      <c r="AZ141" s="810"/>
      <c r="BA141" s="809"/>
      <c r="BB141" s="808"/>
      <c r="BC141" s="809"/>
      <c r="BD141" s="809"/>
      <c r="BE141" s="808"/>
      <c r="BF141" s="808"/>
      <c r="BG141" s="809"/>
      <c r="BH141" s="810"/>
      <c r="BI141" s="812"/>
      <c r="BJ141" s="808"/>
      <c r="BK141" s="808"/>
      <c r="BL141" s="808"/>
      <c r="BM141" s="808"/>
      <c r="BN141" s="808"/>
      <c r="BO141" s="809"/>
      <c r="BP141" s="810"/>
      <c r="BQ141" s="809"/>
      <c r="BR141" s="808"/>
      <c r="BS141" s="809"/>
      <c r="BT141" s="809"/>
      <c r="BU141" s="808"/>
      <c r="BV141" s="808"/>
      <c r="BW141" s="809"/>
      <c r="BX141" s="811"/>
    </row>
    <row r="142" ht="30.0" customHeight="1">
      <c r="A142" s="820">
        <v>136.0</v>
      </c>
      <c r="B142" s="807" t="s">
        <v>576</v>
      </c>
      <c r="C142" s="807" t="s">
        <v>1272</v>
      </c>
      <c r="D142" s="728">
        <v>104098.0</v>
      </c>
      <c r="E142" s="808"/>
      <c r="F142" s="808"/>
      <c r="G142" s="808"/>
      <c r="H142" s="808"/>
      <c r="I142" s="808"/>
      <c r="J142" s="809"/>
      <c r="K142" s="810"/>
      <c r="L142" s="810"/>
      <c r="M142" s="808"/>
      <c r="N142" s="808"/>
      <c r="O142" s="808"/>
      <c r="P142" s="808"/>
      <c r="Q142" s="808"/>
      <c r="R142" s="808"/>
      <c r="S142" s="809"/>
      <c r="T142" s="810"/>
      <c r="U142" s="809"/>
      <c r="V142" s="808"/>
      <c r="W142" s="809"/>
      <c r="X142" s="809"/>
      <c r="Y142" s="808"/>
      <c r="Z142" s="808"/>
      <c r="AA142" s="809"/>
      <c r="AB142" s="810"/>
      <c r="AC142" s="812"/>
      <c r="AD142" s="808"/>
      <c r="AE142" s="808"/>
      <c r="AF142" s="808"/>
      <c r="AG142" s="808"/>
      <c r="AH142" s="808"/>
      <c r="AI142" s="809"/>
      <c r="AJ142" s="810"/>
      <c r="AK142" s="812"/>
      <c r="AL142" s="808"/>
      <c r="AM142" s="808"/>
      <c r="AN142" s="808"/>
      <c r="AO142" s="808"/>
      <c r="AP142" s="808"/>
      <c r="AQ142" s="809"/>
      <c r="AR142" s="813"/>
      <c r="AS142" s="808"/>
      <c r="AT142" s="808"/>
      <c r="AU142" s="808"/>
      <c r="AV142" s="808"/>
      <c r="AW142" s="808"/>
      <c r="AX142" s="808"/>
      <c r="AY142" s="809"/>
      <c r="AZ142" s="810"/>
      <c r="BA142" s="809"/>
      <c r="BB142" s="808"/>
      <c r="BC142" s="809"/>
      <c r="BD142" s="809"/>
      <c r="BE142" s="808"/>
      <c r="BF142" s="808"/>
      <c r="BG142" s="809"/>
      <c r="BH142" s="810"/>
      <c r="BI142" s="812"/>
      <c r="BJ142" s="808"/>
      <c r="BK142" s="808"/>
      <c r="BL142" s="808"/>
      <c r="BM142" s="808"/>
      <c r="BN142" s="808"/>
      <c r="BO142" s="809"/>
      <c r="BP142" s="810"/>
      <c r="BQ142" s="809"/>
      <c r="BR142" s="808"/>
      <c r="BS142" s="809"/>
      <c r="BT142" s="809"/>
      <c r="BU142" s="808"/>
      <c r="BV142" s="808"/>
      <c r="BW142" s="809"/>
      <c r="BX142" s="811"/>
    </row>
    <row r="143" ht="30.0" customHeight="1">
      <c r="A143" s="820">
        <v>137.0</v>
      </c>
      <c r="B143" s="807" t="s">
        <v>576</v>
      </c>
      <c r="C143" s="807" t="s">
        <v>1137</v>
      </c>
      <c r="D143" s="728">
        <v>103513.0</v>
      </c>
      <c r="E143" s="808"/>
      <c r="F143" s="808"/>
      <c r="G143" s="808"/>
      <c r="H143" s="808"/>
      <c r="I143" s="808"/>
      <c r="J143" s="809"/>
      <c r="K143" s="810"/>
      <c r="L143" s="810"/>
      <c r="M143" s="808"/>
      <c r="N143" s="808"/>
      <c r="O143" s="808"/>
      <c r="P143" s="808"/>
      <c r="Q143" s="808"/>
      <c r="R143" s="808"/>
      <c r="S143" s="809"/>
      <c r="T143" s="810"/>
      <c r="U143" s="809"/>
      <c r="V143" s="808"/>
      <c r="W143" s="809"/>
      <c r="X143" s="809"/>
      <c r="Y143" s="808"/>
      <c r="Z143" s="808"/>
      <c r="AA143" s="809"/>
      <c r="AB143" s="810"/>
      <c r="AC143" s="812"/>
      <c r="AD143" s="808"/>
      <c r="AE143" s="808"/>
      <c r="AF143" s="808"/>
      <c r="AG143" s="808"/>
      <c r="AH143" s="808"/>
      <c r="AI143" s="809"/>
      <c r="AJ143" s="810"/>
      <c r="AK143" s="812"/>
      <c r="AL143" s="808"/>
      <c r="AM143" s="808"/>
      <c r="AN143" s="808"/>
      <c r="AO143" s="808"/>
      <c r="AP143" s="808"/>
      <c r="AQ143" s="809"/>
      <c r="AR143" s="813"/>
      <c r="AS143" s="808"/>
      <c r="AT143" s="808"/>
      <c r="AU143" s="808"/>
      <c r="AV143" s="808"/>
      <c r="AW143" s="808"/>
      <c r="AX143" s="808"/>
      <c r="AY143" s="809"/>
      <c r="AZ143" s="810"/>
      <c r="BA143" s="809"/>
      <c r="BB143" s="808"/>
      <c r="BC143" s="809"/>
      <c r="BD143" s="809"/>
      <c r="BE143" s="808"/>
      <c r="BF143" s="808"/>
      <c r="BG143" s="809"/>
      <c r="BH143" s="810"/>
      <c r="BI143" s="812"/>
      <c r="BJ143" s="808"/>
      <c r="BK143" s="808"/>
      <c r="BL143" s="808"/>
      <c r="BM143" s="808"/>
      <c r="BN143" s="808"/>
      <c r="BO143" s="809"/>
      <c r="BP143" s="810"/>
      <c r="BQ143" s="809"/>
      <c r="BR143" s="808"/>
      <c r="BS143" s="809"/>
      <c r="BT143" s="809"/>
      <c r="BU143" s="808"/>
      <c r="BV143" s="808"/>
      <c r="BW143" s="809"/>
      <c r="BX143" s="811"/>
    </row>
    <row r="144" ht="30.0" customHeight="1">
      <c r="A144" s="820">
        <v>138.0</v>
      </c>
      <c r="B144" s="807" t="s">
        <v>576</v>
      </c>
      <c r="C144" s="807" t="s">
        <v>1136</v>
      </c>
      <c r="D144" s="728">
        <v>103480.0</v>
      </c>
      <c r="E144" s="808"/>
      <c r="F144" s="808"/>
      <c r="G144" s="808"/>
      <c r="H144" s="808"/>
      <c r="I144" s="808"/>
      <c r="J144" s="809"/>
      <c r="K144" s="810"/>
      <c r="L144" s="810"/>
      <c r="M144" s="808"/>
      <c r="N144" s="808"/>
      <c r="O144" s="808"/>
      <c r="P144" s="808"/>
      <c r="Q144" s="808"/>
      <c r="R144" s="808"/>
      <c r="S144" s="809"/>
      <c r="T144" s="810"/>
      <c r="U144" s="809"/>
      <c r="V144" s="808"/>
      <c r="W144" s="809"/>
      <c r="X144" s="809"/>
      <c r="Y144" s="808"/>
      <c r="Z144" s="808"/>
      <c r="AA144" s="809"/>
      <c r="AB144" s="810"/>
      <c r="AC144" s="812"/>
      <c r="AD144" s="808"/>
      <c r="AE144" s="808"/>
      <c r="AF144" s="808"/>
      <c r="AG144" s="808"/>
      <c r="AH144" s="808"/>
      <c r="AI144" s="809"/>
      <c r="AJ144" s="810"/>
      <c r="AK144" s="812"/>
      <c r="AL144" s="808"/>
      <c r="AM144" s="808"/>
      <c r="AN144" s="808"/>
      <c r="AO144" s="808"/>
      <c r="AP144" s="808"/>
      <c r="AQ144" s="809"/>
      <c r="AR144" s="813"/>
      <c r="AS144" s="808"/>
      <c r="AT144" s="808"/>
      <c r="AU144" s="808"/>
      <c r="AV144" s="808"/>
      <c r="AW144" s="808"/>
      <c r="AX144" s="808"/>
      <c r="AY144" s="809"/>
      <c r="AZ144" s="810"/>
      <c r="BA144" s="809"/>
      <c r="BB144" s="808"/>
      <c r="BC144" s="809"/>
      <c r="BD144" s="809"/>
      <c r="BE144" s="808"/>
      <c r="BF144" s="808"/>
      <c r="BG144" s="809"/>
      <c r="BH144" s="810"/>
      <c r="BI144" s="812"/>
      <c r="BJ144" s="808"/>
      <c r="BK144" s="808"/>
      <c r="BL144" s="808"/>
      <c r="BM144" s="808"/>
      <c r="BN144" s="808"/>
      <c r="BO144" s="809"/>
      <c r="BP144" s="810"/>
      <c r="BQ144" s="809"/>
      <c r="BR144" s="808"/>
      <c r="BS144" s="809"/>
      <c r="BT144" s="809"/>
      <c r="BU144" s="808"/>
      <c r="BV144" s="808"/>
      <c r="BW144" s="809"/>
      <c r="BX144" s="811"/>
    </row>
    <row r="145" ht="30.0" customHeight="1">
      <c r="A145" s="820">
        <v>139.0</v>
      </c>
      <c r="B145" s="807" t="s">
        <v>576</v>
      </c>
      <c r="C145" s="807" t="s">
        <v>1141</v>
      </c>
      <c r="D145" s="728">
        <v>105571.0</v>
      </c>
      <c r="E145" s="808"/>
      <c r="F145" s="808"/>
      <c r="G145" s="808"/>
      <c r="H145" s="808"/>
      <c r="I145" s="808"/>
      <c r="J145" s="809"/>
      <c r="K145" s="810"/>
      <c r="L145" s="810"/>
      <c r="M145" s="808"/>
      <c r="N145" s="808"/>
      <c r="O145" s="808"/>
      <c r="P145" s="808"/>
      <c r="Q145" s="808"/>
      <c r="R145" s="808"/>
      <c r="S145" s="809"/>
      <c r="T145" s="810"/>
      <c r="U145" s="809"/>
      <c r="V145" s="808"/>
      <c r="W145" s="809"/>
      <c r="X145" s="809"/>
      <c r="Y145" s="808"/>
      <c r="Z145" s="808"/>
      <c r="AA145" s="809"/>
      <c r="AB145" s="810"/>
      <c r="AC145" s="812"/>
      <c r="AD145" s="808"/>
      <c r="AE145" s="808"/>
      <c r="AF145" s="808"/>
      <c r="AG145" s="808"/>
      <c r="AH145" s="808"/>
      <c r="AI145" s="809"/>
      <c r="AJ145" s="810"/>
      <c r="AK145" s="812"/>
      <c r="AL145" s="808"/>
      <c r="AM145" s="808"/>
      <c r="AN145" s="808"/>
      <c r="AO145" s="808"/>
      <c r="AP145" s="808"/>
      <c r="AQ145" s="809"/>
      <c r="AR145" s="813"/>
      <c r="AS145" s="808"/>
      <c r="AT145" s="808"/>
      <c r="AU145" s="808"/>
      <c r="AV145" s="808"/>
      <c r="AW145" s="808"/>
      <c r="AX145" s="808"/>
      <c r="AY145" s="809"/>
      <c r="AZ145" s="810"/>
      <c r="BA145" s="809"/>
      <c r="BB145" s="808"/>
      <c r="BC145" s="809"/>
      <c r="BD145" s="809"/>
      <c r="BE145" s="808"/>
      <c r="BF145" s="808"/>
      <c r="BG145" s="809"/>
      <c r="BH145" s="810"/>
      <c r="BI145" s="812"/>
      <c r="BJ145" s="808"/>
      <c r="BK145" s="808"/>
      <c r="BL145" s="808"/>
      <c r="BM145" s="808"/>
      <c r="BN145" s="808"/>
      <c r="BO145" s="809"/>
      <c r="BP145" s="810"/>
      <c r="BQ145" s="809"/>
      <c r="BR145" s="808"/>
      <c r="BS145" s="809"/>
      <c r="BT145" s="809"/>
      <c r="BU145" s="808"/>
      <c r="BV145" s="808"/>
      <c r="BW145" s="809"/>
      <c r="BX145" s="811"/>
    </row>
    <row r="146" ht="30.0" customHeight="1">
      <c r="A146" s="820">
        <v>140.0</v>
      </c>
      <c r="B146" s="807" t="s">
        <v>576</v>
      </c>
      <c r="C146" s="807" t="s">
        <v>1139</v>
      </c>
      <c r="D146" s="728">
        <v>105221.0</v>
      </c>
      <c r="E146" s="808"/>
      <c r="F146" s="808"/>
      <c r="G146" s="808"/>
      <c r="H146" s="808"/>
      <c r="I146" s="808"/>
      <c r="J146" s="809"/>
      <c r="K146" s="810"/>
      <c r="L146" s="810"/>
      <c r="M146" s="808" t="s">
        <v>1108</v>
      </c>
      <c r="N146" s="808" t="s">
        <v>1227</v>
      </c>
      <c r="O146" s="808" t="s">
        <v>1229</v>
      </c>
      <c r="P146" s="808"/>
      <c r="Q146" s="808" t="s">
        <v>1223</v>
      </c>
      <c r="R146" s="808" t="s">
        <v>1224</v>
      </c>
      <c r="S146" s="809"/>
      <c r="T146" s="810"/>
      <c r="U146" s="809"/>
      <c r="V146" s="808"/>
      <c r="W146" s="809"/>
      <c r="X146" s="809"/>
      <c r="Y146" s="808"/>
      <c r="Z146" s="808"/>
      <c r="AA146" s="809"/>
      <c r="AB146" s="810"/>
      <c r="AC146" s="812"/>
      <c r="AD146" s="808"/>
      <c r="AE146" s="808"/>
      <c r="AF146" s="808"/>
      <c r="AG146" s="808"/>
      <c r="AH146" s="808"/>
      <c r="AI146" s="809"/>
      <c r="AJ146" s="810"/>
      <c r="AK146" s="812"/>
      <c r="AL146" s="808"/>
      <c r="AM146" s="808"/>
      <c r="AN146" s="808"/>
      <c r="AO146" s="808"/>
      <c r="AP146" s="808"/>
      <c r="AQ146" s="809"/>
      <c r="AR146" s="813"/>
      <c r="AS146" s="808"/>
      <c r="AT146" s="808"/>
      <c r="AU146" s="808"/>
      <c r="AV146" s="808"/>
      <c r="AW146" s="808"/>
      <c r="AX146" s="808"/>
      <c r="AY146" s="809"/>
      <c r="AZ146" s="810"/>
      <c r="BA146" s="809"/>
      <c r="BB146" s="808"/>
      <c r="BC146" s="809"/>
      <c r="BD146" s="809"/>
      <c r="BE146" s="808"/>
      <c r="BF146" s="808"/>
      <c r="BG146" s="809"/>
      <c r="BH146" s="810"/>
      <c r="BI146" s="812"/>
      <c r="BJ146" s="808"/>
      <c r="BK146" s="808"/>
      <c r="BL146" s="808"/>
      <c r="BM146" s="808"/>
      <c r="BN146" s="808"/>
      <c r="BO146" s="809"/>
      <c r="BP146" s="810"/>
      <c r="BQ146" s="809"/>
      <c r="BR146" s="808"/>
      <c r="BS146" s="809"/>
      <c r="BT146" s="809"/>
      <c r="BU146" s="808"/>
      <c r="BV146" s="808"/>
      <c r="BW146" s="809"/>
      <c r="BX146" s="811"/>
    </row>
    <row r="147" ht="30.0" customHeight="1">
      <c r="A147" s="821">
        <v>141.0</v>
      </c>
      <c r="B147" s="807" t="s">
        <v>611</v>
      </c>
      <c r="C147" s="807" t="s">
        <v>690</v>
      </c>
      <c r="D147" s="728">
        <v>106111.0</v>
      </c>
      <c r="E147" s="808"/>
      <c r="F147" s="808"/>
      <c r="G147" s="808"/>
      <c r="H147" s="808"/>
      <c r="I147" s="808"/>
      <c r="J147" s="809"/>
      <c r="K147" s="810"/>
      <c r="L147" s="810"/>
      <c r="M147" s="808"/>
      <c r="N147" s="808"/>
      <c r="O147" s="808"/>
      <c r="P147" s="808"/>
      <c r="Q147" s="808"/>
      <c r="R147" s="808"/>
      <c r="S147" s="809"/>
      <c r="T147" s="810"/>
      <c r="U147" s="809"/>
      <c r="V147" s="808"/>
      <c r="W147" s="809"/>
      <c r="X147" s="809"/>
      <c r="Y147" s="808"/>
      <c r="Z147" s="808"/>
      <c r="AA147" s="809"/>
      <c r="AB147" s="810"/>
      <c r="AC147" s="812"/>
      <c r="AD147" s="808"/>
      <c r="AE147" s="808"/>
      <c r="AF147" s="808"/>
      <c r="AG147" s="808"/>
      <c r="AH147" s="808"/>
      <c r="AI147" s="809"/>
      <c r="AJ147" s="810"/>
      <c r="AK147" s="812"/>
      <c r="AL147" s="808"/>
      <c r="AM147" s="808"/>
      <c r="AN147" s="808"/>
      <c r="AO147" s="808"/>
      <c r="AP147" s="808"/>
      <c r="AQ147" s="809"/>
      <c r="AR147" s="813"/>
      <c r="AS147" s="808"/>
      <c r="AT147" s="808"/>
      <c r="AU147" s="808"/>
      <c r="AV147" s="808"/>
      <c r="AW147" s="808"/>
      <c r="AX147" s="808"/>
      <c r="AY147" s="809"/>
      <c r="AZ147" s="810"/>
      <c r="BA147" s="809"/>
      <c r="BB147" s="808"/>
      <c r="BC147" s="809"/>
      <c r="BD147" s="809"/>
      <c r="BE147" s="808"/>
      <c r="BF147" s="808"/>
      <c r="BG147" s="809"/>
      <c r="BH147" s="810"/>
      <c r="BI147" s="812"/>
      <c r="BJ147" s="808"/>
      <c r="BK147" s="808"/>
      <c r="BL147" s="808"/>
      <c r="BM147" s="808"/>
      <c r="BN147" s="808"/>
      <c r="BO147" s="809"/>
      <c r="BP147" s="810"/>
      <c r="BQ147" s="809"/>
      <c r="BR147" s="808"/>
      <c r="BS147" s="809"/>
      <c r="BT147" s="809"/>
      <c r="BU147" s="808"/>
      <c r="BV147" s="808"/>
      <c r="BW147" s="809"/>
      <c r="BX147" s="811"/>
    </row>
    <row r="148" ht="30.0" customHeight="1">
      <c r="A148" s="821">
        <v>142.0</v>
      </c>
      <c r="B148" s="807" t="s">
        <v>611</v>
      </c>
      <c r="C148" s="807" t="s">
        <v>642</v>
      </c>
      <c r="D148" s="728">
        <v>4730.0</v>
      </c>
      <c r="E148" s="808" t="s">
        <v>1108</v>
      </c>
      <c r="F148" s="808" t="s">
        <v>1227</v>
      </c>
      <c r="G148" s="808" t="s">
        <v>1229</v>
      </c>
      <c r="H148" s="808"/>
      <c r="I148" s="808" t="s">
        <v>1223</v>
      </c>
      <c r="J148" s="809" t="s">
        <v>1230</v>
      </c>
      <c r="K148" s="810"/>
      <c r="L148" s="810"/>
      <c r="M148" s="808"/>
      <c r="N148" s="808"/>
      <c r="O148" s="808"/>
      <c r="P148" s="808"/>
      <c r="Q148" s="808"/>
      <c r="R148" s="808"/>
      <c r="S148" s="809"/>
      <c r="T148" s="810"/>
      <c r="U148" s="809"/>
      <c r="V148" s="808"/>
      <c r="W148" s="809"/>
      <c r="X148" s="809"/>
      <c r="Y148" s="808"/>
      <c r="Z148" s="808"/>
      <c r="AA148" s="809"/>
      <c r="AB148" s="810"/>
      <c r="AC148" s="812"/>
      <c r="AD148" s="808"/>
      <c r="AE148" s="808"/>
      <c r="AF148" s="808"/>
      <c r="AG148" s="808"/>
      <c r="AH148" s="808"/>
      <c r="AI148" s="809"/>
      <c r="AJ148" s="810"/>
      <c r="AK148" s="812"/>
      <c r="AL148" s="808"/>
      <c r="AM148" s="808"/>
      <c r="AN148" s="808"/>
      <c r="AO148" s="808"/>
      <c r="AP148" s="808"/>
      <c r="AQ148" s="809"/>
      <c r="AR148" s="813"/>
      <c r="AS148" s="808"/>
      <c r="AT148" s="808"/>
      <c r="AU148" s="808"/>
      <c r="AV148" s="808"/>
      <c r="AW148" s="808"/>
      <c r="AX148" s="808"/>
      <c r="AY148" s="809"/>
      <c r="AZ148" s="810"/>
      <c r="BA148" s="809"/>
      <c r="BB148" s="808"/>
      <c r="BC148" s="809"/>
      <c r="BD148" s="809"/>
      <c r="BE148" s="808"/>
      <c r="BF148" s="808"/>
      <c r="BG148" s="809"/>
      <c r="BH148" s="810"/>
      <c r="BI148" s="812"/>
      <c r="BJ148" s="808"/>
      <c r="BK148" s="808"/>
      <c r="BL148" s="808"/>
      <c r="BM148" s="808"/>
      <c r="BN148" s="808"/>
      <c r="BO148" s="809"/>
      <c r="BP148" s="810"/>
      <c r="BQ148" s="809"/>
      <c r="BR148" s="808"/>
      <c r="BS148" s="809"/>
      <c r="BT148" s="809"/>
      <c r="BU148" s="808"/>
      <c r="BV148" s="808"/>
      <c r="BW148" s="809"/>
      <c r="BX148" s="811"/>
    </row>
    <row r="149" ht="30.0" customHeight="1">
      <c r="A149" s="821">
        <v>143.0</v>
      </c>
      <c r="B149" s="807" t="s">
        <v>611</v>
      </c>
      <c r="C149" s="807" t="s">
        <v>1142</v>
      </c>
      <c r="D149" s="728">
        <v>9299.0</v>
      </c>
      <c r="E149" s="808" t="s">
        <v>1108</v>
      </c>
      <c r="F149" s="808" t="s">
        <v>1227</v>
      </c>
      <c r="G149" s="808" t="s">
        <v>1229</v>
      </c>
      <c r="H149" s="808"/>
      <c r="I149" s="808" t="s">
        <v>1223</v>
      </c>
      <c r="J149" s="809" t="s">
        <v>1230</v>
      </c>
      <c r="K149" s="810"/>
      <c r="L149" s="810"/>
      <c r="M149" s="808"/>
      <c r="N149" s="808"/>
      <c r="O149" s="808"/>
      <c r="P149" s="808"/>
      <c r="Q149" s="808"/>
      <c r="R149" s="808"/>
      <c r="S149" s="809"/>
      <c r="T149" s="810"/>
      <c r="U149" s="809"/>
      <c r="V149" s="808"/>
      <c r="W149" s="809"/>
      <c r="X149" s="809"/>
      <c r="Y149" s="808"/>
      <c r="Z149" s="808"/>
      <c r="AA149" s="809"/>
      <c r="AB149" s="810"/>
      <c r="AC149" s="812"/>
      <c r="AD149" s="808"/>
      <c r="AE149" s="808"/>
      <c r="AF149" s="808"/>
      <c r="AG149" s="808"/>
      <c r="AH149" s="808"/>
      <c r="AI149" s="809"/>
      <c r="AJ149" s="810"/>
      <c r="AK149" s="812"/>
      <c r="AL149" s="808"/>
      <c r="AM149" s="808"/>
      <c r="AN149" s="808"/>
      <c r="AO149" s="808"/>
      <c r="AP149" s="808"/>
      <c r="AQ149" s="809"/>
      <c r="AR149" s="813"/>
      <c r="AS149" s="808"/>
      <c r="AT149" s="808"/>
      <c r="AU149" s="808"/>
      <c r="AV149" s="808"/>
      <c r="AW149" s="808"/>
      <c r="AX149" s="808"/>
      <c r="AY149" s="809"/>
      <c r="AZ149" s="810"/>
      <c r="BA149" s="809"/>
      <c r="BB149" s="808"/>
      <c r="BC149" s="809"/>
      <c r="BD149" s="809"/>
      <c r="BE149" s="808"/>
      <c r="BF149" s="808"/>
      <c r="BG149" s="809"/>
      <c r="BH149" s="810"/>
      <c r="BI149" s="812"/>
      <c r="BJ149" s="808"/>
      <c r="BK149" s="808"/>
      <c r="BL149" s="808"/>
      <c r="BM149" s="808"/>
      <c r="BN149" s="808"/>
      <c r="BO149" s="809"/>
      <c r="BP149" s="810"/>
      <c r="BQ149" s="809"/>
      <c r="BR149" s="808"/>
      <c r="BS149" s="809"/>
      <c r="BT149" s="809"/>
      <c r="BU149" s="808"/>
      <c r="BV149" s="808"/>
      <c r="BW149" s="809"/>
      <c r="BX149" s="811"/>
    </row>
    <row r="150" ht="30.0" customHeight="1">
      <c r="A150" s="821">
        <v>144.0</v>
      </c>
      <c r="B150" s="807" t="s">
        <v>611</v>
      </c>
      <c r="C150" s="807" t="s">
        <v>681</v>
      </c>
      <c r="D150" s="728">
        <v>105480.0</v>
      </c>
      <c r="E150" s="808"/>
      <c r="F150" s="808"/>
      <c r="G150" s="808"/>
      <c r="H150" s="808"/>
      <c r="I150" s="808"/>
      <c r="J150" s="809"/>
      <c r="K150" s="810"/>
      <c r="L150" s="810"/>
      <c r="M150" s="808"/>
      <c r="N150" s="808"/>
      <c r="O150" s="808"/>
      <c r="P150" s="808"/>
      <c r="Q150" s="808"/>
      <c r="R150" s="808"/>
      <c r="S150" s="809"/>
      <c r="T150" s="810"/>
      <c r="U150" s="809"/>
      <c r="V150" s="808"/>
      <c r="W150" s="809"/>
      <c r="X150" s="809"/>
      <c r="Y150" s="808"/>
      <c r="Z150" s="808"/>
      <c r="AA150" s="809"/>
      <c r="AB150" s="810"/>
      <c r="AC150" s="812"/>
      <c r="AD150" s="808"/>
      <c r="AE150" s="808"/>
      <c r="AF150" s="808"/>
      <c r="AG150" s="808"/>
      <c r="AH150" s="808"/>
      <c r="AI150" s="809"/>
      <c r="AJ150" s="810"/>
      <c r="AK150" s="812"/>
      <c r="AL150" s="808"/>
      <c r="AM150" s="808"/>
      <c r="AN150" s="808"/>
      <c r="AO150" s="808"/>
      <c r="AP150" s="808"/>
      <c r="AQ150" s="809"/>
      <c r="AR150" s="813"/>
      <c r="AS150" s="808"/>
      <c r="AT150" s="808"/>
      <c r="AU150" s="808"/>
      <c r="AV150" s="808"/>
      <c r="AW150" s="808"/>
      <c r="AX150" s="808"/>
      <c r="AY150" s="809"/>
      <c r="AZ150" s="810"/>
      <c r="BA150" s="809"/>
      <c r="BB150" s="808"/>
      <c r="BC150" s="809"/>
      <c r="BD150" s="809"/>
      <c r="BE150" s="808"/>
      <c r="BF150" s="808"/>
      <c r="BG150" s="809"/>
      <c r="BH150" s="810"/>
      <c r="BI150" s="812"/>
      <c r="BJ150" s="808"/>
      <c r="BK150" s="808"/>
      <c r="BL150" s="808"/>
      <c r="BM150" s="808"/>
      <c r="BN150" s="808"/>
      <c r="BO150" s="809"/>
      <c r="BP150" s="810"/>
      <c r="BQ150" s="809"/>
      <c r="BR150" s="808"/>
      <c r="BS150" s="809"/>
      <c r="BT150" s="809"/>
      <c r="BU150" s="808"/>
      <c r="BV150" s="808"/>
      <c r="BW150" s="809"/>
      <c r="BX150" s="811"/>
    </row>
    <row r="151" ht="30.0" customHeight="1">
      <c r="A151" s="821">
        <v>145.0</v>
      </c>
      <c r="B151" s="807" t="s">
        <v>611</v>
      </c>
      <c r="C151" s="807" t="s">
        <v>612</v>
      </c>
      <c r="D151" s="728">
        <v>246.0</v>
      </c>
      <c r="E151" s="808" t="s">
        <v>1108</v>
      </c>
      <c r="F151" s="808" t="s">
        <v>1227</v>
      </c>
      <c r="G151" s="808" t="s">
        <v>1222</v>
      </c>
      <c r="H151" s="808"/>
      <c r="I151" s="808" t="s">
        <v>1223</v>
      </c>
      <c r="J151" s="809" t="s">
        <v>1230</v>
      </c>
      <c r="K151" s="822" t="s">
        <v>82</v>
      </c>
      <c r="L151" s="810"/>
      <c r="M151" s="808"/>
      <c r="N151" s="808"/>
      <c r="O151" s="808"/>
      <c r="P151" s="808"/>
      <c r="Q151" s="808"/>
      <c r="R151" s="808"/>
      <c r="S151" s="809"/>
      <c r="T151" s="810"/>
      <c r="U151" s="809" t="s">
        <v>1108</v>
      </c>
      <c r="V151" s="808" t="s">
        <v>1227</v>
      </c>
      <c r="W151" s="809" t="s">
        <v>1222</v>
      </c>
      <c r="X151" s="809">
        <v>43440.0</v>
      </c>
      <c r="Y151" s="808" t="s">
        <v>1223</v>
      </c>
      <c r="Z151" s="808" t="s">
        <v>1224</v>
      </c>
      <c r="AA151" s="809" t="s">
        <v>89</v>
      </c>
      <c r="AB151" s="810"/>
      <c r="AC151" s="812"/>
      <c r="AD151" s="808"/>
      <c r="AE151" s="808"/>
      <c r="AF151" s="808"/>
      <c r="AG151" s="808"/>
      <c r="AH151" s="808"/>
      <c r="AI151" s="809"/>
      <c r="AJ151" s="810"/>
      <c r="AK151" s="812"/>
      <c r="AL151" s="808"/>
      <c r="AM151" s="808"/>
      <c r="AN151" s="808"/>
      <c r="AO151" s="808"/>
      <c r="AP151" s="808"/>
      <c r="AQ151" s="809"/>
      <c r="AR151" s="813"/>
      <c r="AS151" s="808"/>
      <c r="AT151" s="808"/>
      <c r="AU151" s="808"/>
      <c r="AV151" s="808"/>
      <c r="AW151" s="808"/>
      <c r="AX151" s="808"/>
      <c r="AY151" s="809"/>
      <c r="AZ151" s="810"/>
      <c r="BA151" s="809"/>
      <c r="BB151" s="808"/>
      <c r="BC151" s="809"/>
      <c r="BD151" s="809"/>
      <c r="BE151" s="808"/>
      <c r="BF151" s="808"/>
      <c r="BG151" s="809"/>
      <c r="BH151" s="810"/>
      <c r="BI151" s="812"/>
      <c r="BJ151" s="808"/>
      <c r="BK151" s="808"/>
      <c r="BL151" s="808"/>
      <c r="BM151" s="808"/>
      <c r="BN151" s="808"/>
      <c r="BO151" s="809"/>
      <c r="BP151" s="810"/>
      <c r="BQ151" s="809"/>
      <c r="BR151" s="808"/>
      <c r="BS151" s="809"/>
      <c r="BT151" s="809"/>
      <c r="BU151" s="808"/>
      <c r="BV151" s="808"/>
      <c r="BW151" s="809"/>
      <c r="BX151" s="811"/>
    </row>
    <row r="152" ht="30.0" customHeight="1">
      <c r="A152" s="821">
        <v>146.0</v>
      </c>
      <c r="B152" s="807" t="s">
        <v>611</v>
      </c>
      <c r="C152" s="807" t="s">
        <v>661</v>
      </c>
      <c r="D152" s="728">
        <v>222.0</v>
      </c>
      <c r="E152" s="808"/>
      <c r="F152" s="808"/>
      <c r="G152" s="808"/>
      <c r="H152" s="808"/>
      <c r="I152" s="808"/>
      <c r="J152" s="809"/>
      <c r="K152" s="810"/>
      <c r="L152" s="810"/>
      <c r="M152" s="808"/>
      <c r="N152" s="808"/>
      <c r="O152" s="808"/>
      <c r="P152" s="808"/>
      <c r="Q152" s="808"/>
      <c r="R152" s="808"/>
      <c r="S152" s="809"/>
      <c r="T152" s="810"/>
      <c r="U152" s="809" t="s">
        <v>1108</v>
      </c>
      <c r="V152" s="808" t="s">
        <v>1227</v>
      </c>
      <c r="W152" s="809" t="s">
        <v>1255</v>
      </c>
      <c r="X152" s="809">
        <v>43006.0</v>
      </c>
      <c r="Y152" s="808" t="s">
        <v>1273</v>
      </c>
      <c r="Z152" s="808" t="s">
        <v>1224</v>
      </c>
      <c r="AA152" s="809" t="s">
        <v>82</v>
      </c>
      <c r="AB152" s="810"/>
      <c r="AC152" s="812"/>
      <c r="AD152" s="808"/>
      <c r="AE152" s="808"/>
      <c r="AF152" s="808"/>
      <c r="AG152" s="808"/>
      <c r="AH152" s="808"/>
      <c r="AI152" s="809"/>
      <c r="AJ152" s="810"/>
      <c r="AK152" s="812"/>
      <c r="AL152" s="808"/>
      <c r="AM152" s="808"/>
      <c r="AN152" s="808"/>
      <c r="AO152" s="808"/>
      <c r="AP152" s="808"/>
      <c r="AQ152" s="809"/>
      <c r="AR152" s="813"/>
      <c r="AS152" s="808"/>
      <c r="AT152" s="808"/>
      <c r="AU152" s="808"/>
      <c r="AV152" s="808"/>
      <c r="AW152" s="808"/>
      <c r="AX152" s="808"/>
      <c r="AY152" s="809"/>
      <c r="AZ152" s="810"/>
      <c r="BA152" s="809"/>
      <c r="BB152" s="808"/>
      <c r="BC152" s="809"/>
      <c r="BD152" s="809"/>
      <c r="BE152" s="808"/>
      <c r="BF152" s="808"/>
      <c r="BG152" s="809"/>
      <c r="BH152" s="810"/>
      <c r="BI152" s="812"/>
      <c r="BJ152" s="808"/>
      <c r="BK152" s="808"/>
      <c r="BL152" s="808"/>
      <c r="BM152" s="808"/>
      <c r="BN152" s="808"/>
      <c r="BO152" s="809"/>
      <c r="BP152" s="810"/>
      <c r="BQ152" s="809"/>
      <c r="BR152" s="808"/>
      <c r="BS152" s="809"/>
      <c r="BT152" s="809"/>
      <c r="BU152" s="808"/>
      <c r="BV152" s="808"/>
      <c r="BW152" s="809"/>
      <c r="BX152" s="811"/>
    </row>
    <row r="153" ht="30.0" customHeight="1">
      <c r="A153" s="821">
        <v>147.0</v>
      </c>
      <c r="B153" s="807" t="s">
        <v>611</v>
      </c>
      <c r="C153" s="807" t="s">
        <v>629</v>
      </c>
      <c r="D153" s="728">
        <v>8704.0</v>
      </c>
      <c r="E153" s="808"/>
      <c r="F153" s="808"/>
      <c r="G153" s="808"/>
      <c r="H153" s="808"/>
      <c r="I153" s="808"/>
      <c r="J153" s="809"/>
      <c r="K153" s="810"/>
      <c r="L153" s="810"/>
      <c r="M153" s="808"/>
      <c r="N153" s="808"/>
      <c r="O153" s="808"/>
      <c r="P153" s="808"/>
      <c r="Q153" s="808"/>
      <c r="R153" s="808"/>
      <c r="S153" s="809"/>
      <c r="T153" s="810"/>
      <c r="U153" s="809"/>
      <c r="V153" s="808"/>
      <c r="W153" s="809"/>
      <c r="X153" s="809"/>
      <c r="Y153" s="808"/>
      <c r="Z153" s="808"/>
      <c r="AA153" s="809"/>
      <c r="AB153" s="810"/>
      <c r="AC153" s="812"/>
      <c r="AD153" s="808"/>
      <c r="AE153" s="808"/>
      <c r="AF153" s="808"/>
      <c r="AG153" s="808"/>
      <c r="AH153" s="808"/>
      <c r="AI153" s="809"/>
      <c r="AJ153" s="810"/>
      <c r="AK153" s="812"/>
      <c r="AL153" s="808"/>
      <c r="AM153" s="808"/>
      <c r="AN153" s="808"/>
      <c r="AO153" s="808"/>
      <c r="AP153" s="808"/>
      <c r="AQ153" s="809"/>
      <c r="AR153" s="813"/>
      <c r="AS153" s="808"/>
      <c r="AT153" s="808"/>
      <c r="AU153" s="808"/>
      <c r="AV153" s="808"/>
      <c r="AW153" s="808"/>
      <c r="AX153" s="808"/>
      <c r="AY153" s="809"/>
      <c r="AZ153" s="810"/>
      <c r="BA153" s="809"/>
      <c r="BB153" s="808"/>
      <c r="BC153" s="809"/>
      <c r="BD153" s="809"/>
      <c r="BE153" s="808"/>
      <c r="BF153" s="808"/>
      <c r="BG153" s="809"/>
      <c r="BH153" s="810"/>
      <c r="BI153" s="812"/>
      <c r="BJ153" s="808"/>
      <c r="BK153" s="808"/>
      <c r="BL153" s="808"/>
      <c r="BM153" s="808"/>
      <c r="BN153" s="808"/>
      <c r="BO153" s="809"/>
      <c r="BP153" s="810"/>
      <c r="BQ153" s="809"/>
      <c r="BR153" s="808"/>
      <c r="BS153" s="809"/>
      <c r="BT153" s="809"/>
      <c r="BU153" s="808"/>
      <c r="BV153" s="808"/>
      <c r="BW153" s="809"/>
      <c r="BX153" s="811"/>
    </row>
    <row r="154" ht="30.0" customHeight="1">
      <c r="A154" s="821">
        <v>148.0</v>
      </c>
      <c r="B154" s="807" t="s">
        <v>611</v>
      </c>
      <c r="C154" s="807" t="s">
        <v>1274</v>
      </c>
      <c r="D154" s="728">
        <v>102471.0</v>
      </c>
      <c r="E154" s="808"/>
      <c r="F154" s="808"/>
      <c r="G154" s="808"/>
      <c r="H154" s="808"/>
      <c r="I154" s="808"/>
      <c r="J154" s="809"/>
      <c r="K154" s="810"/>
      <c r="L154" s="810"/>
      <c r="M154" s="808" t="s">
        <v>1108</v>
      </c>
      <c r="N154" s="808" t="s">
        <v>1227</v>
      </c>
      <c r="O154" s="808" t="s">
        <v>1229</v>
      </c>
      <c r="P154" s="808"/>
      <c r="Q154" s="808" t="s">
        <v>1223</v>
      </c>
      <c r="R154" s="808" t="s">
        <v>1224</v>
      </c>
      <c r="S154" s="809"/>
      <c r="T154" s="810"/>
      <c r="U154" s="809"/>
      <c r="V154" s="808"/>
      <c r="W154" s="809"/>
      <c r="X154" s="809"/>
      <c r="Y154" s="808"/>
      <c r="Z154" s="808"/>
      <c r="AA154" s="809"/>
      <c r="AB154" s="810"/>
      <c r="AC154" s="812" t="s">
        <v>1108</v>
      </c>
      <c r="AD154" s="808" t="s">
        <v>1227</v>
      </c>
      <c r="AE154" s="808" t="s">
        <v>1229</v>
      </c>
      <c r="AF154" s="808"/>
      <c r="AG154" s="808" t="s">
        <v>1223</v>
      </c>
      <c r="AH154" s="808" t="s">
        <v>1224</v>
      </c>
      <c r="AI154" s="809"/>
      <c r="AJ154" s="810"/>
      <c r="AK154" s="812"/>
      <c r="AL154" s="808"/>
      <c r="AM154" s="808"/>
      <c r="AN154" s="808"/>
      <c r="AO154" s="808"/>
      <c r="AP154" s="808"/>
      <c r="AQ154" s="809"/>
      <c r="AR154" s="813"/>
      <c r="AS154" s="808"/>
      <c r="AT154" s="808"/>
      <c r="AU154" s="808"/>
      <c r="AV154" s="808"/>
      <c r="AW154" s="808"/>
      <c r="AX154" s="808"/>
      <c r="AY154" s="809"/>
      <c r="AZ154" s="810"/>
      <c r="BA154" s="809"/>
      <c r="BB154" s="808"/>
      <c r="BC154" s="809"/>
      <c r="BD154" s="809"/>
      <c r="BE154" s="808"/>
      <c r="BF154" s="808"/>
      <c r="BG154" s="809"/>
      <c r="BH154" s="810"/>
      <c r="BI154" s="812"/>
      <c r="BJ154" s="808"/>
      <c r="BK154" s="808"/>
      <c r="BL154" s="808"/>
      <c r="BM154" s="808"/>
      <c r="BN154" s="808"/>
      <c r="BO154" s="809"/>
      <c r="BP154" s="810"/>
      <c r="BQ154" s="809"/>
      <c r="BR154" s="808"/>
      <c r="BS154" s="809"/>
      <c r="BT154" s="809"/>
      <c r="BU154" s="808"/>
      <c r="BV154" s="808"/>
      <c r="BW154" s="809"/>
      <c r="BX154" s="811"/>
    </row>
    <row r="155" ht="30.0" customHeight="1">
      <c r="A155" s="821">
        <v>149.0</v>
      </c>
      <c r="B155" s="807" t="s">
        <v>611</v>
      </c>
      <c r="C155" s="807" t="s">
        <v>1275</v>
      </c>
      <c r="D155" s="728">
        <v>236.0</v>
      </c>
      <c r="E155" s="808"/>
      <c r="F155" s="808"/>
      <c r="G155" s="808"/>
      <c r="H155" s="808"/>
      <c r="I155" s="808"/>
      <c r="J155" s="809"/>
      <c r="K155" s="810"/>
      <c r="L155" s="810"/>
      <c r="M155" s="808"/>
      <c r="N155" s="808"/>
      <c r="O155" s="808"/>
      <c r="P155" s="808"/>
      <c r="Q155" s="808"/>
      <c r="R155" s="808"/>
      <c r="S155" s="809"/>
      <c r="T155" s="810"/>
      <c r="U155" s="809"/>
      <c r="V155" s="808"/>
      <c r="W155" s="809"/>
      <c r="X155" s="809"/>
      <c r="Y155" s="808"/>
      <c r="Z155" s="808"/>
      <c r="AA155" s="809"/>
      <c r="AB155" s="810"/>
      <c r="AC155" s="812"/>
      <c r="AD155" s="808"/>
      <c r="AE155" s="808"/>
      <c r="AF155" s="808"/>
      <c r="AG155" s="808"/>
      <c r="AH155" s="808"/>
      <c r="AI155" s="809"/>
      <c r="AJ155" s="810"/>
      <c r="AK155" s="812"/>
      <c r="AL155" s="808"/>
      <c r="AM155" s="808"/>
      <c r="AN155" s="808"/>
      <c r="AO155" s="808"/>
      <c r="AP155" s="808"/>
      <c r="AQ155" s="809"/>
      <c r="AR155" s="813"/>
      <c r="AS155" s="808"/>
      <c r="AT155" s="808"/>
      <c r="AU155" s="808"/>
      <c r="AV155" s="808"/>
      <c r="AW155" s="808"/>
      <c r="AX155" s="808"/>
      <c r="AY155" s="809"/>
      <c r="AZ155" s="810"/>
      <c r="BA155" s="809"/>
      <c r="BB155" s="808"/>
      <c r="BC155" s="809"/>
      <c r="BD155" s="809"/>
      <c r="BE155" s="808"/>
      <c r="BF155" s="808"/>
      <c r="BG155" s="809"/>
      <c r="BH155" s="810"/>
      <c r="BI155" s="812"/>
      <c r="BJ155" s="808"/>
      <c r="BK155" s="808"/>
      <c r="BL155" s="808"/>
      <c r="BM155" s="808"/>
      <c r="BN155" s="808"/>
      <c r="BO155" s="809"/>
      <c r="BP155" s="810"/>
      <c r="BQ155" s="809"/>
      <c r="BR155" s="808"/>
      <c r="BS155" s="809"/>
      <c r="BT155" s="809"/>
      <c r="BU155" s="808"/>
      <c r="BV155" s="808"/>
      <c r="BW155" s="809"/>
      <c r="BX155" s="811"/>
    </row>
    <row r="156" ht="30.0" customHeight="1">
      <c r="A156" s="821">
        <v>150.0</v>
      </c>
      <c r="B156" s="807" t="s">
        <v>611</v>
      </c>
      <c r="C156" s="807" t="s">
        <v>677</v>
      </c>
      <c r="D156" s="728">
        <v>105455.0</v>
      </c>
      <c r="E156" s="808"/>
      <c r="F156" s="808"/>
      <c r="G156" s="808"/>
      <c r="H156" s="808"/>
      <c r="I156" s="808"/>
      <c r="J156" s="809"/>
      <c r="K156" s="810"/>
      <c r="L156" s="810"/>
      <c r="M156" s="808"/>
      <c r="N156" s="808"/>
      <c r="O156" s="808"/>
      <c r="P156" s="808"/>
      <c r="Q156" s="808"/>
      <c r="R156" s="808"/>
      <c r="S156" s="809"/>
      <c r="T156" s="810"/>
      <c r="U156" s="809"/>
      <c r="V156" s="808"/>
      <c r="W156" s="809"/>
      <c r="X156" s="809"/>
      <c r="Y156" s="808"/>
      <c r="Z156" s="808"/>
      <c r="AA156" s="809"/>
      <c r="AB156" s="810"/>
      <c r="AC156" s="812"/>
      <c r="AD156" s="808"/>
      <c r="AE156" s="808"/>
      <c r="AF156" s="808"/>
      <c r="AG156" s="808"/>
      <c r="AH156" s="808"/>
      <c r="AI156" s="809"/>
      <c r="AJ156" s="810"/>
      <c r="AK156" s="812"/>
      <c r="AL156" s="808"/>
      <c r="AM156" s="808"/>
      <c r="AN156" s="808"/>
      <c r="AO156" s="808"/>
      <c r="AP156" s="808"/>
      <c r="AQ156" s="809"/>
      <c r="AR156" s="813"/>
      <c r="AS156" s="808"/>
      <c r="AT156" s="808"/>
      <c r="AU156" s="808"/>
      <c r="AV156" s="808"/>
      <c r="AW156" s="808"/>
      <c r="AX156" s="808"/>
      <c r="AY156" s="809"/>
      <c r="AZ156" s="810"/>
      <c r="BA156" s="809"/>
      <c r="BB156" s="808"/>
      <c r="BC156" s="809"/>
      <c r="BD156" s="809"/>
      <c r="BE156" s="808"/>
      <c r="BF156" s="808"/>
      <c r="BG156" s="809"/>
      <c r="BH156" s="810"/>
      <c r="BI156" s="812"/>
      <c r="BJ156" s="808"/>
      <c r="BK156" s="808"/>
      <c r="BL156" s="808"/>
      <c r="BM156" s="808"/>
      <c r="BN156" s="808"/>
      <c r="BO156" s="809"/>
      <c r="BP156" s="810"/>
      <c r="BQ156" s="809"/>
      <c r="BR156" s="808"/>
      <c r="BS156" s="809"/>
      <c r="BT156" s="809"/>
      <c r="BU156" s="808"/>
      <c r="BV156" s="808"/>
      <c r="BW156" s="809"/>
      <c r="BX156" s="811"/>
    </row>
    <row r="157" ht="30.0" customHeight="1">
      <c r="A157" s="821">
        <v>151.0</v>
      </c>
      <c r="B157" s="66" t="s">
        <v>611</v>
      </c>
      <c r="C157" s="212" t="s">
        <v>625</v>
      </c>
      <c r="D157" s="65">
        <v>109143.0</v>
      </c>
      <c r="E157" s="808"/>
      <c r="F157" s="808"/>
      <c r="G157" s="808"/>
      <c r="H157" s="808"/>
      <c r="I157" s="808"/>
      <c r="J157" s="809"/>
      <c r="K157" s="810"/>
      <c r="L157" s="810"/>
      <c r="M157" s="808"/>
      <c r="N157" s="808"/>
      <c r="O157" s="808"/>
      <c r="P157" s="808"/>
      <c r="Q157" s="808"/>
      <c r="R157" s="808"/>
      <c r="S157" s="809"/>
      <c r="T157" s="810"/>
      <c r="U157" s="809"/>
      <c r="V157" s="808"/>
      <c r="W157" s="809"/>
      <c r="X157" s="809"/>
      <c r="Y157" s="808"/>
      <c r="Z157" s="808"/>
      <c r="AA157" s="809"/>
      <c r="AB157" s="810"/>
      <c r="AC157" s="812"/>
      <c r="AD157" s="808"/>
      <c r="AE157" s="808"/>
      <c r="AF157" s="808"/>
      <c r="AG157" s="808"/>
      <c r="AH157" s="808"/>
      <c r="AI157" s="809"/>
      <c r="AJ157" s="810"/>
      <c r="AK157" s="812"/>
      <c r="AL157" s="808"/>
      <c r="AM157" s="808"/>
      <c r="AN157" s="808"/>
      <c r="AO157" s="808"/>
      <c r="AP157" s="808"/>
      <c r="AQ157" s="809"/>
      <c r="AR157" s="813"/>
      <c r="AS157" s="808"/>
      <c r="AT157" s="808"/>
      <c r="AU157" s="808"/>
      <c r="AV157" s="808"/>
      <c r="AW157" s="808"/>
      <c r="AX157" s="808"/>
      <c r="AY157" s="809"/>
      <c r="AZ157" s="810"/>
      <c r="BA157" s="809"/>
      <c r="BB157" s="808"/>
      <c r="BC157" s="809"/>
      <c r="BD157" s="809"/>
      <c r="BE157" s="808"/>
      <c r="BF157" s="808"/>
      <c r="BG157" s="809"/>
      <c r="BH157" s="810"/>
      <c r="BI157" s="812"/>
      <c r="BJ157" s="808"/>
      <c r="BK157" s="808"/>
      <c r="BL157" s="808"/>
      <c r="BM157" s="808"/>
      <c r="BN157" s="808"/>
      <c r="BO157" s="809"/>
      <c r="BP157" s="810"/>
      <c r="BQ157" s="809"/>
      <c r="BR157" s="808"/>
      <c r="BS157" s="809"/>
      <c r="BT157" s="809"/>
      <c r="BU157" s="808"/>
      <c r="BV157" s="808"/>
      <c r="BW157" s="809"/>
      <c r="BX157" s="811"/>
    </row>
    <row r="158" ht="30.0" customHeight="1">
      <c r="A158" s="821">
        <v>152.0</v>
      </c>
      <c r="B158" s="66" t="s">
        <v>611</v>
      </c>
      <c r="C158" s="212" t="s">
        <v>620</v>
      </c>
      <c r="D158" s="65">
        <v>108684.0</v>
      </c>
      <c r="E158" s="808"/>
      <c r="F158" s="808"/>
      <c r="G158" s="808"/>
      <c r="H158" s="808"/>
      <c r="I158" s="808"/>
      <c r="J158" s="809"/>
      <c r="K158" s="810"/>
      <c r="L158" s="810"/>
      <c r="M158" s="808"/>
      <c r="N158" s="808"/>
      <c r="O158" s="808"/>
      <c r="P158" s="808"/>
      <c r="Q158" s="808"/>
      <c r="R158" s="808"/>
      <c r="S158" s="809"/>
      <c r="T158" s="810"/>
      <c r="U158" s="809"/>
      <c r="V158" s="808"/>
      <c r="W158" s="809"/>
      <c r="X158" s="809"/>
      <c r="Y158" s="808"/>
      <c r="Z158" s="808"/>
      <c r="AA158" s="809"/>
      <c r="AB158" s="810"/>
      <c r="AC158" s="812"/>
      <c r="AD158" s="808"/>
      <c r="AE158" s="808"/>
      <c r="AF158" s="808"/>
      <c r="AG158" s="808"/>
      <c r="AH158" s="808"/>
      <c r="AI158" s="809"/>
      <c r="AJ158" s="810"/>
      <c r="AK158" s="812"/>
      <c r="AL158" s="808"/>
      <c r="AM158" s="808"/>
      <c r="AN158" s="808"/>
      <c r="AO158" s="808"/>
      <c r="AP158" s="808"/>
      <c r="AQ158" s="809"/>
      <c r="AR158" s="813"/>
      <c r="AS158" s="808"/>
      <c r="AT158" s="808"/>
      <c r="AU158" s="808"/>
      <c r="AV158" s="808"/>
      <c r="AW158" s="808"/>
      <c r="AX158" s="808"/>
      <c r="AY158" s="809"/>
      <c r="AZ158" s="810"/>
      <c r="BA158" s="809"/>
      <c r="BB158" s="808"/>
      <c r="BC158" s="809"/>
      <c r="BD158" s="809"/>
      <c r="BE158" s="808"/>
      <c r="BF158" s="808"/>
      <c r="BG158" s="809"/>
      <c r="BH158" s="810"/>
      <c r="BI158" s="812"/>
      <c r="BJ158" s="808"/>
      <c r="BK158" s="808"/>
      <c r="BL158" s="808"/>
      <c r="BM158" s="808"/>
      <c r="BN158" s="808"/>
      <c r="BO158" s="809"/>
      <c r="BP158" s="810"/>
      <c r="BQ158" s="809"/>
      <c r="BR158" s="808"/>
      <c r="BS158" s="809"/>
      <c r="BT158" s="809"/>
      <c r="BU158" s="808"/>
      <c r="BV158" s="808"/>
      <c r="BW158" s="809"/>
      <c r="BX158" s="811"/>
    </row>
    <row r="159" ht="30.0" customHeight="1">
      <c r="A159" s="821">
        <v>153.0</v>
      </c>
      <c r="B159" s="807" t="s">
        <v>611</v>
      </c>
      <c r="C159" s="807" t="s">
        <v>652</v>
      </c>
      <c r="D159" s="728">
        <v>104528.0</v>
      </c>
      <c r="E159" s="808"/>
      <c r="F159" s="808"/>
      <c r="G159" s="808"/>
      <c r="H159" s="808"/>
      <c r="I159" s="808"/>
      <c r="J159" s="809"/>
      <c r="K159" s="810"/>
      <c r="L159" s="810"/>
      <c r="M159" s="808"/>
      <c r="N159" s="808"/>
      <c r="O159" s="808"/>
      <c r="P159" s="808"/>
      <c r="Q159" s="808"/>
      <c r="R159" s="808"/>
      <c r="S159" s="809"/>
      <c r="T159" s="810"/>
      <c r="U159" s="809"/>
      <c r="V159" s="808"/>
      <c r="W159" s="809"/>
      <c r="X159" s="809"/>
      <c r="Y159" s="808"/>
      <c r="Z159" s="808"/>
      <c r="AA159" s="809"/>
      <c r="AB159" s="810"/>
      <c r="AC159" s="812"/>
      <c r="AD159" s="808"/>
      <c r="AE159" s="808"/>
      <c r="AF159" s="808"/>
      <c r="AG159" s="808"/>
      <c r="AH159" s="808"/>
      <c r="AI159" s="809"/>
      <c r="AJ159" s="810"/>
      <c r="AK159" s="812"/>
      <c r="AL159" s="808"/>
      <c r="AM159" s="808"/>
      <c r="AN159" s="808"/>
      <c r="AO159" s="808"/>
      <c r="AP159" s="808"/>
      <c r="AQ159" s="809"/>
      <c r="AR159" s="813"/>
      <c r="AS159" s="808"/>
      <c r="AT159" s="808"/>
      <c r="AU159" s="808"/>
      <c r="AV159" s="808"/>
      <c r="AW159" s="808"/>
      <c r="AX159" s="808"/>
      <c r="AY159" s="809"/>
      <c r="AZ159" s="810"/>
      <c r="BA159" s="809"/>
      <c r="BB159" s="808"/>
      <c r="BC159" s="809"/>
      <c r="BD159" s="809"/>
      <c r="BE159" s="808"/>
      <c r="BF159" s="808"/>
      <c r="BG159" s="809"/>
      <c r="BH159" s="810"/>
      <c r="BI159" s="812"/>
      <c r="BJ159" s="808"/>
      <c r="BK159" s="808"/>
      <c r="BL159" s="808"/>
      <c r="BM159" s="808"/>
      <c r="BN159" s="808"/>
      <c r="BO159" s="809"/>
      <c r="BP159" s="810"/>
      <c r="BQ159" s="809"/>
      <c r="BR159" s="808"/>
      <c r="BS159" s="809"/>
      <c r="BT159" s="809"/>
      <c r="BU159" s="808"/>
      <c r="BV159" s="808"/>
      <c r="BW159" s="809"/>
      <c r="BX159" s="811"/>
    </row>
    <row r="160" ht="30.0" customHeight="1">
      <c r="A160" s="821">
        <v>154.0</v>
      </c>
      <c r="B160" s="807" t="s">
        <v>611</v>
      </c>
      <c r="C160" s="807" t="s">
        <v>1082</v>
      </c>
      <c r="D160" s="728">
        <v>104611.0</v>
      </c>
      <c r="E160" s="808"/>
      <c r="F160" s="808"/>
      <c r="G160" s="808"/>
      <c r="H160" s="808"/>
      <c r="I160" s="808"/>
      <c r="J160" s="809"/>
      <c r="K160" s="810"/>
      <c r="L160" s="810"/>
      <c r="M160" s="808"/>
      <c r="N160" s="808"/>
      <c r="O160" s="808"/>
      <c r="P160" s="808"/>
      <c r="Q160" s="808"/>
      <c r="R160" s="808"/>
      <c r="S160" s="809"/>
      <c r="T160" s="810"/>
      <c r="U160" s="809"/>
      <c r="V160" s="808"/>
      <c r="W160" s="809"/>
      <c r="X160" s="809"/>
      <c r="Y160" s="808"/>
      <c r="Z160" s="808"/>
      <c r="AA160" s="809"/>
      <c r="AB160" s="810"/>
      <c r="AC160" s="812"/>
      <c r="AD160" s="808"/>
      <c r="AE160" s="808"/>
      <c r="AF160" s="808"/>
      <c r="AG160" s="808"/>
      <c r="AH160" s="808"/>
      <c r="AI160" s="809"/>
      <c r="AJ160" s="810"/>
      <c r="AK160" s="812"/>
      <c r="AL160" s="808"/>
      <c r="AM160" s="808"/>
      <c r="AN160" s="808"/>
      <c r="AO160" s="808"/>
      <c r="AP160" s="808"/>
      <c r="AQ160" s="809"/>
      <c r="AR160" s="813"/>
      <c r="AS160" s="808"/>
      <c r="AT160" s="808"/>
      <c r="AU160" s="808"/>
      <c r="AV160" s="808"/>
      <c r="AW160" s="808"/>
      <c r="AX160" s="808"/>
      <c r="AY160" s="809"/>
      <c r="AZ160" s="810"/>
      <c r="BA160" s="809"/>
      <c r="BB160" s="808"/>
      <c r="BC160" s="809"/>
      <c r="BD160" s="809"/>
      <c r="BE160" s="808"/>
      <c r="BF160" s="808"/>
      <c r="BG160" s="809"/>
      <c r="BH160" s="810"/>
      <c r="BI160" s="812"/>
      <c r="BJ160" s="808"/>
      <c r="BK160" s="808"/>
      <c r="BL160" s="808"/>
      <c r="BM160" s="808"/>
      <c r="BN160" s="808"/>
      <c r="BO160" s="809"/>
      <c r="BP160" s="810"/>
      <c r="BQ160" s="809"/>
      <c r="BR160" s="808"/>
      <c r="BS160" s="809"/>
      <c r="BT160" s="809"/>
      <c r="BU160" s="808"/>
      <c r="BV160" s="808"/>
      <c r="BW160" s="809"/>
      <c r="BX160" s="811"/>
    </row>
    <row r="161" ht="30.0" customHeight="1">
      <c r="A161" s="821">
        <v>155.0</v>
      </c>
      <c r="B161" s="807" t="s">
        <v>611</v>
      </c>
      <c r="C161" s="807" t="s">
        <v>1143</v>
      </c>
      <c r="D161" s="728">
        <v>104524.0</v>
      </c>
      <c r="E161" s="808"/>
      <c r="F161" s="808"/>
      <c r="G161" s="808"/>
      <c r="H161" s="808"/>
      <c r="I161" s="808"/>
      <c r="J161" s="809"/>
      <c r="K161" s="810"/>
      <c r="L161" s="810"/>
      <c r="M161" s="808"/>
      <c r="N161" s="808"/>
      <c r="O161" s="808"/>
      <c r="P161" s="808"/>
      <c r="Q161" s="808"/>
      <c r="R161" s="808"/>
      <c r="S161" s="809"/>
      <c r="T161" s="810"/>
      <c r="U161" s="809"/>
      <c r="V161" s="808"/>
      <c r="W161" s="809"/>
      <c r="X161" s="809"/>
      <c r="Y161" s="808"/>
      <c r="Z161" s="808"/>
      <c r="AA161" s="809"/>
      <c r="AB161" s="810"/>
      <c r="AC161" s="812"/>
      <c r="AD161" s="808"/>
      <c r="AE161" s="808"/>
      <c r="AF161" s="808"/>
      <c r="AG161" s="808"/>
      <c r="AH161" s="808"/>
      <c r="AI161" s="809"/>
      <c r="AJ161" s="810"/>
      <c r="AK161" s="812"/>
      <c r="AL161" s="808"/>
      <c r="AM161" s="808"/>
      <c r="AN161" s="808"/>
      <c r="AO161" s="808"/>
      <c r="AP161" s="808"/>
      <c r="AQ161" s="809"/>
      <c r="AR161" s="813"/>
      <c r="AS161" s="808"/>
      <c r="AT161" s="808"/>
      <c r="AU161" s="808"/>
      <c r="AV161" s="808"/>
      <c r="AW161" s="808"/>
      <c r="AX161" s="808"/>
      <c r="AY161" s="809"/>
      <c r="AZ161" s="810"/>
      <c r="BA161" s="809"/>
      <c r="BB161" s="808"/>
      <c r="BC161" s="809"/>
      <c r="BD161" s="809"/>
      <c r="BE161" s="808"/>
      <c r="BF161" s="808"/>
      <c r="BG161" s="809"/>
      <c r="BH161" s="810"/>
      <c r="BI161" s="812"/>
      <c r="BJ161" s="808"/>
      <c r="BK161" s="808"/>
      <c r="BL161" s="808"/>
      <c r="BM161" s="808"/>
      <c r="BN161" s="808"/>
      <c r="BO161" s="809"/>
      <c r="BP161" s="810"/>
      <c r="BQ161" s="809"/>
      <c r="BR161" s="808"/>
      <c r="BS161" s="809"/>
      <c r="BT161" s="809"/>
      <c r="BU161" s="808"/>
      <c r="BV161" s="808"/>
      <c r="BW161" s="809"/>
      <c r="BX161" s="811"/>
    </row>
    <row r="162" ht="30.0" customHeight="1">
      <c r="A162" s="821">
        <v>156.0</v>
      </c>
      <c r="B162" s="807" t="s">
        <v>611</v>
      </c>
      <c r="C162" s="807" t="s">
        <v>669</v>
      </c>
      <c r="D162" s="728">
        <v>104525.0</v>
      </c>
      <c r="E162" s="808"/>
      <c r="F162" s="808"/>
      <c r="G162" s="808"/>
      <c r="H162" s="808"/>
      <c r="I162" s="808"/>
      <c r="J162" s="809"/>
      <c r="K162" s="810"/>
      <c r="L162" s="810"/>
      <c r="M162" s="808"/>
      <c r="N162" s="808"/>
      <c r="O162" s="808"/>
      <c r="P162" s="808"/>
      <c r="Q162" s="808"/>
      <c r="R162" s="808"/>
      <c r="S162" s="809"/>
      <c r="T162" s="810"/>
      <c r="U162" s="809"/>
      <c r="V162" s="808"/>
      <c r="W162" s="809"/>
      <c r="X162" s="809"/>
      <c r="Y162" s="808"/>
      <c r="Z162" s="808"/>
      <c r="AA162" s="809"/>
      <c r="AB162" s="810"/>
      <c r="AC162" s="812"/>
      <c r="AD162" s="808"/>
      <c r="AE162" s="808"/>
      <c r="AF162" s="808"/>
      <c r="AG162" s="808"/>
      <c r="AH162" s="808"/>
      <c r="AI162" s="809"/>
      <c r="AJ162" s="810"/>
      <c r="AK162" s="812"/>
      <c r="AL162" s="808"/>
      <c r="AM162" s="808"/>
      <c r="AN162" s="808"/>
      <c r="AO162" s="808"/>
      <c r="AP162" s="808"/>
      <c r="AQ162" s="809"/>
      <c r="AR162" s="813"/>
      <c r="AS162" s="808"/>
      <c r="AT162" s="808"/>
      <c r="AU162" s="808"/>
      <c r="AV162" s="808"/>
      <c r="AW162" s="808"/>
      <c r="AX162" s="808"/>
      <c r="AY162" s="809"/>
      <c r="AZ162" s="810"/>
      <c r="BA162" s="809"/>
      <c r="BB162" s="808"/>
      <c r="BC162" s="809"/>
      <c r="BD162" s="809"/>
      <c r="BE162" s="808"/>
      <c r="BF162" s="808"/>
      <c r="BG162" s="809"/>
      <c r="BH162" s="810"/>
      <c r="BI162" s="812"/>
      <c r="BJ162" s="808"/>
      <c r="BK162" s="808"/>
      <c r="BL162" s="808"/>
      <c r="BM162" s="808"/>
      <c r="BN162" s="808"/>
      <c r="BO162" s="809"/>
      <c r="BP162" s="810"/>
      <c r="BQ162" s="809"/>
      <c r="BR162" s="808"/>
      <c r="BS162" s="809"/>
      <c r="BT162" s="809"/>
      <c r="BU162" s="808"/>
      <c r="BV162" s="808"/>
      <c r="BW162" s="809"/>
      <c r="BX162" s="811"/>
    </row>
    <row r="163" ht="30.0" customHeight="1">
      <c r="A163" s="823">
        <v>157.0</v>
      </c>
      <c r="B163" s="807" t="s">
        <v>695</v>
      </c>
      <c r="C163" s="807" t="s">
        <v>762</v>
      </c>
      <c r="D163" s="728">
        <v>54103.0</v>
      </c>
      <c r="E163" s="808"/>
      <c r="F163" s="808"/>
      <c r="G163" s="808"/>
      <c r="H163" s="808"/>
      <c r="I163" s="808"/>
      <c r="J163" s="809"/>
      <c r="K163" s="810"/>
      <c r="L163" s="810"/>
      <c r="M163" s="808" t="s">
        <v>1108</v>
      </c>
      <c r="N163" s="808" t="s">
        <v>1233</v>
      </c>
      <c r="O163" s="808" t="s">
        <v>1222</v>
      </c>
      <c r="P163" s="824">
        <v>43418.0</v>
      </c>
      <c r="Q163" s="808" t="s">
        <v>1223</v>
      </c>
      <c r="R163" s="808" t="s">
        <v>1224</v>
      </c>
      <c r="S163" s="809" t="s">
        <v>89</v>
      </c>
      <c r="T163" s="810"/>
      <c r="U163" s="809"/>
      <c r="V163" s="808"/>
      <c r="W163" s="809"/>
      <c r="X163" s="809"/>
      <c r="Y163" s="808"/>
      <c r="Z163" s="808"/>
      <c r="AA163" s="809"/>
      <c r="AB163" s="810"/>
      <c r="AC163" s="812" t="s">
        <v>1108</v>
      </c>
      <c r="AD163" s="808" t="s">
        <v>1227</v>
      </c>
      <c r="AE163" s="808" t="s">
        <v>1222</v>
      </c>
      <c r="AF163" s="808"/>
      <c r="AG163" s="808" t="s">
        <v>1223</v>
      </c>
      <c r="AH163" s="808" t="s">
        <v>1224</v>
      </c>
      <c r="AI163" s="809" t="s">
        <v>82</v>
      </c>
      <c r="AJ163" s="810"/>
      <c r="AK163" s="812"/>
      <c r="AL163" s="808"/>
      <c r="AM163" s="808"/>
      <c r="AN163" s="808"/>
      <c r="AO163" s="808" t="s">
        <v>1223</v>
      </c>
      <c r="AP163" s="808" t="s">
        <v>1224</v>
      </c>
      <c r="AQ163" s="809" t="s">
        <v>89</v>
      </c>
      <c r="AR163" s="813"/>
      <c r="AS163" s="808"/>
      <c r="AT163" s="808"/>
      <c r="AU163" s="808"/>
      <c r="AV163" s="808"/>
      <c r="AW163" s="808"/>
      <c r="AX163" s="808"/>
      <c r="AY163" s="809"/>
      <c r="AZ163" s="810"/>
      <c r="BA163" s="809"/>
      <c r="BB163" s="808"/>
      <c r="BC163" s="809"/>
      <c r="BD163" s="809"/>
      <c r="BE163" s="808"/>
      <c r="BF163" s="808"/>
      <c r="BG163" s="809"/>
      <c r="BH163" s="810"/>
      <c r="BI163" s="812"/>
      <c r="BJ163" s="808"/>
      <c r="BK163" s="808"/>
      <c r="BL163" s="808"/>
      <c r="BM163" s="808"/>
      <c r="BN163" s="808"/>
      <c r="BO163" s="809"/>
      <c r="BP163" s="810"/>
      <c r="BQ163" s="809"/>
      <c r="BR163" s="808"/>
      <c r="BS163" s="809"/>
      <c r="BT163" s="809"/>
      <c r="BU163" s="808"/>
      <c r="BV163" s="808"/>
      <c r="BW163" s="809"/>
      <c r="BX163" s="811"/>
    </row>
    <row r="164" ht="30.0" customHeight="1">
      <c r="A164" s="823">
        <v>158.0</v>
      </c>
      <c r="B164" s="807" t="s">
        <v>695</v>
      </c>
      <c r="C164" s="807" t="s">
        <v>742</v>
      </c>
      <c r="D164" s="728">
        <v>53918.0</v>
      </c>
      <c r="E164" s="808"/>
      <c r="F164" s="808"/>
      <c r="G164" s="808"/>
      <c r="H164" s="808"/>
      <c r="I164" s="808"/>
      <c r="J164" s="809"/>
      <c r="K164" s="810"/>
      <c r="L164" s="810"/>
      <c r="M164" s="808"/>
      <c r="N164" s="808"/>
      <c r="O164" s="808"/>
      <c r="P164" s="808"/>
      <c r="Q164" s="808"/>
      <c r="R164" s="808"/>
      <c r="S164" s="809"/>
      <c r="T164" s="810"/>
      <c r="U164" s="809"/>
      <c r="V164" s="808"/>
      <c r="W164" s="809"/>
      <c r="X164" s="809"/>
      <c r="Y164" s="808"/>
      <c r="Z164" s="808"/>
      <c r="AA164" s="809"/>
      <c r="AB164" s="810"/>
      <c r="AC164" s="812" t="s">
        <v>1108</v>
      </c>
      <c r="AD164" s="808" t="s">
        <v>1233</v>
      </c>
      <c r="AE164" s="808" t="s">
        <v>1222</v>
      </c>
      <c r="AF164" s="808"/>
      <c r="AG164" s="808" t="s">
        <v>1223</v>
      </c>
      <c r="AH164" s="808" t="s">
        <v>1224</v>
      </c>
      <c r="AI164" s="809" t="s">
        <v>89</v>
      </c>
      <c r="AJ164" s="810"/>
      <c r="AK164" s="812"/>
      <c r="AL164" s="808"/>
      <c r="AM164" s="808"/>
      <c r="AN164" s="808"/>
      <c r="AO164" s="808"/>
      <c r="AP164" s="808"/>
      <c r="AQ164" s="809"/>
      <c r="AR164" s="813"/>
      <c r="AS164" s="808"/>
      <c r="AT164" s="808"/>
      <c r="AU164" s="808"/>
      <c r="AV164" s="808"/>
      <c r="AW164" s="808"/>
      <c r="AX164" s="808"/>
      <c r="AY164" s="809"/>
      <c r="AZ164" s="810"/>
      <c r="BA164" s="809"/>
      <c r="BB164" s="808"/>
      <c r="BC164" s="809"/>
      <c r="BD164" s="809"/>
      <c r="BE164" s="808"/>
      <c r="BF164" s="808"/>
      <c r="BG164" s="809"/>
      <c r="BH164" s="810"/>
      <c r="BI164" s="812"/>
      <c r="BJ164" s="808"/>
      <c r="BK164" s="808"/>
      <c r="BL164" s="808"/>
      <c r="BM164" s="808"/>
      <c r="BN164" s="808"/>
      <c r="BO164" s="809"/>
      <c r="BP164" s="810"/>
      <c r="BQ164" s="809"/>
      <c r="BR164" s="808"/>
      <c r="BS164" s="809"/>
      <c r="BT164" s="809"/>
      <c r="BU164" s="808"/>
      <c r="BV164" s="808"/>
      <c r="BW164" s="809"/>
      <c r="BX164" s="811"/>
    </row>
    <row r="165" ht="30.0" customHeight="1">
      <c r="A165" s="823">
        <v>159.0</v>
      </c>
      <c r="B165" s="807" t="s">
        <v>695</v>
      </c>
      <c r="C165" s="807" t="s">
        <v>1276</v>
      </c>
      <c r="D165" s="728">
        <v>101755.0</v>
      </c>
      <c r="E165" s="808"/>
      <c r="F165" s="808"/>
      <c r="G165" s="808"/>
      <c r="H165" s="808"/>
      <c r="I165" s="808"/>
      <c r="J165" s="809"/>
      <c r="K165" s="810"/>
      <c r="L165" s="810"/>
      <c r="M165" s="808"/>
      <c r="N165" s="808"/>
      <c r="O165" s="808"/>
      <c r="P165" s="808"/>
      <c r="Q165" s="808"/>
      <c r="R165" s="808"/>
      <c r="S165" s="809"/>
      <c r="T165" s="810"/>
      <c r="U165" s="809"/>
      <c r="V165" s="808"/>
      <c r="W165" s="809"/>
      <c r="X165" s="809"/>
      <c r="Y165" s="808"/>
      <c r="Z165" s="808"/>
      <c r="AA165" s="809"/>
      <c r="AB165" s="810"/>
      <c r="AC165" s="812" t="s">
        <v>1108</v>
      </c>
      <c r="AD165" s="808" t="s">
        <v>1227</v>
      </c>
      <c r="AE165" s="808" t="s">
        <v>1222</v>
      </c>
      <c r="AF165" s="808"/>
      <c r="AG165" s="808" t="s">
        <v>1223</v>
      </c>
      <c r="AH165" s="808" t="s">
        <v>1224</v>
      </c>
      <c r="AI165" s="809"/>
      <c r="AJ165" s="810"/>
      <c r="AK165" s="812"/>
      <c r="AL165" s="808"/>
      <c r="AM165" s="808"/>
      <c r="AN165" s="808"/>
      <c r="AO165" s="808"/>
      <c r="AP165" s="808"/>
      <c r="AQ165" s="809"/>
      <c r="AR165" s="813"/>
      <c r="AS165" s="808" t="s">
        <v>1108</v>
      </c>
      <c r="AT165" s="808" t="s">
        <v>1227</v>
      </c>
      <c r="AU165" s="808" t="s">
        <v>1222</v>
      </c>
      <c r="AV165" s="808"/>
      <c r="AW165" s="808" t="s">
        <v>1223</v>
      </c>
      <c r="AX165" s="808" t="s">
        <v>1224</v>
      </c>
      <c r="AY165" s="809"/>
      <c r="AZ165" s="810"/>
      <c r="BA165" s="809"/>
      <c r="BB165" s="808"/>
      <c r="BC165" s="809"/>
      <c r="BD165" s="809"/>
      <c r="BE165" s="808"/>
      <c r="BF165" s="808"/>
      <c r="BG165" s="809"/>
      <c r="BH165" s="810"/>
      <c r="BI165" s="812"/>
      <c r="BJ165" s="808"/>
      <c r="BK165" s="808"/>
      <c r="BL165" s="808"/>
      <c r="BM165" s="808"/>
      <c r="BN165" s="808"/>
      <c r="BO165" s="809"/>
      <c r="BP165" s="810"/>
      <c r="BQ165" s="809"/>
      <c r="BR165" s="808"/>
      <c r="BS165" s="809"/>
      <c r="BT165" s="809"/>
      <c r="BU165" s="808"/>
      <c r="BV165" s="808"/>
      <c r="BW165" s="809"/>
      <c r="BX165" s="811"/>
    </row>
    <row r="166" ht="30.0" customHeight="1">
      <c r="A166" s="823">
        <v>160.0</v>
      </c>
      <c r="B166" s="807" t="s">
        <v>695</v>
      </c>
      <c r="C166" s="807" t="s">
        <v>1277</v>
      </c>
      <c r="D166" s="728">
        <v>4615.0</v>
      </c>
      <c r="E166" s="808"/>
      <c r="F166" s="808"/>
      <c r="G166" s="808"/>
      <c r="H166" s="808"/>
      <c r="I166" s="808"/>
      <c r="J166" s="809"/>
      <c r="K166" s="810"/>
      <c r="L166" s="810"/>
      <c r="M166" s="808" t="s">
        <v>1108</v>
      </c>
      <c r="N166" s="808" t="s">
        <v>1227</v>
      </c>
      <c r="O166" s="808" t="s">
        <v>1222</v>
      </c>
      <c r="P166" s="808"/>
      <c r="Q166" s="808" t="s">
        <v>1223</v>
      </c>
      <c r="R166" s="808" t="s">
        <v>1224</v>
      </c>
      <c r="S166" s="809"/>
      <c r="T166" s="810"/>
      <c r="U166" s="809"/>
      <c r="V166" s="808"/>
      <c r="W166" s="809"/>
      <c r="X166" s="809"/>
      <c r="Y166" s="808"/>
      <c r="Z166" s="808"/>
      <c r="AA166" s="809"/>
      <c r="AB166" s="810"/>
      <c r="AC166" s="812"/>
      <c r="AD166" s="808"/>
      <c r="AE166" s="808"/>
      <c r="AF166" s="808"/>
      <c r="AG166" s="808"/>
      <c r="AH166" s="808"/>
      <c r="AI166" s="809"/>
      <c r="AJ166" s="810"/>
      <c r="AK166" s="812" t="s">
        <v>1108</v>
      </c>
      <c r="AL166" s="808" t="s">
        <v>1227</v>
      </c>
      <c r="AM166" s="808" t="s">
        <v>1222</v>
      </c>
      <c r="AN166" s="808"/>
      <c r="AO166" s="808" t="s">
        <v>1223</v>
      </c>
      <c r="AP166" s="808" t="s">
        <v>1224</v>
      </c>
      <c r="AQ166" s="809"/>
      <c r="AR166" s="813"/>
      <c r="AS166" s="808"/>
      <c r="AT166" s="808"/>
      <c r="AU166" s="808"/>
      <c r="AV166" s="808"/>
      <c r="AW166" s="808"/>
      <c r="AX166" s="808"/>
      <c r="AY166" s="809"/>
      <c r="AZ166" s="810"/>
      <c r="BA166" s="809"/>
      <c r="BB166" s="808"/>
      <c r="BC166" s="809"/>
      <c r="BD166" s="809"/>
      <c r="BE166" s="808"/>
      <c r="BF166" s="808"/>
      <c r="BG166" s="809"/>
      <c r="BH166" s="810"/>
      <c r="BI166" s="812"/>
      <c r="BJ166" s="808"/>
      <c r="BK166" s="808"/>
      <c r="BL166" s="808"/>
      <c r="BM166" s="808"/>
      <c r="BN166" s="808"/>
      <c r="BO166" s="809"/>
      <c r="BP166" s="810"/>
      <c r="BQ166" s="809"/>
      <c r="BR166" s="808"/>
      <c r="BS166" s="809"/>
      <c r="BT166" s="809"/>
      <c r="BU166" s="808"/>
      <c r="BV166" s="808"/>
      <c r="BW166" s="809"/>
      <c r="BX166" s="811"/>
    </row>
    <row r="167" ht="30.0" customHeight="1">
      <c r="A167" s="823">
        <v>161.0</v>
      </c>
      <c r="B167" s="807" t="s">
        <v>695</v>
      </c>
      <c r="C167" s="807" t="s">
        <v>1144</v>
      </c>
      <c r="D167" s="728">
        <v>19814.0</v>
      </c>
      <c r="E167" s="808"/>
      <c r="F167" s="808"/>
      <c r="G167" s="808"/>
      <c r="H167" s="808"/>
      <c r="I167" s="808"/>
      <c r="J167" s="809"/>
      <c r="K167" s="810"/>
      <c r="L167" s="810"/>
      <c r="M167" s="808"/>
      <c r="N167" s="808"/>
      <c r="O167" s="808"/>
      <c r="P167" s="808"/>
      <c r="Q167" s="808"/>
      <c r="R167" s="808"/>
      <c r="S167" s="809"/>
      <c r="T167" s="810"/>
      <c r="U167" s="809"/>
      <c r="V167" s="808"/>
      <c r="W167" s="809"/>
      <c r="X167" s="809"/>
      <c r="Y167" s="808"/>
      <c r="Z167" s="808"/>
      <c r="AA167" s="809"/>
      <c r="AB167" s="810"/>
      <c r="AC167" s="812"/>
      <c r="AD167" s="808"/>
      <c r="AE167" s="808"/>
      <c r="AF167" s="808"/>
      <c r="AG167" s="808"/>
      <c r="AH167" s="808"/>
      <c r="AI167" s="809"/>
      <c r="AJ167" s="810"/>
      <c r="AK167" s="812"/>
      <c r="AL167" s="808"/>
      <c r="AM167" s="808"/>
      <c r="AN167" s="808"/>
      <c r="AO167" s="808"/>
      <c r="AP167" s="808"/>
      <c r="AQ167" s="809"/>
      <c r="AR167" s="813"/>
      <c r="AS167" s="808"/>
      <c r="AT167" s="808"/>
      <c r="AU167" s="808"/>
      <c r="AV167" s="808"/>
      <c r="AW167" s="808"/>
      <c r="AX167" s="808"/>
      <c r="AY167" s="809"/>
      <c r="AZ167" s="810"/>
      <c r="BA167" s="809"/>
      <c r="BB167" s="808"/>
      <c r="BC167" s="809"/>
      <c r="BD167" s="809"/>
      <c r="BE167" s="808"/>
      <c r="BF167" s="808"/>
      <c r="BG167" s="809"/>
      <c r="BH167" s="810"/>
      <c r="BI167" s="812"/>
      <c r="BJ167" s="808"/>
      <c r="BK167" s="808"/>
      <c r="BL167" s="808"/>
      <c r="BM167" s="808"/>
      <c r="BN167" s="808"/>
      <c r="BO167" s="809"/>
      <c r="BP167" s="810"/>
      <c r="BQ167" s="809"/>
      <c r="BR167" s="808"/>
      <c r="BS167" s="809"/>
      <c r="BT167" s="809"/>
      <c r="BU167" s="808"/>
      <c r="BV167" s="808"/>
      <c r="BW167" s="809"/>
      <c r="BX167" s="811"/>
    </row>
    <row r="168" ht="30.0" customHeight="1">
      <c r="A168" s="823">
        <v>162.0</v>
      </c>
      <c r="B168" s="807" t="s">
        <v>695</v>
      </c>
      <c r="C168" s="807" t="s">
        <v>752</v>
      </c>
      <c r="D168" s="728">
        <v>105149.0</v>
      </c>
      <c r="E168" s="808" t="s">
        <v>1108</v>
      </c>
      <c r="F168" s="808" t="s">
        <v>1227</v>
      </c>
      <c r="G168" s="808" t="s">
        <v>1229</v>
      </c>
      <c r="H168" s="808"/>
      <c r="I168" s="808" t="s">
        <v>1223</v>
      </c>
      <c r="J168" s="809" t="s">
        <v>1230</v>
      </c>
      <c r="K168" s="810"/>
      <c r="L168" s="810"/>
      <c r="M168" s="808"/>
      <c r="N168" s="808"/>
      <c r="O168" s="808"/>
      <c r="P168" s="808"/>
      <c r="Q168" s="808"/>
      <c r="R168" s="808"/>
      <c r="S168" s="809"/>
      <c r="T168" s="810"/>
      <c r="U168" s="809"/>
      <c r="V168" s="808"/>
      <c r="W168" s="809"/>
      <c r="X168" s="809"/>
      <c r="Y168" s="808"/>
      <c r="Z168" s="808"/>
      <c r="AA168" s="809"/>
      <c r="AB168" s="810"/>
      <c r="AC168" s="812"/>
      <c r="AD168" s="808"/>
      <c r="AE168" s="808"/>
      <c r="AF168" s="808"/>
      <c r="AG168" s="808"/>
      <c r="AH168" s="808"/>
      <c r="AI168" s="809"/>
      <c r="AJ168" s="810"/>
      <c r="AK168" s="812"/>
      <c r="AL168" s="808"/>
      <c r="AM168" s="808"/>
      <c r="AN168" s="808"/>
      <c r="AO168" s="808"/>
      <c r="AP168" s="808"/>
      <c r="AQ168" s="809"/>
      <c r="AR168" s="813"/>
      <c r="AS168" s="808"/>
      <c r="AT168" s="808"/>
      <c r="AU168" s="808"/>
      <c r="AV168" s="808"/>
      <c r="AW168" s="808"/>
      <c r="AX168" s="808"/>
      <c r="AY168" s="809"/>
      <c r="AZ168" s="810"/>
      <c r="BA168" s="809"/>
      <c r="BB168" s="808"/>
      <c r="BC168" s="809"/>
      <c r="BD168" s="809"/>
      <c r="BE168" s="808"/>
      <c r="BF168" s="808"/>
      <c r="BG168" s="809"/>
      <c r="BH168" s="810"/>
      <c r="BI168" s="812"/>
      <c r="BJ168" s="808"/>
      <c r="BK168" s="808"/>
      <c r="BL168" s="808"/>
      <c r="BM168" s="808"/>
      <c r="BN168" s="808"/>
      <c r="BO168" s="809"/>
      <c r="BP168" s="810"/>
      <c r="BQ168" s="809"/>
      <c r="BR168" s="808"/>
      <c r="BS168" s="809"/>
      <c r="BT168" s="809"/>
      <c r="BU168" s="808"/>
      <c r="BV168" s="808"/>
      <c r="BW168" s="809"/>
      <c r="BX168" s="811"/>
    </row>
    <row r="169" ht="30.0" customHeight="1">
      <c r="A169" s="823">
        <v>163.0</v>
      </c>
      <c r="B169" s="807" t="s">
        <v>695</v>
      </c>
      <c r="C169" s="807" t="s">
        <v>1278</v>
      </c>
      <c r="D169" s="728">
        <v>7520.0</v>
      </c>
      <c r="E169" s="808"/>
      <c r="F169" s="808"/>
      <c r="G169" s="808"/>
      <c r="H169" s="808"/>
      <c r="I169" s="808"/>
      <c r="J169" s="809"/>
      <c r="K169" s="810"/>
      <c r="L169" s="810"/>
      <c r="M169" s="808" t="s">
        <v>1108</v>
      </c>
      <c r="N169" s="808" t="s">
        <v>1233</v>
      </c>
      <c r="O169" s="808" t="s">
        <v>1222</v>
      </c>
      <c r="P169" s="808"/>
      <c r="Q169" s="808" t="s">
        <v>1223</v>
      </c>
      <c r="R169" s="808" t="s">
        <v>1224</v>
      </c>
      <c r="S169" s="809"/>
      <c r="T169" s="810"/>
      <c r="U169" s="809"/>
      <c r="V169" s="808"/>
      <c r="W169" s="809"/>
      <c r="X169" s="809"/>
      <c r="Y169" s="808"/>
      <c r="Z169" s="808"/>
      <c r="AA169" s="809"/>
      <c r="AB169" s="810"/>
      <c r="AC169" s="812" t="s">
        <v>1108</v>
      </c>
      <c r="AD169" s="808" t="s">
        <v>1227</v>
      </c>
      <c r="AE169" s="808" t="s">
        <v>1222</v>
      </c>
      <c r="AF169" s="808"/>
      <c r="AG169" s="808" t="s">
        <v>1223</v>
      </c>
      <c r="AH169" s="808" t="s">
        <v>1224</v>
      </c>
      <c r="AI169" s="809" t="s">
        <v>89</v>
      </c>
      <c r="AJ169" s="810"/>
      <c r="AK169" s="812"/>
      <c r="AL169" s="808"/>
      <c r="AM169" s="808"/>
      <c r="AN169" s="808"/>
      <c r="AO169" s="808"/>
      <c r="AP169" s="808"/>
      <c r="AQ169" s="809"/>
      <c r="AR169" s="813"/>
      <c r="AS169" s="808"/>
      <c r="AT169" s="808"/>
      <c r="AU169" s="808"/>
      <c r="AV169" s="808"/>
      <c r="AW169" s="808"/>
      <c r="AX169" s="808"/>
      <c r="AY169" s="809"/>
      <c r="AZ169" s="810"/>
      <c r="BA169" s="809"/>
      <c r="BB169" s="808"/>
      <c r="BC169" s="809"/>
      <c r="BD169" s="809"/>
      <c r="BE169" s="808"/>
      <c r="BF169" s="808"/>
      <c r="BG169" s="809"/>
      <c r="BH169" s="810"/>
      <c r="BI169" s="812"/>
      <c r="BJ169" s="808"/>
      <c r="BK169" s="808"/>
      <c r="BL169" s="808"/>
      <c r="BM169" s="808"/>
      <c r="BN169" s="808"/>
      <c r="BO169" s="809"/>
      <c r="BP169" s="810"/>
      <c r="BQ169" s="809"/>
      <c r="BR169" s="808"/>
      <c r="BS169" s="809"/>
      <c r="BT169" s="809"/>
      <c r="BU169" s="808"/>
      <c r="BV169" s="808"/>
      <c r="BW169" s="809"/>
      <c r="BX169" s="811"/>
    </row>
    <row r="170" ht="30.0" customHeight="1">
      <c r="A170" s="823">
        <v>164.0</v>
      </c>
      <c r="B170" s="807" t="s">
        <v>695</v>
      </c>
      <c r="C170" s="807" t="s">
        <v>1279</v>
      </c>
      <c r="D170" s="728">
        <v>105430.0</v>
      </c>
      <c r="E170" s="808"/>
      <c r="F170" s="808"/>
      <c r="G170" s="808"/>
      <c r="H170" s="808"/>
      <c r="I170" s="808"/>
      <c r="J170" s="809"/>
      <c r="K170" s="810"/>
      <c r="L170" s="810"/>
      <c r="M170" s="808"/>
      <c r="N170" s="808"/>
      <c r="O170" s="808"/>
      <c r="P170" s="808"/>
      <c r="Q170" s="808"/>
      <c r="R170" s="808"/>
      <c r="S170" s="809"/>
      <c r="T170" s="810"/>
      <c r="U170" s="809"/>
      <c r="V170" s="808"/>
      <c r="W170" s="809"/>
      <c r="X170" s="809"/>
      <c r="Y170" s="808"/>
      <c r="Z170" s="808"/>
      <c r="AA170" s="809"/>
      <c r="AB170" s="810"/>
      <c r="AC170" s="812"/>
      <c r="AD170" s="808"/>
      <c r="AE170" s="808"/>
      <c r="AF170" s="808"/>
      <c r="AG170" s="808"/>
      <c r="AH170" s="808"/>
      <c r="AI170" s="809"/>
      <c r="AJ170" s="810"/>
      <c r="AK170" s="812"/>
      <c r="AL170" s="808"/>
      <c r="AM170" s="808"/>
      <c r="AN170" s="808"/>
      <c r="AO170" s="808"/>
      <c r="AP170" s="808"/>
      <c r="AQ170" s="809"/>
      <c r="AR170" s="813"/>
      <c r="AS170" s="808"/>
      <c r="AT170" s="808"/>
      <c r="AU170" s="808"/>
      <c r="AV170" s="808"/>
      <c r="AW170" s="808"/>
      <c r="AX170" s="808"/>
      <c r="AY170" s="809"/>
      <c r="AZ170" s="810"/>
      <c r="BA170" s="809"/>
      <c r="BB170" s="808"/>
      <c r="BC170" s="809"/>
      <c r="BD170" s="809"/>
      <c r="BE170" s="808"/>
      <c r="BF170" s="808"/>
      <c r="BG170" s="809"/>
      <c r="BH170" s="810"/>
      <c r="BI170" s="812"/>
      <c r="BJ170" s="808"/>
      <c r="BK170" s="808"/>
      <c r="BL170" s="808"/>
      <c r="BM170" s="808"/>
      <c r="BN170" s="808"/>
      <c r="BO170" s="809"/>
      <c r="BP170" s="810"/>
      <c r="BQ170" s="809"/>
      <c r="BR170" s="808"/>
      <c r="BS170" s="809"/>
      <c r="BT170" s="809"/>
      <c r="BU170" s="808"/>
      <c r="BV170" s="808"/>
      <c r="BW170" s="809"/>
      <c r="BX170" s="811"/>
    </row>
    <row r="171" ht="30.0" customHeight="1">
      <c r="A171" s="823">
        <v>165.0</v>
      </c>
      <c r="B171" s="807" t="s">
        <v>695</v>
      </c>
      <c r="C171" s="807" t="s">
        <v>706</v>
      </c>
      <c r="D171" s="728">
        <v>238.0</v>
      </c>
      <c r="E171" s="808"/>
      <c r="F171" s="808"/>
      <c r="G171" s="808"/>
      <c r="H171" s="808"/>
      <c r="I171" s="808"/>
      <c r="J171" s="809"/>
      <c r="K171" s="810"/>
      <c r="L171" s="810"/>
      <c r="M171" s="808"/>
      <c r="N171" s="808"/>
      <c r="O171" s="808"/>
      <c r="P171" s="808"/>
      <c r="Q171" s="808"/>
      <c r="R171" s="808"/>
      <c r="S171" s="809"/>
      <c r="T171" s="810"/>
      <c r="U171" s="809" t="s">
        <v>1108</v>
      </c>
      <c r="V171" s="808" t="s">
        <v>1233</v>
      </c>
      <c r="W171" s="809" t="s">
        <v>1222</v>
      </c>
      <c r="X171" s="809"/>
      <c r="Y171" s="808" t="s">
        <v>1223</v>
      </c>
      <c r="Z171" s="808" t="s">
        <v>1224</v>
      </c>
      <c r="AA171" s="809"/>
      <c r="AB171" s="810"/>
      <c r="AC171" s="812" t="s">
        <v>1108</v>
      </c>
      <c r="AD171" s="808" t="s">
        <v>1233</v>
      </c>
      <c r="AE171" s="808" t="s">
        <v>1222</v>
      </c>
      <c r="AF171" s="808"/>
      <c r="AG171" s="808"/>
      <c r="AH171" s="808"/>
      <c r="AI171" s="809"/>
      <c r="AJ171" s="810"/>
      <c r="AK171" s="812" t="s">
        <v>1108</v>
      </c>
      <c r="AL171" s="808" t="s">
        <v>1221</v>
      </c>
      <c r="AM171" s="808" t="s">
        <v>1222</v>
      </c>
      <c r="AN171" s="808"/>
      <c r="AO171" s="808" t="s">
        <v>1223</v>
      </c>
      <c r="AP171" s="808" t="s">
        <v>1224</v>
      </c>
      <c r="AQ171" s="809"/>
      <c r="AR171" s="813"/>
      <c r="AS171" s="808"/>
      <c r="AT171" s="808"/>
      <c r="AU171" s="808"/>
      <c r="AV171" s="808"/>
      <c r="AW171" s="808"/>
      <c r="AX171" s="808"/>
      <c r="AY171" s="809"/>
      <c r="AZ171" s="810"/>
      <c r="BA171" s="809"/>
      <c r="BB171" s="808"/>
      <c r="BC171" s="809"/>
      <c r="BD171" s="809"/>
      <c r="BE171" s="808"/>
      <c r="BF171" s="808"/>
      <c r="BG171" s="809"/>
      <c r="BH171" s="810"/>
      <c r="BI171" s="809" t="s">
        <v>1108</v>
      </c>
      <c r="BJ171" s="808" t="s">
        <v>1233</v>
      </c>
      <c r="BK171" s="809" t="s">
        <v>1222</v>
      </c>
      <c r="BL171" s="809">
        <v>40984.0</v>
      </c>
      <c r="BM171" s="808" t="s">
        <v>1223</v>
      </c>
      <c r="BN171" s="808" t="s">
        <v>1224</v>
      </c>
      <c r="BO171" s="809"/>
      <c r="BP171" s="810"/>
      <c r="BQ171" s="809"/>
      <c r="BR171" s="808"/>
      <c r="BS171" s="809"/>
      <c r="BT171" s="809"/>
      <c r="BU171" s="808"/>
      <c r="BV171" s="808"/>
      <c r="BW171" s="809"/>
      <c r="BX171" s="811"/>
    </row>
    <row r="172" ht="30.0" customHeight="1">
      <c r="A172" s="823">
        <v>166.0</v>
      </c>
      <c r="B172" s="807" t="s">
        <v>695</v>
      </c>
      <c r="C172" s="807" t="s">
        <v>774</v>
      </c>
      <c r="D172" s="728">
        <v>7519.0</v>
      </c>
      <c r="E172" s="808"/>
      <c r="F172" s="808"/>
      <c r="G172" s="808"/>
      <c r="H172" s="808"/>
      <c r="I172" s="808"/>
      <c r="J172" s="809"/>
      <c r="K172" s="810"/>
      <c r="L172" s="810"/>
      <c r="M172" s="808"/>
      <c r="N172" s="808"/>
      <c r="O172" s="808"/>
      <c r="P172" s="808"/>
      <c r="Q172" s="808"/>
      <c r="R172" s="808"/>
      <c r="S172" s="809"/>
      <c r="T172" s="810"/>
      <c r="U172" s="809" t="s">
        <v>1108</v>
      </c>
      <c r="V172" s="808" t="s">
        <v>1233</v>
      </c>
      <c r="W172" s="809" t="s">
        <v>1222</v>
      </c>
      <c r="X172" s="809"/>
      <c r="Y172" s="808" t="s">
        <v>1223</v>
      </c>
      <c r="Z172" s="808" t="s">
        <v>1224</v>
      </c>
      <c r="AA172" s="809"/>
      <c r="AB172" s="810"/>
      <c r="AC172" s="812" t="s">
        <v>1108</v>
      </c>
      <c r="AD172" s="808" t="s">
        <v>1233</v>
      </c>
      <c r="AE172" s="808"/>
      <c r="AF172" s="808"/>
      <c r="AG172" s="808" t="s">
        <v>1223</v>
      </c>
      <c r="AH172" s="808" t="s">
        <v>1224</v>
      </c>
      <c r="AI172" s="809"/>
      <c r="AJ172" s="810"/>
      <c r="AK172" s="812"/>
      <c r="AL172" s="808"/>
      <c r="AM172" s="808"/>
      <c r="AN172" s="808"/>
      <c r="AO172" s="808"/>
      <c r="AP172" s="808"/>
      <c r="AQ172" s="809"/>
      <c r="AR172" s="813"/>
      <c r="AS172" s="808"/>
      <c r="AT172" s="808"/>
      <c r="AU172" s="808"/>
      <c r="AV172" s="808"/>
      <c r="AW172" s="808"/>
      <c r="AX172" s="808"/>
      <c r="AY172" s="809"/>
      <c r="AZ172" s="810"/>
      <c r="BA172" s="809"/>
      <c r="BB172" s="808"/>
      <c r="BC172" s="809"/>
      <c r="BD172" s="809"/>
      <c r="BE172" s="808"/>
      <c r="BF172" s="808"/>
      <c r="BG172" s="809"/>
      <c r="BH172" s="810"/>
      <c r="BI172" s="812"/>
      <c r="BJ172" s="808"/>
      <c r="BK172" s="808"/>
      <c r="BL172" s="808"/>
      <c r="BM172" s="808"/>
      <c r="BN172" s="808"/>
      <c r="BO172" s="809"/>
      <c r="BP172" s="810"/>
      <c r="BQ172" s="812"/>
      <c r="BR172" s="808"/>
      <c r="BS172" s="808"/>
      <c r="BT172" s="808"/>
      <c r="BU172" s="808"/>
      <c r="BV172" s="808"/>
      <c r="BW172" s="809"/>
      <c r="BX172" s="811"/>
    </row>
    <row r="173" ht="30.0" customHeight="1">
      <c r="A173" s="823">
        <v>167.0</v>
      </c>
      <c r="B173" s="807" t="s">
        <v>695</v>
      </c>
      <c r="C173" s="807" t="s">
        <v>755</v>
      </c>
      <c r="D173" s="728">
        <v>55175.0</v>
      </c>
      <c r="E173" s="808"/>
      <c r="F173" s="808"/>
      <c r="G173" s="808"/>
      <c r="H173" s="808"/>
      <c r="I173" s="808"/>
      <c r="J173" s="809"/>
      <c r="K173" s="810"/>
      <c r="L173" s="810"/>
      <c r="M173" s="808" t="s">
        <v>1108</v>
      </c>
      <c r="N173" s="808" t="s">
        <v>1233</v>
      </c>
      <c r="O173" s="808" t="s">
        <v>1222</v>
      </c>
      <c r="P173" s="824">
        <v>43418.0</v>
      </c>
      <c r="Q173" s="808" t="s">
        <v>1223</v>
      </c>
      <c r="R173" s="808" t="s">
        <v>1224</v>
      </c>
      <c r="S173" s="809" t="s">
        <v>89</v>
      </c>
      <c r="T173" s="810"/>
      <c r="U173" s="809"/>
      <c r="V173" s="808"/>
      <c r="W173" s="809"/>
      <c r="X173" s="809"/>
      <c r="Y173" s="808"/>
      <c r="Z173" s="808"/>
      <c r="AA173" s="809"/>
      <c r="AB173" s="810"/>
      <c r="AC173" s="812" t="s">
        <v>1108</v>
      </c>
      <c r="AD173" s="808" t="s">
        <v>1227</v>
      </c>
      <c r="AE173" s="808" t="s">
        <v>1222</v>
      </c>
      <c r="AF173" s="808"/>
      <c r="AG173" s="808" t="s">
        <v>1223</v>
      </c>
      <c r="AH173" s="808" t="s">
        <v>1224</v>
      </c>
      <c r="AI173" s="809" t="s">
        <v>89</v>
      </c>
      <c r="AJ173" s="810"/>
      <c r="AK173" s="812"/>
      <c r="AL173" s="808"/>
      <c r="AM173" s="808"/>
      <c r="AN173" s="808"/>
      <c r="AO173" s="808"/>
      <c r="AP173" s="808"/>
      <c r="AQ173" s="809"/>
      <c r="AR173" s="813"/>
      <c r="AS173" s="808"/>
      <c r="AT173" s="808"/>
      <c r="AU173" s="808"/>
      <c r="AV173" s="808"/>
      <c r="AW173" s="808"/>
      <c r="AX173" s="808"/>
      <c r="AY173" s="809"/>
      <c r="AZ173" s="810"/>
      <c r="BA173" s="809"/>
      <c r="BB173" s="808"/>
      <c r="BC173" s="809"/>
      <c r="BD173" s="809"/>
      <c r="BE173" s="808"/>
      <c r="BF173" s="808"/>
      <c r="BG173" s="809"/>
      <c r="BH173" s="810"/>
      <c r="BI173" s="812"/>
      <c r="BJ173" s="808"/>
      <c r="BK173" s="808"/>
      <c r="BL173" s="808"/>
      <c r="BM173" s="808"/>
      <c r="BN173" s="808"/>
      <c r="BO173" s="809"/>
      <c r="BP173" s="810"/>
      <c r="BQ173" s="812"/>
      <c r="BR173" s="808"/>
      <c r="BS173" s="808"/>
      <c r="BT173" s="808"/>
      <c r="BU173" s="808"/>
      <c r="BV173" s="808"/>
      <c r="BW173" s="809"/>
      <c r="BX173" s="811"/>
    </row>
    <row r="174" ht="30.0" customHeight="1">
      <c r="A174" s="823">
        <v>168.0</v>
      </c>
      <c r="B174" s="807" t="s">
        <v>695</v>
      </c>
      <c r="C174" s="807" t="s">
        <v>768</v>
      </c>
      <c r="D174" s="728">
        <v>53505.0</v>
      </c>
      <c r="E174" s="808"/>
      <c r="F174" s="808"/>
      <c r="G174" s="808"/>
      <c r="H174" s="808"/>
      <c r="I174" s="808"/>
      <c r="J174" s="809"/>
      <c r="K174" s="810"/>
      <c r="L174" s="810"/>
      <c r="M174" s="808"/>
      <c r="N174" s="808"/>
      <c r="O174" s="808"/>
      <c r="P174" s="808"/>
      <c r="Q174" s="808"/>
      <c r="R174" s="808"/>
      <c r="S174" s="809"/>
      <c r="T174" s="810"/>
      <c r="U174" s="809" t="s">
        <v>1108</v>
      </c>
      <c r="V174" s="808" t="s">
        <v>1227</v>
      </c>
      <c r="W174" s="809" t="s">
        <v>1222</v>
      </c>
      <c r="X174" s="809">
        <v>43017.0</v>
      </c>
      <c r="Y174" s="808" t="s">
        <v>1223</v>
      </c>
      <c r="Z174" s="808" t="s">
        <v>1224</v>
      </c>
      <c r="AA174" s="809" t="s">
        <v>89</v>
      </c>
      <c r="AB174" s="810"/>
      <c r="AC174" s="812"/>
      <c r="AD174" s="808"/>
      <c r="AE174" s="808"/>
      <c r="AF174" s="808"/>
      <c r="AG174" s="808"/>
      <c r="AH174" s="808"/>
      <c r="AI174" s="809"/>
      <c r="AJ174" s="810"/>
      <c r="AK174" s="812"/>
      <c r="AL174" s="808"/>
      <c r="AM174" s="808"/>
      <c r="AN174" s="808"/>
      <c r="AO174" s="808"/>
      <c r="AP174" s="808"/>
      <c r="AQ174" s="809"/>
      <c r="AR174" s="813"/>
      <c r="AS174" s="808"/>
      <c r="AT174" s="808"/>
      <c r="AU174" s="808"/>
      <c r="AV174" s="808"/>
      <c r="AW174" s="808"/>
      <c r="AX174" s="808"/>
      <c r="AY174" s="809"/>
      <c r="AZ174" s="810"/>
      <c r="BA174" s="809"/>
      <c r="BB174" s="808"/>
      <c r="BC174" s="809"/>
      <c r="BD174" s="809"/>
      <c r="BE174" s="808"/>
      <c r="BF174" s="808"/>
      <c r="BG174" s="809"/>
      <c r="BH174" s="810"/>
      <c r="BI174" s="812"/>
      <c r="BJ174" s="808"/>
      <c r="BK174" s="808"/>
      <c r="BL174" s="808"/>
      <c r="BM174" s="808"/>
      <c r="BN174" s="808"/>
      <c r="BO174" s="809"/>
      <c r="BP174" s="810"/>
      <c r="BQ174" s="812"/>
      <c r="BR174" s="808"/>
      <c r="BS174" s="808"/>
      <c r="BT174" s="808"/>
      <c r="BU174" s="808"/>
      <c r="BV174" s="808"/>
      <c r="BW174" s="809"/>
      <c r="BX174" s="811"/>
    </row>
    <row r="175" ht="30.0" customHeight="1">
      <c r="A175" s="823">
        <v>169.0</v>
      </c>
      <c r="B175" s="807" t="s">
        <v>695</v>
      </c>
      <c r="C175" s="807" t="s">
        <v>737</v>
      </c>
      <c r="D175" s="728">
        <v>252.0</v>
      </c>
      <c r="E175" s="808"/>
      <c r="F175" s="808"/>
      <c r="G175" s="808"/>
      <c r="H175" s="808"/>
      <c r="I175" s="808"/>
      <c r="J175" s="809"/>
      <c r="K175" s="810"/>
      <c r="L175" s="810"/>
      <c r="M175" s="808"/>
      <c r="N175" s="808"/>
      <c r="O175" s="808"/>
      <c r="P175" s="808"/>
      <c r="Q175" s="808"/>
      <c r="R175" s="808"/>
      <c r="S175" s="809"/>
      <c r="T175" s="810"/>
      <c r="U175" s="809" t="s">
        <v>1108</v>
      </c>
      <c r="V175" s="808" t="s">
        <v>1227</v>
      </c>
      <c r="W175" s="809" t="s">
        <v>1222</v>
      </c>
      <c r="X175" s="809">
        <v>42964.0</v>
      </c>
      <c r="Y175" s="808" t="s">
        <v>1223</v>
      </c>
      <c r="Z175" s="808" t="s">
        <v>1224</v>
      </c>
      <c r="AA175" s="809" t="s">
        <v>89</v>
      </c>
      <c r="AB175" s="810"/>
      <c r="AC175" s="812"/>
      <c r="AD175" s="808"/>
      <c r="AE175" s="808"/>
      <c r="AF175" s="808"/>
      <c r="AG175" s="808"/>
      <c r="AH175" s="808"/>
      <c r="AI175" s="809"/>
      <c r="AJ175" s="810"/>
      <c r="AK175" s="812"/>
      <c r="AL175" s="808"/>
      <c r="AM175" s="808"/>
      <c r="AN175" s="808"/>
      <c r="AO175" s="808"/>
      <c r="AP175" s="808"/>
      <c r="AQ175" s="809"/>
      <c r="AR175" s="813"/>
      <c r="AS175" s="808"/>
      <c r="AT175" s="808"/>
      <c r="AU175" s="808"/>
      <c r="AV175" s="808"/>
      <c r="AW175" s="808"/>
      <c r="AX175" s="808"/>
      <c r="AY175" s="809"/>
      <c r="AZ175" s="810"/>
      <c r="BA175" s="809"/>
      <c r="BB175" s="808"/>
      <c r="BC175" s="809"/>
      <c r="BD175" s="809"/>
      <c r="BE175" s="808"/>
      <c r="BF175" s="808"/>
      <c r="BG175" s="809"/>
      <c r="BH175" s="810"/>
      <c r="BI175" s="812"/>
      <c r="BJ175" s="808"/>
      <c r="BK175" s="808"/>
      <c r="BL175" s="808"/>
      <c r="BM175" s="808"/>
      <c r="BN175" s="808"/>
      <c r="BO175" s="809"/>
      <c r="BP175" s="810"/>
      <c r="BQ175" s="812"/>
      <c r="BR175" s="808"/>
      <c r="BS175" s="808"/>
      <c r="BT175" s="808"/>
      <c r="BU175" s="808"/>
      <c r="BV175" s="808"/>
      <c r="BW175" s="809"/>
      <c r="BX175" s="811"/>
    </row>
    <row r="176" ht="30.0" customHeight="1">
      <c r="A176" s="823">
        <v>170.0</v>
      </c>
      <c r="B176" s="807" t="s">
        <v>695</v>
      </c>
      <c r="C176" s="807" t="s">
        <v>714</v>
      </c>
      <c r="D176" s="728">
        <v>90930.0</v>
      </c>
      <c r="E176" s="808"/>
      <c r="F176" s="808"/>
      <c r="G176" s="808"/>
      <c r="H176" s="808"/>
      <c r="I176" s="808"/>
      <c r="J176" s="809"/>
      <c r="K176" s="810"/>
      <c r="L176" s="810"/>
      <c r="M176" s="808"/>
      <c r="N176" s="808"/>
      <c r="O176" s="808"/>
      <c r="P176" s="808"/>
      <c r="Q176" s="808"/>
      <c r="R176" s="808"/>
      <c r="S176" s="809"/>
      <c r="T176" s="810"/>
      <c r="U176" s="809"/>
      <c r="V176" s="808"/>
      <c r="W176" s="809"/>
      <c r="X176" s="809"/>
      <c r="Y176" s="808"/>
      <c r="Z176" s="808"/>
      <c r="AA176" s="809"/>
      <c r="AB176" s="810"/>
      <c r="AC176" s="812" t="s">
        <v>1108</v>
      </c>
      <c r="AD176" s="808" t="s">
        <v>1221</v>
      </c>
      <c r="AE176" s="808" t="s">
        <v>1222</v>
      </c>
      <c r="AF176" s="808"/>
      <c r="AG176" s="808" t="s">
        <v>1228</v>
      </c>
      <c r="AH176" s="808" t="s">
        <v>1224</v>
      </c>
      <c r="AI176" s="809"/>
      <c r="AJ176" s="810"/>
      <c r="AK176" s="812"/>
      <c r="AL176" s="808"/>
      <c r="AM176" s="808"/>
      <c r="AN176" s="808"/>
      <c r="AO176" s="808"/>
      <c r="AP176" s="808"/>
      <c r="AQ176" s="809"/>
      <c r="AR176" s="813"/>
      <c r="AS176" s="808"/>
      <c r="AT176" s="808"/>
      <c r="AU176" s="808"/>
      <c r="AV176" s="808"/>
      <c r="AW176" s="808"/>
      <c r="AX176" s="808"/>
      <c r="AY176" s="809"/>
      <c r="AZ176" s="810"/>
      <c r="BA176" s="809"/>
      <c r="BB176" s="808"/>
      <c r="BC176" s="809"/>
      <c r="BD176" s="809"/>
      <c r="BE176" s="808"/>
      <c r="BF176" s="808"/>
      <c r="BG176" s="809"/>
      <c r="BH176" s="810"/>
      <c r="BI176" s="812"/>
      <c r="BJ176" s="808"/>
      <c r="BK176" s="808"/>
      <c r="BL176" s="808"/>
      <c r="BM176" s="808"/>
      <c r="BN176" s="808"/>
      <c r="BO176" s="809"/>
      <c r="BP176" s="810"/>
      <c r="BQ176" s="812"/>
      <c r="BR176" s="808"/>
      <c r="BS176" s="808"/>
      <c r="BT176" s="808"/>
      <c r="BU176" s="808"/>
      <c r="BV176" s="808"/>
      <c r="BW176" s="809"/>
      <c r="BX176" s="811"/>
    </row>
    <row r="177" ht="30.0" customHeight="1">
      <c r="A177" s="823">
        <v>171.0</v>
      </c>
      <c r="B177" s="807" t="s">
        <v>695</v>
      </c>
      <c r="C177" s="807" t="s">
        <v>747</v>
      </c>
      <c r="D177" s="728">
        <v>104646.0</v>
      </c>
      <c r="E177" s="808"/>
      <c r="F177" s="808"/>
      <c r="G177" s="808"/>
      <c r="H177" s="808"/>
      <c r="I177" s="808"/>
      <c r="J177" s="809"/>
      <c r="K177" s="810"/>
      <c r="L177" s="810"/>
      <c r="M177" s="808"/>
      <c r="N177" s="808"/>
      <c r="O177" s="808"/>
      <c r="P177" s="808"/>
      <c r="Q177" s="808"/>
      <c r="R177" s="808"/>
      <c r="S177" s="809"/>
      <c r="T177" s="810"/>
      <c r="U177" s="809"/>
      <c r="V177" s="808"/>
      <c r="W177" s="809"/>
      <c r="X177" s="809"/>
      <c r="Y177" s="808"/>
      <c r="Z177" s="808"/>
      <c r="AA177" s="809"/>
      <c r="AB177" s="810"/>
      <c r="AC177" s="812"/>
      <c r="AD177" s="808"/>
      <c r="AE177" s="808"/>
      <c r="AF177" s="808"/>
      <c r="AG177" s="808"/>
      <c r="AH177" s="808"/>
      <c r="AI177" s="809"/>
      <c r="AJ177" s="810"/>
      <c r="AK177" s="812"/>
      <c r="AL177" s="808"/>
      <c r="AM177" s="808"/>
      <c r="AN177" s="808"/>
      <c r="AO177" s="808"/>
      <c r="AP177" s="808"/>
      <c r="AQ177" s="809"/>
      <c r="AR177" s="813"/>
      <c r="AS177" s="808"/>
      <c r="AT177" s="808"/>
      <c r="AU177" s="808"/>
      <c r="AV177" s="808"/>
      <c r="AW177" s="808"/>
      <c r="AX177" s="808"/>
      <c r="AY177" s="809"/>
      <c r="AZ177" s="810"/>
      <c r="BA177" s="809"/>
      <c r="BB177" s="808"/>
      <c r="BC177" s="809"/>
      <c r="BD177" s="809"/>
      <c r="BE177" s="808"/>
      <c r="BF177" s="808"/>
      <c r="BG177" s="809"/>
      <c r="BH177" s="810"/>
      <c r="BI177" s="812"/>
      <c r="BJ177" s="808"/>
      <c r="BK177" s="808"/>
      <c r="BL177" s="808"/>
      <c r="BM177" s="808"/>
      <c r="BN177" s="808"/>
      <c r="BO177" s="809"/>
      <c r="BP177" s="810"/>
      <c r="BQ177" s="812"/>
      <c r="BR177" s="808"/>
      <c r="BS177" s="808"/>
      <c r="BT177" s="808"/>
      <c r="BU177" s="808"/>
      <c r="BV177" s="808"/>
      <c r="BW177" s="809"/>
      <c r="BX177" s="811"/>
    </row>
    <row r="178" ht="30.0" customHeight="1">
      <c r="A178" s="825">
        <v>172.0</v>
      </c>
      <c r="B178" s="826" t="s">
        <v>695</v>
      </c>
      <c r="C178" s="826" t="s">
        <v>724</v>
      </c>
      <c r="D178" s="827">
        <v>223.0</v>
      </c>
      <c r="E178" s="828"/>
      <c r="F178" s="828"/>
      <c r="G178" s="828"/>
      <c r="H178" s="828"/>
      <c r="I178" s="828"/>
      <c r="J178" s="828"/>
      <c r="K178" s="829"/>
      <c r="L178" s="830"/>
      <c r="M178" s="828" t="s">
        <v>1108</v>
      </c>
      <c r="N178" s="828" t="s">
        <v>1233</v>
      </c>
      <c r="O178" s="828" t="s">
        <v>1222</v>
      </c>
      <c r="P178" s="828"/>
      <c r="Q178" s="828" t="s">
        <v>1223</v>
      </c>
      <c r="R178" s="828" t="s">
        <v>1224</v>
      </c>
      <c r="S178" s="829"/>
      <c r="T178" s="830"/>
      <c r="U178" s="829"/>
      <c r="V178" s="828"/>
      <c r="W178" s="829"/>
      <c r="X178" s="829"/>
      <c r="Y178" s="828"/>
      <c r="Z178" s="828"/>
      <c r="AA178" s="829"/>
      <c r="AB178" s="830"/>
      <c r="AC178" s="831"/>
      <c r="AD178" s="828"/>
      <c r="AE178" s="828"/>
      <c r="AF178" s="828"/>
      <c r="AG178" s="828"/>
      <c r="AH178" s="828"/>
      <c r="AI178" s="829"/>
      <c r="AJ178" s="830"/>
      <c r="AK178" s="831"/>
      <c r="AL178" s="828"/>
      <c r="AM178" s="828"/>
      <c r="AN178" s="828"/>
      <c r="AO178" s="828"/>
      <c r="AP178" s="828"/>
      <c r="AQ178" s="829"/>
      <c r="AR178" s="832"/>
      <c r="AS178" s="828"/>
      <c r="AT178" s="828"/>
      <c r="AU178" s="828"/>
      <c r="AV178" s="828"/>
      <c r="AW178" s="828"/>
      <c r="AX178" s="828"/>
      <c r="AY178" s="829"/>
      <c r="AZ178" s="830"/>
      <c r="BA178" s="829"/>
      <c r="BB178" s="828"/>
      <c r="BC178" s="829"/>
      <c r="BD178" s="829"/>
      <c r="BE178" s="828"/>
      <c r="BF178" s="828"/>
      <c r="BG178" s="829"/>
      <c r="BH178" s="830"/>
      <c r="BI178" s="831"/>
      <c r="BJ178" s="828"/>
      <c r="BK178" s="828"/>
      <c r="BL178" s="828"/>
      <c r="BM178" s="828"/>
      <c r="BN178" s="828"/>
      <c r="BO178" s="829"/>
      <c r="BP178" s="830"/>
      <c r="BQ178" s="831"/>
      <c r="BR178" s="828"/>
      <c r="BS178" s="828"/>
      <c r="BT178" s="828"/>
      <c r="BU178" s="828"/>
      <c r="BV178" s="828"/>
      <c r="BW178" s="829"/>
      <c r="BX178" s="833"/>
    </row>
  </sheetData>
  <mergeCells count="3">
    <mergeCell ref="B2:C2"/>
    <mergeCell ref="B3:C3"/>
    <mergeCell ref="B4:C4"/>
  </mergeCells>
  <dataValidations>
    <dataValidation type="list" allowBlank="1" showErrorMessage="1" sqref="F64 F87 N7:N176 V7:V176 AD7:AD176 AL7:AL176 AT7:AT176 BB7:BB176 BJ7:BJ176 BR7:BR176">
      <formula1>Listas!$B$40:$B$42</formula1>
    </dataValidation>
    <dataValidation type="list" allowBlank="1" showErrorMessage="1" sqref="I64 Q7:Q176 Y7:Y176 AG7:AG176 AO7:AO176 AW7:AW176 BE7:BE176 BM7:BM176 BU7:BU176">
      <formula1>Listas!$B$34:$B$36</formula1>
    </dataValidation>
    <dataValidation type="list" allowBlank="1" showErrorMessage="1" sqref="J64 J87 R7:R176 Z7:Z176 AH7:AH176 AP7:AP176 AX7:AX176 BF7:BF176 BN7:BN176 BV7:BV176">
      <formula1>Listas!$B$46:$B$47</formula1>
    </dataValidation>
  </dataValidations>
  <printOptions/>
  <pageMargins bottom="0.75" footer="0.0" header="0.0" left="0.7" right="0.7" top="0.75"/>
  <pageSetup orientation="portrait"/>
  <drawing r:id="rId2"/>
  <legacyDrawing r:id="rId3"/>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35.75"/>
    <col customWidth="1" min="2" max="2" width="45.38"/>
    <col customWidth="1" min="3" max="3" width="20.88"/>
    <col customWidth="1" min="4" max="4" width="20.25"/>
    <col customWidth="1" min="5" max="5" width="15.88"/>
    <col customWidth="1" min="6" max="6" width="14.38"/>
    <col customWidth="1" hidden="1" min="7" max="7" width="11.25"/>
    <col customWidth="1" min="8" max="8" width="8.75"/>
    <col customWidth="1" min="9" max="9" width="4.88"/>
    <col customWidth="1" min="10" max="10" width="13.38"/>
    <col customWidth="1" min="11" max="11" width="8.88"/>
    <col customWidth="1" min="12" max="12" width="5.38"/>
    <col customWidth="1" min="13" max="25" width="11.38"/>
  </cols>
  <sheetData>
    <row r="2" ht="12.75" customHeight="1">
      <c r="B2" s="32" t="s">
        <v>0</v>
      </c>
    </row>
    <row r="3" ht="12.75" customHeight="1">
      <c r="B3" s="32" t="s">
        <v>1280</v>
      </c>
    </row>
    <row r="4" ht="12.75" customHeight="1">
      <c r="B4" s="40" t="s">
        <v>1281</v>
      </c>
    </row>
    <row r="5" ht="12.75" customHeight="1"/>
    <row r="6" ht="12.75" customHeight="1">
      <c r="A6" s="429" t="s">
        <v>19</v>
      </c>
      <c r="B6" s="429" t="s">
        <v>20</v>
      </c>
      <c r="C6" s="429" t="s">
        <v>32</v>
      </c>
      <c r="D6" s="429" t="s">
        <v>1282</v>
      </c>
      <c r="E6" s="429" t="s">
        <v>1283</v>
      </c>
    </row>
    <row r="7" ht="12.75" customHeight="1">
      <c r="A7" s="66" t="s">
        <v>74</v>
      </c>
      <c r="B7" s="66" t="s">
        <v>101</v>
      </c>
      <c r="C7" s="68" t="s">
        <v>89</v>
      </c>
      <c r="D7" s="834" t="s">
        <v>337</v>
      </c>
      <c r="E7" s="68" t="s">
        <v>81</v>
      </c>
    </row>
    <row r="8" ht="12.75" customHeight="1">
      <c r="A8" s="66" t="s">
        <v>130</v>
      </c>
      <c r="B8" s="66" t="s">
        <v>131</v>
      </c>
      <c r="C8" s="68" t="s">
        <v>136</v>
      </c>
      <c r="D8" s="834" t="s">
        <v>1284</v>
      </c>
      <c r="E8" s="68" t="s">
        <v>81</v>
      </c>
    </row>
    <row r="9" ht="12.75" customHeight="1">
      <c r="A9" s="66" t="s">
        <v>130</v>
      </c>
      <c r="B9" s="66" t="s">
        <v>970</v>
      </c>
      <c r="C9" s="68" t="s">
        <v>136</v>
      </c>
      <c r="D9" s="834" t="s">
        <v>1284</v>
      </c>
      <c r="E9" s="68" t="s">
        <v>81</v>
      </c>
    </row>
    <row r="10" ht="12.75" customHeight="1">
      <c r="A10" s="66" t="s">
        <v>130</v>
      </c>
      <c r="B10" s="66" t="s">
        <v>1111</v>
      </c>
      <c r="C10" s="68" t="s">
        <v>89</v>
      </c>
      <c r="D10" s="834" t="s">
        <v>337</v>
      </c>
      <c r="E10" s="68" t="s">
        <v>81</v>
      </c>
    </row>
    <row r="11" ht="12.75" customHeight="1">
      <c r="A11" s="66" t="s">
        <v>130</v>
      </c>
      <c r="B11" s="66" t="s">
        <v>143</v>
      </c>
      <c r="C11" s="68" t="s">
        <v>89</v>
      </c>
      <c r="D11" s="834" t="s">
        <v>337</v>
      </c>
      <c r="E11" s="68" t="s">
        <v>81</v>
      </c>
    </row>
    <row r="12" ht="12.75" customHeight="1">
      <c r="A12" s="66" t="s">
        <v>130</v>
      </c>
      <c r="B12" s="66" t="s">
        <v>131</v>
      </c>
      <c r="C12" s="68" t="s">
        <v>89</v>
      </c>
      <c r="D12" s="834" t="s">
        <v>337</v>
      </c>
      <c r="E12" s="68" t="s">
        <v>81</v>
      </c>
    </row>
    <row r="13" ht="12.75" customHeight="1">
      <c r="A13" s="66" t="s">
        <v>130</v>
      </c>
      <c r="B13" s="66" t="s">
        <v>1027</v>
      </c>
      <c r="C13" s="68" t="s">
        <v>89</v>
      </c>
      <c r="D13" s="834" t="s">
        <v>337</v>
      </c>
      <c r="E13" s="68" t="s">
        <v>81</v>
      </c>
    </row>
    <row r="14" ht="12.75" customHeight="1">
      <c r="A14" s="66" t="s">
        <v>130</v>
      </c>
      <c r="B14" s="66" t="s">
        <v>1110</v>
      </c>
      <c r="C14" s="68" t="s">
        <v>89</v>
      </c>
      <c r="D14" s="834" t="s">
        <v>337</v>
      </c>
      <c r="E14" s="68" t="s">
        <v>147</v>
      </c>
    </row>
    <row r="15" ht="12.75" customHeight="1">
      <c r="A15" s="66" t="s">
        <v>130</v>
      </c>
      <c r="B15" s="66" t="s">
        <v>1028</v>
      </c>
      <c r="C15" s="68" t="s">
        <v>89</v>
      </c>
      <c r="D15" s="834" t="s">
        <v>337</v>
      </c>
      <c r="E15" s="68" t="s">
        <v>147</v>
      </c>
    </row>
    <row r="16" ht="12.75" customHeight="1">
      <c r="A16" s="66" t="s">
        <v>130</v>
      </c>
      <c r="B16" s="66" t="s">
        <v>1109</v>
      </c>
      <c r="C16" s="68" t="s">
        <v>89</v>
      </c>
      <c r="D16" s="834" t="s">
        <v>1285</v>
      </c>
      <c r="E16" s="68" t="s">
        <v>1286</v>
      </c>
    </row>
    <row r="17" ht="12.75" customHeight="1">
      <c r="A17" s="66" t="s">
        <v>182</v>
      </c>
      <c r="B17" s="66" t="s">
        <v>989</v>
      </c>
      <c r="C17" s="68" t="s">
        <v>1287</v>
      </c>
      <c r="D17" s="834" t="s">
        <v>1288</v>
      </c>
      <c r="E17" s="68" t="s">
        <v>81</v>
      </c>
    </row>
    <row r="18" ht="12.75" customHeight="1">
      <c r="A18" s="66" t="s">
        <v>182</v>
      </c>
      <c r="B18" s="66" t="s">
        <v>203</v>
      </c>
      <c r="C18" s="68" t="s">
        <v>89</v>
      </c>
      <c r="D18" s="834" t="s">
        <v>207</v>
      </c>
      <c r="E18" s="68" t="s">
        <v>81</v>
      </c>
    </row>
    <row r="19" ht="12.75" customHeight="1">
      <c r="A19" s="66" t="s">
        <v>182</v>
      </c>
      <c r="B19" s="66" t="s">
        <v>198</v>
      </c>
      <c r="C19" s="68" t="s">
        <v>89</v>
      </c>
      <c r="D19" s="834" t="s">
        <v>337</v>
      </c>
      <c r="E19" s="68" t="s">
        <v>81</v>
      </c>
    </row>
    <row r="20" ht="12.75" customHeight="1">
      <c r="A20" s="66" t="s">
        <v>182</v>
      </c>
      <c r="B20" s="66" t="s">
        <v>1115</v>
      </c>
      <c r="C20" s="68" t="s">
        <v>89</v>
      </c>
      <c r="D20" s="834" t="s">
        <v>337</v>
      </c>
      <c r="E20" s="68" t="s">
        <v>81</v>
      </c>
    </row>
    <row r="21" ht="12.75" customHeight="1">
      <c r="A21" s="66" t="s">
        <v>182</v>
      </c>
      <c r="B21" s="66" t="s">
        <v>989</v>
      </c>
      <c r="C21" s="68" t="s">
        <v>89</v>
      </c>
      <c r="D21" s="834" t="s">
        <v>337</v>
      </c>
      <c r="E21" s="68" t="s">
        <v>81</v>
      </c>
    </row>
    <row r="22" ht="12.75" customHeight="1">
      <c r="A22" s="66" t="s">
        <v>182</v>
      </c>
      <c r="B22" s="66" t="s">
        <v>1114</v>
      </c>
      <c r="C22" s="68" t="s">
        <v>89</v>
      </c>
      <c r="D22" s="834" t="s">
        <v>337</v>
      </c>
      <c r="E22" s="68" t="s">
        <v>81</v>
      </c>
    </row>
    <row r="23" ht="12.75" customHeight="1">
      <c r="A23" s="66" t="s">
        <v>182</v>
      </c>
      <c r="B23" s="66" t="s">
        <v>244</v>
      </c>
      <c r="C23" s="68" t="s">
        <v>89</v>
      </c>
      <c r="D23" s="834" t="s">
        <v>207</v>
      </c>
      <c r="E23" s="68" t="s">
        <v>81</v>
      </c>
    </row>
    <row r="24" ht="12.75" customHeight="1">
      <c r="A24" s="66" t="s">
        <v>182</v>
      </c>
      <c r="B24" s="66" t="s">
        <v>1116</v>
      </c>
      <c r="C24" s="68" t="s">
        <v>89</v>
      </c>
      <c r="D24" s="834" t="s">
        <v>337</v>
      </c>
      <c r="E24" s="68" t="s">
        <v>81</v>
      </c>
    </row>
    <row r="25" ht="12.75" customHeight="1">
      <c r="A25" s="66" t="s">
        <v>182</v>
      </c>
      <c r="B25" s="66" t="s">
        <v>1289</v>
      </c>
      <c r="C25" s="68" t="s">
        <v>89</v>
      </c>
      <c r="D25" s="834" t="s">
        <v>337</v>
      </c>
      <c r="E25" s="68" t="s">
        <v>81</v>
      </c>
    </row>
    <row r="26" ht="12.75" customHeight="1">
      <c r="A26" s="66" t="s">
        <v>333</v>
      </c>
      <c r="B26" s="66" t="s">
        <v>1001</v>
      </c>
      <c r="C26" s="68" t="s">
        <v>1287</v>
      </c>
      <c r="D26" s="834" t="s">
        <v>337</v>
      </c>
      <c r="E26" s="68" t="s">
        <v>81</v>
      </c>
    </row>
    <row r="27" ht="12.75" customHeight="1">
      <c r="A27" s="66" t="s">
        <v>333</v>
      </c>
      <c r="B27" s="66" t="s">
        <v>1290</v>
      </c>
      <c r="C27" s="68" t="s">
        <v>89</v>
      </c>
      <c r="D27" s="834" t="s">
        <v>337</v>
      </c>
      <c r="E27" s="68"/>
    </row>
    <row r="28" ht="12.75" customHeight="1">
      <c r="A28" s="66" t="s">
        <v>333</v>
      </c>
      <c r="B28" s="66" t="s">
        <v>998</v>
      </c>
      <c r="C28" s="68" t="s">
        <v>89</v>
      </c>
      <c r="D28" s="834" t="s">
        <v>1291</v>
      </c>
      <c r="E28" s="68" t="s">
        <v>1286</v>
      </c>
    </row>
    <row r="29" ht="12.75" customHeight="1">
      <c r="A29" s="66" t="s">
        <v>333</v>
      </c>
      <c r="B29" s="66" t="s">
        <v>357</v>
      </c>
      <c r="C29" s="68" t="s">
        <v>89</v>
      </c>
      <c r="D29" s="834" t="s">
        <v>337</v>
      </c>
      <c r="E29" s="68" t="s">
        <v>81</v>
      </c>
    </row>
    <row r="30" ht="12.75" customHeight="1">
      <c r="A30" s="66" t="s">
        <v>333</v>
      </c>
      <c r="B30" s="66" t="s">
        <v>1121</v>
      </c>
      <c r="C30" s="68" t="s">
        <v>89</v>
      </c>
      <c r="D30" s="834" t="s">
        <v>337</v>
      </c>
      <c r="E30" s="68" t="s">
        <v>81</v>
      </c>
    </row>
    <row r="31" ht="12.75" customHeight="1">
      <c r="A31" s="66" t="s">
        <v>413</v>
      </c>
      <c r="B31" s="66" t="s">
        <v>1129</v>
      </c>
      <c r="C31" s="68" t="s">
        <v>89</v>
      </c>
      <c r="D31" s="834" t="s">
        <v>1292</v>
      </c>
      <c r="E31" s="68" t="s">
        <v>81</v>
      </c>
    </row>
    <row r="32" ht="12.75" customHeight="1">
      <c r="A32" s="66" t="s">
        <v>413</v>
      </c>
      <c r="B32" s="66" t="s">
        <v>1129</v>
      </c>
      <c r="C32" s="68" t="s">
        <v>89</v>
      </c>
      <c r="D32" s="834" t="s">
        <v>1293</v>
      </c>
      <c r="E32" s="68" t="s">
        <v>81</v>
      </c>
    </row>
    <row r="33" ht="12.75" customHeight="1">
      <c r="A33" s="66" t="s">
        <v>413</v>
      </c>
      <c r="B33" s="66" t="s">
        <v>1129</v>
      </c>
      <c r="C33" s="68" t="s">
        <v>89</v>
      </c>
      <c r="D33" s="834" t="s">
        <v>1294</v>
      </c>
      <c r="E33" s="68" t="s">
        <v>81</v>
      </c>
    </row>
    <row r="34" ht="12.75" customHeight="1">
      <c r="A34" s="66" t="s">
        <v>413</v>
      </c>
      <c r="B34" s="66" t="s">
        <v>1129</v>
      </c>
      <c r="C34" s="68" t="s">
        <v>89</v>
      </c>
      <c r="D34" s="834" t="s">
        <v>1295</v>
      </c>
      <c r="E34" s="68" t="s">
        <v>81</v>
      </c>
    </row>
    <row r="35" ht="12.75" customHeight="1">
      <c r="A35" s="66" t="s">
        <v>413</v>
      </c>
      <c r="B35" s="66" t="s">
        <v>1129</v>
      </c>
      <c r="C35" s="68" t="s">
        <v>89</v>
      </c>
      <c r="D35" s="834" t="s">
        <v>1296</v>
      </c>
      <c r="E35" s="68" t="s">
        <v>81</v>
      </c>
    </row>
    <row r="36" ht="12.75" customHeight="1">
      <c r="A36" s="66" t="s">
        <v>413</v>
      </c>
      <c r="B36" s="66" t="s">
        <v>1129</v>
      </c>
      <c r="C36" s="68" t="s">
        <v>89</v>
      </c>
      <c r="D36" s="834" t="s">
        <v>207</v>
      </c>
      <c r="E36" s="68" t="s">
        <v>81</v>
      </c>
    </row>
    <row r="37" ht="12.75" customHeight="1">
      <c r="A37" s="66" t="s">
        <v>413</v>
      </c>
      <c r="B37" s="66" t="s">
        <v>1129</v>
      </c>
      <c r="C37" s="68" t="s">
        <v>89</v>
      </c>
      <c r="D37" s="834" t="s">
        <v>337</v>
      </c>
      <c r="E37" s="68" t="s">
        <v>81</v>
      </c>
    </row>
    <row r="38" ht="12.75" customHeight="1">
      <c r="A38" s="66" t="s">
        <v>413</v>
      </c>
      <c r="B38" s="66" t="s">
        <v>1129</v>
      </c>
      <c r="C38" s="68" t="s">
        <v>89</v>
      </c>
      <c r="D38" s="834" t="s">
        <v>1297</v>
      </c>
      <c r="E38" s="68" t="s">
        <v>81</v>
      </c>
    </row>
    <row r="39" ht="12.75" customHeight="1">
      <c r="A39" s="66" t="s">
        <v>413</v>
      </c>
      <c r="B39" s="66" t="s">
        <v>1129</v>
      </c>
      <c r="C39" s="68" t="s">
        <v>89</v>
      </c>
      <c r="D39" s="834" t="s">
        <v>1298</v>
      </c>
      <c r="E39" s="68" t="s">
        <v>81</v>
      </c>
    </row>
    <row r="40" ht="12.75" customHeight="1">
      <c r="A40" s="66" t="s">
        <v>413</v>
      </c>
      <c r="B40" s="66" t="s">
        <v>429</v>
      </c>
      <c r="C40" s="68" t="s">
        <v>89</v>
      </c>
      <c r="D40" s="834" t="s">
        <v>337</v>
      </c>
      <c r="E40" s="68" t="s">
        <v>81</v>
      </c>
    </row>
    <row r="41" ht="12.75" customHeight="1">
      <c r="A41" s="66" t="s">
        <v>413</v>
      </c>
      <c r="B41" s="66" t="s">
        <v>1131</v>
      </c>
      <c r="C41" s="68" t="s">
        <v>89</v>
      </c>
      <c r="D41" s="834" t="s">
        <v>337</v>
      </c>
      <c r="E41" s="68" t="s">
        <v>81</v>
      </c>
    </row>
    <row r="42" ht="12.75" customHeight="1">
      <c r="A42" s="66" t="s">
        <v>413</v>
      </c>
      <c r="B42" s="66" t="s">
        <v>1024</v>
      </c>
      <c r="C42" s="68" t="s">
        <v>89</v>
      </c>
      <c r="D42" s="834" t="s">
        <v>337</v>
      </c>
      <c r="E42" s="68" t="s">
        <v>81</v>
      </c>
    </row>
    <row r="43" ht="12.75" customHeight="1">
      <c r="A43" s="66" t="s">
        <v>413</v>
      </c>
      <c r="B43" s="66" t="s">
        <v>572</v>
      </c>
      <c r="C43" s="68" t="s">
        <v>89</v>
      </c>
      <c r="D43" s="834" t="s">
        <v>337</v>
      </c>
      <c r="E43" s="68"/>
    </row>
    <row r="44" ht="12.75" customHeight="1">
      <c r="A44" s="66" t="s">
        <v>576</v>
      </c>
      <c r="B44" s="66" t="s">
        <v>1069</v>
      </c>
      <c r="C44" s="68" t="s">
        <v>89</v>
      </c>
      <c r="D44" s="834" t="s">
        <v>1288</v>
      </c>
      <c r="E44" s="68" t="s">
        <v>81</v>
      </c>
    </row>
    <row r="45" ht="12.75" customHeight="1">
      <c r="A45" s="66" t="s">
        <v>576</v>
      </c>
      <c r="B45" s="66" t="s">
        <v>1069</v>
      </c>
      <c r="C45" s="68" t="s">
        <v>89</v>
      </c>
      <c r="D45" s="834" t="s">
        <v>80</v>
      </c>
      <c r="E45" s="68" t="s">
        <v>187</v>
      </c>
    </row>
    <row r="46" ht="12.75" customHeight="1">
      <c r="A46" s="66" t="s">
        <v>576</v>
      </c>
      <c r="B46" s="66" t="s">
        <v>1069</v>
      </c>
      <c r="C46" s="68" t="s">
        <v>89</v>
      </c>
      <c r="D46" s="834" t="s">
        <v>337</v>
      </c>
      <c r="E46" s="68" t="s">
        <v>81</v>
      </c>
    </row>
    <row r="47" ht="12.75" customHeight="1">
      <c r="A47" s="66" t="s">
        <v>576</v>
      </c>
      <c r="B47" s="66" t="s">
        <v>1133</v>
      </c>
      <c r="C47" s="68" t="s">
        <v>89</v>
      </c>
      <c r="D47" s="834" t="s">
        <v>207</v>
      </c>
      <c r="E47" s="68" t="s">
        <v>81</v>
      </c>
    </row>
    <row r="48" ht="12.75" customHeight="1">
      <c r="A48" s="66" t="s">
        <v>611</v>
      </c>
      <c r="B48" s="66" t="s">
        <v>648</v>
      </c>
      <c r="C48" s="68" t="s">
        <v>89</v>
      </c>
      <c r="D48" s="834" t="s">
        <v>337</v>
      </c>
      <c r="E48" s="68" t="s">
        <v>81</v>
      </c>
    </row>
    <row r="49" ht="12.75" customHeight="1">
      <c r="A49" s="66" t="s">
        <v>695</v>
      </c>
      <c r="B49" s="66" t="s">
        <v>696</v>
      </c>
      <c r="C49" s="68" t="s">
        <v>89</v>
      </c>
      <c r="D49" s="834" t="s">
        <v>701</v>
      </c>
      <c r="E49" s="68" t="s">
        <v>81</v>
      </c>
    </row>
    <row r="50" ht="12.75" customHeight="1">
      <c r="A50" s="66" t="s">
        <v>695</v>
      </c>
      <c r="B50" s="66" t="s">
        <v>731</v>
      </c>
      <c r="C50" s="68" t="s">
        <v>89</v>
      </c>
      <c r="D50" s="834" t="s">
        <v>337</v>
      </c>
      <c r="E50" s="68" t="s">
        <v>81</v>
      </c>
    </row>
  </sheetData>
  <mergeCells count="3">
    <mergeCell ref="B2:C2"/>
    <mergeCell ref="B3:C3"/>
    <mergeCell ref="B4:C4"/>
  </mergeCells>
  <dataValidations>
    <dataValidation type="list" allowBlank="1" showErrorMessage="1" sqref="C7:C50">
      <formula1>Listas!$B$4:$B$8</formula1>
    </dataValidation>
  </dataValidations>
  <printOptions horizontalCentered="1"/>
  <pageMargins bottom="0.4724409448818898" footer="0.0" header="0.0" left="0.7086614173228347" right="0.1968503937007874" top="0.5905511811023623"/>
  <pageSetup scale="60" orientation="portrait"/>
  <drawing r:id="rId1"/>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E36C09"/>
    <pageSetUpPr/>
  </sheetPr>
  <sheetViews>
    <sheetView workbookViewId="0"/>
  </sheetViews>
  <sheetFormatPr customHeight="1" defaultColWidth="12.63" defaultRowHeight="15.0"/>
  <cols>
    <col customWidth="1" min="1" max="1" width="21.38"/>
    <col customWidth="1" min="2" max="26" width="11.38"/>
  </cols>
  <sheetData>
    <row r="1" ht="12.75" customHeight="1">
      <c r="A1" s="390" t="s">
        <v>992</v>
      </c>
      <c r="B1" s="390"/>
      <c r="C1" s="390"/>
      <c r="D1" s="390"/>
      <c r="E1" s="390"/>
      <c r="F1" s="390"/>
      <c r="G1" s="390"/>
      <c r="H1" s="390"/>
      <c r="I1" s="390"/>
      <c r="J1" s="390"/>
      <c r="K1" s="390"/>
      <c r="L1" s="390"/>
      <c r="M1" s="390"/>
    </row>
    <row r="2" ht="12.75" customHeight="1">
      <c r="A2" s="390" t="s">
        <v>1006</v>
      </c>
      <c r="B2" s="390"/>
      <c r="C2" s="390"/>
      <c r="D2" s="390"/>
      <c r="E2" s="390"/>
      <c r="F2" s="390"/>
      <c r="G2" s="390"/>
      <c r="H2" s="390"/>
      <c r="I2" s="390"/>
      <c r="J2" s="390"/>
      <c r="K2" s="390"/>
      <c r="L2" s="390"/>
      <c r="M2" s="390"/>
    </row>
    <row r="3" ht="12.75" customHeight="1">
      <c r="A3" s="390" t="s">
        <v>1299</v>
      </c>
      <c r="B3" s="390"/>
      <c r="C3" s="390"/>
      <c r="D3" s="390"/>
      <c r="E3" s="390"/>
      <c r="F3" s="390"/>
      <c r="G3" s="390"/>
      <c r="H3" s="390"/>
      <c r="I3" s="513"/>
      <c r="J3" s="390"/>
      <c r="K3" s="390"/>
      <c r="L3" s="390"/>
      <c r="M3" s="390"/>
    </row>
    <row r="4" ht="12.75" customHeight="1">
      <c r="A4" s="390"/>
      <c r="B4" s="390"/>
      <c r="C4" s="390"/>
      <c r="D4" s="390"/>
      <c r="E4" s="390"/>
      <c r="F4" s="390"/>
      <c r="G4" s="390"/>
      <c r="H4" s="390"/>
      <c r="I4" s="390"/>
      <c r="J4" s="390"/>
      <c r="K4" s="390"/>
      <c r="L4" s="390"/>
      <c r="M4" s="390"/>
    </row>
    <row r="5" ht="12.75" customHeight="1">
      <c r="A5" s="47" t="s">
        <v>1300</v>
      </c>
      <c r="B5" s="47">
        <v>2012.0</v>
      </c>
      <c r="C5" s="47">
        <v>2013.0</v>
      </c>
      <c r="D5" s="47">
        <v>2014.0</v>
      </c>
      <c r="E5" s="47">
        <v>2015.0</v>
      </c>
      <c r="F5" s="47">
        <v>2016.0</v>
      </c>
      <c r="G5" s="47">
        <v>2017.0</v>
      </c>
      <c r="H5" s="47">
        <v>2018.0</v>
      </c>
      <c r="I5" s="47">
        <v>2019.0</v>
      </c>
      <c r="J5" s="47">
        <v>2020.0</v>
      </c>
      <c r="K5" s="47">
        <v>2021.0</v>
      </c>
      <c r="L5" s="47">
        <v>2022.0</v>
      </c>
      <c r="M5" s="47">
        <v>2023.0</v>
      </c>
    </row>
    <row r="6" ht="12.75" customHeight="1">
      <c r="A6" s="65" t="s">
        <v>84</v>
      </c>
      <c r="B6" s="65">
        <v>4.0</v>
      </c>
      <c r="C6" s="65">
        <v>1.0</v>
      </c>
      <c r="D6" s="65">
        <v>4.0</v>
      </c>
      <c r="E6" s="65">
        <v>1.0</v>
      </c>
      <c r="F6" s="65">
        <v>2.0</v>
      </c>
      <c r="G6" s="65">
        <v>3.0</v>
      </c>
      <c r="H6" s="65">
        <v>4.0</v>
      </c>
      <c r="I6" s="65">
        <v>0.0</v>
      </c>
      <c r="J6" s="65">
        <v>1.0</v>
      </c>
      <c r="K6" s="603">
        <v>0.0</v>
      </c>
      <c r="L6" s="390"/>
      <c r="M6" s="390"/>
    </row>
    <row r="7" ht="12.75" customHeight="1">
      <c r="A7" s="65" t="s">
        <v>96</v>
      </c>
      <c r="B7" s="65">
        <v>2.0</v>
      </c>
      <c r="C7" s="65">
        <v>1.0</v>
      </c>
      <c r="D7" s="65">
        <v>14.0</v>
      </c>
      <c r="E7" s="65">
        <v>31.0</v>
      </c>
      <c r="F7" s="65">
        <v>14.0</v>
      </c>
      <c r="G7" s="65">
        <v>4.0</v>
      </c>
      <c r="H7" s="65">
        <v>0.0</v>
      </c>
      <c r="I7" s="65">
        <v>2.0</v>
      </c>
      <c r="J7" s="65">
        <v>1.0</v>
      </c>
      <c r="K7" s="603">
        <v>2.0</v>
      </c>
      <c r="L7" s="390"/>
      <c r="M7" s="390"/>
    </row>
    <row r="8" ht="12.75" customHeight="1">
      <c r="A8" s="835" t="s">
        <v>811</v>
      </c>
      <c r="B8" s="835">
        <f t="shared" ref="B8:K8" si="1">+B6+B7</f>
        <v>6</v>
      </c>
      <c r="C8" s="835">
        <f t="shared" si="1"/>
        <v>2</v>
      </c>
      <c r="D8" s="835">
        <f t="shared" si="1"/>
        <v>18</v>
      </c>
      <c r="E8" s="835">
        <f t="shared" si="1"/>
        <v>32</v>
      </c>
      <c r="F8" s="835">
        <f t="shared" si="1"/>
        <v>16</v>
      </c>
      <c r="G8" s="835">
        <f t="shared" si="1"/>
        <v>7</v>
      </c>
      <c r="H8" s="835">
        <f t="shared" si="1"/>
        <v>4</v>
      </c>
      <c r="I8" s="835">
        <f t="shared" si="1"/>
        <v>2</v>
      </c>
      <c r="J8" s="835">
        <f t="shared" si="1"/>
        <v>2</v>
      </c>
      <c r="K8" s="835">
        <f t="shared" si="1"/>
        <v>2</v>
      </c>
      <c r="L8" s="390"/>
      <c r="M8" s="390"/>
    </row>
    <row r="9" ht="12.75" customHeight="1">
      <c r="A9" s="390"/>
      <c r="B9" s="390"/>
      <c r="C9" s="390"/>
      <c r="D9" s="390"/>
      <c r="E9" s="390"/>
      <c r="F9" s="390"/>
      <c r="G9" s="390"/>
      <c r="H9" s="390"/>
      <c r="I9" s="390"/>
      <c r="J9" s="390"/>
      <c r="K9" s="390"/>
      <c r="L9" s="390"/>
      <c r="M9" s="390"/>
    </row>
    <row r="10" ht="12.75" customHeight="1">
      <c r="A10" s="47" t="s">
        <v>1301</v>
      </c>
      <c r="B10" s="47">
        <v>2011.0</v>
      </c>
      <c r="C10" s="47">
        <v>2012.0</v>
      </c>
      <c r="D10" s="47">
        <v>2013.0</v>
      </c>
      <c r="E10" s="47">
        <v>2014.0</v>
      </c>
      <c r="F10" s="47">
        <v>2015.0</v>
      </c>
      <c r="G10" s="47">
        <v>2016.0</v>
      </c>
      <c r="H10" s="47">
        <v>2017.0</v>
      </c>
      <c r="I10" s="47">
        <v>2018.0</v>
      </c>
      <c r="J10" s="47">
        <v>2019.0</v>
      </c>
      <c r="K10" s="47">
        <v>2020.0</v>
      </c>
      <c r="L10" s="47">
        <v>2021.0</v>
      </c>
      <c r="M10" s="390"/>
    </row>
    <row r="11" ht="12.75" customHeight="1">
      <c r="A11" s="65" t="s">
        <v>84</v>
      </c>
      <c r="B11" s="65">
        <v>44.0</v>
      </c>
      <c r="C11" s="65">
        <f t="shared" ref="C11:I11" si="2">+B11+B6</f>
        <v>48</v>
      </c>
      <c r="D11" s="65">
        <f t="shared" si="2"/>
        <v>49</v>
      </c>
      <c r="E11" s="65">
        <f t="shared" si="2"/>
        <v>53</v>
      </c>
      <c r="F11" s="65">
        <f t="shared" si="2"/>
        <v>54</v>
      </c>
      <c r="G11" s="65">
        <f t="shared" si="2"/>
        <v>56</v>
      </c>
      <c r="H11" s="65">
        <f t="shared" si="2"/>
        <v>59</v>
      </c>
      <c r="I11" s="65">
        <f t="shared" si="2"/>
        <v>63</v>
      </c>
      <c r="J11" s="65">
        <v>60.0</v>
      </c>
      <c r="K11" s="65">
        <v>60.0</v>
      </c>
      <c r="L11" s="603">
        <v>59.0</v>
      </c>
      <c r="M11" s="390"/>
    </row>
    <row r="12" ht="12.75" customHeight="1">
      <c r="A12" s="65" t="s">
        <v>96</v>
      </c>
      <c r="B12" s="65">
        <v>43.0</v>
      </c>
      <c r="C12" s="65">
        <f t="shared" ref="C12:I12" si="3">+B12+B7</f>
        <v>45</v>
      </c>
      <c r="D12" s="65">
        <f t="shared" si="3"/>
        <v>46</v>
      </c>
      <c r="E12" s="65">
        <f t="shared" si="3"/>
        <v>60</v>
      </c>
      <c r="F12" s="65">
        <f t="shared" si="3"/>
        <v>91</v>
      </c>
      <c r="G12" s="65">
        <f t="shared" si="3"/>
        <v>105</v>
      </c>
      <c r="H12" s="65">
        <f t="shared" si="3"/>
        <v>109</v>
      </c>
      <c r="I12" s="65">
        <f t="shared" si="3"/>
        <v>109</v>
      </c>
      <c r="J12" s="65">
        <v>110.0</v>
      </c>
      <c r="K12" s="65">
        <v>108.0</v>
      </c>
      <c r="L12" s="603">
        <v>101.0</v>
      </c>
      <c r="M12" s="390"/>
    </row>
    <row r="13" ht="12.75" customHeight="1">
      <c r="A13" s="835" t="s">
        <v>811</v>
      </c>
      <c r="B13" s="835">
        <f t="shared" ref="B13:L13" si="4">+B11+B12</f>
        <v>87</v>
      </c>
      <c r="C13" s="835">
        <f t="shared" si="4"/>
        <v>93</v>
      </c>
      <c r="D13" s="835">
        <f t="shared" si="4"/>
        <v>95</v>
      </c>
      <c r="E13" s="835">
        <f t="shared" si="4"/>
        <v>113</v>
      </c>
      <c r="F13" s="835">
        <f t="shared" si="4"/>
        <v>145</v>
      </c>
      <c r="G13" s="835">
        <f t="shared" si="4"/>
        <v>161</v>
      </c>
      <c r="H13" s="835">
        <f t="shared" si="4"/>
        <v>168</v>
      </c>
      <c r="I13" s="835">
        <f t="shared" si="4"/>
        <v>172</v>
      </c>
      <c r="J13" s="835">
        <f t="shared" si="4"/>
        <v>170</v>
      </c>
      <c r="K13" s="835">
        <f t="shared" si="4"/>
        <v>168</v>
      </c>
      <c r="L13" s="835">
        <f t="shared" si="4"/>
        <v>160</v>
      </c>
      <c r="M13" s="390"/>
    </row>
    <row r="54" ht="12.75" customHeight="1">
      <c r="A54" s="390" t="s">
        <v>992</v>
      </c>
    </row>
    <row r="55" ht="12.75" customHeight="1">
      <c r="A55" s="390" t="s">
        <v>1006</v>
      </c>
    </row>
    <row r="56" ht="12.75" customHeight="1">
      <c r="A56" s="390" t="s">
        <v>1302</v>
      </c>
      <c r="E56" s="513">
        <v>43662.0</v>
      </c>
    </row>
    <row r="57" ht="12.75" customHeight="1"/>
    <row r="58" ht="12.75" customHeight="1">
      <c r="A58" s="835">
        <v>2012.0</v>
      </c>
      <c r="B58" s="835"/>
    </row>
    <row r="59" ht="12.75" customHeight="1">
      <c r="A59" s="836" t="s">
        <v>84</v>
      </c>
      <c r="B59" s="836"/>
    </row>
    <row r="60" ht="12.75" customHeight="1">
      <c r="A60" s="47" t="s">
        <v>965</v>
      </c>
      <c r="B60" s="47" t="s">
        <v>19</v>
      </c>
      <c r="C60" s="47" t="s">
        <v>20</v>
      </c>
      <c r="D60" s="47" t="s">
        <v>23</v>
      </c>
      <c r="E60" s="47" t="s">
        <v>30</v>
      </c>
    </row>
    <row r="61" ht="12.75" customHeight="1">
      <c r="A61" s="603">
        <v>1.0</v>
      </c>
      <c r="B61" s="66" t="s">
        <v>333</v>
      </c>
      <c r="C61" s="66" t="s">
        <v>1001</v>
      </c>
      <c r="D61" s="65">
        <v>102149.0</v>
      </c>
      <c r="E61" s="66" t="s">
        <v>337</v>
      </c>
    </row>
    <row r="62" ht="12.75" customHeight="1">
      <c r="A62" s="603">
        <v>2.0</v>
      </c>
      <c r="B62" s="66" t="s">
        <v>333</v>
      </c>
      <c r="C62" s="66" t="s">
        <v>1120</v>
      </c>
      <c r="D62" s="65">
        <v>102181.0</v>
      </c>
      <c r="E62" s="66" t="s">
        <v>337</v>
      </c>
    </row>
    <row r="63" ht="12.75" customHeight="1">
      <c r="A63" s="603">
        <v>3.0</v>
      </c>
      <c r="B63" s="66" t="s">
        <v>576</v>
      </c>
      <c r="C63" s="66" t="s">
        <v>1069</v>
      </c>
      <c r="D63" s="65">
        <v>102182.0</v>
      </c>
      <c r="E63" s="212" t="s">
        <v>337</v>
      </c>
    </row>
    <row r="64" ht="12.75" customHeight="1">
      <c r="A64" s="603">
        <v>4.0</v>
      </c>
      <c r="B64" s="66" t="s">
        <v>576</v>
      </c>
      <c r="C64" s="66" t="s">
        <v>1069</v>
      </c>
      <c r="D64" s="65">
        <v>102184.0</v>
      </c>
      <c r="E64" s="212" t="s">
        <v>1288</v>
      </c>
    </row>
    <row r="65" ht="12.75" customHeight="1">
      <c r="A65" s="836" t="s">
        <v>96</v>
      </c>
    </row>
    <row r="66" ht="12.75" customHeight="1">
      <c r="A66" s="47" t="s">
        <v>965</v>
      </c>
      <c r="B66" s="47" t="s">
        <v>19</v>
      </c>
      <c r="C66" s="47" t="s">
        <v>20</v>
      </c>
      <c r="D66" s="47" t="s">
        <v>23</v>
      </c>
      <c r="E66" s="47" t="s">
        <v>30</v>
      </c>
    </row>
    <row r="67" ht="12.75" customHeight="1">
      <c r="A67" s="603">
        <v>1.0</v>
      </c>
      <c r="B67" s="66" t="s">
        <v>182</v>
      </c>
      <c r="C67" s="66" t="s">
        <v>203</v>
      </c>
      <c r="D67" s="65">
        <v>102109.0</v>
      </c>
      <c r="E67" s="66" t="s">
        <v>207</v>
      </c>
    </row>
    <row r="68" ht="12.75" customHeight="1">
      <c r="A68" s="603">
        <v>2.0</v>
      </c>
      <c r="B68" s="66" t="s">
        <v>695</v>
      </c>
      <c r="C68" s="66" t="s">
        <v>696</v>
      </c>
      <c r="D68" s="65">
        <v>101755.0</v>
      </c>
      <c r="E68" s="66" t="s">
        <v>701</v>
      </c>
    </row>
    <row r="69" ht="12.75" customHeight="1">
      <c r="A69" s="43"/>
    </row>
    <row r="70" ht="12.75" customHeight="1">
      <c r="A70" s="835">
        <v>2013.0</v>
      </c>
    </row>
    <row r="71" ht="12.75" customHeight="1">
      <c r="A71" s="836" t="s">
        <v>84</v>
      </c>
    </row>
    <row r="72" ht="12.75" customHeight="1">
      <c r="A72" s="47" t="s">
        <v>965</v>
      </c>
      <c r="B72" s="47" t="s">
        <v>19</v>
      </c>
      <c r="C72" s="47" t="s">
        <v>20</v>
      </c>
      <c r="D72" s="47" t="s">
        <v>23</v>
      </c>
      <c r="E72" s="47" t="s">
        <v>30</v>
      </c>
    </row>
    <row r="73" ht="12.75" customHeight="1">
      <c r="A73" s="603">
        <v>1.0</v>
      </c>
      <c r="B73" s="66" t="s">
        <v>611</v>
      </c>
      <c r="C73" s="66" t="s">
        <v>648</v>
      </c>
      <c r="D73" s="65">
        <v>102471.0</v>
      </c>
      <c r="E73" s="66" t="s">
        <v>337</v>
      </c>
    </row>
    <row r="74" ht="12.75" customHeight="1">
      <c r="A74" s="836" t="s">
        <v>96</v>
      </c>
    </row>
    <row r="75" ht="12.75" customHeight="1">
      <c r="A75" s="47" t="s">
        <v>965</v>
      </c>
      <c r="B75" s="47" t="s">
        <v>19</v>
      </c>
      <c r="C75" s="47" t="s">
        <v>20</v>
      </c>
      <c r="D75" s="47" t="s">
        <v>23</v>
      </c>
      <c r="E75" s="47" t="s">
        <v>30</v>
      </c>
    </row>
    <row r="76" ht="12.75" customHeight="1">
      <c r="A76" s="603">
        <v>1.0</v>
      </c>
      <c r="B76" s="66" t="s">
        <v>576</v>
      </c>
      <c r="C76" s="66" t="s">
        <v>1133</v>
      </c>
      <c r="D76" s="65">
        <v>102484.0</v>
      </c>
      <c r="E76" s="66" t="s">
        <v>80</v>
      </c>
    </row>
    <row r="77" ht="12.75" customHeight="1">
      <c r="A77" s="43"/>
    </row>
    <row r="78" ht="12.75" customHeight="1">
      <c r="A78" s="835">
        <v>2014.0</v>
      </c>
    </row>
    <row r="79" ht="12.75" customHeight="1">
      <c r="A79" s="836" t="s">
        <v>84</v>
      </c>
    </row>
    <row r="80" ht="12.75" customHeight="1">
      <c r="A80" s="47" t="s">
        <v>965</v>
      </c>
      <c r="B80" s="47" t="s">
        <v>19</v>
      </c>
      <c r="C80" s="47" t="s">
        <v>20</v>
      </c>
      <c r="D80" s="47" t="s">
        <v>23</v>
      </c>
      <c r="E80" s="47" t="s">
        <v>30</v>
      </c>
    </row>
    <row r="81" ht="12.75" customHeight="1">
      <c r="A81" s="603">
        <v>1.0</v>
      </c>
      <c r="B81" s="66" t="s">
        <v>74</v>
      </c>
      <c r="C81" s="66" t="s">
        <v>101</v>
      </c>
      <c r="D81" s="88">
        <v>106085.0</v>
      </c>
      <c r="E81" s="66" t="s">
        <v>337</v>
      </c>
    </row>
    <row r="82" ht="12.75" customHeight="1">
      <c r="A82" s="603">
        <v>2.0</v>
      </c>
      <c r="B82" s="66" t="s">
        <v>130</v>
      </c>
      <c r="C82" s="66" t="s">
        <v>131</v>
      </c>
      <c r="D82" s="65">
        <v>103303.0</v>
      </c>
      <c r="E82" s="66" t="s">
        <v>337</v>
      </c>
    </row>
    <row r="83" ht="12.75" customHeight="1">
      <c r="A83" s="603">
        <v>3.0</v>
      </c>
      <c r="B83" s="66" t="s">
        <v>333</v>
      </c>
      <c r="C83" s="66" t="s">
        <v>1121</v>
      </c>
      <c r="D83" s="65">
        <v>103336.0</v>
      </c>
      <c r="E83" s="66" t="s">
        <v>80</v>
      </c>
    </row>
    <row r="84" ht="12.75" customHeight="1">
      <c r="A84" s="603">
        <v>4.0</v>
      </c>
      <c r="B84" s="66" t="s">
        <v>333</v>
      </c>
      <c r="C84" s="66" t="s">
        <v>1121</v>
      </c>
      <c r="D84" s="65">
        <v>103787.0</v>
      </c>
      <c r="E84" s="66" t="s">
        <v>337</v>
      </c>
    </row>
    <row r="85" ht="12.75" customHeight="1">
      <c r="A85" s="836" t="s">
        <v>96</v>
      </c>
    </row>
    <row r="86" ht="12.75" customHeight="1">
      <c r="A86" s="47" t="s">
        <v>965</v>
      </c>
      <c r="B86" s="47" t="s">
        <v>19</v>
      </c>
      <c r="C86" s="47" t="s">
        <v>20</v>
      </c>
      <c r="D86" s="47" t="s">
        <v>23</v>
      </c>
      <c r="E86" s="47" t="s">
        <v>30</v>
      </c>
    </row>
    <row r="87" ht="12.75" customHeight="1">
      <c r="A87" s="603">
        <v>1.0</v>
      </c>
      <c r="B87" s="66" t="s">
        <v>130</v>
      </c>
      <c r="C87" s="66" t="s">
        <v>143</v>
      </c>
      <c r="D87" s="65">
        <v>103292.0</v>
      </c>
      <c r="E87" s="66" t="s">
        <v>80</v>
      </c>
    </row>
    <row r="88" ht="12.75" customHeight="1">
      <c r="A88" s="603">
        <v>2.0</v>
      </c>
      <c r="B88" s="66" t="s">
        <v>130</v>
      </c>
      <c r="C88" s="66" t="s">
        <v>143</v>
      </c>
      <c r="D88" s="65">
        <v>103386.0</v>
      </c>
      <c r="E88" s="66" t="s">
        <v>337</v>
      </c>
    </row>
    <row r="89" ht="12.75" customHeight="1">
      <c r="A89" s="603">
        <v>3.0</v>
      </c>
      <c r="B89" s="66" t="s">
        <v>182</v>
      </c>
      <c r="C89" s="66" t="s">
        <v>1112</v>
      </c>
      <c r="D89" s="65">
        <v>103477.0</v>
      </c>
      <c r="E89" s="66" t="s">
        <v>80</v>
      </c>
    </row>
    <row r="90" ht="12.75" customHeight="1">
      <c r="A90" s="603">
        <v>4.0</v>
      </c>
      <c r="B90" s="66" t="s">
        <v>182</v>
      </c>
      <c r="C90" s="66" t="s">
        <v>198</v>
      </c>
      <c r="D90" s="88">
        <v>103753.0</v>
      </c>
      <c r="E90" s="66" t="s">
        <v>337</v>
      </c>
    </row>
    <row r="91" ht="12.75" customHeight="1">
      <c r="A91" s="603">
        <v>5.0</v>
      </c>
      <c r="B91" s="66" t="s">
        <v>182</v>
      </c>
      <c r="C91" s="66" t="s">
        <v>244</v>
      </c>
      <c r="D91" s="88">
        <v>103818.0</v>
      </c>
      <c r="E91" s="66" t="s">
        <v>207</v>
      </c>
    </row>
    <row r="92" ht="12.75" customHeight="1">
      <c r="A92" s="603">
        <v>6.0</v>
      </c>
      <c r="B92" s="66" t="s">
        <v>413</v>
      </c>
      <c r="C92" s="66" t="s">
        <v>429</v>
      </c>
      <c r="D92" s="65">
        <v>103476.0</v>
      </c>
      <c r="E92" s="66" t="s">
        <v>80</v>
      </c>
    </row>
    <row r="93" ht="12.75" customHeight="1">
      <c r="A93" s="603">
        <v>7.0</v>
      </c>
      <c r="B93" s="66" t="s">
        <v>413</v>
      </c>
      <c r="C93" s="66" t="s">
        <v>429</v>
      </c>
      <c r="D93" s="65">
        <v>103504.0</v>
      </c>
      <c r="E93" s="66" t="s">
        <v>337</v>
      </c>
    </row>
    <row r="94" ht="12.75" customHeight="1">
      <c r="A94" s="603">
        <v>8.0</v>
      </c>
      <c r="B94" s="66" t="s">
        <v>576</v>
      </c>
      <c r="C94" s="66" t="s">
        <v>1134</v>
      </c>
      <c r="D94" s="65">
        <v>103197.0</v>
      </c>
      <c r="E94" s="66" t="s">
        <v>80</v>
      </c>
    </row>
    <row r="95" ht="12.75" customHeight="1">
      <c r="A95" s="603">
        <v>9.0</v>
      </c>
      <c r="B95" s="66" t="s">
        <v>576</v>
      </c>
      <c r="C95" s="66" t="s">
        <v>1135</v>
      </c>
      <c r="D95" s="65">
        <v>103335.0</v>
      </c>
      <c r="E95" s="66" t="s">
        <v>80</v>
      </c>
    </row>
    <row r="96" ht="12.75" customHeight="1">
      <c r="A96" s="603">
        <v>10.0</v>
      </c>
      <c r="B96" s="66" t="s">
        <v>576</v>
      </c>
      <c r="C96" s="66" t="s">
        <v>1136</v>
      </c>
      <c r="D96" s="88">
        <v>103480.0</v>
      </c>
      <c r="E96" s="66" t="s">
        <v>80</v>
      </c>
    </row>
    <row r="97" ht="12.75" customHeight="1">
      <c r="A97" s="603">
        <v>11.0</v>
      </c>
      <c r="B97" s="66" t="s">
        <v>576</v>
      </c>
      <c r="C97" s="66" t="s">
        <v>1137</v>
      </c>
      <c r="D97" s="65">
        <v>103513.0</v>
      </c>
      <c r="E97" s="66" t="s">
        <v>80</v>
      </c>
    </row>
    <row r="98" ht="12.75" customHeight="1">
      <c r="A98" s="603">
        <v>12.0</v>
      </c>
      <c r="B98" s="66" t="s">
        <v>576</v>
      </c>
      <c r="C98" s="66" t="s">
        <v>598</v>
      </c>
      <c r="D98" s="65">
        <v>103788.0</v>
      </c>
      <c r="E98" s="66" t="s">
        <v>80</v>
      </c>
    </row>
    <row r="99" ht="12.75" customHeight="1">
      <c r="A99" s="603">
        <v>13.0</v>
      </c>
      <c r="B99" s="66" t="s">
        <v>576</v>
      </c>
      <c r="C99" s="66" t="s">
        <v>1138</v>
      </c>
      <c r="D99" s="65">
        <v>103789.0</v>
      </c>
      <c r="E99" s="66" t="s">
        <v>80</v>
      </c>
    </row>
    <row r="100" ht="12.75" customHeight="1">
      <c r="A100" s="603">
        <v>14.0</v>
      </c>
      <c r="B100" s="66" t="s">
        <v>576</v>
      </c>
      <c r="C100" s="66" t="s">
        <v>1133</v>
      </c>
      <c r="D100" s="65">
        <v>104098.0</v>
      </c>
      <c r="E100" s="66" t="s">
        <v>207</v>
      </c>
    </row>
    <row r="101" ht="12.75" customHeight="1">
      <c r="A101" s="43"/>
    </row>
    <row r="102" ht="12.75" customHeight="1">
      <c r="A102" s="835">
        <v>2015.0</v>
      </c>
    </row>
    <row r="103" ht="12.75" customHeight="1">
      <c r="A103" s="836" t="s">
        <v>84</v>
      </c>
    </row>
    <row r="104" ht="12.75" customHeight="1">
      <c r="A104" s="47" t="s">
        <v>965</v>
      </c>
      <c r="B104" s="47" t="s">
        <v>19</v>
      </c>
      <c r="C104" s="47" t="s">
        <v>20</v>
      </c>
      <c r="D104" s="47" t="s">
        <v>23</v>
      </c>
      <c r="E104" s="47" t="s">
        <v>30</v>
      </c>
    </row>
    <row r="105" ht="12.75" customHeight="1">
      <c r="A105" s="603">
        <v>1.0</v>
      </c>
      <c r="B105" s="66" t="s">
        <v>413</v>
      </c>
      <c r="C105" s="66" t="s">
        <v>1131</v>
      </c>
      <c r="D105" s="65">
        <v>104822.0</v>
      </c>
      <c r="E105" s="66" t="s">
        <v>337</v>
      </c>
    </row>
    <row r="106" ht="12.75" customHeight="1">
      <c r="A106" s="836" t="s">
        <v>96</v>
      </c>
    </row>
    <row r="107" ht="12.75" customHeight="1">
      <c r="A107" s="47" t="s">
        <v>965</v>
      </c>
      <c r="B107" s="47" t="s">
        <v>19</v>
      </c>
      <c r="C107" s="47" t="s">
        <v>20</v>
      </c>
      <c r="D107" s="47" t="s">
        <v>23</v>
      </c>
      <c r="E107" s="47" t="s">
        <v>30</v>
      </c>
    </row>
    <row r="108" ht="12.75" customHeight="1">
      <c r="A108" s="603">
        <v>1.0</v>
      </c>
      <c r="B108" s="66" t="s">
        <v>74</v>
      </c>
      <c r="C108" s="66" t="s">
        <v>90</v>
      </c>
      <c r="D108" s="65">
        <v>104526.0</v>
      </c>
      <c r="E108" s="66" t="s">
        <v>80</v>
      </c>
    </row>
    <row r="109" ht="12.75" customHeight="1">
      <c r="A109" s="603">
        <v>2.0</v>
      </c>
      <c r="B109" s="66" t="s">
        <v>130</v>
      </c>
      <c r="C109" s="66" t="s">
        <v>1110</v>
      </c>
      <c r="D109" s="65">
        <v>104369.0</v>
      </c>
      <c r="E109" s="66" t="s">
        <v>1303</v>
      </c>
    </row>
    <row r="110" ht="12.75" customHeight="1">
      <c r="A110" s="603">
        <v>3.0</v>
      </c>
      <c r="B110" s="66" t="s">
        <v>130</v>
      </c>
      <c r="C110" s="66" t="s">
        <v>158</v>
      </c>
      <c r="D110" s="65">
        <v>104677.0</v>
      </c>
      <c r="E110" s="66" t="s">
        <v>80</v>
      </c>
    </row>
    <row r="111" ht="12.75" customHeight="1">
      <c r="A111" s="603">
        <v>4.0</v>
      </c>
      <c r="B111" s="66" t="s">
        <v>130</v>
      </c>
      <c r="C111" s="66" t="s">
        <v>1111</v>
      </c>
      <c r="D111" s="65">
        <v>104845.0</v>
      </c>
      <c r="E111" s="66" t="s">
        <v>1303</v>
      </c>
    </row>
    <row r="112" ht="12.75" customHeight="1">
      <c r="A112" s="603">
        <v>5.0</v>
      </c>
      <c r="B112" s="66" t="s">
        <v>130</v>
      </c>
      <c r="C112" s="66" t="s">
        <v>151</v>
      </c>
      <c r="D112" s="65">
        <v>104846.0</v>
      </c>
      <c r="E112" s="66" t="s">
        <v>80</v>
      </c>
    </row>
    <row r="113" ht="12.75" customHeight="1">
      <c r="A113" s="603">
        <v>6.0</v>
      </c>
      <c r="B113" s="66" t="s">
        <v>182</v>
      </c>
      <c r="C113" s="66" t="s">
        <v>1113</v>
      </c>
      <c r="D113" s="88">
        <v>104192.0</v>
      </c>
      <c r="E113" s="66" t="s">
        <v>80</v>
      </c>
    </row>
    <row r="114" ht="12.75" customHeight="1">
      <c r="A114" s="603">
        <v>7.0</v>
      </c>
      <c r="B114" s="66" t="s">
        <v>182</v>
      </c>
      <c r="C114" s="66" t="s">
        <v>1114</v>
      </c>
      <c r="D114" s="88">
        <v>104292.0</v>
      </c>
      <c r="E114" s="66" t="s">
        <v>337</v>
      </c>
    </row>
    <row r="115" ht="12.75" customHeight="1">
      <c r="A115" s="603">
        <v>8.0</v>
      </c>
      <c r="B115" s="66" t="s">
        <v>182</v>
      </c>
      <c r="C115" s="66" t="s">
        <v>1115</v>
      </c>
      <c r="D115" s="88">
        <v>104679.0</v>
      </c>
      <c r="E115" s="66" t="s">
        <v>337</v>
      </c>
    </row>
    <row r="116" ht="12.75" customHeight="1">
      <c r="A116" s="603">
        <v>9.0</v>
      </c>
      <c r="B116" s="66" t="s">
        <v>182</v>
      </c>
      <c r="C116" s="66" t="s">
        <v>1115</v>
      </c>
      <c r="D116" s="88">
        <v>104698.0</v>
      </c>
      <c r="E116" s="66" t="s">
        <v>80</v>
      </c>
    </row>
    <row r="117" ht="12.75" customHeight="1">
      <c r="A117" s="603">
        <v>10.0</v>
      </c>
      <c r="B117" s="66" t="s">
        <v>255</v>
      </c>
      <c r="C117" s="66" t="s">
        <v>1119</v>
      </c>
      <c r="D117" s="445">
        <v>104917.0</v>
      </c>
      <c r="E117" s="66" t="s">
        <v>80</v>
      </c>
    </row>
    <row r="118" ht="12.75" customHeight="1">
      <c r="A118" s="603">
        <v>11.0</v>
      </c>
      <c r="B118" s="66" t="s">
        <v>333</v>
      </c>
      <c r="C118" s="66" t="s">
        <v>362</v>
      </c>
      <c r="D118" s="65">
        <v>104296.0</v>
      </c>
      <c r="E118" s="66" t="s">
        <v>80</v>
      </c>
    </row>
    <row r="119" ht="12.75" customHeight="1">
      <c r="A119" s="603">
        <v>12.0</v>
      </c>
      <c r="B119" s="66" t="s">
        <v>333</v>
      </c>
      <c r="C119" s="66" t="s">
        <v>387</v>
      </c>
      <c r="D119" s="65">
        <v>104456.0</v>
      </c>
      <c r="E119" s="66" t="s">
        <v>80</v>
      </c>
    </row>
    <row r="120" ht="12.75" customHeight="1">
      <c r="A120" s="603">
        <v>13.0</v>
      </c>
      <c r="B120" s="66" t="s">
        <v>333</v>
      </c>
      <c r="C120" s="66" t="s">
        <v>1122</v>
      </c>
      <c r="D120" s="65">
        <v>104622.0</v>
      </c>
      <c r="E120" s="66" t="s">
        <v>80</v>
      </c>
    </row>
    <row r="121" ht="12.75" customHeight="1">
      <c r="A121" s="603">
        <v>14.0</v>
      </c>
      <c r="B121" s="66" t="s">
        <v>333</v>
      </c>
      <c r="C121" s="66" t="s">
        <v>1123</v>
      </c>
      <c r="D121" s="65">
        <v>104678.0</v>
      </c>
      <c r="E121" s="66" t="s">
        <v>80</v>
      </c>
    </row>
    <row r="122" ht="12.75" customHeight="1">
      <c r="A122" s="603">
        <v>15.0</v>
      </c>
      <c r="B122" s="66" t="s">
        <v>413</v>
      </c>
      <c r="C122" s="66" t="s">
        <v>458</v>
      </c>
      <c r="D122" s="65">
        <v>104303.0</v>
      </c>
      <c r="E122" s="66" t="s">
        <v>80</v>
      </c>
    </row>
    <row r="123" ht="12.75" customHeight="1">
      <c r="A123" s="603">
        <v>16.0</v>
      </c>
      <c r="B123" s="66" t="s">
        <v>413</v>
      </c>
      <c r="C123" s="66" t="s">
        <v>1130</v>
      </c>
      <c r="D123" s="65">
        <v>104520.0</v>
      </c>
      <c r="E123" s="66" t="s">
        <v>1293</v>
      </c>
    </row>
    <row r="124" ht="12.75" customHeight="1">
      <c r="A124" s="603">
        <v>17.0</v>
      </c>
      <c r="B124" s="66" t="s">
        <v>413</v>
      </c>
      <c r="C124" s="66" t="s">
        <v>1130</v>
      </c>
      <c r="D124" s="65">
        <v>104521.0</v>
      </c>
      <c r="E124" s="66" t="s">
        <v>1294</v>
      </c>
    </row>
    <row r="125" ht="12.75" customHeight="1">
      <c r="A125" s="603">
        <v>18.0</v>
      </c>
      <c r="B125" s="66" t="s">
        <v>413</v>
      </c>
      <c r="C125" s="66" t="s">
        <v>1130</v>
      </c>
      <c r="D125" s="65">
        <v>104522.0</v>
      </c>
      <c r="E125" s="66" t="s">
        <v>1295</v>
      </c>
    </row>
    <row r="126" ht="12.75" customHeight="1">
      <c r="A126" s="603">
        <v>19.0</v>
      </c>
      <c r="B126" s="66" t="s">
        <v>413</v>
      </c>
      <c r="C126" s="66" t="s">
        <v>1130</v>
      </c>
      <c r="D126" s="65">
        <v>104523.0</v>
      </c>
      <c r="E126" s="66" t="s">
        <v>337</v>
      </c>
    </row>
    <row r="127" ht="12.75" customHeight="1">
      <c r="A127" s="603">
        <v>20.0</v>
      </c>
      <c r="B127" s="66" t="s">
        <v>413</v>
      </c>
      <c r="C127" s="66" t="s">
        <v>1081</v>
      </c>
      <c r="D127" s="65">
        <v>104621.0</v>
      </c>
      <c r="E127" s="66" t="s">
        <v>80</v>
      </c>
    </row>
    <row r="128" ht="12.75" customHeight="1">
      <c r="A128" s="603">
        <v>21.0</v>
      </c>
      <c r="B128" s="66" t="s">
        <v>413</v>
      </c>
      <c r="C128" s="66" t="s">
        <v>1130</v>
      </c>
      <c r="D128" s="65">
        <v>104784.0</v>
      </c>
      <c r="E128" s="66" t="s">
        <v>80</v>
      </c>
    </row>
    <row r="129" ht="12.75" customHeight="1">
      <c r="A129" s="603">
        <v>22.0</v>
      </c>
      <c r="B129" s="66" t="s">
        <v>413</v>
      </c>
      <c r="C129" s="66" t="s">
        <v>1130</v>
      </c>
      <c r="D129" s="65">
        <v>105168.0</v>
      </c>
      <c r="E129" s="66" t="s">
        <v>1292</v>
      </c>
    </row>
    <row r="130" ht="12.75" customHeight="1">
      <c r="A130" s="603">
        <v>23.0</v>
      </c>
      <c r="B130" s="66" t="s">
        <v>413</v>
      </c>
      <c r="C130" s="66" t="s">
        <v>1130</v>
      </c>
      <c r="D130" s="65">
        <v>105275.0</v>
      </c>
      <c r="E130" s="66" t="s">
        <v>207</v>
      </c>
    </row>
    <row r="131" ht="12.75" customHeight="1">
      <c r="A131" s="603">
        <v>24.0</v>
      </c>
      <c r="B131" s="66" t="s">
        <v>413</v>
      </c>
      <c r="C131" s="66" t="s">
        <v>1130</v>
      </c>
      <c r="D131" s="65">
        <v>105276.0</v>
      </c>
      <c r="E131" s="66" t="s">
        <v>1297</v>
      </c>
    </row>
    <row r="132" ht="12.75" customHeight="1">
      <c r="A132" s="603">
        <v>25.0</v>
      </c>
      <c r="B132" s="66" t="s">
        <v>413</v>
      </c>
      <c r="C132" s="66" t="s">
        <v>1130</v>
      </c>
      <c r="D132" s="65">
        <v>105277.0</v>
      </c>
      <c r="E132" s="66" t="s">
        <v>1298</v>
      </c>
    </row>
    <row r="133" ht="12.75" customHeight="1">
      <c r="A133" s="603">
        <v>26.0</v>
      </c>
      <c r="B133" s="66" t="s">
        <v>413</v>
      </c>
      <c r="C133" s="66" t="s">
        <v>1130</v>
      </c>
      <c r="D133" s="65">
        <v>105278.0</v>
      </c>
      <c r="E133" s="66" t="s">
        <v>1296</v>
      </c>
    </row>
    <row r="134" ht="12.75" customHeight="1">
      <c r="A134" s="603">
        <v>27.0</v>
      </c>
      <c r="B134" s="66" t="s">
        <v>611</v>
      </c>
      <c r="C134" s="225" t="s">
        <v>1143</v>
      </c>
      <c r="D134" s="65">
        <v>104524.0</v>
      </c>
      <c r="E134" s="66" t="s">
        <v>80</v>
      </c>
    </row>
    <row r="135" ht="12.75" customHeight="1">
      <c r="A135" s="603">
        <v>28.0</v>
      </c>
      <c r="B135" s="66" t="s">
        <v>611</v>
      </c>
      <c r="C135" s="66" t="s">
        <v>652</v>
      </c>
      <c r="D135" s="65">
        <v>104528.0</v>
      </c>
      <c r="E135" s="66" t="s">
        <v>80</v>
      </c>
    </row>
    <row r="136" ht="12.75" customHeight="1">
      <c r="A136" s="603">
        <v>29.0</v>
      </c>
      <c r="B136" s="66" t="s">
        <v>611</v>
      </c>
      <c r="C136" s="212" t="s">
        <v>1082</v>
      </c>
      <c r="D136" s="88">
        <v>104611.0</v>
      </c>
      <c r="E136" s="66" t="s">
        <v>80</v>
      </c>
    </row>
    <row r="137" ht="12.75" customHeight="1">
      <c r="A137" s="603">
        <v>30.0</v>
      </c>
      <c r="B137" s="240" t="s">
        <v>695</v>
      </c>
      <c r="C137" s="240" t="s">
        <v>747</v>
      </c>
      <c r="D137" s="239">
        <v>104646.0</v>
      </c>
      <c r="E137" s="240" t="s">
        <v>80</v>
      </c>
    </row>
    <row r="138" ht="12.75" customHeight="1">
      <c r="A138" s="603">
        <v>31.0</v>
      </c>
      <c r="B138" s="240" t="s">
        <v>695</v>
      </c>
      <c r="C138" s="240" t="s">
        <v>752</v>
      </c>
      <c r="D138" s="239">
        <v>105149.0</v>
      </c>
      <c r="E138" s="240" t="s">
        <v>80</v>
      </c>
    </row>
    <row r="139" ht="12.75" customHeight="1">
      <c r="A139" s="43"/>
    </row>
    <row r="140" ht="12.75" customHeight="1">
      <c r="A140" s="835">
        <v>2016.0</v>
      </c>
    </row>
    <row r="141" ht="12.75" customHeight="1">
      <c r="A141" s="836" t="s">
        <v>84</v>
      </c>
    </row>
    <row r="142" ht="12.75" customHeight="1">
      <c r="A142" s="47" t="s">
        <v>965</v>
      </c>
      <c r="B142" s="47" t="s">
        <v>19</v>
      </c>
      <c r="C142" s="47" t="s">
        <v>20</v>
      </c>
      <c r="D142" s="47" t="s">
        <v>23</v>
      </c>
      <c r="E142" s="47" t="s">
        <v>30</v>
      </c>
    </row>
    <row r="143" ht="12.75" customHeight="1">
      <c r="A143" s="603">
        <v>1.0</v>
      </c>
      <c r="B143" s="66" t="s">
        <v>182</v>
      </c>
      <c r="C143" s="66" t="s">
        <v>989</v>
      </c>
      <c r="D143" s="65">
        <v>105715.0</v>
      </c>
      <c r="E143" s="66" t="s">
        <v>337</v>
      </c>
    </row>
    <row r="144" ht="12.75" customHeight="1">
      <c r="A144" s="603">
        <v>2.0</v>
      </c>
      <c r="B144" s="66" t="s">
        <v>695</v>
      </c>
      <c r="C144" s="66" t="s">
        <v>731</v>
      </c>
      <c r="D144" s="65">
        <v>105430.0</v>
      </c>
      <c r="E144" s="66" t="s">
        <v>337</v>
      </c>
    </row>
    <row r="145" ht="12.75" customHeight="1">
      <c r="A145" s="836" t="s">
        <v>96</v>
      </c>
    </row>
    <row r="146" ht="12.75" customHeight="1">
      <c r="A146" s="47" t="s">
        <v>965</v>
      </c>
      <c r="B146" s="47" t="s">
        <v>19</v>
      </c>
      <c r="C146" s="47" t="s">
        <v>20</v>
      </c>
      <c r="D146" s="47" t="s">
        <v>23</v>
      </c>
      <c r="E146" s="47" t="s">
        <v>30</v>
      </c>
    </row>
    <row r="147" ht="12.75" customHeight="1">
      <c r="A147" s="603">
        <v>1.0</v>
      </c>
      <c r="B147" s="66" t="s">
        <v>255</v>
      </c>
      <c r="C147" s="66" t="s">
        <v>292</v>
      </c>
      <c r="D147" s="65">
        <v>105964.0</v>
      </c>
      <c r="E147" s="66" t="s">
        <v>80</v>
      </c>
    </row>
    <row r="148" ht="12.75" customHeight="1">
      <c r="A148" s="603">
        <v>2.0</v>
      </c>
      <c r="B148" s="66" t="s">
        <v>333</v>
      </c>
      <c r="C148" s="66" t="s">
        <v>1124</v>
      </c>
      <c r="D148" s="65">
        <v>105456.0</v>
      </c>
      <c r="E148" s="66" t="s">
        <v>80</v>
      </c>
    </row>
    <row r="149" ht="12.75" customHeight="1">
      <c r="A149" s="603">
        <v>3.0</v>
      </c>
      <c r="B149" s="66" t="s">
        <v>333</v>
      </c>
      <c r="C149" s="66" t="s">
        <v>1125</v>
      </c>
      <c r="D149" s="65">
        <v>105457.0</v>
      </c>
      <c r="E149" s="66" t="s">
        <v>80</v>
      </c>
    </row>
    <row r="150" ht="12.75" customHeight="1">
      <c r="A150" s="603">
        <v>4.0</v>
      </c>
      <c r="B150" s="66" t="s">
        <v>333</v>
      </c>
      <c r="C150" s="66" t="s">
        <v>367</v>
      </c>
      <c r="D150" s="65">
        <v>105733.0</v>
      </c>
      <c r="E150" s="66" t="s">
        <v>80</v>
      </c>
    </row>
    <row r="151" ht="12.75" customHeight="1">
      <c r="A151" s="603">
        <v>5.0</v>
      </c>
      <c r="B151" s="66" t="s">
        <v>413</v>
      </c>
      <c r="C151" s="66" t="s">
        <v>523</v>
      </c>
      <c r="D151" s="65">
        <v>105532.0</v>
      </c>
      <c r="E151" s="66" t="s">
        <v>80</v>
      </c>
    </row>
    <row r="152" ht="12.75" customHeight="1">
      <c r="A152" s="603">
        <v>6.0</v>
      </c>
      <c r="B152" s="66" t="s">
        <v>413</v>
      </c>
      <c r="C152" s="66" t="s">
        <v>500</v>
      </c>
      <c r="D152" s="65">
        <v>105533.0</v>
      </c>
      <c r="E152" s="66" t="s">
        <v>80</v>
      </c>
    </row>
    <row r="153" ht="12.75" customHeight="1">
      <c r="A153" s="603">
        <v>7.0</v>
      </c>
      <c r="B153" s="66" t="s">
        <v>413</v>
      </c>
      <c r="C153" s="66" t="s">
        <v>537</v>
      </c>
      <c r="D153" s="65">
        <v>105656.0</v>
      </c>
      <c r="E153" s="66" t="s">
        <v>80</v>
      </c>
    </row>
    <row r="154" ht="12.75" customHeight="1">
      <c r="A154" s="603">
        <v>8.0</v>
      </c>
      <c r="B154" s="66" t="s">
        <v>413</v>
      </c>
      <c r="C154" s="66" t="s">
        <v>542</v>
      </c>
      <c r="D154" s="65">
        <v>105661.0</v>
      </c>
      <c r="E154" s="66" t="s">
        <v>80</v>
      </c>
    </row>
    <row r="155" ht="12.75" customHeight="1">
      <c r="A155" s="603">
        <v>9.0</v>
      </c>
      <c r="B155" s="66" t="s">
        <v>413</v>
      </c>
      <c r="C155" s="66" t="s">
        <v>504</v>
      </c>
      <c r="D155" s="65">
        <v>105772.0</v>
      </c>
      <c r="E155" s="66" t="s">
        <v>80</v>
      </c>
    </row>
    <row r="156" ht="12.75" customHeight="1">
      <c r="A156" s="603">
        <v>10.0</v>
      </c>
      <c r="B156" s="66" t="s">
        <v>576</v>
      </c>
      <c r="C156" s="66" t="s">
        <v>1139</v>
      </c>
      <c r="D156" s="65">
        <v>105221.0</v>
      </c>
      <c r="E156" s="66" t="s">
        <v>80</v>
      </c>
    </row>
    <row r="157" ht="12.75" customHeight="1">
      <c r="A157" s="603">
        <v>11.0</v>
      </c>
      <c r="B157" s="66" t="s">
        <v>576</v>
      </c>
      <c r="C157" s="66" t="s">
        <v>1140</v>
      </c>
      <c r="D157" s="65">
        <v>105566.0</v>
      </c>
      <c r="E157" s="66" t="s">
        <v>80</v>
      </c>
    </row>
    <row r="158" ht="12.75" customHeight="1">
      <c r="A158" s="603">
        <v>12.0</v>
      </c>
      <c r="B158" s="66" t="s">
        <v>576</v>
      </c>
      <c r="C158" s="66" t="s">
        <v>1141</v>
      </c>
      <c r="D158" s="65">
        <v>105571.0</v>
      </c>
      <c r="E158" s="66" t="s">
        <v>80</v>
      </c>
    </row>
    <row r="159" ht="12.75" customHeight="1">
      <c r="A159" s="603">
        <v>13.0</v>
      </c>
      <c r="B159" s="66" t="s">
        <v>611</v>
      </c>
      <c r="C159" s="212" t="s">
        <v>677</v>
      </c>
      <c r="D159" s="65">
        <v>105455.0</v>
      </c>
      <c r="E159" s="66" t="s">
        <v>80</v>
      </c>
    </row>
    <row r="160" ht="12.75" customHeight="1">
      <c r="A160" s="603">
        <v>14.0</v>
      </c>
      <c r="B160" s="66" t="s">
        <v>611</v>
      </c>
      <c r="C160" s="212" t="s">
        <v>681</v>
      </c>
      <c r="D160" s="65">
        <v>105480.0</v>
      </c>
      <c r="E160" s="66" t="s">
        <v>80</v>
      </c>
    </row>
    <row r="162" ht="12.75" customHeight="1">
      <c r="A162" s="835">
        <v>2017.0</v>
      </c>
    </row>
    <row r="163" ht="12.75" customHeight="1">
      <c r="A163" s="836" t="s">
        <v>84</v>
      </c>
    </row>
    <row r="164" ht="12.75" customHeight="1">
      <c r="A164" s="47" t="s">
        <v>965</v>
      </c>
      <c r="B164" s="47" t="s">
        <v>19</v>
      </c>
      <c r="C164" s="47" t="s">
        <v>20</v>
      </c>
      <c r="D164" s="47" t="s">
        <v>23</v>
      </c>
      <c r="E164" s="47" t="s">
        <v>30</v>
      </c>
    </row>
    <row r="165" ht="12.75" customHeight="1">
      <c r="A165" s="603">
        <v>1.0</v>
      </c>
      <c r="B165" s="66" t="s">
        <v>413</v>
      </c>
      <c r="C165" s="66" t="s">
        <v>1024</v>
      </c>
      <c r="D165" s="65">
        <v>106421.0</v>
      </c>
      <c r="E165" s="66" t="s">
        <v>80</v>
      </c>
    </row>
    <row r="166" ht="12.75" customHeight="1">
      <c r="A166" s="603">
        <v>2.0</v>
      </c>
      <c r="B166" s="66" t="s">
        <v>413</v>
      </c>
      <c r="C166" s="66" t="s">
        <v>1024</v>
      </c>
      <c r="D166" s="65">
        <v>106422.0</v>
      </c>
      <c r="E166" s="66" t="s">
        <v>337</v>
      </c>
    </row>
    <row r="167" ht="12.75" customHeight="1">
      <c r="A167" s="603">
        <v>3.0</v>
      </c>
      <c r="B167" s="66" t="s">
        <v>611</v>
      </c>
      <c r="C167" s="66" t="s">
        <v>690</v>
      </c>
      <c r="D167" s="65">
        <v>106111.0</v>
      </c>
      <c r="E167" s="66" t="s">
        <v>80</v>
      </c>
    </row>
    <row r="168" ht="12.75" customHeight="1">
      <c r="A168" s="836" t="s">
        <v>96</v>
      </c>
    </row>
    <row r="169" ht="12.75" customHeight="1">
      <c r="A169" s="47" t="s">
        <v>965</v>
      </c>
      <c r="B169" s="47" t="s">
        <v>19</v>
      </c>
      <c r="C169" s="47" t="s">
        <v>20</v>
      </c>
      <c r="D169" s="47" t="s">
        <v>23</v>
      </c>
      <c r="E169" s="47" t="s">
        <v>30</v>
      </c>
    </row>
    <row r="170" ht="12.75" customHeight="1">
      <c r="A170" s="603">
        <v>1.0</v>
      </c>
      <c r="B170" s="66" t="s">
        <v>255</v>
      </c>
      <c r="C170" s="66" t="s">
        <v>318</v>
      </c>
      <c r="D170" s="65">
        <v>106126.0</v>
      </c>
      <c r="E170" s="66" t="s">
        <v>80</v>
      </c>
    </row>
    <row r="171" ht="12.75" customHeight="1">
      <c r="A171" s="603">
        <v>2.0</v>
      </c>
      <c r="B171" s="66" t="s">
        <v>333</v>
      </c>
      <c r="C171" s="66" t="s">
        <v>357</v>
      </c>
      <c r="D171" s="65">
        <v>106091.0</v>
      </c>
      <c r="E171" s="66" t="s">
        <v>337</v>
      </c>
    </row>
    <row r="172" ht="12.75" customHeight="1">
      <c r="A172" s="603">
        <v>3.0</v>
      </c>
      <c r="B172" s="66" t="s">
        <v>413</v>
      </c>
      <c r="C172" s="66" t="s">
        <v>572</v>
      </c>
      <c r="D172" s="65">
        <v>106198.0</v>
      </c>
      <c r="E172" s="66" t="s">
        <v>337</v>
      </c>
    </row>
    <row r="173" ht="12.75" customHeight="1">
      <c r="A173" s="603">
        <v>4.0</v>
      </c>
      <c r="B173" s="66" t="s">
        <v>576</v>
      </c>
      <c r="C173" s="66" t="s">
        <v>1025</v>
      </c>
      <c r="D173" s="65">
        <v>106623.0</v>
      </c>
      <c r="E173" s="66" t="s">
        <v>80</v>
      </c>
    </row>
    <row r="174" ht="12.75" customHeight="1">
      <c r="A174" s="43"/>
    </row>
    <row r="175" ht="12.75" customHeight="1">
      <c r="A175" s="835">
        <v>2018.0</v>
      </c>
    </row>
    <row r="176" ht="12.75" customHeight="1">
      <c r="A176" s="836" t="s">
        <v>84</v>
      </c>
    </row>
    <row r="177" ht="12.75" customHeight="1">
      <c r="A177" s="47" t="s">
        <v>965</v>
      </c>
      <c r="B177" s="47" t="s">
        <v>19</v>
      </c>
      <c r="C177" s="47" t="s">
        <v>20</v>
      </c>
      <c r="D177" s="47" t="s">
        <v>23</v>
      </c>
      <c r="E177" s="47" t="s">
        <v>30</v>
      </c>
    </row>
    <row r="178" ht="12.75" customHeight="1">
      <c r="A178" s="603">
        <v>1.0</v>
      </c>
      <c r="B178" s="66" t="s">
        <v>130</v>
      </c>
      <c r="C178" s="66" t="s">
        <v>1027</v>
      </c>
      <c r="D178" s="65">
        <v>106793.0</v>
      </c>
      <c r="E178" s="66" t="s">
        <v>337</v>
      </c>
    </row>
    <row r="179" ht="12.75" customHeight="1">
      <c r="A179" s="603">
        <v>2.0</v>
      </c>
      <c r="B179" s="66" t="s">
        <v>130</v>
      </c>
      <c r="C179" s="66" t="s">
        <v>1028</v>
      </c>
      <c r="D179" s="65">
        <v>106792.0</v>
      </c>
      <c r="E179" s="66" t="s">
        <v>337</v>
      </c>
    </row>
    <row r="180" ht="12.75" customHeight="1">
      <c r="A180" s="603">
        <v>3.0</v>
      </c>
      <c r="B180" s="66" t="s">
        <v>182</v>
      </c>
      <c r="C180" s="66" t="s">
        <v>1116</v>
      </c>
      <c r="D180" s="65">
        <v>107251.0</v>
      </c>
      <c r="E180" s="66" t="s">
        <v>337</v>
      </c>
    </row>
    <row r="181" ht="12.75" customHeight="1">
      <c r="A181" s="603">
        <v>4.0</v>
      </c>
      <c r="B181" s="66" t="s">
        <v>182</v>
      </c>
      <c r="C181" s="66" t="s">
        <v>1289</v>
      </c>
      <c r="D181" s="65">
        <v>107268.0</v>
      </c>
      <c r="E181" s="66" t="s">
        <v>337</v>
      </c>
    </row>
    <row r="182" ht="12.75" customHeight="1">
      <c r="A182" s="390"/>
      <c r="B182" s="390"/>
      <c r="C182" s="390"/>
      <c r="D182" s="390"/>
      <c r="E182" s="390"/>
    </row>
    <row r="183" ht="12.75" customHeight="1">
      <c r="A183" s="835">
        <v>2019.0</v>
      </c>
    </row>
    <row r="184" ht="12.75" customHeight="1">
      <c r="A184" s="836" t="s">
        <v>96</v>
      </c>
    </row>
    <row r="185" ht="12.75" customHeight="1">
      <c r="A185" s="47" t="s">
        <v>965</v>
      </c>
      <c r="B185" s="47" t="s">
        <v>19</v>
      </c>
      <c r="C185" s="47" t="s">
        <v>20</v>
      </c>
      <c r="D185" s="47" t="s">
        <v>23</v>
      </c>
      <c r="E185" s="47" t="s">
        <v>30</v>
      </c>
    </row>
    <row r="186" ht="12.75" customHeight="1">
      <c r="A186" s="603">
        <v>1.0</v>
      </c>
      <c r="B186" s="66" t="s">
        <v>611</v>
      </c>
      <c r="C186" s="212" t="s">
        <v>625</v>
      </c>
      <c r="D186" s="65">
        <v>109143.0</v>
      </c>
      <c r="E186" s="66" t="s">
        <v>80</v>
      </c>
    </row>
    <row r="187" ht="12.75" customHeight="1">
      <c r="A187" s="603">
        <v>2.0</v>
      </c>
      <c r="B187" s="66" t="s">
        <v>611</v>
      </c>
      <c r="C187" s="212" t="s">
        <v>620</v>
      </c>
      <c r="D187" s="65">
        <v>108684.0</v>
      </c>
      <c r="E187" s="66" t="s">
        <v>80</v>
      </c>
    </row>
    <row r="188" ht="12.75" customHeight="1">
      <c r="A188" s="390"/>
      <c r="B188" s="390"/>
      <c r="C188" s="390"/>
      <c r="D188" s="390"/>
      <c r="E188" s="390"/>
    </row>
    <row r="189" ht="12.75" customHeight="1">
      <c r="A189" s="835">
        <v>2020.0</v>
      </c>
    </row>
    <row r="190" ht="12.75" customHeight="1">
      <c r="A190" s="836" t="s">
        <v>96</v>
      </c>
    </row>
    <row r="191" ht="12.75" customHeight="1">
      <c r="A191" s="47" t="s">
        <v>965</v>
      </c>
      <c r="B191" s="47" t="s">
        <v>19</v>
      </c>
      <c r="C191" s="47" t="s">
        <v>20</v>
      </c>
      <c r="D191" s="47" t="s">
        <v>23</v>
      </c>
      <c r="E191" s="47" t="s">
        <v>30</v>
      </c>
    </row>
    <row r="192" ht="12.75" customHeight="1">
      <c r="A192" s="603">
        <v>1.0</v>
      </c>
      <c r="B192" s="66" t="s">
        <v>695</v>
      </c>
      <c r="C192" s="212" t="s">
        <v>721</v>
      </c>
      <c r="D192" s="65">
        <v>109668.0</v>
      </c>
      <c r="E192" s="66" t="s">
        <v>80</v>
      </c>
    </row>
    <row r="194" ht="12.75" customHeight="1">
      <c r="A194" s="835">
        <v>2021.0</v>
      </c>
    </row>
    <row r="195" ht="12.75" customHeight="1">
      <c r="A195" s="836" t="s">
        <v>96</v>
      </c>
    </row>
    <row r="196" ht="12.75" customHeight="1">
      <c r="A196" s="47" t="s">
        <v>965</v>
      </c>
      <c r="B196" s="47" t="s">
        <v>19</v>
      </c>
      <c r="C196" s="47" t="s">
        <v>20</v>
      </c>
      <c r="D196" s="47" t="s">
        <v>23</v>
      </c>
      <c r="E196" s="47" t="s">
        <v>30</v>
      </c>
    </row>
    <row r="197" ht="12.75" customHeight="1">
      <c r="A197" s="603">
        <v>1.0</v>
      </c>
      <c r="B197" s="66" t="s">
        <v>255</v>
      </c>
      <c r="C197" s="66" t="s">
        <v>256</v>
      </c>
      <c r="D197" s="65">
        <v>110739.0</v>
      </c>
      <c r="E197" s="66" t="s">
        <v>80</v>
      </c>
    </row>
    <row r="198" ht="12.75" customHeight="1">
      <c r="A198" s="603">
        <v>2.0</v>
      </c>
      <c r="B198" s="66" t="s">
        <v>413</v>
      </c>
      <c r="C198" s="66" t="s">
        <v>462</v>
      </c>
      <c r="D198" s="390"/>
      <c r="E198" s="66" t="s">
        <v>80</v>
      </c>
    </row>
  </sheetData>
  <printOptions/>
  <pageMargins bottom="0.75" footer="0.0" header="0.0" left="0.7" right="0.7" top="0.75"/>
  <pageSetup orientation="landscape"/>
  <drawing r:id="rId2"/>
  <legacyDrawing r:id="rId3"/>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3.75"/>
    <col customWidth="1" min="2" max="2" width="26.0"/>
    <col customWidth="1" min="3" max="3" width="38.38"/>
    <col customWidth="1" min="4" max="4" width="28.75"/>
    <col customWidth="1" min="5" max="5" width="27.0"/>
    <col customWidth="1" min="6" max="7" width="11.38"/>
    <col customWidth="1" min="8" max="8" width="16.88"/>
    <col customWidth="1" min="9" max="9" width="16.38"/>
    <col customWidth="1" min="10" max="10" width="11.38"/>
    <col customWidth="1" min="11" max="11" width="12.0"/>
    <col customWidth="1" min="12" max="25" width="11.38"/>
  </cols>
  <sheetData>
    <row r="2" ht="12.75" customHeight="1">
      <c r="A2" s="603"/>
      <c r="B2" s="603"/>
      <c r="C2" s="32" t="s">
        <v>0</v>
      </c>
    </row>
    <row r="3" ht="12.75" customHeight="1">
      <c r="A3" s="603"/>
      <c r="B3" s="603"/>
      <c r="C3" s="32" t="s">
        <v>1304</v>
      </c>
      <c r="D3" s="38"/>
      <c r="E3" s="38"/>
    </row>
    <row r="4" ht="12.75" customHeight="1">
      <c r="A4" s="603"/>
      <c r="B4" s="603"/>
      <c r="C4" s="40" t="s">
        <v>1305</v>
      </c>
      <c r="D4" s="837"/>
      <c r="E4" s="837"/>
    </row>
    <row r="5" ht="12.75" customHeight="1">
      <c r="A5" s="603"/>
      <c r="B5" s="603"/>
      <c r="C5" s="390"/>
      <c r="D5" s="390"/>
      <c r="E5" s="390"/>
    </row>
    <row r="6" ht="17.25" customHeight="1">
      <c r="A6" s="726"/>
      <c r="B6" s="726" t="s">
        <v>19</v>
      </c>
      <c r="C6" s="726" t="s">
        <v>1306</v>
      </c>
      <c r="D6" s="726" t="s">
        <v>1307</v>
      </c>
      <c r="E6" s="726" t="s">
        <v>1308</v>
      </c>
    </row>
    <row r="7" ht="12.75" customHeight="1">
      <c r="A7" s="838"/>
      <c r="B7" s="839" t="s">
        <v>74</v>
      </c>
      <c r="C7" s="840" t="s">
        <v>1309</v>
      </c>
      <c r="D7" s="807" t="s">
        <v>1310</v>
      </c>
      <c r="E7" s="728" t="s">
        <v>1311</v>
      </c>
    </row>
    <row r="8" ht="12.75" customHeight="1">
      <c r="A8" s="841"/>
      <c r="B8" s="841"/>
      <c r="C8" s="840" t="s">
        <v>1312</v>
      </c>
      <c r="D8" s="807" t="s">
        <v>1310</v>
      </c>
      <c r="E8" s="728" t="s">
        <v>1313</v>
      </c>
    </row>
    <row r="9" ht="12.75" customHeight="1">
      <c r="A9" s="842"/>
      <c r="B9" s="839" t="s">
        <v>1314</v>
      </c>
      <c r="C9" s="840" t="s">
        <v>1315</v>
      </c>
      <c r="D9" s="840" t="s">
        <v>1316</v>
      </c>
      <c r="E9" s="843" t="s">
        <v>1317</v>
      </c>
    </row>
    <row r="10" ht="12.75" customHeight="1">
      <c r="A10" s="643"/>
      <c r="B10" s="643"/>
      <c r="C10" s="840" t="s">
        <v>1318</v>
      </c>
      <c r="D10" s="807" t="s">
        <v>1310</v>
      </c>
      <c r="E10" s="843" t="s">
        <v>1319</v>
      </c>
    </row>
    <row r="11" ht="12.75" customHeight="1">
      <c r="A11" s="841"/>
      <c r="B11" s="841"/>
      <c r="C11" s="840" t="s">
        <v>1320</v>
      </c>
      <c r="D11" s="840" t="s">
        <v>1321</v>
      </c>
      <c r="E11" s="843" t="s">
        <v>1322</v>
      </c>
    </row>
    <row r="12">
      <c r="A12" s="844"/>
      <c r="B12" s="839" t="s">
        <v>1323</v>
      </c>
      <c r="C12" s="845" t="s">
        <v>1324</v>
      </c>
      <c r="D12" s="807" t="s">
        <v>1325</v>
      </c>
      <c r="E12" s="728" t="s">
        <v>1326</v>
      </c>
    </row>
    <row r="13">
      <c r="A13" s="841"/>
      <c r="B13" s="841"/>
      <c r="C13" s="840" t="s">
        <v>1327</v>
      </c>
      <c r="D13" s="807" t="s">
        <v>1310</v>
      </c>
      <c r="E13" s="728" t="s">
        <v>1328</v>
      </c>
    </row>
    <row r="14">
      <c r="A14" s="846"/>
      <c r="B14" s="839" t="s">
        <v>1329</v>
      </c>
      <c r="C14" s="840" t="s">
        <v>1330</v>
      </c>
      <c r="D14" s="807" t="s">
        <v>1325</v>
      </c>
      <c r="E14" s="728" t="s">
        <v>1331</v>
      </c>
    </row>
    <row r="15" ht="12.75" customHeight="1">
      <c r="A15" s="847"/>
      <c r="B15" s="839" t="s">
        <v>1332</v>
      </c>
      <c r="C15" s="840" t="s">
        <v>1333</v>
      </c>
      <c r="D15" s="845" t="s">
        <v>1310</v>
      </c>
      <c r="E15" s="728" t="s">
        <v>1334</v>
      </c>
    </row>
    <row r="16" ht="12.75" customHeight="1">
      <c r="A16" s="643"/>
      <c r="B16" s="643"/>
      <c r="C16" s="840" t="s">
        <v>1335</v>
      </c>
      <c r="D16" s="840" t="s">
        <v>1336</v>
      </c>
      <c r="E16" s="728" t="s">
        <v>1334</v>
      </c>
    </row>
    <row r="17" ht="12.75" customHeight="1">
      <c r="A17" s="643"/>
      <c r="B17" s="643"/>
      <c r="C17" s="840" t="s">
        <v>1337</v>
      </c>
      <c r="D17" s="840" t="s">
        <v>1338</v>
      </c>
      <c r="E17" s="728" t="s">
        <v>1339</v>
      </c>
    </row>
    <row r="18" ht="12.75" customHeight="1">
      <c r="A18" s="841"/>
      <c r="B18" s="841"/>
      <c r="C18" s="840" t="s">
        <v>1340</v>
      </c>
      <c r="D18" s="840" t="s">
        <v>1341</v>
      </c>
      <c r="E18" s="728" t="s">
        <v>1339</v>
      </c>
    </row>
  </sheetData>
  <mergeCells count="8">
    <mergeCell ref="A7:A8"/>
    <mergeCell ref="B7:B8"/>
    <mergeCell ref="A9:A11"/>
    <mergeCell ref="B9:B11"/>
    <mergeCell ref="A12:A13"/>
    <mergeCell ref="B12:B13"/>
    <mergeCell ref="A15:A18"/>
    <mergeCell ref="B15:B18"/>
  </mergeCells>
  <printOptions horizontalCentered="1"/>
  <pageMargins bottom="0.4724409448818898" footer="0.0" header="0.0" left="0.7086614173228347" right="0.1968503937007874" top="0.5905511811023623"/>
  <pageSetup orientation="landscape"/>
  <headerFooter>
    <oddHeader>&amp;CCentro de Gestión de la Calidad y la Acreditación Institucional</oddHeader>
  </headerFooter>
  <colBreaks count="1" manualBreakCount="1">
    <brk id="4" man="1"/>
  </colBreaks>
  <drawing r:id="rId1"/>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0.63"/>
    <col customWidth="1" min="2" max="2" width="48.88"/>
    <col customWidth="1" min="3" max="6" width="10.63"/>
  </cols>
  <sheetData>
    <row r="1" ht="12.0" customHeight="1">
      <c r="B1" s="848" t="s">
        <v>1342</v>
      </c>
    </row>
    <row r="2" ht="12.0" customHeight="1"/>
    <row r="3" ht="12.0" customHeight="1">
      <c r="B3" s="849" t="s">
        <v>1281</v>
      </c>
    </row>
    <row r="4" ht="12.0" customHeight="1">
      <c r="B4" s="850" t="s">
        <v>89</v>
      </c>
    </row>
    <row r="5" ht="12.0" customHeight="1">
      <c r="B5" s="850" t="s">
        <v>82</v>
      </c>
    </row>
    <row r="6" ht="12.0" customHeight="1">
      <c r="B6" s="851" t="s">
        <v>1287</v>
      </c>
    </row>
    <row r="7" ht="12.0" customHeight="1">
      <c r="B7" s="852" t="s">
        <v>136</v>
      </c>
    </row>
    <row r="8" ht="12.0" customHeight="1"/>
    <row r="9" ht="12.0" customHeight="1">
      <c r="B9" s="849" t="s">
        <v>804</v>
      </c>
    </row>
    <row r="10" ht="12.0" customHeight="1">
      <c r="B10" s="850" t="s">
        <v>84</v>
      </c>
    </row>
    <row r="11" ht="12.0" customHeight="1">
      <c r="B11" s="850" t="s">
        <v>96</v>
      </c>
    </row>
    <row r="12" ht="12.0" customHeight="1"/>
    <row r="13" ht="12.0" customHeight="1">
      <c r="B13" s="849" t="s">
        <v>1343</v>
      </c>
    </row>
    <row r="14" ht="12.0" customHeight="1">
      <c r="B14" s="853" t="s">
        <v>1344</v>
      </c>
    </row>
    <row r="15" ht="12.0" customHeight="1">
      <c r="B15" s="853" t="s">
        <v>1345</v>
      </c>
    </row>
    <row r="16" ht="12.0" customHeight="1">
      <c r="B16" s="853" t="s">
        <v>1346</v>
      </c>
    </row>
    <row r="17" ht="12.0" customHeight="1">
      <c r="B17" s="853" t="s">
        <v>1347</v>
      </c>
    </row>
    <row r="18" ht="12.0" customHeight="1">
      <c r="B18" s="853" t="s">
        <v>1348</v>
      </c>
    </row>
    <row r="19" ht="12.0" customHeight="1">
      <c r="B19" s="853" t="s">
        <v>1349</v>
      </c>
    </row>
    <row r="20" ht="12.0" customHeight="1">
      <c r="B20" s="853" t="s">
        <v>1350</v>
      </c>
    </row>
    <row r="21" ht="12.0" customHeight="1">
      <c r="B21" s="853" t="s">
        <v>1351</v>
      </c>
    </row>
    <row r="22" ht="12.0" customHeight="1">
      <c r="B22" s="853" t="s">
        <v>1352</v>
      </c>
    </row>
    <row r="23" ht="12.0" customHeight="1">
      <c r="B23" s="853"/>
    </row>
    <row r="24" ht="12.0" customHeight="1"/>
    <row r="25" ht="12.0" customHeight="1">
      <c r="B25" s="849" t="s">
        <v>1353</v>
      </c>
    </row>
    <row r="26" ht="12.0" customHeight="1">
      <c r="B26" s="850" t="s">
        <v>89</v>
      </c>
    </row>
    <row r="27" ht="12.0" customHeight="1">
      <c r="B27" s="850" t="s">
        <v>82</v>
      </c>
    </row>
    <row r="28" ht="12.0" customHeight="1"/>
    <row r="29" ht="12.0" customHeight="1">
      <c r="B29" s="849" t="s">
        <v>1354</v>
      </c>
    </row>
    <row r="30" ht="12.0" customHeight="1">
      <c r="B30" s="850" t="s">
        <v>1222</v>
      </c>
    </row>
    <row r="31" ht="12.0" customHeight="1">
      <c r="B31" s="850" t="s">
        <v>1229</v>
      </c>
    </row>
    <row r="33" ht="12.0" customHeight="1">
      <c r="B33" s="854" t="s">
        <v>1201</v>
      </c>
    </row>
    <row r="34" ht="12.0" customHeight="1">
      <c r="B34" s="855" t="s">
        <v>1223</v>
      </c>
    </row>
    <row r="35" ht="12.0" customHeight="1">
      <c r="B35" s="855" t="s">
        <v>1273</v>
      </c>
    </row>
    <row r="36" ht="12.0" customHeight="1">
      <c r="B36" s="856" t="s">
        <v>1228</v>
      </c>
    </row>
    <row r="37" ht="12.0" customHeight="1"/>
    <row r="38" ht="12.0" customHeight="1"/>
    <row r="39" ht="12.0" customHeight="1">
      <c r="B39" s="857" t="s">
        <v>1198</v>
      </c>
    </row>
    <row r="40" ht="12.0" customHeight="1">
      <c r="B40" s="855" t="s">
        <v>1227</v>
      </c>
    </row>
    <row r="41" ht="12.0" customHeight="1">
      <c r="B41" s="855" t="s">
        <v>1221</v>
      </c>
    </row>
    <row r="42" ht="12.0" customHeight="1">
      <c r="B42" s="856" t="s">
        <v>1233</v>
      </c>
    </row>
    <row r="43" ht="12.0" customHeight="1"/>
    <row r="44" ht="12.0" customHeight="1"/>
    <row r="45" ht="12.0" customHeight="1">
      <c r="B45" s="857" t="s">
        <v>1202</v>
      </c>
    </row>
    <row r="46" ht="12.0" customHeight="1">
      <c r="B46" s="855" t="s">
        <v>1224</v>
      </c>
    </row>
    <row r="47" ht="12.0" customHeight="1">
      <c r="B47" s="856" t="s">
        <v>1247</v>
      </c>
    </row>
  </sheetData>
  <dataValidations>
    <dataValidation type="list" allowBlank="1" showErrorMessage="1" sqref="B26:B27">
      <formula1>SiNo</formula1>
    </dataValidation>
  </dataValidations>
  <printOptions/>
  <pageMargins bottom="0.75" footer="0.0" header="0.0" left="0.7" right="0.7" top="0.75"/>
  <pageSetup orientation="portrait"/>
  <drawing r:id="rId1"/>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1.38"/>
    <col customWidth="1" min="2" max="2" width="48.88"/>
    <col customWidth="1" min="3" max="12" width="11.38"/>
    <col customWidth="1" min="13" max="26" width="10.63"/>
  </cols>
  <sheetData>
    <row r="1" ht="12.75" customHeight="1">
      <c r="B1" s="848" t="s">
        <v>1342</v>
      </c>
      <c r="C1" s="36"/>
      <c r="D1" s="36"/>
      <c r="E1" s="36"/>
      <c r="F1" s="36"/>
      <c r="G1" s="36"/>
      <c r="H1" s="36"/>
      <c r="I1" s="36"/>
      <c r="J1" s="36"/>
    </row>
    <row r="2" ht="12.75" customHeight="1">
      <c r="B2" s="36"/>
      <c r="C2" s="36"/>
      <c r="D2" s="36"/>
      <c r="E2" s="36"/>
      <c r="F2" s="36"/>
      <c r="G2" s="36"/>
      <c r="H2" s="36"/>
      <c r="I2" s="36"/>
      <c r="J2" s="36"/>
    </row>
    <row r="3" ht="12.75" customHeight="1">
      <c r="B3" s="849" t="s">
        <v>1281</v>
      </c>
      <c r="C3" s="36"/>
      <c r="D3" s="36"/>
      <c r="E3" s="36"/>
      <c r="F3" s="36"/>
      <c r="G3" s="36"/>
      <c r="H3" s="36"/>
      <c r="I3" s="36"/>
      <c r="J3" s="36"/>
    </row>
    <row r="4" ht="12.75" customHeight="1">
      <c r="B4" s="850" t="s">
        <v>89</v>
      </c>
      <c r="C4" s="36"/>
      <c r="D4" s="36"/>
      <c r="E4" s="36"/>
      <c r="F4" s="36"/>
      <c r="G4" s="36"/>
      <c r="H4" s="36"/>
      <c r="I4" s="36"/>
      <c r="J4" s="36"/>
    </row>
    <row r="5" ht="12.75" customHeight="1">
      <c r="B5" s="850" t="s">
        <v>82</v>
      </c>
      <c r="C5" s="36"/>
      <c r="D5" s="36"/>
      <c r="E5" s="36"/>
      <c r="F5" s="36"/>
      <c r="G5" s="36"/>
      <c r="H5" s="36"/>
      <c r="I5" s="36"/>
      <c r="J5" s="36"/>
    </row>
    <row r="6" ht="12.75" customHeight="1">
      <c r="B6" s="851" t="s">
        <v>1287</v>
      </c>
      <c r="C6" s="36"/>
      <c r="D6" s="36"/>
      <c r="E6" s="36"/>
      <c r="J6" s="36" t="s">
        <v>1107</v>
      </c>
    </row>
    <row r="7" ht="12.75" customHeight="1">
      <c r="B7" s="852" t="s">
        <v>136</v>
      </c>
      <c r="C7" s="36"/>
      <c r="D7" s="36"/>
      <c r="E7" s="36"/>
      <c r="F7" s="36" t="s">
        <v>1165</v>
      </c>
      <c r="H7" s="36" t="s">
        <v>84</v>
      </c>
      <c r="J7" s="36" t="s">
        <v>1187</v>
      </c>
    </row>
    <row r="8" ht="12.75" customHeight="1">
      <c r="B8" s="36"/>
      <c r="C8" s="36"/>
      <c r="D8" s="36"/>
      <c r="E8" s="36"/>
      <c r="F8" s="36" t="s">
        <v>1355</v>
      </c>
      <c r="H8" s="36" t="s">
        <v>96</v>
      </c>
      <c r="J8" s="858" t="s">
        <v>1356</v>
      </c>
    </row>
    <row r="9" ht="12.75" customHeight="1">
      <c r="B9" s="849" t="s">
        <v>804</v>
      </c>
      <c r="C9" s="36"/>
      <c r="D9" s="36"/>
      <c r="E9" s="36"/>
      <c r="F9" s="36" t="s">
        <v>1357</v>
      </c>
      <c r="J9" s="858" t="s">
        <v>1170</v>
      </c>
    </row>
    <row r="10" ht="12.75" customHeight="1">
      <c r="B10" s="850" t="s">
        <v>84</v>
      </c>
      <c r="C10" s="36"/>
      <c r="D10" s="36"/>
      <c r="E10" s="36"/>
      <c r="F10" s="36" t="s">
        <v>1358</v>
      </c>
      <c r="J10" s="36" t="s">
        <v>1174</v>
      </c>
    </row>
    <row r="11" ht="12.75" customHeight="1">
      <c r="B11" s="850" t="s">
        <v>96</v>
      </c>
      <c r="C11" s="36"/>
      <c r="D11" s="36"/>
      <c r="E11" s="36"/>
      <c r="F11" s="36" t="s">
        <v>1359</v>
      </c>
      <c r="J11" s="858" t="s">
        <v>1167</v>
      </c>
    </row>
    <row r="12" ht="12.75" customHeight="1">
      <c r="B12" s="36"/>
      <c r="C12" s="36"/>
      <c r="D12" s="36"/>
      <c r="E12" s="36"/>
      <c r="J12" s="858" t="s">
        <v>1360</v>
      </c>
    </row>
    <row r="13" ht="12.75" customHeight="1">
      <c r="B13" s="849" t="s">
        <v>1343</v>
      </c>
      <c r="C13" s="36"/>
      <c r="D13" s="36"/>
      <c r="E13" s="36"/>
      <c r="J13" s="858" t="s">
        <v>1361</v>
      </c>
    </row>
    <row r="14" ht="12.75" customHeight="1">
      <c r="B14" s="853" t="s">
        <v>1344</v>
      </c>
      <c r="C14" s="36"/>
      <c r="D14" s="36"/>
      <c r="E14" s="36"/>
      <c r="F14" s="36"/>
      <c r="G14" s="36"/>
      <c r="H14" s="36"/>
      <c r="I14" s="36"/>
      <c r="J14" s="36" t="s">
        <v>1362</v>
      </c>
    </row>
    <row r="15" ht="12.75" customHeight="1">
      <c r="B15" s="853" t="s">
        <v>1345</v>
      </c>
      <c r="C15" s="36"/>
      <c r="D15" s="36"/>
      <c r="E15" s="36"/>
      <c r="F15" s="36"/>
      <c r="G15" s="36"/>
      <c r="H15" s="36"/>
      <c r="I15" s="36"/>
      <c r="J15" s="36" t="s">
        <v>1166</v>
      </c>
    </row>
    <row r="16" ht="12.75" customHeight="1">
      <c r="B16" s="853" t="s">
        <v>1346</v>
      </c>
      <c r="C16" s="36"/>
      <c r="D16" s="36"/>
      <c r="E16" s="36"/>
      <c r="F16" s="36"/>
      <c r="G16" s="36"/>
      <c r="H16" s="36"/>
      <c r="I16" s="36"/>
      <c r="J16" s="36" t="s">
        <v>1363</v>
      </c>
    </row>
    <row r="17" ht="12.75" customHeight="1">
      <c r="B17" s="853" t="s">
        <v>1347</v>
      </c>
      <c r="C17" s="36"/>
      <c r="D17" s="36"/>
      <c r="E17" s="36"/>
      <c r="F17" s="36"/>
      <c r="G17" s="36"/>
      <c r="H17" s="36"/>
      <c r="I17" s="36"/>
      <c r="J17" s="36" t="s">
        <v>1364</v>
      </c>
    </row>
    <row r="18" ht="12.75" customHeight="1">
      <c r="B18" s="853" t="s">
        <v>1348</v>
      </c>
      <c r="C18" s="36"/>
      <c r="D18" s="36"/>
      <c r="E18" s="36"/>
      <c r="F18" s="36"/>
      <c r="G18" s="36"/>
      <c r="H18" s="36"/>
      <c r="I18" s="36"/>
      <c r="J18" s="36" t="s">
        <v>1171</v>
      </c>
    </row>
    <row r="19" ht="12.75" customHeight="1">
      <c r="B19" s="853" t="s">
        <v>1349</v>
      </c>
      <c r="C19" s="36"/>
      <c r="D19" s="36"/>
      <c r="E19" s="36"/>
      <c r="F19" s="36"/>
      <c r="G19" s="36"/>
      <c r="H19" s="36"/>
      <c r="I19" s="36"/>
      <c r="J19" s="36" t="s">
        <v>1365</v>
      </c>
    </row>
    <row r="20" ht="12.75" customHeight="1">
      <c r="B20" s="853" t="s">
        <v>1350</v>
      </c>
      <c r="C20" s="36"/>
      <c r="D20" s="36"/>
      <c r="E20" s="36"/>
      <c r="F20" s="36"/>
      <c r="G20" s="36"/>
      <c r="H20" s="36"/>
      <c r="I20" s="36"/>
      <c r="J20" s="36" t="s">
        <v>1366</v>
      </c>
    </row>
    <row r="21" ht="12.75" customHeight="1">
      <c r="B21" s="853" t="s">
        <v>1351</v>
      </c>
      <c r="C21" s="36"/>
      <c r="D21" s="36"/>
      <c r="E21" s="36"/>
      <c r="F21" s="36"/>
      <c r="G21" s="36"/>
      <c r="H21" s="36"/>
      <c r="I21" s="36"/>
      <c r="J21" s="36" t="s">
        <v>1367</v>
      </c>
    </row>
    <row r="22" ht="12.75" customHeight="1">
      <c r="B22" s="853" t="s">
        <v>1352</v>
      </c>
      <c r="C22" s="36"/>
      <c r="D22" s="36"/>
      <c r="E22" s="36"/>
      <c r="F22" s="36"/>
      <c r="G22" s="36"/>
      <c r="H22" s="36"/>
      <c r="I22" s="36"/>
      <c r="J22" s="36" t="s">
        <v>1368</v>
      </c>
    </row>
    <row r="23" ht="12.75" customHeight="1">
      <c r="B23" s="853"/>
      <c r="C23" s="36"/>
      <c r="D23" s="36"/>
      <c r="E23" s="36"/>
      <c r="F23" s="36"/>
      <c r="G23" s="36"/>
      <c r="H23" s="36"/>
      <c r="I23" s="36"/>
      <c r="J23" s="36" t="s">
        <v>1369</v>
      </c>
    </row>
    <row r="24" ht="12.75" customHeight="1">
      <c r="B24" s="36"/>
      <c r="C24" s="36"/>
      <c r="D24" s="36"/>
      <c r="E24" s="36"/>
      <c r="F24" s="36"/>
      <c r="G24" s="36"/>
      <c r="H24" s="36"/>
      <c r="I24" s="36"/>
      <c r="J24" s="36" t="s">
        <v>1179</v>
      </c>
    </row>
    <row r="25" ht="12.75" customHeight="1">
      <c r="B25" s="849" t="s">
        <v>1353</v>
      </c>
      <c r="C25" s="36"/>
      <c r="D25" s="36"/>
      <c r="E25" s="36"/>
      <c r="F25" s="36"/>
      <c r="G25" s="36"/>
      <c r="H25" s="36"/>
      <c r="I25" s="36"/>
      <c r="J25" s="36" t="s">
        <v>1370</v>
      </c>
    </row>
    <row r="26" ht="12.75" customHeight="1">
      <c r="B26" s="850" t="s">
        <v>89</v>
      </c>
      <c r="C26" s="36"/>
      <c r="D26" s="36"/>
      <c r="E26" s="36"/>
      <c r="F26" s="36"/>
      <c r="G26" s="36"/>
      <c r="H26" s="36"/>
      <c r="I26" s="36"/>
      <c r="J26" s="36"/>
    </row>
    <row r="27" ht="12.75" customHeight="1">
      <c r="B27" s="850" t="s">
        <v>82</v>
      </c>
      <c r="C27" s="36"/>
      <c r="D27" s="36"/>
      <c r="E27" s="36"/>
      <c r="F27" s="36"/>
      <c r="G27" s="36"/>
      <c r="H27" s="36"/>
      <c r="I27" s="36"/>
      <c r="J27" s="36"/>
    </row>
    <row r="28" ht="12.75" customHeight="1">
      <c r="B28" s="36"/>
      <c r="C28" s="36"/>
      <c r="D28" s="36"/>
      <c r="E28" s="36"/>
      <c r="F28" s="36"/>
      <c r="G28" s="36"/>
      <c r="H28" s="36"/>
      <c r="I28" s="36"/>
      <c r="J28" s="36"/>
    </row>
    <row r="29" ht="12.75" customHeight="1">
      <c r="B29" s="849" t="s">
        <v>1354</v>
      </c>
      <c r="C29" s="36"/>
      <c r="D29" s="36"/>
      <c r="E29" s="36"/>
      <c r="F29" s="36"/>
      <c r="G29" s="36"/>
      <c r="H29" s="36"/>
      <c r="I29" s="36"/>
      <c r="J29" s="36"/>
    </row>
    <row r="30" ht="12.75" customHeight="1">
      <c r="B30" s="850" t="s">
        <v>1222</v>
      </c>
      <c r="C30" s="36"/>
      <c r="D30" s="36"/>
      <c r="E30" s="36"/>
      <c r="F30" s="36"/>
      <c r="G30" s="36"/>
      <c r="H30" s="36"/>
      <c r="I30" s="36"/>
      <c r="J30" s="36"/>
    </row>
    <row r="31" ht="12.75" customHeight="1">
      <c r="B31" s="850" t="s">
        <v>1229</v>
      </c>
      <c r="C31" s="36"/>
      <c r="D31" s="36"/>
      <c r="E31" s="36"/>
      <c r="F31" s="36"/>
      <c r="G31" s="36"/>
      <c r="H31" s="36"/>
      <c r="I31" s="36"/>
      <c r="J31" s="36"/>
    </row>
    <row r="33" ht="12.75" customHeight="1">
      <c r="B33" s="854" t="s">
        <v>1201</v>
      </c>
    </row>
    <row r="34" ht="12.75" customHeight="1">
      <c r="B34" s="855" t="s">
        <v>1223</v>
      </c>
    </row>
    <row r="35" ht="12.75" customHeight="1">
      <c r="B35" s="855" t="s">
        <v>1273</v>
      </c>
    </row>
    <row r="36" ht="12.75" customHeight="1">
      <c r="B36" s="856" t="s">
        <v>1228</v>
      </c>
    </row>
    <row r="37" ht="12.75" customHeight="1">
      <c r="B37" s="36"/>
    </row>
    <row r="38" ht="12.75" customHeight="1">
      <c r="B38" s="36"/>
    </row>
    <row r="39" ht="12.75" customHeight="1">
      <c r="B39" s="857" t="s">
        <v>1198</v>
      </c>
    </row>
    <row r="40" ht="12.75" customHeight="1">
      <c r="B40" s="855" t="s">
        <v>1227</v>
      </c>
    </row>
    <row r="41" ht="12.75" customHeight="1">
      <c r="B41" s="855" t="s">
        <v>1221</v>
      </c>
    </row>
    <row r="42" ht="12.75" customHeight="1">
      <c r="B42" s="856" t="s">
        <v>1233</v>
      </c>
    </row>
    <row r="43" ht="12.75" customHeight="1">
      <c r="B43" s="36"/>
    </row>
    <row r="44" ht="12.75" customHeight="1">
      <c r="B44" s="36"/>
    </row>
    <row r="45" ht="12.75" customHeight="1">
      <c r="B45" s="857" t="s">
        <v>1202</v>
      </c>
    </row>
    <row r="46" ht="12.75" customHeight="1">
      <c r="B46" s="855" t="s">
        <v>1224</v>
      </c>
    </row>
    <row r="47" ht="12.75" customHeight="1">
      <c r="B47" s="856" t="s">
        <v>1247</v>
      </c>
    </row>
  </sheetData>
  <dataValidations>
    <dataValidation type="list" allowBlank="1" showErrorMessage="1" sqref="B26:B27">
      <formula1>'Listas (2)'!SiNo</formula1>
    </dataValidation>
  </dataValidations>
  <printOptions/>
  <pageMargins bottom="0.75" footer="0.0" header="0.0" left="0.7" right="0.7" top="0.75"/>
  <pageSetup orientation="portrait"/>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2011-02-07T17:04:50Z</dcterms:created>
  <dc:creator>Acreditacion</dc:creator>
</cp:coreProperties>
</file>